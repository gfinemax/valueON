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john\Pictures\Desktop\신영투자\"/>
    </mc:Choice>
  </mc:AlternateContent>
  <bookViews>
    <workbookView xWindow="28680" yWindow="-120" windowWidth="29040" windowHeight="15840"/>
  </bookViews>
  <sheets>
    <sheet name="동일수지표" sheetId="315"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s>
  <definedNames>
    <definedName name="________M80000" localSheetId="0">#REF!</definedName>
    <definedName name="________M80000">#REF!</definedName>
    <definedName name="________M90000" localSheetId="0">#REF!</definedName>
    <definedName name="________M90000">#REF!</definedName>
    <definedName name="________W100000" localSheetId="0">#REF!</definedName>
    <definedName name="________W100000">#REF!</definedName>
    <definedName name="_______M80000" localSheetId="0">#REF!</definedName>
    <definedName name="_______M80000">#REF!</definedName>
    <definedName name="_______M90000" localSheetId="0">#REF!</definedName>
    <definedName name="_______M90000">#REF!</definedName>
    <definedName name="_______W100000" localSheetId="0">#REF!</definedName>
    <definedName name="_______W100000">#REF!</definedName>
    <definedName name="______M80000" localSheetId="0">#REF!</definedName>
    <definedName name="______M80000">#REF!</definedName>
    <definedName name="______M90000" localSheetId="0">#REF!</definedName>
    <definedName name="______M90000">#REF!</definedName>
    <definedName name="______W100000" localSheetId="0">#REF!</definedName>
    <definedName name="______W100000">#REF!</definedName>
    <definedName name="_____M80000" localSheetId="0">#REF!</definedName>
    <definedName name="_____M80000">#REF!</definedName>
    <definedName name="_____M90000" localSheetId="0">#REF!</definedName>
    <definedName name="_____M90000">#REF!</definedName>
    <definedName name="_____W100000" localSheetId="0">#REF!</definedName>
    <definedName name="_____W100000">#REF!</definedName>
    <definedName name="____M80000" localSheetId="0">#REF!</definedName>
    <definedName name="____M80000">#REF!</definedName>
    <definedName name="____M90000" localSheetId="0">#REF!</definedName>
    <definedName name="____M90000">#REF!</definedName>
    <definedName name="____W100000" localSheetId="0">#REF!</definedName>
    <definedName name="____W100000">#REF!</definedName>
    <definedName name="___e465" hidden="1">{#N/A,#N/A,TRUE,"사업개요";#N/A,#N/A,TRUE,"위치도";#N/A,#N/A,TRUE,"상권분석";#N/A,#N/A,TRUE,"상권분석-1";#N/A,#N/A,TRUE,"현장사진";#N/A,#N/A,TRUE,"현장사진-1";#N/A,#N/A,TRUE,"현장사진-2";#N/A,#N/A,TRUE,"시장성향및방향"}</definedName>
    <definedName name="___M80000" localSheetId="0">#REF!</definedName>
    <definedName name="___M80000">#REF!</definedName>
    <definedName name="___M90000" localSheetId="0">#REF!</definedName>
    <definedName name="___M90000">#REF!</definedName>
    <definedName name="___q235"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___q34"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___q346" hidden="1">{#N/A,#N/A,TRUE,"사업자등록증 (2)"}</definedName>
    <definedName name="___q35" hidden="1">{#N/A,#N/A,TRUE,"사업자등록증 (2)"}</definedName>
    <definedName name="___W100000" localSheetId="0">#REF!</definedName>
    <definedName name="___W100000">#REF!</definedName>
    <definedName name="___w456"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__123Graph_A" localSheetId="0" hidden="1">[1]목차!#REF!</definedName>
    <definedName name="__123Graph_A" hidden="1">[1]목차!#REF!</definedName>
    <definedName name="__123Graph_B" localSheetId="0" hidden="1">[2]유림콘도!#REF!</definedName>
    <definedName name="__123Graph_B" hidden="1">[2]유림콘도!#REF!</definedName>
    <definedName name="__123Graph_C" localSheetId="0" hidden="1">[1]목차!#REF!</definedName>
    <definedName name="__123Graph_C" hidden="1">[1]목차!#REF!</definedName>
    <definedName name="__123Graph_D" localSheetId="0" hidden="1">[1]목차!#REF!</definedName>
    <definedName name="__123Graph_D" hidden="1">[1]목차!#REF!</definedName>
    <definedName name="__123Graph_E" localSheetId="0" hidden="1">[3]Sheet4!#REF!</definedName>
    <definedName name="__123Graph_E" hidden="1">[3]Sheet4!#REF!</definedName>
    <definedName name="__123Graph_X" localSheetId="0" hidden="1">[1]목차!#REF!</definedName>
    <definedName name="__123Graph_X" hidden="1">[1]목차!#REF!</definedName>
    <definedName name="__e465" hidden="1">{#N/A,#N/A,TRUE,"사업개요";#N/A,#N/A,TRUE,"위치도";#N/A,#N/A,TRUE,"상권분석";#N/A,#N/A,TRUE,"상권분석-1";#N/A,#N/A,TRUE,"현장사진";#N/A,#N/A,TRUE,"현장사진-1";#N/A,#N/A,TRUE,"현장사진-2";#N/A,#N/A,TRUE,"시장성향및방향"}</definedName>
    <definedName name="__M80000" localSheetId="0">#REF!</definedName>
    <definedName name="__M80000">#REF!</definedName>
    <definedName name="__M90000" localSheetId="0">#REF!</definedName>
    <definedName name="__M90000">#REF!</definedName>
    <definedName name="__q235"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__q34"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__q346" hidden="1">{#N/A,#N/A,TRUE,"사업자등록증 (2)"}</definedName>
    <definedName name="__q35" hidden="1">{#N/A,#N/A,TRUE,"사업자등록증 (2)"}</definedName>
    <definedName name="__W100000" localSheetId="0">#REF!</definedName>
    <definedName name="__W100000">#REF!</definedName>
    <definedName name="__w456"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_1__123Graph_A차트_1" localSheetId="0" hidden="1">#REF!</definedName>
    <definedName name="_1__123Graph_A차트_1" hidden="1">#REF!</definedName>
    <definedName name="_10e465_" hidden="1">{#N/A,#N/A,TRUE,"사업개요";#N/A,#N/A,TRUE,"위치도";#N/A,#N/A,TRUE,"상권분석";#N/A,#N/A,TRUE,"상권분석-1";#N/A,#N/A,TRUE,"현장사진";#N/A,#N/A,TRUE,"현장사진-1";#N/A,#N/A,TRUE,"현장사진-2";#N/A,#N/A,TRUE,"시장성향및방향"}</definedName>
    <definedName name="_10w456_"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_12q235_"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_14q34_"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_16q346_" hidden="1">{#N/A,#N/A,TRUE,"사업자등록증 (2)"}</definedName>
    <definedName name="_18q35_" hidden="1">{#N/A,#N/A,TRUE,"사업자등록증 (2)"}</definedName>
    <definedName name="_2__123Graph_A차트_1" localSheetId="0" hidden="1">#REF!</definedName>
    <definedName name="_2__123Graph_A차트_1" hidden="1">#REF!</definedName>
    <definedName name="_2__123Graph_B차트_1" localSheetId="0" hidden="1">#REF!</definedName>
    <definedName name="_2__123Graph_B차트_1" hidden="1">#REF!</definedName>
    <definedName name="_20w456_"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_3__123Graph_C차트_1" localSheetId="0" hidden="1">#REF!</definedName>
    <definedName name="_3__123Graph_C차트_1" hidden="1">#REF!</definedName>
    <definedName name="_4__123Graph_B차트_1" localSheetId="0" hidden="1">#REF!</definedName>
    <definedName name="_4__123Graph_B차트_1" hidden="1">#REF!</definedName>
    <definedName name="_4__123Graph_X차트_1" localSheetId="0" hidden="1">#REF!</definedName>
    <definedName name="_4__123Graph_X차트_1" hidden="1">#REF!</definedName>
    <definedName name="_5e465_" hidden="1">{#N/A,#N/A,TRUE,"사업개요";#N/A,#N/A,TRUE,"위치도";#N/A,#N/A,TRUE,"상권분석";#N/A,#N/A,TRUE,"상권분석-1";#N/A,#N/A,TRUE,"현장사진";#N/A,#N/A,TRUE,"현장사진-1";#N/A,#N/A,TRUE,"현장사진-2";#N/A,#N/A,TRUE,"시장성향및방향"}</definedName>
    <definedName name="_6__123Graph_C차트_1" localSheetId="0" hidden="1">#REF!</definedName>
    <definedName name="_6__123Graph_C차트_1" hidden="1">#REF!</definedName>
    <definedName name="_6q235_"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_6차" localSheetId="0">#REF!</definedName>
    <definedName name="_6차">#REF!</definedName>
    <definedName name="_7q34_"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_8__123Graph_X차트_1" localSheetId="0" hidden="1">#REF!</definedName>
    <definedName name="_8__123Graph_X차트_1" hidden="1">#REF!</definedName>
    <definedName name="_8q346_" hidden="1">{#N/A,#N/A,TRUE,"사업자등록증 (2)"}</definedName>
    <definedName name="_9q35_" hidden="1">{#N/A,#N/A,TRUE,"사업자등록증 (2)"}</definedName>
    <definedName name="_BOR2">[4]Borrower!$B$10:$F$325</definedName>
    <definedName name="_Dist_Bin" localSheetId="0" hidden="1">#REF!</definedName>
    <definedName name="_Dist_Bin" hidden="1">#REF!</definedName>
    <definedName name="_Dist_Values" localSheetId="0" hidden="1">#REF!</definedName>
    <definedName name="_Dist_Values" hidden="1">#REF!</definedName>
    <definedName name="_e465" hidden="1">{#N/A,#N/A,TRUE,"사업개요";#N/A,#N/A,TRUE,"위치도";#N/A,#N/A,TRUE,"상권분석";#N/A,#N/A,TRUE,"상권분석-1";#N/A,#N/A,TRUE,"현장사진";#N/A,#N/A,TRUE,"현장사진-1";#N/A,#N/A,TRUE,"현장사진-2";#N/A,#N/A,TRUE,"시장성향및방향"}</definedName>
    <definedName name="_E7_E9_E11_E13_">#N/A</definedName>
    <definedName name="_Fill" hidden="1">#N/A</definedName>
    <definedName name="_xlnm._FilterDatabase" localSheetId="0" hidden="1">#REF!</definedName>
    <definedName name="_xlnm._FilterDatabase" hidden="1">#REF!</definedName>
    <definedName name="_Key1" localSheetId="0" hidden="1">#REF!</definedName>
    <definedName name="_Key1" hidden="1">#REF!</definedName>
    <definedName name="_Key2" localSheetId="0" hidden="1">#REF!</definedName>
    <definedName name="_Key2" hidden="1">#REF!</definedName>
    <definedName name="_M80000" localSheetId="0">#REF!</definedName>
    <definedName name="_M80000">#REF!</definedName>
    <definedName name="_M90000" localSheetId="0">#REF!</definedName>
    <definedName name="_M90000">#REF!</definedName>
    <definedName name="_Order1" hidden="1">255</definedName>
    <definedName name="_Order2">255</definedName>
    <definedName name="_Parse_Out" localSheetId="0" hidden="1">#REF!</definedName>
    <definedName name="_Parse_Out" hidden="1">#REF!</definedName>
    <definedName name="_q235"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_q34"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_q346" hidden="1">{#N/A,#N/A,TRUE,"사업자등록증 (2)"}</definedName>
    <definedName name="_q35" hidden="1">{#N/A,#N/A,TRUE,"사업자등록증 (2)"}</definedName>
    <definedName name="_Rat1">[5]Variables!$B$18</definedName>
    <definedName name="_Rat2">[5]Variables!$B$19</definedName>
    <definedName name="_Rat3">[5]Variables!$B$20</definedName>
    <definedName name="_Rat4">[5]Variables!$B$21</definedName>
    <definedName name="_SEL1" localSheetId="0">#REF!</definedName>
    <definedName name="_SEL1">#REF!</definedName>
    <definedName name="_SEL2" localSheetId="0">#REF!</definedName>
    <definedName name="_SEL2">#REF!</definedName>
    <definedName name="_SEL3" localSheetId="0">#REF!</definedName>
    <definedName name="_SEL3">#REF!</definedName>
    <definedName name="_Sort" localSheetId="0" hidden="1">#REF!</definedName>
    <definedName name="_Sort" hidden="1">#REF!</definedName>
    <definedName name="_W100000" localSheetId="0">#REF!</definedName>
    <definedName name="_W100000">#REF!</definedName>
    <definedName name="_w456"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_ㅇ"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1" localSheetId="0">#REF!</definedName>
    <definedName name="\1">#REF!</definedName>
    <definedName name="\a">#N/A</definedName>
    <definedName name="\aa" localSheetId="0">#REF!</definedName>
    <definedName name="\aa">#REF!</definedName>
    <definedName name="\b">#N/A</definedName>
    <definedName name="\c" localSheetId="0">#REF!</definedName>
    <definedName name="\c">#REF!</definedName>
    <definedName name="\d" localSheetId="0">#REF!</definedName>
    <definedName name="\d">#REF!</definedName>
    <definedName name="\e" localSheetId="0">#REF!</definedName>
    <definedName name="\e">#REF!</definedName>
    <definedName name="\f" localSheetId="0">#REF!</definedName>
    <definedName name="\f">#REF!</definedName>
    <definedName name="\g" localSheetId="0">#REF!</definedName>
    <definedName name="\g">#REF!</definedName>
    <definedName name="\h" localSheetId="0">#REF!</definedName>
    <definedName name="\h">#REF!</definedName>
    <definedName name="\p" localSheetId="0">#REF!</definedName>
    <definedName name="\p">#REF!</definedName>
    <definedName name="\P12" localSheetId="0">[6]건축개요_!#REF!</definedName>
    <definedName name="\P12">[6]건축개요_!#REF!</definedName>
    <definedName name="\P15" localSheetId="0">[6]건축개요_!#REF!</definedName>
    <definedName name="\P15">[6]건축개요_!#REF!</definedName>
    <definedName name="\P16" localSheetId="0">[6]건축개요_!#REF!</definedName>
    <definedName name="\P16">[6]건축개요_!#REF!</definedName>
    <definedName name="\P17" localSheetId="0">[6]건축개요_!#REF!</definedName>
    <definedName name="\P17">[6]건축개요_!#REF!</definedName>
    <definedName name="\P18" localSheetId="0">[6]건축개요_!#REF!</definedName>
    <definedName name="\P18">[6]건축개요_!#REF!</definedName>
    <definedName name="\P19" localSheetId="0">[6]건축개요_!#REF!</definedName>
    <definedName name="\P19">[6]건축개요_!#REF!</definedName>
    <definedName name="\P20" localSheetId="0">[6]건축개요_!#REF!</definedName>
    <definedName name="\P20">[6]건축개요_!#REF!</definedName>
    <definedName name="\P21" localSheetId="0">[6]건축개요_!#REF!</definedName>
    <definedName name="\P21">[6]건축개요_!#REF!</definedName>
    <definedName name="\P22" localSheetId="0">[6]건축개요_!#REF!</definedName>
    <definedName name="\P22">[6]건축개요_!#REF!</definedName>
    <definedName name="\P23" localSheetId="0">[6]건축개요_!#REF!</definedName>
    <definedName name="\P23">[6]건축개요_!#REF!</definedName>
    <definedName name="\P24" localSheetId="0">[6]건축개요_!#REF!</definedName>
    <definedName name="\P24">[6]건축개요_!#REF!</definedName>
    <definedName name="\P25" localSheetId="0">[6]건축개요_!#REF!</definedName>
    <definedName name="\P25">[6]건축개요_!#REF!</definedName>
    <definedName name="\P26" localSheetId="0">[6]건축개요_!#REF!</definedName>
    <definedName name="\P26">[6]건축개요_!#REF!</definedName>
    <definedName name="\P27" localSheetId="0">[6]건축개요_!#REF!</definedName>
    <definedName name="\P27">[6]건축개요_!#REF!</definedName>
    <definedName name="\P28" localSheetId="0">[6]건축개요_!#REF!</definedName>
    <definedName name="\P28">[6]건축개요_!#REF!</definedName>
    <definedName name="\P29" localSheetId="0">[6]건축개요_!#REF!</definedName>
    <definedName name="\P29">[6]건축개요_!#REF!</definedName>
    <definedName name="\P30" localSheetId="0">[6]건축개요_!#REF!</definedName>
    <definedName name="\P30">[6]건축개요_!#REF!</definedName>
    <definedName name="\P31" localSheetId="0">[6]건축개요_!#REF!</definedName>
    <definedName name="\P31">[6]건축개요_!#REF!</definedName>
    <definedName name="\P32" localSheetId="0">[6]건축개요_!#REF!</definedName>
    <definedName name="\P32">[6]건축개요_!#REF!</definedName>
    <definedName name="\P33" localSheetId="0">[6]건축개요_!#REF!</definedName>
    <definedName name="\P33">[6]건축개요_!#REF!</definedName>
    <definedName name="\P34" localSheetId="0">[6]건축개요_!#REF!</definedName>
    <definedName name="\P34">[6]건축개요_!#REF!</definedName>
    <definedName name="\P35" localSheetId="0">[6]건축개요_!#REF!</definedName>
    <definedName name="\P35">[6]건축개요_!#REF!</definedName>
    <definedName name="\P36" localSheetId="0">[6]건축개요_!#REF!</definedName>
    <definedName name="\P36">[6]건축개요_!#REF!</definedName>
    <definedName name="\P37" localSheetId="0">[6]건축개요_!#REF!</definedName>
    <definedName name="\P37">[6]건축개요_!#REF!</definedName>
    <definedName name="\P38" localSheetId="0">[6]건축개요_!#REF!</definedName>
    <definedName name="\P38">[6]건축개요_!#REF!</definedName>
    <definedName name="\P39" localSheetId="0">[6]건축개요_!#REF!</definedName>
    <definedName name="\P39">[6]건축개요_!#REF!</definedName>
    <definedName name="\P40" localSheetId="0">[6]건축개요_!#REF!</definedName>
    <definedName name="\P40">[6]건축개요_!#REF!</definedName>
    <definedName name="\P41" localSheetId="0">[6]건축개요_!#REF!</definedName>
    <definedName name="\P41">[6]건축개요_!#REF!</definedName>
    <definedName name="\P42" localSheetId="0">[6]건축개요_!#REF!</definedName>
    <definedName name="\P42">[6]건축개요_!#REF!</definedName>
    <definedName name="\P43" localSheetId="0">[6]건축개요_!#REF!</definedName>
    <definedName name="\P43">[6]건축개요_!#REF!</definedName>
    <definedName name="\P44" localSheetId="0">[6]건축개요_!#REF!</definedName>
    <definedName name="\P44">[6]건축개요_!#REF!</definedName>
    <definedName name="\P45" localSheetId="0">[6]건축개요_!#REF!</definedName>
    <definedName name="\P45">[6]건축개요_!#REF!</definedName>
    <definedName name="\P46" localSheetId="0">[6]건축개요_!#REF!</definedName>
    <definedName name="\P46">[6]건축개요_!#REF!</definedName>
    <definedName name="\P47" localSheetId="0">[6]건축개요_!#REF!</definedName>
    <definedName name="\P47">[6]건축개요_!#REF!</definedName>
    <definedName name="\P48" localSheetId="0">[6]건축개요_!#REF!</definedName>
    <definedName name="\P48">[6]건축개요_!#REF!</definedName>
    <definedName name="\q" localSheetId="0">[6]건축개요_!#REF!</definedName>
    <definedName name="\q">[6]건축개요_!#REF!</definedName>
    <definedName name="\r" localSheetId="0">[6]건축개요_!#REF!</definedName>
    <definedName name="\r">[6]건축개요_!#REF!</definedName>
    <definedName name="\s" localSheetId="0">#REF!</definedName>
    <definedName name="\s">#REF!</definedName>
    <definedName name="\t">#N/A</definedName>
    <definedName name="\u" localSheetId="0">[6]건축개요_!#REF!</definedName>
    <definedName name="\u">[6]건축개요_!#REF!</definedName>
    <definedName name="\z" localSheetId="0">#REF!</definedName>
    <definedName name="\z">#REF!</definedName>
    <definedName name="A" hidden="1">{#N/A,#N/A,FALSE,"이태원철근"}</definedName>
    <definedName name="A_I">[7]별제권_정리담보권!$U$6:$U$213</definedName>
    <definedName name="A_I1">[7]별제권_정리담보권!$O$6:$O$213</definedName>
    <definedName name="A_I2">[7]별제권_정리담보권!$Q$6:$Q$213</definedName>
    <definedName name="A_I3" localSheetId="0">#REF!</definedName>
    <definedName name="A_I3">#REF!</definedName>
    <definedName name="A_I4" localSheetId="0">#REF!</definedName>
    <definedName name="A_I4">#REF!</definedName>
    <definedName name="A_P">[7]별제권_정리담보권!$T$6:$T$213</definedName>
    <definedName name="aa" localSheetId="0" hidden="1">[8]스포회원매출!#REF!</definedName>
    <definedName name="aa" hidden="1">[8]스포회원매출!#REF!</definedName>
    <definedName name="aaa" hidden="1">{#N/A,#N/A,FALSE,"이태원철근"}</definedName>
    <definedName name="aaaa" localSheetId="0">BlankMacro1</definedName>
    <definedName name="aaaa">BlankMacro1</definedName>
    <definedName name="aam" localSheetId="0">#REF!</definedName>
    <definedName name="aam">#REF!</definedName>
    <definedName name="ab" hidden="1">1</definedName>
    <definedName name="ac" localSheetId="0">#REF!</definedName>
    <definedName name="ac">#REF!</definedName>
    <definedName name="AM" localSheetId="0">#REF!</definedName>
    <definedName name="AM">#REF!</definedName>
    <definedName name="asdf"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aser" hidden="1">{#N/A,#N/A,TRUE,"사업자등록증 (2)"}</definedName>
    <definedName name="aw" hidden="1">{#N/A,#N/A,TRUE,"사업개요";#N/A,#N/A,TRUE,"위치도";#N/A,#N/A,TRUE,"상권분석";#N/A,#N/A,TRUE,"상권분석-1";#N/A,#N/A,TRUE,"주변현황";#N/A,#N/A,TRUE,"주변현황-1";#N/A,#N/A,TRUE,"시장성향";#N/A,#N/A,TRUE,"적정분양가제안 ";#N/A,#N/A,TRUE,"적정분양가제안(1)";#N/A,#N/A,TRUE,"적정분양가제안(2)";#N/A,#N/A,TRUE,"사업추진방향";#N/A,#N/A,TRUE,"실적";#N/A,#N/A,TRUE,"실적-1";#N/A,#N/A,TRUE,"실적-2";#N/A,#N/A,TRUE,"조직도";#N/A,#N/A,TRUE,"등기부등본";#N/A,#N/A,TRUE,"사업자등록증"}</definedName>
    <definedName name="aw3r"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ax" localSheetId="0">#REF!</definedName>
    <definedName name="ax">#REF!</definedName>
    <definedName name="az" localSheetId="0">#REF!</definedName>
    <definedName name="az">#REF!</definedName>
    <definedName name="B" hidden="1">{#N/A,#N/A,FALSE,"이태원철근"}</definedName>
    <definedName name="B_I" localSheetId="0">#REF!</definedName>
    <definedName name="B_I">#REF!</definedName>
    <definedName name="B_I1" localSheetId="0">#REF!</definedName>
    <definedName name="B_I1">#REF!</definedName>
    <definedName name="B_I2" localSheetId="0">#REF!</definedName>
    <definedName name="B_I2">#REF!</definedName>
    <definedName name="B_I3" localSheetId="0">#REF!</definedName>
    <definedName name="B_I3">#REF!</definedName>
    <definedName name="B_I4" localSheetId="0">#REF!</definedName>
    <definedName name="B_I4">#REF!</definedName>
    <definedName name="B_P" localSheetId="0">#REF!</definedName>
    <definedName name="B_P">#REF!</definedName>
    <definedName name="BalanceSheetDates" localSheetId="0">#REF!</definedName>
    <definedName name="BalanceSheetDates">#REF!</definedName>
    <definedName name="BaloonText" localSheetId="0">#REF!</definedName>
    <definedName name="BaloonText">#REF!</definedName>
    <definedName name="BB" hidden="1">{#N/A,#N/A,FALSE,"이태원철근"}</definedName>
    <definedName name="BBB" localSheetId="0">#REF!</definedName>
    <definedName name="BBB">#REF!</definedName>
    <definedName name="BC" hidden="1">{#N/A,#N/A,FALSE,"이태원철근"}</definedName>
    <definedName name="begin" localSheetId="0">#REF!</definedName>
    <definedName name="begin">#REF!</definedName>
    <definedName name="BI" hidden="1">{#N/A,#N/A,FALSE,"이태원철근"}</definedName>
    <definedName name="birthday" localSheetId="0">#REF!</definedName>
    <definedName name="birthday">#REF!</definedName>
    <definedName name="bnm"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CFRATE">[9]기대회수율산정!$B$6:$O$49</definedName>
    <definedName name="CG">[10]!CG</definedName>
    <definedName name="check" localSheetId="0">#REF!</definedName>
    <definedName name="check">#REF!</definedName>
    <definedName name="check2" localSheetId="0">#REF!</definedName>
    <definedName name="check2">#REF!</definedName>
    <definedName name="choice_1" localSheetId="0">#REF!</definedName>
    <definedName name="choice_1">#REF!</definedName>
    <definedName name="choice_2" localSheetId="0">#REF!</definedName>
    <definedName name="choice_2">#REF!</definedName>
    <definedName name="choice_3" localSheetId="0">#REF!</definedName>
    <definedName name="choice_3">#REF!</definedName>
    <definedName name="choice_4" localSheetId="0">#REF!</definedName>
    <definedName name="choice_4">#REF!</definedName>
    <definedName name="choice_5" localSheetId="0">#REF!</definedName>
    <definedName name="choice_5">#REF!</definedName>
    <definedName name="choice_6" localSheetId="0">#REF!</definedName>
    <definedName name="choice_6">#REF!</definedName>
    <definedName name="choice_7" localSheetId="0">#REF!</definedName>
    <definedName name="choice_7">#REF!</definedName>
    <definedName name="co" localSheetId="0">#REF!</definedName>
    <definedName name="co">#REF!</definedName>
    <definedName name="Ｃｏｄｅ">[11]확인서!$G$10</definedName>
    <definedName name="COL" localSheetId="0">#REF!</definedName>
    <definedName name="COL">#REF!</definedName>
    <definedName name="COLL" localSheetId="0">#REF!</definedName>
    <definedName name="COLL">#REF!</definedName>
    <definedName name="ColorNames" localSheetId="0">#REF!</definedName>
    <definedName name="ColorNames">#REF!</definedName>
    <definedName name="Conventions" localSheetId="0">#REF!</definedName>
    <definedName name="Conventions">#REF!</definedName>
    <definedName name="CPU">'[12]콤보박스와 리스트박스의 연결'!$H$6:$H$7</definedName>
    <definedName name="_xlnm.Criteria" localSheetId="0">#REF!</definedName>
    <definedName name="_xlnm.Criteria">#REF!</definedName>
    <definedName name="CTN" localSheetId="0">#REF!</definedName>
    <definedName name="CTN">#REF!</definedName>
    <definedName name="current" localSheetId="0">#REF!</definedName>
    <definedName name="current">#REF!</definedName>
    <definedName name="cvb" hidden="1">{#N/A,#N/A,TRUE,"사업자등록증 (2)"}</definedName>
    <definedName name="D" hidden="1">{#N/A,#N/A,FALSE,"이태원철근"}</definedName>
    <definedName name="DA" localSheetId="0" hidden="1">[1]목차!#REF!</definedName>
    <definedName name="DA" hidden="1">[1]목차!#REF!</definedName>
    <definedName name="DATA" localSheetId="0" hidden="1">[1]목차!#REF!</definedName>
    <definedName name="DATA" hidden="1">[1]목차!#REF!</definedName>
    <definedName name="datab">'[13]1.우편집중내역서'!$A$3:$D$566</definedName>
    <definedName name="_xlnm.Database" localSheetId="0">#REF!</definedName>
    <definedName name="_xlnm.Database">#REF!</definedName>
    <definedName name="DB" localSheetId="0">[14]Variable!#REF!</definedName>
    <definedName name="DB">[14]Variable!#REF!</definedName>
    <definedName name="DBa" localSheetId="0">[14]Variable!#REF!</definedName>
    <definedName name="DBa">[14]Variable!#REF!</definedName>
    <definedName name="dd"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ddd" localSheetId="0">#REF!</definedName>
    <definedName name="ddd">#REF!</definedName>
    <definedName name="ddddd" localSheetId="0" hidden="1">[15]목차!#REF!</definedName>
    <definedName name="ddddd" hidden="1">[15]목차!#REF!</definedName>
    <definedName name="default" localSheetId="0">#REF!</definedName>
    <definedName name="default">#REF!</definedName>
    <definedName name="delta" localSheetId="0">#REF!</definedName>
    <definedName name="delta">#REF!</definedName>
    <definedName name="DF" localSheetId="0">#REF!</definedName>
    <definedName name="DF">#REF!</definedName>
    <definedName name="dfasdfas" localSheetId="0">#REF!</definedName>
    <definedName name="dfasdfas">#REF!</definedName>
    <definedName name="dfdf" localSheetId="0">#REF!</definedName>
    <definedName name="dfdf">#REF!</definedName>
    <definedName name="dfgh"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dfhg"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Document_array">{"Book1","공동준비.xls"}</definedName>
    <definedName name="DpFKDL" hidden="1">{#N/A,#N/A,FALSE,"이태원철근"}</definedName>
    <definedName name="drty"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 localSheetId="0">#REF!</definedName>
    <definedName name="E">#REF!</definedName>
    <definedName name="ee"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eeee"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eight" localSheetId="0">#REF!</definedName>
    <definedName name="eight">#REF!</definedName>
    <definedName name="end" localSheetId="0">#REF!</definedName>
    <definedName name="end">#REF!</definedName>
    <definedName name="endd" localSheetId="0">#REF!</definedName>
    <definedName name="endd">#REF!</definedName>
    <definedName name="er" localSheetId="0" hidden="1">[2]유림콘도!#REF!</definedName>
    <definedName name="er" hidden="1">[2]유림콘도!#REF!</definedName>
    <definedName name="er5y"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err"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ert"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ertt"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es5t" hidden="1">{#N/A,#N/A,TRUE,"사업개요";#N/A,#N/A,TRUE,"위치도";#N/A,#N/A,TRUE,"상권분석";#N/A,#N/A,TRUE,"상권분석-1";#N/A,#N/A,TRUE,"현장사진";#N/A,#N/A,TRUE,"현장사진-1";#N/A,#N/A,TRUE,"현장사진-2";#N/A,#N/A,TRUE,"시장성향및방향"}</definedName>
    <definedName name="esr" hidden="1">{#N/A,#N/A,TRUE,"사업자등록증 (2)"}</definedName>
    <definedName name="esrt" hidden="1">{#N/A,#N/A,TRUE,"사업개요";#N/A,#N/A,TRUE,"위치도";#N/A,#N/A,TRUE,"상권분석";#N/A,#N/A,TRUE,"상권분석-1";#N/A,#N/A,TRUE,"주변현황";#N/A,#N/A,TRUE,"주변현황-1";#N/A,#N/A,TRUE,"시장성향";#N/A,#N/A,TRUE,"적정분양가제안 ";#N/A,#N/A,TRUE,"적정분양가제안(1)";#N/A,#N/A,TRUE,"적정분양가제안(2)";#N/A,#N/A,TRUE,"사업추진방향";#N/A,#N/A,TRUE,"실적";#N/A,#N/A,TRUE,"실적-1";#N/A,#N/A,TRUE,"실적-2";#N/A,#N/A,TRUE,"조직도";#N/A,#N/A,TRUE,"등기부등본";#N/A,#N/A,TRUE,"사업자등록증"}</definedName>
    <definedName name="exchange" localSheetId="0">#REF!</definedName>
    <definedName name="exchange">#REF!</definedName>
    <definedName name="_xlnm.Extract" localSheetId="0">#REF!</definedName>
    <definedName name="_xlnm.Extract">#REF!</definedName>
    <definedName name="F" localSheetId="0">#REF!</definedName>
    <definedName name="F">#REF!</definedName>
    <definedName name="ff" localSheetId="0">#REF!</definedName>
    <definedName name="ff">#REF!</definedName>
    <definedName name="fff" localSheetId="0">#REF!</definedName>
    <definedName name="fff">#REF!</definedName>
    <definedName name="fffff" localSheetId="0" hidden="1">[15]목차!#REF!</definedName>
    <definedName name="fffff" hidden="1">[15]목차!#REF!</definedName>
    <definedName name="fgh"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fghj"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FGRKRKRKRKRKRKRKRKRKRKRKRKRKRKR" localSheetId="0">#REF!</definedName>
    <definedName name="FGRKRKRKRKRKRKRKRKRKRKRKRKRKRKR">#REF!</definedName>
    <definedName name="FGrkrkrkrkrkrkrktbtbsptbrt" localSheetId="0">[16]TEL!#REF!</definedName>
    <definedName name="FGrkrkrkrkrkrkrktbtbsptbrt">[16]TEL!#REF!</definedName>
    <definedName name="five" localSheetId="0">#REF!</definedName>
    <definedName name="five">#REF!</definedName>
    <definedName name="four" localSheetId="0">#REF!</definedName>
    <definedName name="four">#REF!</definedName>
    <definedName name="FreeCash" localSheetId="0">[17]As!#REF!</definedName>
    <definedName name="FreeCash">[17]As!#REF!</definedName>
    <definedName name="FreeCashFlowForCV" localSheetId="0">[18]As!#REF!</definedName>
    <definedName name="FreeCashFlowForCV">[18]As!#REF!</definedName>
    <definedName name="FX" localSheetId="0">[14]Variable!#REF!</definedName>
    <definedName name="FX">[14]Variable!#REF!</definedName>
    <definedName name="fxg"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G" localSheetId="0">#REF!</definedName>
    <definedName name="G">#REF!</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h"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GuidText" localSheetId="0">#REF!</definedName>
    <definedName name="GuidText">#REF!</definedName>
    <definedName name="H" localSheetId="0">#REF!</definedName>
    <definedName name="H">#REF!</definedName>
    <definedName name="HJK" hidden="1">{#N/A,#N/A,FALSE,"이태원철근"}</definedName>
    <definedName name="hjvbn"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HTML_CodePage">949</definedName>
    <definedName name="HTML_Control">{"'Firr(선)'!$AS$1:$AY$62","'Firr(사)'!$AS$1:$AY$62","'Firr(회)'!$AS$1:$AY$62","'Firr(선)'!$L$1:$V$62","'Firr(사)'!$L$1:$V$62","'Firr(회)'!$L$1:$V$62"}</definedName>
    <definedName name="HTML_Description">""</definedName>
    <definedName name="HTML_Email">""</definedName>
    <definedName name="HTML_Header">"8%"</definedName>
    <definedName name="HTML_LastUpdate">"2000-11-08"</definedName>
    <definedName name="HTML_LineAfter">FALSE</definedName>
    <definedName name="HTML_LineBefore">FALSE</definedName>
    <definedName name="HTML_Name">"이제찬"</definedName>
    <definedName name="HTML_OBDlg2">TRUE</definedName>
    <definedName name="HTML_OBDlg4">TRUE</definedName>
    <definedName name="HTML_OS">0</definedName>
    <definedName name="HTML_PathFile">"C:\My Documents\MyHTML.htm"</definedName>
    <definedName name="HTML_Title">"Firrsrwd"</definedName>
    <definedName name="HTR" hidden="1">{#N/A,#N/A,FALSE,"이태원철근"}</definedName>
    <definedName name="I" localSheetId="0">[6]건축개요_!#REF!</definedName>
    <definedName name="I">[6]건축개요_!#REF!</definedName>
    <definedName name="ii"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iiii" hidden="1">{#N/A,#N/A,TRUE,"사업자등록증 (2)"}</definedName>
    <definedName name="iiiii"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IncomeStatementDates" localSheetId="0">#REF!</definedName>
    <definedName name="IncomeStatementDates">#REF!</definedName>
    <definedName name="iok"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J" localSheetId="0">#REF!</definedName>
    <definedName name="J">#REF!</definedName>
    <definedName name="jdfn"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jj" hidden="1">{#N/A,#N/A,TRUE,"사업개요";#N/A,#N/A,TRUE,"위치도";#N/A,#N/A,TRUE,"상권분석";#N/A,#N/A,TRUE,"상권분석-1";#N/A,#N/A,TRUE,"현장사진";#N/A,#N/A,TRUE,"현장사진-1";#N/A,#N/A,TRUE,"현장사진-2";#N/A,#N/A,TRUE,"시장성향및방향"}</definedName>
    <definedName name="jkl"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K" localSheetId="0">#REF!</definedName>
    <definedName name="K">#REF!</definedName>
    <definedName name="l"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list01" localSheetId="0">#REF!</definedName>
    <definedName name="list01">#REF!</definedName>
    <definedName name="list02" localSheetId="0">#REF!</definedName>
    <definedName name="list02">#REF!</definedName>
    <definedName name="list03" localSheetId="0">#REF!</definedName>
    <definedName name="list03">#REF!</definedName>
    <definedName name="list04" localSheetId="0">#REF!</definedName>
    <definedName name="list04">#REF!</definedName>
    <definedName name="list05" localSheetId="0">#REF!</definedName>
    <definedName name="list05">#REF!</definedName>
    <definedName name="list06" localSheetId="0">#REF!</definedName>
    <definedName name="list06">#REF!</definedName>
    <definedName name="LOC" localSheetId="0">#REF!</definedName>
    <definedName name="LOC">#REF!</definedName>
    <definedName name="LOCA" localSheetId="0">#REF!</definedName>
    <definedName name="LOCA">#REF!</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onth" localSheetId="0">#REF!</definedName>
    <definedName name="month">#REF!</definedName>
    <definedName name="Months" localSheetId="0">#REF!</definedName>
    <definedName name="Months">#REF!</definedName>
    <definedName name="Name" localSheetId="0">#REF!</definedName>
    <definedName name="Name">#REF!</definedName>
    <definedName name="NONE" localSheetId="0">#REF!</definedName>
    <definedName name="NONE">#REF!</definedName>
    <definedName name="o"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oik"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one" localSheetId="0">#REF!</definedName>
    <definedName name="one">#REF!</definedName>
    <definedName name="opt_01" localSheetId="0">#REF!</definedName>
    <definedName name="opt_01">#REF!</definedName>
    <definedName name="opt_02" localSheetId="0">#REF!</definedName>
    <definedName name="opt_02">#REF!</definedName>
    <definedName name="opt_03" localSheetId="0">#REF!</definedName>
    <definedName name="opt_03">#REF!</definedName>
    <definedName name="opt_04" localSheetId="0">#REF!</definedName>
    <definedName name="opt_04">#REF!</definedName>
    <definedName name="opt_05" localSheetId="0">#REF!</definedName>
    <definedName name="opt_05">#REF!</definedName>
    <definedName name="opt_06" localSheetId="0">#REF!</definedName>
    <definedName name="opt_06">#REF!</definedName>
    <definedName name="opt_07" localSheetId="0">#REF!</definedName>
    <definedName name="opt_07">#REF!</definedName>
    <definedName name="OWN_P" localSheetId="0">#REF!</definedName>
    <definedName name="OWN_P">#REF!</definedName>
    <definedName name="P"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PersonSelectionRange" localSheetId="0">#REF!</definedName>
    <definedName name="PersonSelectionRange">#REF!</definedName>
    <definedName name="POR3C41R52C44RTSKS13C5LRTHDLTBD" localSheetId="0">#REF!</definedName>
    <definedName name="POR3C41R52C44RTSKS13C5LRTHDLTBD">#REF!</definedName>
    <definedName name="POR3C56R44C76RTSKS15C5LRTHDLTBD" localSheetId="0">#REF!</definedName>
    <definedName name="POR3C56R44C76RTSKS15C5LRTHDLTBD">#REF!</definedName>
    <definedName name="POR6C20R55C38RTSKS13C5LRTHDLTBD" localSheetId="0">#REF!</definedName>
    <definedName name="POR6C20R55C38RTSKS13C5LRTHDLTBD">#REF!</definedName>
    <definedName name="POR7C2R58C18RTSKS13C5LRTHDLTBDL" localSheetId="0">#REF!</definedName>
    <definedName name="POR7C2R58C18RTSKS13C5LRTHDLTBDL">#REF!</definedName>
    <definedName name="POR8C46R200C54RTSKS13C6LRTHR3C4" localSheetId="0">#REF!</definedName>
    <definedName name="POR8C46R200C54RTSKS13C6LRTHR3C4">#REF!</definedName>
    <definedName name="PP"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PPP"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pppppp" localSheetId="0">'[19]98지급계획'!#REF!</definedName>
    <definedName name="pppppp">'[19]98지급계획'!#REF!</definedName>
    <definedName name="PQ점수">"Dialog Frame 1"</definedName>
    <definedName name="price1" localSheetId="0">#REF!</definedName>
    <definedName name="price1">#REF!</definedName>
    <definedName name="price2" localSheetId="0">#REF!</definedName>
    <definedName name="price2">#REF!</definedName>
    <definedName name="price3" localSheetId="0">#REF!</definedName>
    <definedName name="price3">#REF!</definedName>
    <definedName name="price5" localSheetId="0">#REF!</definedName>
    <definedName name="price5">#REF!</definedName>
    <definedName name="price7" localSheetId="0">#REF!</definedName>
    <definedName name="price7">#REF!</definedName>
    <definedName name="_xlnm.Print_Area" localSheetId="0">동일수지표!$A$1:$BV$95</definedName>
    <definedName name="_xlnm.Print_Area">[6]건축개요_!#REF!</definedName>
    <definedName name="PRINT_AREA_MI" localSheetId="0">[6]건축개요_!#REF!</definedName>
    <definedName name="PRINT_AREA_MI">[6]건축개요_!#REF!</definedName>
    <definedName name="_xlnm.Print_Titles">#N/A</definedName>
    <definedName name="Print_Titles_MI">[20]RE9604!$A$1:$IV$6,[20]RE9604!$A$1:$C$65536</definedName>
    <definedName name="Project_Name">[21]재무가정!$J$4</definedName>
    <definedName name="PYA" localSheetId="0">#REF!</definedName>
    <definedName name="PYA">#REF!</definedName>
    <definedName name="PYB" localSheetId="0">#REF!</definedName>
    <definedName name="PYB">#REF!</definedName>
    <definedName name="PYC" localSheetId="0">#REF!</definedName>
    <definedName name="PYC">#REF!</definedName>
    <definedName name="PYD" localSheetId="0">#REF!</definedName>
    <definedName name="PYD">#REF!</definedName>
    <definedName name="PYE" localSheetId="0">#REF!</definedName>
    <definedName name="PYE">#REF!</definedName>
    <definedName name="PYF" localSheetId="0">#REF!</definedName>
    <definedName name="PYF">#REF!</definedName>
    <definedName name="PYG" localSheetId="0">#REF!</definedName>
    <definedName name="PYG">#REF!</definedName>
    <definedName name="q"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qd"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QL" hidden="1">{#N/A,#N/A,TRUE,"사업자등록증 (2)"}</definedName>
    <definedName name="qnmcn"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qq"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qqq" hidden="1">{#N/A,#N/A,TRUE,"사업자등록증 (2)"}</definedName>
    <definedName name="qqqq"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qre"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qrre"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qt"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QW" hidden="1">{#N/A,#N/A,FALSE,"이태원철근"}</definedName>
    <definedName name="QWE" hidden="1">{#N/A,#N/A,FALSE,"이태원철근"}</definedName>
    <definedName name="QWER" hidden="1">{#N/A,#N/A,FALSE,"이태원철근"}</definedName>
    <definedName name="Rab">[5]Variables!$B$16</definedName>
    <definedName name="Rb">[5]Variables!$B$15</definedName>
    <definedName name="Record1" localSheetId="0">#REF!</definedName>
    <definedName name="Record1">#REF!</definedName>
    <definedName name="RecordCount" localSheetId="0">#REF!</definedName>
    <definedName name="RecordCount">#REF!</definedName>
    <definedName name="_xlnm.Recorder" localSheetId="0">#REF!</definedName>
    <definedName name="_xlnm.Recorder">#REF!</definedName>
    <definedName name="Revenue_A" localSheetId="0">[17]As!#REF!</definedName>
    <definedName name="Revenue_A">[17]As!#REF!</definedName>
    <definedName name="RevunueAssumption" localSheetId="0">[18]As!#REF!</definedName>
    <definedName name="RevunueAssumption">[18]As!#REF!</definedName>
    <definedName name="rewy"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RHDK" hidden="1">{#N/A,#N/A,FALSE,"이태원철근"}</definedName>
    <definedName name="RK"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rkstjs">[10]!rkstjs</definedName>
    <definedName name="rr"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rrrr"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RT" hidden="1">{#N/A,#N/A,FALSE,"이태원철근"}</definedName>
    <definedName name="s"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s5rf"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Scenario_No" localSheetId="0">#REF!</definedName>
    <definedName name="Scenario_No">#REF!</definedName>
    <definedName name="sdfg" hidden="1">{#N/A,#N/A,TRUE,"사업개요";#N/A,#N/A,TRUE,"위치도";#N/A,#N/A,TRUE,"상권분석";#N/A,#N/A,TRUE,"상권분석-1";#N/A,#N/A,TRUE,"현장사진";#N/A,#N/A,TRUE,"현장사진-1";#N/A,#N/A,TRUE,"현장사진-2";#N/A,#N/A,TRUE,"시장성향및방향"}</definedName>
    <definedName name="sdfyg" hidden="1">{#N/A,#N/A,FALSE,"사업개요";#N/A,#N/A,FALSE,"위치도";#N/A,#N/A,FALSE,"상권분석";#N/A,#N/A,FALSE,"상권분석-1";#N/A,#N/A,FALSE,"주변현황";#N/A,#N/A,FALSE,"주변현황-1";#N/A,#N/A,FALSE,"시장성향";#N/A,#N/A,FALSE,"적정분양가제안 ";#N/A,#N/A,FALSE,"적정분양가제안(1)";#N/A,#N/A,FALSE,"적정분양가제안(2)";#N/A,#N/A,FALSE,"사업추진방향";#N/A,#N/A,FALSE,"MD기획";#N/A,#N/A,FALSE,"MD기획 (2)";#N/A,#N/A,FALSE,"변경분양가 및 수수료율";#N/A,#N/A,FALSE,"분양및 매체일정(1)";#N/A,#N/A,FALSE,"분양 및 매체일정(2)";#N/A,#N/A,FALSE,"실적";#N/A,#N/A,FALSE,"실적-1";#N/A,#N/A,FALSE,"실적-2";#N/A,#N/A,FALSE,"조직도";#N/A,#N/A,FALSE,"등기부등본";#N/A,#N/A,FALSE,"사업자등록증"}</definedName>
    <definedName name="sectionNames" localSheetId="0">#REF!</definedName>
    <definedName name="sectionNames">#REF!</definedName>
    <definedName name="selection" localSheetId="0">#REF!</definedName>
    <definedName name="selection">#REF!</definedName>
    <definedName name="sell2" localSheetId="0">#REF!</definedName>
    <definedName name="sell2">#REF!</definedName>
    <definedName name="sell3" localSheetId="0">#REF!</definedName>
    <definedName name="sell3">#REF!</definedName>
    <definedName name="serdg"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SERVICE" hidden="1">{#N/A,#N/A,FALSE,"이태원철근"}</definedName>
    <definedName name="seven" localSheetId="0">#REF!</definedName>
    <definedName name="seven">#REF!</definedName>
    <definedName name="sheet" localSheetId="0">#REF!</definedName>
    <definedName name="sheet">#REF!</definedName>
    <definedName name="sheetName" localSheetId="0">#REF!</definedName>
    <definedName name="sheetName">#REF!</definedName>
    <definedName name="sheetNo" localSheetId="0">#REF!</definedName>
    <definedName name="sheetNo">#REF!</definedName>
    <definedName name="SheetNumber" localSheetId="0">#REF!</definedName>
    <definedName name="SheetNumber">#REF!</definedName>
    <definedName name="six" localSheetId="0">#REF!</definedName>
    <definedName name="six">#REF!</definedName>
    <definedName name="srtysdfg"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SS" localSheetId="0">#REF!</definedName>
    <definedName name="SS">#REF!</definedName>
    <definedName name="sss" hidden="1">{#N/A,#N/A,FALSE,"사업개요";#N/A,#N/A,FALSE,"위치도";#N/A,#N/A,FALSE,"상권분석";#N/A,#N/A,FALSE,"상권분석-1";#N/A,#N/A,FALSE,"주변현황";#N/A,#N/A,FALSE,"주변현황-1";#N/A,#N/A,FALSE,"시장성향";#N/A,#N/A,FALSE,"적정분양가제안 ";#N/A,#N/A,FALSE,"적정분양가제안(1)";#N/A,#N/A,FALSE,"적정분양가제안(2)";#N/A,#N/A,FALSE,"사업추진방향";#N/A,#N/A,FALSE,"MD기획";#N/A,#N/A,FALSE,"MD기획 (2)";#N/A,#N/A,FALSE,"변경분양가 및 수수료율";#N/A,#N/A,FALSE,"분양및 매체일정(1)";#N/A,#N/A,FALSE,"분양 및 매체일정(2)";#N/A,#N/A,FALSE,"실적";#N/A,#N/A,FALSE,"실적-1";#N/A,#N/A,FALSE,"실적-2";#N/A,#N/A,FALSE,"조직도";#N/A,#N/A,FALSE,"등기부등본";#N/A,#N/A,FALSE,"사업자등록증"}</definedName>
    <definedName name="start" localSheetId="0">#REF!</definedName>
    <definedName name="start">#REF!</definedName>
    <definedName name="S행" localSheetId="0">'[22]2.대외공문'!#REF!</definedName>
    <definedName name="S행">'[22]2.대외공문'!#REF!</definedName>
    <definedName name="t" hidden="1">{#N/A,#N/A,TRUE,"사업개요";#N/A,#N/A,TRUE,"위치도";#N/A,#N/A,TRUE,"상권분석";#N/A,#N/A,TRUE,"상권분석-1";#N/A,#N/A,TRUE,"현장사진";#N/A,#N/A,TRUE,"현장사진-1";#N/A,#N/A,TRUE,"현장사진-2";#N/A,#N/A,TRUE,"시장성향및방향"}</definedName>
    <definedName name="table" localSheetId="0">#REF!</definedName>
    <definedName name="table">#REF!</definedName>
    <definedName name="test" localSheetId="0">#REF!</definedName>
    <definedName name="test">#REF!</definedName>
    <definedName name="testa1" localSheetId="0">#REF!</definedName>
    <definedName name="testa1">#REF!</definedName>
    <definedName name="three" localSheetId="0">#REF!</definedName>
    <definedName name="three">#REF!</definedName>
    <definedName name="ti" hidden="1">{#N/A,#N/A,TRUE,"사업개요";#N/A,#N/A,TRUE,"위치도";#N/A,#N/A,TRUE,"상권분석";#N/A,#N/A,TRUE,"상권분석-1";#N/A,#N/A,TRUE,"현장사진";#N/A,#N/A,TRUE,"현장사진-1";#N/A,#N/A,TRUE,"현장사진-2";#N/A,#N/A,TRUE,"시장성향및방향"}</definedName>
    <definedName name="tiy"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TLFTN">[10]!TLFTN</definedName>
    <definedName name="Total_Debt" localSheetId="0">#REF!+#REF!</definedName>
    <definedName name="Total_Debt">#REF!+#REF!</definedName>
    <definedName name="tt"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ttt" localSheetId="0">#REF!</definedName>
    <definedName name="ttt">#REF!</definedName>
    <definedName name="tttt"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Turnover_A" localSheetId="0">[17]As!#REF!</definedName>
    <definedName name="Turnover_A">[17]As!#REF!</definedName>
    <definedName name="Turnoverdaysassumption" localSheetId="0">[18]As!#REF!</definedName>
    <definedName name="Turnoverdaysassumption">[18]As!#REF!</definedName>
    <definedName name="two" localSheetId="0">#REF!</definedName>
    <definedName name="two">#REF!</definedName>
    <definedName name="ty"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tyh"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u"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uii"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uio"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Units" localSheetId="0">#REF!</definedName>
    <definedName name="Units">#REF!</definedName>
    <definedName name="usd">[23]Sheet1!$B$1</definedName>
    <definedName name="uuu" hidden="1">{#N/A,#N/A,TRUE,"사업개요";#N/A,#N/A,TRUE,"위치도";#N/A,#N/A,TRUE,"상권분석";#N/A,#N/A,TRUE,"상권분석-1";#N/A,#N/A,TRUE,"현장사진";#N/A,#N/A,TRUE,"현장사진-1";#N/A,#N/A,TRUE,"현장사진-2";#N/A,#N/A,TRUE,"시장성향및방향"}</definedName>
    <definedName name="uuuu" hidden="1">{#N/A,#N/A,TRUE,"사업개요";#N/A,#N/A,TRUE,"위치도";#N/A,#N/A,TRUE,"상권분석";#N/A,#N/A,TRUE,"상권분석-1";#N/A,#N/A,TRUE,"주변현황";#N/A,#N/A,TRUE,"주변현황-1";#N/A,#N/A,TRUE,"시장성향";#N/A,#N/A,TRUE,"적정분양가제안 ";#N/A,#N/A,TRUE,"적정분양가제안(1)";#N/A,#N/A,TRUE,"적정분양가제안(2)";#N/A,#N/A,TRUE,"사업추진방향";#N/A,#N/A,TRUE,"실적";#N/A,#N/A,TRUE,"실적-1";#N/A,#N/A,TRUE,"실적-2";#N/A,#N/A,TRUE,"조직도";#N/A,#N/A,TRUE,"등기부등본";#N/A,#N/A,TRUE,"사업자등록증"}</definedName>
    <definedName name="uyi" hidden="1">{#N/A,#N/A,TRUE,"사업자등록증 (2)"}</definedName>
    <definedName name="uyio"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uyy"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U행" localSheetId="0">'[22]2.대외공문'!#REF!</definedName>
    <definedName name="U행">'[22]2.대외공문'!#REF!</definedName>
    <definedName name="v" hidden="1">{#N/A,#N/A,FALSE,"사업개요";#N/A,#N/A,FALSE,"위치도";#N/A,#N/A,FALSE,"상권분석";#N/A,#N/A,FALSE,"상권분석-1";#N/A,#N/A,FALSE,"주변현황";#N/A,#N/A,FALSE,"주변현황-1";#N/A,#N/A,FALSE,"시장성향";#N/A,#N/A,FALSE,"적정분양가제안 ";#N/A,#N/A,FALSE,"적정분양가제안(1)";#N/A,#N/A,FALSE,"적정분양가제안(2)";#N/A,#N/A,FALSE,"사업추진방향";#N/A,#N/A,FALSE,"MD기획";#N/A,#N/A,FALSE,"MD기획 (2)";#N/A,#N/A,FALSE,"변경분양가 및 수수료율";#N/A,#N/A,FALSE,"분양및 매체일정(1)";#N/A,#N/A,FALSE,"분양 및 매체일정(2)";#N/A,#N/A,FALSE,"실적";#N/A,#N/A,FALSE,"실적-1";#N/A,#N/A,FALSE,"실적-2";#N/A,#N/A,FALSE,"조직도";#N/A,#N/A,FALSE,"등기부등본";#N/A,#N/A,FALSE,"사업자등록증"}</definedName>
    <definedName name="VALUE">[9]기대회수Schedule!$A$8:$HE$179</definedName>
    <definedName name="VB" hidden="1">{#N/A,#N/A,FALSE,"이태원철근"}</definedName>
    <definedName name="VBN" hidden="1">{#N/A,#N/A,FALSE,"이태원철근"}</definedName>
    <definedName name="VIP" localSheetId="0">[24]!Macro9</definedName>
    <definedName name="VIP">[24]!Macro9</definedName>
    <definedName name="VIR" localSheetId="0">[24]!Macro7</definedName>
    <definedName name="VIR">[24]!Macro7</definedName>
    <definedName name="VIS" localSheetId="0">[24]!Macro9</definedName>
    <definedName name="VIS">[24]!Macro9</definedName>
    <definedName name="w" hidden="1">{#N/A,#N/A,TRUE,"사업자등록증 (2)"}</definedName>
    <definedName name="w45sd"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we4t5"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wer" hidden="1">{#N/A,#N/A,TRUE,"사업개요";#N/A,#N/A,TRUE,"위치도";#N/A,#N/A,TRUE,"상권분석";#N/A,#N/A,TRUE,"상권분석-1";#N/A,#N/A,TRUE,"주변현황";#N/A,#N/A,TRUE,"주변현황-1";#N/A,#N/A,TRUE,"시장성향";#N/A,#N/A,TRUE,"적정분양가제안 ";#N/A,#N/A,TRUE,"적정분양가제안(1)";#N/A,#N/A,TRUE,"적정분양가제안(2)";#N/A,#N/A,TRUE,"사업추진방향";#N/A,#N/A,TRUE,"실적";#N/A,#N/A,TRUE,"실적-1";#N/A,#N/A,TRUE,"실적-2";#N/A,#N/A,TRUE,"조직도";#N/A,#N/A,TRUE,"등기부등본";#N/A,#N/A,TRUE,"사업자등록증"}</definedName>
    <definedName name="wert" hidden="1">{#N/A,#N/A,FALSE,"사업개요";#N/A,#N/A,FALSE,"위치도";#N/A,#N/A,FALSE,"상권분석";#N/A,#N/A,FALSE,"상권분석-1";#N/A,#N/A,FALSE,"주변현황";#N/A,#N/A,FALSE,"주변현황-1";#N/A,#N/A,FALSE,"시장성향";#N/A,#N/A,FALSE,"적정분양가제안 ";#N/A,#N/A,FALSE,"적정분양가제안(1)";#N/A,#N/A,FALSE,"적정분양가제안(2)";#N/A,#N/A,FALSE,"사업추진방향";#N/A,#N/A,FALSE,"MD기획";#N/A,#N/A,FALSE,"MD기획 (2)";#N/A,#N/A,FALSE,"변경분양가 및 수수료율";#N/A,#N/A,FALSE,"분양및 매체일정(1)";#N/A,#N/A,FALSE,"분양 및 매체일정(2)";#N/A,#N/A,FALSE,"실적";#N/A,#N/A,FALSE,"실적-1";#N/A,#N/A,FALSE,"실적-2";#N/A,#N/A,FALSE,"조직도";#N/A,#N/A,FALSE,"등기부등본";#N/A,#N/A,FALSE,"사업자등록증"}</definedName>
    <definedName name="wetr"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wrn.aa." hidden="1">{#N/A,#N/A,FALSE,"UNIT";#N/A,#N/A,FALSE,"UNIT";#N/A,#N/A,FALSE,"계정"}</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hidden="1">{#N/A,#N/A,FALSE,"사업총괄";#N/A,#N/A,FALSE,"장비사업";#N/A,#N/A,FALSE,"철구사업";#N/A,#N/A,FALSE,"준설사업"}</definedName>
    <definedName name="wrn.동부건설."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wrn.변경예산." hidden="1">{#N/A,#N/A,FALSE,"변경관리예산";#N/A,#N/A,FALSE,"변경장비예산";#N/A,#N/A,FALSE,"변경준설예산";#N/A,#N/A,FALSE,"변경철구예산"}</definedName>
    <definedName name="wrn.사동오피스텔."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성내동."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wrn.성내동._.상가." hidden="1">{#N/A,#N/A,TRUE,"사업개요";#N/A,#N/A,TRUE,"위치도";#N/A,#N/A,TRUE,"상권분석";#N/A,#N/A,TRUE,"상권분석-1";#N/A,#N/A,TRUE,"현장사진";#N/A,#N/A,TRUE,"현장사진-1";#N/A,#N/A,TRUE,"현장사진-2";#N/A,#N/A,TRUE,"시장성향및방향"}</definedName>
    <definedName name="wrn.성내동코오롱상가." hidden="1">{#N/A,#N/A,TRUE,"사업개요";#N/A,#N/A,TRUE,"위치도";#N/A,#N/A,TRUE,"상권분석";#N/A,#N/A,TRUE,"상권분석-1";#N/A,#N/A,TRUE,"주변현황";#N/A,#N/A,TRUE,"주변현황-1";#N/A,#N/A,TRUE,"시장성향";#N/A,#N/A,TRUE,"적정분양가제안 ";#N/A,#N/A,TRUE,"적정분양가제안(1)";#N/A,#N/A,TRUE,"적정분양가제안(2)";#N/A,#N/A,TRUE,"사업추진방향";#N/A,#N/A,TRUE,"실적";#N/A,#N/A,TRUE,"실적-1";#N/A,#N/A,TRUE,"실적-2";#N/A,#N/A,TRUE,"조직도";#N/A,#N/A,TRUE,"등기부등본";#N/A,#N/A,TRUE,"사업자등록증"}</definedName>
    <definedName name="wrn.세림."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wrn.세림._.보고서._.2차."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예상손익." hidden="1">{#N/A,#N/A,FALSE,"예상손익";#N/A,#N/A,FALSE,"관리분석";#N/A,#N/A,FALSE,"장비분석";#N/A,#N/A,FALSE,"준설분석";#N/A,#N/A,FALSE,"철구분석"}</definedName>
    <definedName name="wrn.이태원._.철근." hidden="1">{#N/A,#N/A,FALSE,"이태원철근"}</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진흥." hidden="1">{#N/A,#N/A,TRUE,"사업자등록증 (2)"}</definedName>
    <definedName name="wrn.집기비품보고서._.품목별._.및._.현장별._.집계표." hidden="1">{#N/A,#N/A,FALSE,"Sheet6"}</definedName>
    <definedName name="wrn.코오롱상가최종보고서." hidden="1">{#N/A,#N/A,FALSE,"사업개요";#N/A,#N/A,FALSE,"위치도";#N/A,#N/A,FALSE,"상권분석";#N/A,#N/A,FALSE,"상권분석-1";#N/A,#N/A,FALSE,"주변현황";#N/A,#N/A,FALSE,"주변현황-1";#N/A,#N/A,FALSE,"시장성향";#N/A,#N/A,FALSE,"적정분양가제안 ";#N/A,#N/A,FALSE,"적정분양가제안(1)";#N/A,#N/A,FALSE,"적정분양가제안(2)";#N/A,#N/A,FALSE,"사업추진방향";#N/A,#N/A,FALSE,"MD기획";#N/A,#N/A,FALSE,"MD기획 (2)";#N/A,#N/A,FALSE,"변경분양가 및 수수료율";#N/A,#N/A,FALSE,"분양및 매체일정(1)";#N/A,#N/A,FALSE,"분양 및 매체일정(2)";#N/A,#N/A,FALSE,"실적";#N/A,#N/A,FALSE,"실적-1";#N/A,#N/A,FALSE,"실적-2";#N/A,#N/A,FALSE,"조직도";#N/A,#N/A,FALSE,"등기부등본";#N/A,#N/A,FALSE,"사업자등록증"}</definedName>
    <definedName name="wrn.평촌."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ww"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wwww" hidden="1">{#N/A,#N/A,TRUE,"사업개요";#N/A,#N/A,TRUE,"위치도";#N/A,#N/A,TRUE,"상권분석";#N/A,#N/A,TRUE,"상권분석-1";#N/A,#N/A,TRUE,"현장사진";#N/A,#N/A,TRUE,"현장사진-1";#N/A,#N/A,TRUE,"현장사진-2";#N/A,#N/A,TRUE,"시장성향및방향"}</definedName>
    <definedName name="wwwww"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W행" localSheetId="0">#REF!</definedName>
    <definedName name="W행">#REF!</definedName>
    <definedName name="x" hidden="1">{#N/A,#N/A,TRUE,"사업자등록증 (2)"}</definedName>
    <definedName name="xcv"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y"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year" localSheetId="0">#REF!</definedName>
    <definedName name="year">#REF!</definedName>
    <definedName name="yuj"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yy"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yyy"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yyyy"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z"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ZXC" hidden="1">{#N/A,#N/A,FALSE,"이태원철근"}</definedName>
    <definedName name="ㄱ" hidden="1">{#N/A,#N/A,FALSE,"이태원철근"}</definedName>
    <definedName name="ㄱㄱ"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가" localSheetId="0" hidden="1">#REF!</definedName>
    <definedName name="가" hidden="1">#REF!</definedName>
    <definedName name="가10층" localSheetId="0">#REF!</definedName>
    <definedName name="가10층">#REF!</definedName>
    <definedName name="가11층" localSheetId="0">#REF!</definedName>
    <definedName name="가11층">#REF!</definedName>
    <definedName name="가12층" localSheetId="0">#REF!</definedName>
    <definedName name="가12층">#REF!</definedName>
    <definedName name="가13층" localSheetId="0">#REF!</definedName>
    <definedName name="가13층">#REF!</definedName>
    <definedName name="가14층" localSheetId="0">#REF!</definedName>
    <definedName name="가14층">#REF!</definedName>
    <definedName name="가15층" localSheetId="0">#REF!</definedName>
    <definedName name="가15층">#REF!</definedName>
    <definedName name="가16층" localSheetId="0">#REF!</definedName>
    <definedName name="가16층">#REF!</definedName>
    <definedName name="가17층" localSheetId="0">#REF!</definedName>
    <definedName name="가17층">#REF!</definedName>
    <definedName name="가18층" localSheetId="0">#REF!</definedName>
    <definedName name="가18층">#REF!</definedName>
    <definedName name="가19층" localSheetId="0">#REF!</definedName>
    <definedName name="가19층">#REF!</definedName>
    <definedName name="가20층" localSheetId="0">#REF!</definedName>
    <definedName name="가20층">#REF!</definedName>
    <definedName name="가21층" localSheetId="0">#REF!</definedName>
    <definedName name="가21층">#REF!</definedName>
    <definedName name="가22층" localSheetId="0">#REF!</definedName>
    <definedName name="가22층">#REF!</definedName>
    <definedName name="가23층" localSheetId="0">#REF!</definedName>
    <definedName name="가23층">#REF!</definedName>
    <definedName name="가24층" localSheetId="0">#REF!</definedName>
    <definedName name="가24층">#REF!</definedName>
    <definedName name="가25층" localSheetId="0">#REF!</definedName>
    <definedName name="가25층">#REF!</definedName>
    <definedName name="가2층" localSheetId="0">#REF!</definedName>
    <definedName name="가2층">#REF!</definedName>
    <definedName name="가3층" localSheetId="0">#REF!</definedName>
    <definedName name="가3층">#REF!</definedName>
    <definedName name="가4층" localSheetId="0">#REF!</definedName>
    <definedName name="가4층">#REF!</definedName>
    <definedName name="가5층" localSheetId="0">#REF!</definedName>
    <definedName name="가5층">#REF!</definedName>
    <definedName name="가6층" localSheetId="0">#REF!</definedName>
    <definedName name="가6층">#REF!</definedName>
    <definedName name="가7층" localSheetId="0">#REF!</definedName>
    <definedName name="가7층">#REF!</definedName>
    <definedName name="가8층" localSheetId="0">#REF!</definedName>
    <definedName name="가8층">#REF!</definedName>
    <definedName name="가9층" localSheetId="0">#REF!</definedName>
    <definedName name="가9층">#REF!</definedName>
    <definedName name="가가" localSheetId="0" hidden="1">[2]유림콘도!#REF!</definedName>
    <definedName name="가가" hidden="1">[2]유림콘도!#REF!</definedName>
    <definedName name="가가가" localSheetId="0" hidden="1">[25]Sheet2!#REF!</definedName>
    <definedName name="가가가" hidden="1">[25]Sheet2!#REF!</definedName>
    <definedName name="가가각" hidden="1">{#N/A,#N/A,FALSE,"이태원철근"}</definedName>
    <definedName name="가갸" hidden="1">{#N/A,#N/A,FALSE,"이태원철근"}</definedName>
    <definedName name="가린">{"Book1","공동준비.xls"}</definedName>
    <definedName name="가시나무R4">[26]데이타!$E$2</definedName>
    <definedName name="가시나무R5">[26]데이타!$E$3</definedName>
    <definedName name="가시나무R6">[26]데이타!$E$4</definedName>
    <definedName name="가시나무R8">[26]데이타!$E$5</definedName>
    <definedName name="가시설공" localSheetId="0">#REF!</definedName>
    <definedName name="가시설공">#REF!</definedName>
    <definedName name="가이즈까향1204">[26]데이타!$E$6</definedName>
    <definedName name="가이즈까향1505">[26]데이타!$E$7</definedName>
    <definedName name="가이즈까향2006">[26]데이타!$E$8</definedName>
    <definedName name="가이즈까향2008">[26]데이타!$E$9</definedName>
    <definedName name="가이즈까향2510">[26]데이타!$E$10</definedName>
    <definedName name="가중나무B10">[26]데이타!$E$19</definedName>
    <definedName name="가중나무B4">[26]데이타!$E$15</definedName>
    <definedName name="가중나무B5">[26]데이타!$E$16</definedName>
    <definedName name="가중나무B6">[26]데이타!$E$17</definedName>
    <definedName name="가중나무B8">[26]데이타!$E$18</definedName>
    <definedName name="각종보험료" localSheetId="0">#REF!</definedName>
    <definedName name="각종보험료">#REF!</definedName>
    <definedName name="간지" localSheetId="0">#REF!</definedName>
    <definedName name="간지">#REF!</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R10">[26]데이타!$E$24</definedName>
    <definedName name="감R12">[26]데이타!$E$25</definedName>
    <definedName name="감R15">[26]데이타!$E$26</definedName>
    <definedName name="감R5">[26]데이타!$E$20</definedName>
    <definedName name="감R6">[26]데이타!$E$21</definedName>
    <definedName name="감R7">[26]데이타!$E$22</definedName>
    <definedName name="감R8">[26]데이타!$E$23</definedName>
    <definedName name="갑지" localSheetId="0">#REF!</definedName>
    <definedName name="갑지">#REF!</definedName>
    <definedName name="갑지1" localSheetId="0">[0]!영광원자력5,'[27]6호기'!$A$1</definedName>
    <definedName name="갑지1">[0]!영광원자력5,'[27]6호기'!$A$1</definedName>
    <definedName name="갑지2" localSheetId="0">[0]!영광원자력5,'[27]6호기'!$A$1</definedName>
    <definedName name="갑지2">[0]!영광원자력5,'[27]6호기'!$A$1</definedName>
    <definedName name="갑지도급비교" localSheetId="0">[0]!영광원자력5,'[27]6호기'!$A$1</definedName>
    <definedName name="갑지도급비교">[0]!영광원자력5,'[27]6호기'!$A$1</definedName>
    <definedName name="강"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강릉교동" localSheetId="0" hidden="1">#REF!</definedName>
    <definedName name="강릉교동" hidden="1">#REF!</definedName>
    <definedName name="강릉교동터파기" localSheetId="0" hidden="1">#REF!</definedName>
    <definedName name="강릉교동터파기" hidden="1">#REF!</definedName>
    <definedName name="강릉교동토목" localSheetId="0" hidden="1">#REF!</definedName>
    <definedName name="강릉교동토목" hidden="1">#REF!</definedName>
    <definedName name="강릉교동흙막이" localSheetId="0" hidden="1">#REF!</definedName>
    <definedName name="강릉교동흙막이" hidden="1">#REF!</definedName>
    <definedName name="강릉토공사" localSheetId="0" hidden="1">#REF!</definedName>
    <definedName name="강릉토공사" hidden="1">#REF!</definedName>
    <definedName name="강릉토목공사" localSheetId="0" hidden="1">#REF!</definedName>
    <definedName name="강릉토목공사" hidden="1">#REF!</definedName>
    <definedName name="강릉토목임" localSheetId="0" hidden="1">#REF!</definedName>
    <definedName name="강릉토목임" hidden="1">#REF!</definedName>
    <definedName name="개나리12">[26]데이타!$E$31</definedName>
    <definedName name="개나리3">[26]데이타!$E$27</definedName>
    <definedName name="개나리5">[26]데이타!$E$28</definedName>
    <definedName name="개나리7">[26]데이타!$E$29</definedName>
    <definedName name="개나리9">[26]데이타!$E$30</definedName>
    <definedName name="개략고보2" localSheetId="0">BlankMacro1</definedName>
    <definedName name="개략고보2">BlankMacro1</definedName>
    <definedName name="개발표지" localSheetId="0" hidden="1">[28]스포회원매출!#REF!</definedName>
    <definedName name="개발표지" hidden="1">[28]스포회원매출!#REF!</definedName>
    <definedName name="개쉬땅1204">[26]데이타!$E$32</definedName>
    <definedName name="개쉬땅1506">[26]데이타!$E$33</definedName>
    <definedName name="개시" localSheetId="0">#REF!</definedName>
    <definedName name="개시">#REF!</definedName>
    <definedName name="개요" localSheetId="0">BlankMacro1</definedName>
    <definedName name="개요">BlankMacro1</definedName>
    <definedName name="거" localSheetId="0">#REF!</definedName>
    <definedName name="거">#REF!</definedName>
    <definedName name="거거거" localSheetId="0" hidden="1">[29]목차!#REF!</definedName>
    <definedName name="거거거" hidden="1">[29]목차!#REF!</definedName>
    <definedName name="건비" localSheetId="0">[30]시장성초안camera!#REF!</definedName>
    <definedName name="건비">[30]시장성초안camera!#REF!</definedName>
    <definedName name="건설" hidden="1">{#N/A,#N/A,FALSE,"사업총괄";#N/A,#N/A,FALSE,"장비사업";#N/A,#N/A,FALSE,"철구사업";#N/A,#N/A,FALSE,"준설사업"}</definedName>
    <definedName name="건축집계분임" localSheetId="0">#REF!</definedName>
    <definedName name="건축집계분임">#REF!</definedName>
    <definedName name="검토" localSheetId="0">[31]대여현황!#REF!</definedName>
    <definedName name="검토">[31]대여현황!#REF!</definedName>
    <definedName name="검토안똥" localSheetId="0">[32]진행보고서!검토안똥</definedName>
    <definedName name="검토안똥">[32]진행보고서!검토안똥</definedName>
    <definedName name="겹동백1002">[26]데이타!$E$145</definedName>
    <definedName name="겹동백1204">[26]데이타!$E$146</definedName>
    <definedName name="겹동백1506">[26]데이타!$E$147</definedName>
    <definedName name="겹벗R6">[26]데이타!$E$34</definedName>
    <definedName name="겹벗R8">[26]데이타!$E$35</definedName>
    <definedName name="겹철쭉0304">[26]데이타!$E$36</definedName>
    <definedName name="겹철쭉0506">[26]데이타!$E$37</definedName>
    <definedName name="겹철쭉0608">[26]데이타!$E$38</definedName>
    <definedName name="겹철쭉0810">[26]데이타!$E$39</definedName>
    <definedName name="겹철쭉0812">[26]데이타!$E$40</definedName>
    <definedName name="경매" localSheetId="0">#REF!</definedName>
    <definedName name="경매">#REF!</definedName>
    <definedName name="경매상황" localSheetId="0">#REF!</definedName>
    <definedName name="경매상황">#REF!</definedName>
    <definedName name="경비상승율" localSheetId="0">#REF!</definedName>
    <definedName name="경비상승율">#REF!</definedName>
    <definedName name="경영상태" localSheetId="0">#REF!</definedName>
    <definedName name="경영상태">#REF!</definedName>
    <definedName name="경유가격">[10]!경유가격</definedName>
    <definedName name="계수B5">[26]데이타!$E$41</definedName>
    <definedName name="계수B6">[26]데이타!$E$42</definedName>
    <definedName name="계수B8">[26]데이타!$E$43</definedName>
    <definedName name="계약서"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계정과목">OFFSET([33]기본정보입력!$F$7,0,0,COUNTA([33]기본정보입력!$F$7:$F$61),1)</definedName>
    <definedName name="고광3">[26]데이타!$E$44</definedName>
    <definedName name="고광5">[26]데이타!$E$45</definedName>
    <definedName name="곰솔2508">[34]데이타!$E$46</definedName>
    <definedName name="곰솔3010">[26]데이타!$E$47</definedName>
    <definedName name="곰솔R10">[26]데이타!$E$48</definedName>
    <definedName name="곰솔R12">[26]데이타!$E$49</definedName>
    <definedName name="곰솔R15">[26]데이타!$E$50</definedName>
    <definedName name="공">[10]!공</definedName>
    <definedName name="공공용시설">[35]건축개요!$C$150</definedName>
    <definedName name="공공총면적" localSheetId="0">#REF!</definedName>
    <definedName name="공공총면적">#REF!</definedName>
    <definedName name="공과잡비" localSheetId="0">#REF!</definedName>
    <definedName name="공과잡비">#REF!</definedName>
    <definedName name="공기산출">#N/A</definedName>
    <definedName name="공무집행" localSheetId="0">#REF!</definedName>
    <definedName name="공무집행">#REF!</definedName>
    <definedName name="공사" hidden="1">{#N/A,#N/A,FALSE,"이태원철근"}</definedName>
    <definedName name="공사1" hidden="1">{#N/A,#N/A,FALSE,"이태원철근"}</definedName>
    <definedName name="공사개시일">'[36]가정 및 결과'!$J$22</definedName>
    <definedName name="공사개요최종" hidden="1">{#N/A,#N/A,FALSE,"이태원철근"}</definedName>
    <definedName name="공사기간">'[36]가정 및 결과'!$J$23</definedName>
    <definedName name="공사종료일">'[36]가정 및 결과'!$J$24</definedName>
    <definedName name="공장">[35]건축개요!$C$133</definedName>
    <definedName name="공정">[10]!공정</definedName>
    <definedName name="공정2" localSheetId="0" hidden="1">#REF!</definedName>
    <definedName name="공정2" hidden="1">#REF!</definedName>
    <definedName name="공정률" localSheetId="0">[0]!영광원자력5,'[27]6호기'!$A$1</definedName>
    <definedName name="공정률">[0]!영광원자력5,'[27]6호기'!$A$1</definedName>
    <definedName name="공정율" localSheetId="0">#REF!</definedName>
    <definedName name="공정율">#REF!</definedName>
    <definedName name="공통비" localSheetId="0" hidden="1">[37]유림골조!#REF!</definedName>
    <definedName name="공통비" hidden="1">[37]유림골조!#REF!</definedName>
    <definedName name="공통비코아" localSheetId="0" hidden="1">[25]Sheet2!#REF!</definedName>
    <definedName name="공통비코아" hidden="1">[25]Sheet2!#REF!</definedName>
    <definedName name="공통집계" localSheetId="0">#REF!</definedName>
    <definedName name="공통집계">#REF!</definedName>
    <definedName name="공화명3" localSheetId="0">[32]진행보고서!공화명3</definedName>
    <definedName name="공화명3">[32]진행보고서!공화명3</definedName>
    <definedName name="관광휴게시설">[35]건축개요!$C$139:$C$140</definedName>
    <definedName name="관람집회">[35]건축개요!$C$120:$C$121</definedName>
    <definedName name="관련시설">[35]건축개요!$C$129:$C$131</definedName>
    <definedName name="광나무1003">[26]데이타!$E$51</definedName>
    <definedName name="광나무1203">[26]데이타!$E$52</definedName>
    <definedName name="광나무1506">[26]데이타!$E$53</definedName>
    <definedName name="광편백0405">[26]데이타!$E$153</definedName>
    <definedName name="광편백0507">[26]데이타!$E$154</definedName>
    <definedName name="광편백0509">[26]데이타!$E$155</definedName>
    <definedName name="교동토" localSheetId="0" hidden="1">#REF!</definedName>
    <definedName name="교동토" hidden="1">#REF!</definedName>
    <definedName name="교동토목공사" hidden="1">{#N/A,#N/A,FALSE,"이태원철근"}</definedName>
    <definedName name="교육연구시설">[35]건축개요!$C$134:$C$135</definedName>
    <definedName name="구분">OFFSET([33]기본정보입력!$B$7,0,0,COUNTA([33]기본정보입력!$B$7:$B$16),1)</definedName>
    <definedName name="구상나무1505">[26]데이타!$E$69</definedName>
    <definedName name="구상나무2008">[26]데이타!$E$70</definedName>
    <definedName name="구상나무2510">[26]데이타!$E$71</definedName>
    <definedName name="구상나무3012">[26]데이타!$E$72</definedName>
    <definedName name="구조물공" localSheetId="0">#REF!</definedName>
    <definedName name="구조물공">#REF!</definedName>
    <definedName name="국가별" localSheetId="0">#REF!</definedName>
    <definedName name="국가별">#REF!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군장" hidden="1">{#N/A,#N/A,TRUE,"사업개요";#N/A,#N/A,TRUE,"위치도";#N/A,#N/A,TRUE,"상권분석";#N/A,#N/A,TRUE,"상권분석-1";#N/A,#N/A,TRUE,"현장사진";#N/A,#N/A,TRUE,"현장사진-1";#N/A,#N/A,TRUE,"현장사진-2";#N/A,#N/A,TRUE,"시장성향및방향"}</definedName>
    <definedName name="군장갑지"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냥" hidden="1">{#N/A,#N/A,FALSE,"Sheet6"}</definedName>
    <definedName name="근린생활시설">[35]건축개요!$C$144:$C$145</definedName>
    <definedName name="근생건축면적" localSheetId="0">#REF!</definedName>
    <definedName name="근생건축면적">#REF!</definedName>
    <definedName name="근생대지면적" localSheetId="0">#REF!</definedName>
    <definedName name="근생대지면적">#REF!</definedName>
    <definedName name="근생지상층면적" localSheetId="0">#REF!</definedName>
    <definedName name="근생지상층면적">#REF!</definedName>
    <definedName name="금" localSheetId="0">#REF!</definedName>
    <definedName name="금">#REF!</definedName>
    <definedName name="금송1006">[26]데이타!$E$73</definedName>
    <definedName name="금송1208">[26]데이타!$E$74</definedName>
    <definedName name="금송1510">[26]데이타!$E$75</definedName>
    <definedName name="금융비" localSheetId="0">#REF!</definedName>
    <definedName name="금융비">#REF!</definedName>
    <definedName name="금융비용" localSheetId="0">#REF!</definedName>
    <definedName name="금융비용">#REF!</definedName>
    <definedName name="금융비용최종" localSheetId="0">BlankMacro1</definedName>
    <definedName name="금융비용최종">BlankMacro1</definedName>
    <definedName name="급여상승율" localSheetId="0">#REF!</definedName>
    <definedName name="급여상승율">#REF!</definedName>
    <definedName name="기금" localSheetId="0">[30]시장성초안camera!#REF!</definedName>
    <definedName name="기금">[30]시장성초안camera!#REF!</definedName>
    <definedName name="기반시설분담금" localSheetId="0">[0]!영광원자력5,'[27]6호기'!$A$1</definedName>
    <definedName name="기반시설분담금">[0]!영광원자력5,'[27]6호기'!$A$1</definedName>
    <definedName name="기본" localSheetId="0" hidden="1">#REF!</definedName>
    <definedName name="기본" hidden="1">#REF!</definedName>
    <definedName name="기안2"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기안갑" localSheetId="0">#REF!</definedName>
    <definedName name="기안갑">#REF!</definedName>
    <definedName name="기안갑지2"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기안갑지군장" hidden="1">{#N/A,#N/A,TRUE,"사업자등록증 (2)"}</definedName>
    <definedName name="기안을" localSheetId="0">#REF!</definedName>
    <definedName name="기안을">#REF!</definedName>
    <definedName name="기일" localSheetId="0">#REF!</definedName>
    <definedName name="기일">#REF!</definedName>
    <definedName name="기준" localSheetId="0">[31]대여현황!#REF!</definedName>
    <definedName name="기준">[31]대여현황!#REF!</definedName>
    <definedName name="기준일1" localSheetId="0">#REF!</definedName>
    <definedName name="기준일1">#REF!</definedName>
    <definedName name="기초자료">[38]ADmin!$C$3</definedName>
    <definedName name="기타자재">[10]!기타자재</definedName>
    <definedName name="김" hidden="1">{#N/A,#N/A,FALSE,"이태원철근"}</definedName>
    <definedName name="김1">{"'Firr(선)'!$AS$1:$AY$62","'Firr(사)'!$AS$1:$AY$62","'Firr(회)'!$AS$1:$AY$62","'Firr(선)'!$L$1:$V$62","'Firr(사)'!$L$1:$V$62","'Firr(회)'!$L$1:$V$62"}</definedName>
    <definedName name="꽃복숭아R3">[26]데이타!$E$58</definedName>
    <definedName name="꽃복숭아R4">[26]데이타!$E$59</definedName>
    <definedName name="꽃복숭아R5">[26]데이타!$E$60</definedName>
    <definedName name="꽃사과R10">[26]데이타!$E$64</definedName>
    <definedName name="꽃사과R4">[26]데이타!$E$61</definedName>
    <definedName name="꽃사과R6">[26]데이타!$E$62</definedName>
    <definedName name="꽃사과R8">[26]데이타!$E$63</definedName>
    <definedName name="꽃아그배R10">[26]데이타!$E$68</definedName>
    <definedName name="꽃아그배R4">[26]데이타!$E$65</definedName>
    <definedName name="꽃아그배R6">[26]데이타!$E$66</definedName>
    <definedName name="꽃아그배R8">[26]데이타!$E$67</definedName>
    <definedName name="꽝꽝0304">[26]데이타!$E$54</definedName>
    <definedName name="꽝꽝0406">[26]데이타!$E$55</definedName>
    <definedName name="꽝꽝0508">[26]데이타!$E$56</definedName>
    <definedName name="꽝꽝0610">[26]데이타!$E$57</definedName>
    <definedName name="ㄴ">'[13]1.우편집중내역서'!$A$3:$D$566</definedName>
    <definedName name="ㄴㅁ" localSheetId="0">#REF!</definedName>
    <definedName name="ㄴㅁ">#REF!</definedName>
    <definedName name="ㄴㅁㅇㄹ" localSheetId="0">#REF!</definedName>
    <definedName name="ㄴㅁㅇㄹ">#REF!</definedName>
    <definedName name="ㄴㅇ">CHOOSE([35]건축개요!$B$46,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ㄴㅇㄴㅇ" localSheetId="0">BlankMacro1</definedName>
    <definedName name="ㄴㅇㄴㅇ">BlankMacro1</definedName>
    <definedName name="ㄴㅇㄴㅇㄴ" localSheetId="0">BlankMacro1</definedName>
    <definedName name="ㄴㅇㄴㅇㄴ">BlankMacro1</definedName>
    <definedName name="ㄴㅇㄹ" localSheetId="0">#REF!</definedName>
    <definedName name="ㄴㅇㄹ">#REF!</definedName>
    <definedName name="ㄴㅇㄻ" localSheetId="0">#REF!</definedName>
    <definedName name="ㄴㅇㄻ">#REF!</definedName>
    <definedName name="나" localSheetId="0" hidden="1">[39]유림골조!#REF!</definedName>
    <definedName name="나" hidden="1">[39]유림골조!#REF!</definedName>
    <definedName name="나나나" localSheetId="0" hidden="1">[40]스포회원매출!#REF!</definedName>
    <definedName name="나나나" hidden="1">[40]스포회원매출!#REF!</definedName>
    <definedName name="낙상홍1004">[26]데이타!$E$76</definedName>
    <definedName name="낙상홍1506">[26]데이타!$E$77</definedName>
    <definedName name="낙상홍1808">[26]데이타!$E$78</definedName>
    <definedName name="낙상홍2010">[26]데이타!$E$79</definedName>
    <definedName name="낙상홍2515">[26]데이타!$E$80</definedName>
    <definedName name="낙우송R10">[26]데이타!$E$84</definedName>
    <definedName name="낙우송R12">[26]데이타!$E$85</definedName>
    <definedName name="낙우송R5">[26]데이타!$E$81</definedName>
    <definedName name="낙우송R6">[26]데이타!$E$82</definedName>
    <definedName name="낙우송R8">[26]데이타!$E$83</definedName>
    <definedName name="날짜" localSheetId="0">#REF!</definedName>
    <definedName name="날짜">#REF!</definedName>
    <definedName name="납입률95프로" localSheetId="0">#REF!</definedName>
    <definedName name="납입률95프로">#REF!</definedName>
    <definedName name="내선전공">[10]!내선전공</definedName>
    <definedName name="내역서가시설공" localSheetId="0">#REF!</definedName>
    <definedName name="내역서가시설공">#REF!</definedName>
    <definedName name="내역서구조물공" localSheetId="0">#REF!</definedName>
    <definedName name="내역서구조물공">#REF!</definedName>
    <definedName name="내역서배수공" localSheetId="0">#REF!</definedName>
    <definedName name="내역서배수공">#REF!</definedName>
    <definedName name="내역서부대공" localSheetId="0">#REF!</definedName>
    <definedName name="내역서부대공">#REF!</definedName>
    <definedName name="내역서토공" localSheetId="0">#REF!</definedName>
    <definedName name="내역서토공">#REF!</definedName>
    <definedName name="내역서포장공" localSheetId="0">#REF!</definedName>
    <definedName name="내역서포장공">#REF!</definedName>
    <definedName name="내전">[41]노무비!$B$2</definedName>
    <definedName name="너">#N/A</definedName>
    <definedName name="노르웨이R12">[26]데이타!$E$90</definedName>
    <definedName name="노르웨이R15">[26]데이타!$E$91</definedName>
    <definedName name="노르웨이R4">[26]데이타!$E$86</definedName>
    <definedName name="노르웨이R5">[26]데이타!$E$87</definedName>
    <definedName name="노르웨이R6">[26]데이타!$E$88</definedName>
    <definedName name="노르웨이R8">[26]데이타!$E$89</definedName>
    <definedName name="농업총면적" localSheetId="0">#REF!</definedName>
    <definedName name="농업총면적">#REF!</definedName>
    <definedName name="눈향L06">[26]데이타!$E$92</definedName>
    <definedName name="눈향L08">[26]데이타!$E$93</definedName>
    <definedName name="눈향L10">[26]데이타!$E$94</definedName>
    <definedName name="눈향L14">[26]데이타!$E$95</definedName>
    <definedName name="눈향L20">[26]데이타!$E$96</definedName>
    <definedName name="느릅R10">[26]데이타!$E$100</definedName>
    <definedName name="느릅R4">[26]데이타!$E$97</definedName>
    <definedName name="느릅R5">[26]데이타!$E$98</definedName>
    <definedName name="느릅R8">[34]데이타!$E$99</definedName>
    <definedName name="느티R10">[34]데이타!$E$104</definedName>
    <definedName name="느티R12">[26]데이타!$E$105</definedName>
    <definedName name="느티R15">[26]데이타!$E$106</definedName>
    <definedName name="느티R18">[26]데이타!$E$107</definedName>
    <definedName name="느티R20">[26]데이타!$E$108</definedName>
    <definedName name="느티R25">[26]데이타!$E$109</definedName>
    <definedName name="느티R30">[26]데이타!$E$110</definedName>
    <definedName name="느티R5">[26]데이타!$E$101</definedName>
    <definedName name="느티R6">[26]데이타!$E$102</definedName>
    <definedName name="느티R8">[26]데이타!$E$103</definedName>
    <definedName name="능소화R2">[26]데이타!$E$111</definedName>
    <definedName name="능소화R4">[26]데이타!$E$112</definedName>
    <definedName name="능소화R6">[26]데이타!$E$113</definedName>
    <definedName name="ㄷ" hidden="1">{#N/A,#N/A,FALSE,"이태원철근"}</definedName>
    <definedName name="ㄷㄷ"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ㄷㄷㄷ" localSheetId="0">#REF!</definedName>
    <definedName name="ㄷㄷㄷ">#REF!</definedName>
    <definedName name="ㄷㄹ" localSheetId="0">#REF!</definedName>
    <definedName name="ㄷㄹ">#REF!</definedName>
    <definedName name="다" localSheetId="0" hidden="1">[42]Sheet4!#REF!</definedName>
    <definedName name="다" hidden="1">[42]Sheet4!#REF!</definedName>
    <definedName name="단독조사표" localSheetId="0">#REF!</definedName>
    <definedName name="단독조사표">#REF!</definedName>
    <definedName name="단위" localSheetId="0">#REF!</definedName>
    <definedName name="단위">#REF!</definedName>
    <definedName name="단위조정" localSheetId="0">#REF!</definedName>
    <definedName name="단위조정">#REF!</definedName>
    <definedName name="담보">[7]별제권_정리담보권!$F$5:$V$214</definedName>
    <definedName name="담보2" localSheetId="0">#REF!</definedName>
    <definedName name="담보2">#REF!</definedName>
    <definedName name="담보평가" localSheetId="0">#REF!</definedName>
    <definedName name="담보평가">#REF!</definedName>
    <definedName name="담보평가액">[9]기대회수율산정!$I$6</definedName>
    <definedName name="담쟁이L03">[26]데이타!$E$114</definedName>
    <definedName name="당행회수경매비용현가">'[43]CashFlow(중간집계)'!$J$9:$J$52</definedName>
    <definedName name="대미환율" localSheetId="0">#REF!</definedName>
    <definedName name="대미환율">#REF!</definedName>
    <definedName name="대안" localSheetId="0">#REF!</definedName>
    <definedName name="대안">#REF!</definedName>
    <definedName name="대여금" hidden="1">{#N/A,#N/A,FALSE,"이태원철근"}</definedName>
    <definedName name="대왕참R10">[26]데이타!$E$118</definedName>
    <definedName name="대왕참R4">[26]데이타!$E$115</definedName>
    <definedName name="대왕참R6">[26]데이타!$E$116</definedName>
    <definedName name="대왕참R8">[26]데이타!$E$117</definedName>
    <definedName name="대추R10">[26]데이타!$E$123</definedName>
    <definedName name="대추R4">[26]데이타!$E$119</definedName>
    <definedName name="대추R5">[26]데이타!$E$120</definedName>
    <definedName name="대추R6">[26]데이타!$E$121</definedName>
    <definedName name="대추R8">[26]데이타!$E$122</definedName>
    <definedName name="대출잔액" localSheetId="0">#REF!</definedName>
    <definedName name="대출잔액">#REF!</definedName>
    <definedName name="덩굴장미3">[26]데이타!$E$128</definedName>
    <definedName name="덩굴장미4">[26]데이타!$E$129</definedName>
    <definedName name="덩굴장미5">[26]데이타!$E$130</definedName>
    <definedName name="도급액" localSheetId="0">#REF!</definedName>
    <definedName name="도급액">#REF!</definedName>
    <definedName name="도시지원총면적" localSheetId="0">#REF!</definedName>
    <definedName name="도시지원총면적">#REF!</definedName>
    <definedName name="독일가문비1206">[26]데이타!$E$131</definedName>
    <definedName name="독일가문비1508">[26]데이타!$E$132</definedName>
    <definedName name="독일가문비2010">[26]데이타!$E$133</definedName>
    <definedName name="독일가문비2512">[26]데이타!$E$134</definedName>
    <definedName name="독일가문비3015">[26]데이타!$E$135</definedName>
    <definedName name="독일가문비3518">[26]데이타!$E$136</definedName>
    <definedName name="돈나무0504">[26]데이타!$E$137</definedName>
    <definedName name="돈나무0805">[26]데이타!$E$138</definedName>
    <definedName name="돈나무1007">[26]데이타!$E$139</definedName>
    <definedName name="돈나무1210">[26]데이타!$E$140</definedName>
    <definedName name="동.호수배치도" hidden="1">{#N/A,#N/A,TRUE,"사업자등록증 (2)"}</definedName>
    <definedName name="동물관련시설">[35]건축개요!$C$149</definedName>
    <definedName name="동백1002">[26]데이타!$E$141</definedName>
    <definedName name="동백1204">[26]데이타!$E$142</definedName>
    <definedName name="동백1506">[26]데이타!$E$143</definedName>
    <definedName name="동백1808">[26]데이타!$E$144</definedName>
    <definedName name="동서별2">[44]별제권_정리담보권1!$T$6:$T$213</definedName>
    <definedName name="됐어" hidden="1">{#N/A,#N/A,FALSE,"Sheet6"}</definedName>
    <definedName name="듈오ㅠ처ㅠㅂ쳐ㅓㅠㅂ" hidden="1">{#N/A,#N/A,TRUE,"사업개요";#N/A,#N/A,TRUE,"위치도";#N/A,#N/A,TRUE,"상권분석";#N/A,#N/A,TRUE,"상권분석-1";#N/A,#N/A,TRUE,"주변현황";#N/A,#N/A,TRUE,"주변현황-1";#N/A,#N/A,TRUE,"시장성향";#N/A,#N/A,TRUE,"적정분양가제안 ";#N/A,#N/A,TRUE,"적정분양가제안(1)";#N/A,#N/A,TRUE,"적정분양가제안(2)";#N/A,#N/A,TRUE,"사업추진방향";#N/A,#N/A,TRUE,"실적";#N/A,#N/A,TRUE,"실적-1";#N/A,#N/A,TRUE,"실적-2";#N/A,#N/A,TRUE,"조직도";#N/A,#N/A,TRUE,"등기부등본";#N/A,#N/A,TRUE,"사업자등록증"}</definedName>
    <definedName name="등R2">[26]데이타!$E$156</definedName>
    <definedName name="등R4">[26]데이타!$E$157</definedName>
    <definedName name="등R6">[26]데이타!$E$158</definedName>
    <definedName name="등R8">[26]데이타!$E$159</definedName>
    <definedName name="등용구분">[10]!등용구분</definedName>
    <definedName name="등주높이">[10]!등주높이</definedName>
    <definedName name="ㄸㄱ구믇243931352" localSheetId="0">#REF!</definedName>
    <definedName name="ㄸㄱ구믇243931352">#REF!</definedName>
    <definedName name="ㄸㄱ구믇980003236" localSheetId="0">#REF!</definedName>
    <definedName name="ㄸㄱ구믇980003236">#REF!</definedName>
    <definedName name="때죽R10">[26]데이타!$E$127</definedName>
    <definedName name="때죽R4">[26]데이타!$E$124</definedName>
    <definedName name="때죽R6">[26]데이타!$E$125</definedName>
    <definedName name="때죽R8">[26]데이타!$E$126</definedName>
    <definedName name="ㄹ"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ㄹ78" localSheetId="0">#REF!</definedName>
    <definedName name="ㄹ78">#REF!</definedName>
    <definedName name="ㄹㄷㄴㅁㄹ">CHOOSE([35]건축개요!$B$46,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ㄹ덪루" hidden="1">{#N/A,#N/A,TRUE,"사업개요";#N/A,#N/A,TRUE,"위치도";#N/A,#N/A,TRUE,"상권분석";#N/A,#N/A,TRUE,"상권분석-1";#N/A,#N/A,TRUE,"현장사진";#N/A,#N/A,TRUE,"현장사진-1";#N/A,#N/A,TRUE,"현장사진-2";#N/A,#N/A,TRUE,"시장성향및방향"}</definedName>
    <definedName name="ㄹㄹ">[10]!수금10</definedName>
    <definedName name="ㄹㄹㄹ">[10]!ㄹㄹㄹ</definedName>
    <definedName name="ㄹㅇㄹ" localSheetId="0">#REF!</definedName>
    <definedName name="ㄹㅇㄹ">#REF!</definedName>
    <definedName name="라" localSheetId="0" hidden="1">[42]Sheet4!#REF!</definedName>
    <definedName name="라" hidden="1">[42]Sheet4!#REF!</definedName>
    <definedName name="라리릴" localSheetId="0">BlankMacro1</definedName>
    <definedName name="라리릴">BlankMacro1</definedName>
    <definedName name="램">'[12]콤보박스와 리스트박스의 연결'!$H$8:$H$10</definedName>
    <definedName name="리스크" localSheetId="0">BlankMacro1</definedName>
    <definedName name="리스크">BlankMacro1</definedName>
    <definedName name="리스크관리방안" localSheetId="0">BlankMacro1</definedName>
    <definedName name="리스크관리방안">BlankMacro1</definedName>
    <definedName name="ㅀ" localSheetId="0" hidden="1">#REF!</definedName>
    <definedName name="ㅀ" hidden="1">#REF!</definedName>
    <definedName name="ㅀㄹ" localSheetId="0">BlankMacro1</definedName>
    <definedName name="ㅀㄹ">BlankMacro1</definedName>
    <definedName name="ㅁ" hidden="1">{#N/A,#N/A,FALSE,"이태원철근"}</definedName>
    <definedName name="ㅁ1" localSheetId="0">#REF!</definedName>
    <definedName name="ㅁ1">#REF!</definedName>
    <definedName name="ㅁ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ㄴㅁ">CHOOSE([35]건축개요!$B$46,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ㅁㄴㅁㅇ" localSheetId="0" hidden="1">[45]유림골조!#REF!</definedName>
    <definedName name="ㅁㄴㅁㅇ" hidden="1">[45]유림골조!#REF!</definedName>
    <definedName name="ㅁㄴㅇㄹ" localSheetId="0">#REF!</definedName>
    <definedName name="ㅁㄴㅇㄹ">#REF!</definedName>
    <definedName name="ㅁㄴㅇㄻㄴ" localSheetId="0">#REF!</definedName>
    <definedName name="ㅁㄴㅇㄻㄴ">#REF!</definedName>
    <definedName name="ㅁㄷ륭ㄴ류"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ㅁㅁ" hidden="1">{#N/A,#N/A,FALSE,"이태원철근"}</definedName>
    <definedName name="ㅁㅇㄻㄴㅇㄹ" localSheetId="0">#REF!</definedName>
    <definedName name="ㅁㅇㄻㄴㅇㄹ">#REF!</definedName>
    <definedName name="마" localSheetId="0">[24]!Macro13</definedName>
    <definedName name="마">[24]!Macro13</definedName>
    <definedName name="마가목R3">[26]데이타!$E$160</definedName>
    <definedName name="마가목R5">[26]데이타!$E$161</definedName>
    <definedName name="마가목R7">[26]데이타!$E$162</definedName>
    <definedName name="말발도리1003">[26]데이타!$E$163</definedName>
    <definedName name="말발도리1204">[26]데이타!$E$164</definedName>
    <definedName name="말발도리1506">[26]데이타!$E$165</definedName>
    <definedName name="매입세" localSheetId="0">#REF!</definedName>
    <definedName name="매입세">#REF!</definedName>
    <definedName name="매자0804">[26]데이타!$E$166</definedName>
    <definedName name="매자1005">[26]데이타!$E$167</definedName>
    <definedName name="매출성장율" localSheetId="0">#REF!</definedName>
    <definedName name="매출성장율">#REF!</definedName>
    <definedName name="매출액_근생시설_1F">[46]사업수지!$J$8</definedName>
    <definedName name="매출액_근생시설_2F">[46]사업수지!$J$7</definedName>
    <definedName name="매출액_근생시설_지하1">[46]사업수지!$J$9</definedName>
    <definedName name="매출액_근생시설_지하2">[46]사업수지!$J$10</definedName>
    <definedName name="매출액_오피스텔T_1">[46]사업수지!$J$4</definedName>
    <definedName name="매출액_오피스텔T_2">[46]사업수지!$J$5</definedName>
    <definedName name="매크로1">[10]!매크로1</definedName>
    <definedName name="매크로2" localSheetId="0">#REF!</definedName>
    <definedName name="매크로2">#REF!</definedName>
    <definedName name="매화R10">[26]데이타!$E$174</definedName>
    <definedName name="매화R4">[26]데이타!$E$171</definedName>
    <definedName name="매화R6">[26]데이타!$E$172</definedName>
    <definedName name="매화R8">[26]데이타!$E$173</definedName>
    <definedName name="메롱" localSheetId="0">#REF!</definedName>
    <definedName name="메롱">#REF!</definedName>
    <definedName name="메타B10">[26]데이타!$E$179</definedName>
    <definedName name="메타B12">[26]데이타!$E$180</definedName>
    <definedName name="메타B15">[26]데이타!$E$181</definedName>
    <definedName name="메타B18">[26]데이타!$E$182</definedName>
    <definedName name="메타B4">[26]데이타!$E$175</definedName>
    <definedName name="메타B5">[26]데이타!$E$176</definedName>
    <definedName name="메타B6">[26]데이타!$E$177</definedName>
    <definedName name="메타B8">[26]데이타!$E$178</definedName>
    <definedName name="면" localSheetId="0">#REF!</definedName>
    <definedName name="면">#REF!</definedName>
    <definedName name="면1" localSheetId="0">#REF!</definedName>
    <definedName name="면1">#REF!</definedName>
    <definedName name="면적표" localSheetId="0">#REF!</definedName>
    <definedName name="면적표">#REF!</definedName>
    <definedName name="명자0604">[26]데이타!$E$183</definedName>
    <definedName name="명자0805">[26]데이타!$E$184</definedName>
    <definedName name="명자1006">[26]데이타!$E$185</definedName>
    <definedName name="명자1208">[26]데이타!$E$186</definedName>
    <definedName name="모감주R10">[26]데이타!$E$190</definedName>
    <definedName name="모감주R4">[26]데이타!$E$187</definedName>
    <definedName name="모감주R6">[26]데이타!$E$188</definedName>
    <definedName name="모감주R8">[26]데이타!$E$189</definedName>
    <definedName name="모과2005">[26]데이타!$E$191</definedName>
    <definedName name="모과2507">[26]데이타!$E$192</definedName>
    <definedName name="모과R10">[26]데이타!$E$195</definedName>
    <definedName name="모과R12">[26]데이타!$E$196</definedName>
    <definedName name="모과R15">[26]데이타!$E$197</definedName>
    <definedName name="모과R20">[26]데이타!$E$198</definedName>
    <definedName name="모과R25">[26]데이타!$E$199</definedName>
    <definedName name="모과R5">[26]데이타!$E$193</definedName>
    <definedName name="모과R8">[26]데이타!$E$194</definedName>
    <definedName name="모니터">'[12]콤보박스와 리스트박스의 연결'!$H$15:$H$17</definedName>
    <definedName name="모델시작연도말">[47]재무가정!$H$14</definedName>
    <definedName name="모란5가지">[26]데이타!$E$200</definedName>
    <definedName name="모란6가지">[26]데이타!$E$201</definedName>
    <definedName name="목련R10">[26]데이타!$E$206</definedName>
    <definedName name="목련R12">[26]데이타!$E$207</definedName>
    <definedName name="목련R15">[26]데이타!$E$208</definedName>
    <definedName name="목련R20">[26]데이타!$E$209</definedName>
    <definedName name="목련R4">[26]데이타!$E$202</definedName>
    <definedName name="목련R5">[26]데이타!$E$203</definedName>
    <definedName name="목련R6">[26]데이타!$E$204</definedName>
    <definedName name="목련R8">[26]데이타!$E$205</definedName>
    <definedName name="목서1506">[26]데이타!$E$213</definedName>
    <definedName name="목서2012">[26]데이타!$E$214</definedName>
    <definedName name="목서2515">[26]데이타!$E$215</definedName>
    <definedName name="목수국1006">[26]데이타!$E$210</definedName>
    <definedName name="목수국1208">[26]데이타!$E$211</definedName>
    <definedName name="목수국1510">[26]데이타!$E$212</definedName>
    <definedName name="목차12" localSheetId="0">#REF!</definedName>
    <definedName name="목차12">#REF!</definedName>
    <definedName name="목포공항" localSheetId="0">[0]!영광원자력5,'[27]6호기'!$A$1</definedName>
    <definedName name="목포공항">[0]!영광원자력5,'[27]6호기'!$A$1</definedName>
    <definedName name="무0" localSheetId="0">#REF!</definedName>
    <definedName name="무0">#REF!</definedName>
    <definedName name="무1" localSheetId="0">#REF!</definedName>
    <definedName name="무1">#REF!</definedName>
    <definedName name="무2" localSheetId="0">#REF!</definedName>
    <definedName name="무2">#REF!</definedName>
    <definedName name="무궁화1003">[26]데이타!$E$216</definedName>
    <definedName name="무궁화1203">[26]데이타!$E$217</definedName>
    <definedName name="무궁화1504">[26]데이타!$E$218</definedName>
    <definedName name="무궁화1805">[26]데이타!$E$219</definedName>
    <definedName name="무궁화2006">[26]데이타!$E$220</definedName>
    <definedName name="무담보" localSheetId="0">#REF!</definedName>
    <definedName name="무담보">#REF!</definedName>
    <definedName name="무안">[41]노무비!$B$12</definedName>
    <definedName name="물" hidden="1">{#N/A,#N/A,FALSE,"이태원철근"}</definedName>
    <definedName name="물가" hidden="1">{#N/A,#N/A,FALSE,"이태원철근"}</definedName>
    <definedName name="물푸레R5">[26]데이타!$E$221</definedName>
    <definedName name="물푸레R6">[26]데이타!$E$222</definedName>
    <definedName name="물푸레R8">[26]데이타!$E$223</definedName>
    <definedName name="뭐가이태원이야" hidden="1">{#N/A,#N/A,FALSE,"이태원철근"}</definedName>
    <definedName name="미선0804">[26]데이타!$E$224</definedName>
    <definedName name="미선1206">[26]데이타!$E$225</definedName>
    <definedName name="미수이자" localSheetId="0">#REF!</definedName>
    <definedName name="미수이자">#REF!</definedName>
    <definedName name="민수틀사업성검토" localSheetId="0">[48]공동!#REF!</definedName>
    <definedName name="민수틀사업성검토">[48]공동!#REF!</definedName>
    <definedName name="ㅂ" hidden="1">{#N/A,#N/A,FALSE,"이태원철근"}</definedName>
    <definedName name="ㅂㅂ"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ㅂㅂㅂ" localSheetId="0">#REF!</definedName>
    <definedName name="ㅂㅂㅂ">#REF!</definedName>
    <definedName name="바보" localSheetId="0">#REF!</definedName>
    <definedName name="바보">#REF!</definedName>
    <definedName name="박" hidden="1">[49]생산직!$A$5:$U$139</definedName>
    <definedName name="반송1012">[26]데이타!$E$148</definedName>
    <definedName name="반송1215">[26]데이타!$E$149</definedName>
    <definedName name="반송1518">[26]데이타!$E$150</definedName>
    <definedName name="반송1520">[26]데이타!$E$151</definedName>
    <definedName name="반송2022">[26]데이타!$E$152</definedName>
    <definedName name="반영">[41]노무비!$B$2</definedName>
    <definedName name="반영근">[41]노무비!$B$10</definedName>
    <definedName name="반영근1">[41]노무비!$B$8</definedName>
    <definedName name="방송통신시설">[35]건축개요!$C$132</definedName>
    <definedName name="배당기일">[50]담보평가!$BN$9:$BN$178</definedName>
    <definedName name="배당액">[50]담보평가!$BR$9:$BR$178</definedName>
    <definedName name="배수공" localSheetId="0">#REF!</definedName>
    <definedName name="배수공">#REF!</definedName>
    <definedName name="백만원">[51]운영비산정가정!$E$40</definedName>
    <definedName name="범위">[52]입력부분!$A$3:$I$595</definedName>
    <definedName name="법정" localSheetId="0">#REF!</definedName>
    <definedName name="법정">#REF!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 hidden="1">{#N/A,#N/A,TRUE,"사업자등록증 (2)"}</definedName>
    <definedName name="보고서" localSheetId="0">[53]대여현황!#REF!</definedName>
    <definedName name="보고서">[53]대여현황!#REF!</definedName>
    <definedName name="보고서2" localSheetId="0">[54]첨!#REF!</definedName>
    <definedName name="보고서2">[54]첨!#REF!</definedName>
    <definedName name="보통인부B10">[26]식재인부!$C$24</definedName>
    <definedName name="보통인부B4이하">[26]식재인부!$C$18</definedName>
    <definedName name="보통인부B5">[26]식재인부!$C$19</definedName>
    <definedName name="보통인부B6">[26]식재인부!$C$20</definedName>
    <definedName name="보통인부B8">[26]식재인부!$C$22</definedName>
    <definedName name="보통인부R10">[26]식재인부!$C$54</definedName>
    <definedName name="보통인부R12">[26]식재인부!$C$56</definedName>
    <definedName name="보통인부R15">[26]식재인부!$C$59</definedName>
    <definedName name="보통인부R4이하">[26]식재인부!$C$48</definedName>
    <definedName name="보통인부R5">[26]식재인부!$C$49</definedName>
    <definedName name="보통인부R6">[26]식재인부!$C$50</definedName>
    <definedName name="보통인부R7">[26]식재인부!$C$51</definedName>
    <definedName name="보통인부R8">[26]식재인부!$C$52</definedName>
    <definedName name="보할공정률매출투입취하" hidden="1">{#N/A,#N/A,FALSE,"이태원철근"}</definedName>
    <definedName name="복1_1" localSheetId="0">[55]공동!#REF!</definedName>
    <definedName name="복1_1">[55]공동!#REF!</definedName>
    <definedName name="복1_2" localSheetId="0">[55]공동!#REF!</definedName>
    <definedName name="복1_2">[55]공동!#REF!</definedName>
    <definedName name="복2_1" localSheetId="0">[55]공동!#REF!</definedName>
    <definedName name="복2_1">[55]공동!#REF!</definedName>
    <definedName name="복2_2" localSheetId="0">[55]공동!#REF!</definedName>
    <definedName name="복2_2">[55]공동!#REF!</definedName>
    <definedName name="복3_1" localSheetId="0">[55]공동!#REF!</definedName>
    <definedName name="복3_1">[55]공동!#REF!</definedName>
    <definedName name="복3_2" localSheetId="0">[55]공동!#REF!</definedName>
    <definedName name="복3_2">[55]공동!#REF!</definedName>
    <definedName name="복4_1" localSheetId="0">[55]공동!#REF!</definedName>
    <definedName name="복4_1">[55]공동!#REF!</definedName>
    <definedName name="복4_2" localSheetId="0">[55]공동!#REF!</definedName>
    <definedName name="복4_2">[55]공동!#REF!</definedName>
    <definedName name="복5_1" localSheetId="0">[55]공동!#REF!</definedName>
    <definedName name="복5_1">[55]공동!#REF!</definedName>
    <definedName name="복5_2" localSheetId="0">[55]공동!#REF!</definedName>
    <definedName name="복5_2">[55]공동!#REF!</definedName>
    <definedName name="복6_1" localSheetId="0">[55]공동!#REF!</definedName>
    <definedName name="복6_1">[55]공동!#REF!</definedName>
    <definedName name="복6_2" localSheetId="0">[55]공동!#REF!</definedName>
    <definedName name="복6_2">[55]공동!#REF!</definedName>
    <definedName name="복7_01" localSheetId="0">[56]공동!#REF!</definedName>
    <definedName name="복7_01">[56]공동!#REF!</definedName>
    <definedName name="복7_1" localSheetId="0">[55]공동!#REF!</definedName>
    <definedName name="복7_1">[55]공동!#REF!</definedName>
    <definedName name="복7_2" localSheetId="0">[55]공동!#REF!</definedName>
    <definedName name="복7_2">[55]공동!#REF!</definedName>
    <definedName name="복8_1" localSheetId="0">[55]공동!#REF!</definedName>
    <definedName name="복8_1">[55]공동!#REF!</definedName>
    <definedName name="복8_2" localSheetId="0">[55]공동!#REF!</definedName>
    <definedName name="복8_2">[55]공동!#REF!</definedName>
    <definedName name="복9_01" localSheetId="0">[56]공동!#REF!</definedName>
    <definedName name="복9_01">[56]공동!#REF!</definedName>
    <definedName name="복9_02" localSheetId="0">[56]공동!#REF!</definedName>
    <definedName name="복9_02">[56]공동!#REF!</definedName>
    <definedName name="복9_1" localSheetId="0">[55]공동!#REF!</definedName>
    <definedName name="복9_1">[55]공동!#REF!</definedName>
    <definedName name="복9_2" localSheetId="0">[55]공동!#REF!</definedName>
    <definedName name="복9_2">[55]공동!#REF!</definedName>
    <definedName name="복사" hidden="1">{#N/A,#N/A,FALSE,"이태원철근"}</definedName>
    <definedName name="복사영역" localSheetId="0">#REF!</definedName>
    <definedName name="복사영역">#REF!</definedName>
    <definedName name="복합총면적" localSheetId="0">[55]공동!#REF!</definedName>
    <definedName name="복합총면적">[55]공동!#REF!</definedName>
    <definedName name="복합총면적_1" localSheetId="0">[56]공동!#REF!</definedName>
    <definedName name="복합총면적_1">[56]공동!#REF!</definedName>
    <definedName name="부가세율표" localSheetId="0">#REF!</definedName>
    <definedName name="부가세율표">#REF!</definedName>
    <definedName name="부대" localSheetId="0">#REF!</definedName>
    <definedName name="부대">#REF!</definedName>
    <definedName name="부대건축2" localSheetId="0" hidden="1">#REF!</definedName>
    <definedName name="부대건축2" hidden="1">#REF!</definedName>
    <definedName name="부대공" localSheetId="0">#REF!</definedName>
    <definedName name="부대공">#REF!</definedName>
    <definedName name="부대토목" localSheetId="0">#REF!</definedName>
    <definedName name="부대토목">#REF!</definedName>
    <definedName name="부서">[57]코드!$I$4:$K$110</definedName>
    <definedName name="부속동" localSheetId="0">#REF!</definedName>
    <definedName name="부속동">#REF!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지조서" hidden="1">{#N/A,#N/A,TRUE,"사업자등록증 (2)"}</definedName>
    <definedName name="분" hidden="1">{#N/A,#N/A,FALSE,"이태원철근"}</definedName>
    <definedName name="분당공" hidden="1">[58]Sheet4!$A$58:$A$97</definedName>
    <definedName name="분당물가" hidden="1">[3]Sheet4!$F$58:$F$73</definedName>
    <definedName name="분당코아" hidden="1">[59]마산월령동골조물량변경!$F$58:$F$73</definedName>
    <definedName name="분당협조" hidden="1">{#N/A,#N/A,FALSE,"이태원철근"}</definedName>
    <definedName name="분양" hidden="1">{#N/A,#N/A,FALSE,"이태원철근"}</definedName>
    <definedName name="분양건축집계" localSheetId="0">#REF!</definedName>
    <definedName name="분양건축집계">#REF!</definedName>
    <definedName name="분양면적표">[60]분양면적표!$B$6:$G$11</definedName>
    <definedName name="분양부대공사" localSheetId="0">#REF!</definedName>
    <definedName name="분양부대공사">#REF!</definedName>
    <definedName name="분양수금계획이다" localSheetId="0">BlankMacro1</definedName>
    <definedName name="분양수금계획이다">BlankMacro1</definedName>
    <definedName name="블10_1" localSheetId="0">[61]단독!#REF!</definedName>
    <definedName name="블10_1">[61]단독!#REF!</definedName>
    <definedName name="블14_010" localSheetId="0">[56]단독!#REF!</definedName>
    <definedName name="블14_010">[56]단독!#REF!</definedName>
    <definedName name="블14_10" localSheetId="0">[61]단독!#REF!</definedName>
    <definedName name="블14_10">[61]단독!#REF!</definedName>
    <definedName name="블록형총면적" localSheetId="0">#REF!</definedName>
    <definedName name="블록형총면적">#REF!</definedName>
    <definedName name="비"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비교분석">[10]!수금10</definedName>
    <definedName name="비목분개" localSheetId="0">#REF!</definedName>
    <definedName name="비목분개">#REF!</definedName>
    <definedName name="ㅅ"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ㅅ고" localSheetId="0">BlankMacro1</definedName>
    <definedName name="ㅅ고">BlankMacro1</definedName>
    <definedName name="ㅅ곳ㄱ" localSheetId="0">BlankMacro1</definedName>
    <definedName name="ㅅ곳ㄱ">BlankMacro1</definedName>
    <definedName name="ㅅㅅㅅㅅㅅ" localSheetId="0" hidden="1">#REF!</definedName>
    <definedName name="ㅅㅅㅅㅅㅅ" hidden="1">#REF!</definedName>
    <definedName name="사95">[62]Sheet5!$C$8</definedName>
    <definedName name="사96">[63]Sheet5!$C$12</definedName>
    <definedName name="사례3"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사사95">[62]한진금융비!$G$7</definedName>
    <definedName name="사사96">[63]한화금융비!$K$7</definedName>
    <definedName name="사업" hidden="1">{#N/A,#N/A,FALSE,"이태원철근"}</definedName>
    <definedName name="사업성15" hidden="1">{#N/A,#N/A,TRUE,"사업개요";#N/A,#N/A,TRUE,"위치도";#N/A,#N/A,TRUE,"상권분석";#N/A,#N/A,TRUE,"상권분석-1";#N/A,#N/A,TRUE,"현장사진";#N/A,#N/A,TRUE,"현장사진-1";#N/A,#N/A,TRUE,"현장사진-2";#N/A,#N/A,TRUE,"시장성향및방향"}</definedName>
    <definedName name="사업성2"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사업성3"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사업현황1" localSheetId="0">#REF!</definedName>
    <definedName name="사업현황1">#REF!</definedName>
    <definedName name="사용램프">[10]!사용램프</definedName>
    <definedName name="사회복지시설">[35]건축개요!$C$142</definedName>
    <definedName name="산출" localSheetId="0">#REF!</definedName>
    <definedName name="산출">#REF!</definedName>
    <definedName name="삼96">[63]Sheet5!$C$11</definedName>
    <definedName name="삼사96">[63]한화금융비!$J$7</definedName>
    <definedName name="상가" localSheetId="0">#REF!</definedName>
    <definedName name="상가">#REF!</definedName>
    <definedName name="상업총면적" localSheetId="0">#REF!</definedName>
    <definedName name="상업총면적">#REF!</definedName>
    <definedName name="새거" localSheetId="0">#REF!</definedName>
    <definedName name="새거">#REF!</definedName>
    <definedName name="새공통" hidden="1">{#N/A,#N/A,FALSE,"이태원철근"}</definedName>
    <definedName name="선택">CHOOSE('[12]콤보박스와 리스트박스의 연결'!$C$9,CPU,램,프린터,모니터)</definedName>
    <definedName name="선택1">CHOOSE([35]건축개요!$B$21,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선택2">CHOOSE([35]건축개요!$B$35,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선택3">CHOOSE([35]건축개요!$B$46,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설비" hidden="1">{#N/A,#N/A,FALSE,"이태원철근"}</definedName>
    <definedName name="설비공사" localSheetId="0">#REF!</definedName>
    <definedName name="설비공사">#REF!</definedName>
    <definedName name="성과보증개시" localSheetId="0">[21]재무가정!#REF!</definedName>
    <definedName name="성과보증개시">[21]재무가정!#REF!</definedName>
    <definedName name="성과보증기간" localSheetId="0">[21]재무가정!#REF!</definedName>
    <definedName name="성과보증기간">[21]재무가정!#REF!</definedName>
    <definedName name="세대1" localSheetId="0">[32]진행보고서!세대1</definedName>
    <definedName name="세대1">[32]진행보고서!세대1</definedName>
    <definedName name="세대마감2" localSheetId="0">[32]진행보고서!세대마감2</definedName>
    <definedName name="세대마감2">[32]진행보고서!세대마감2</definedName>
    <definedName name="속" localSheetId="0">BlankMacro1</definedName>
    <definedName name="속">BlankMacro1</definedName>
    <definedName name="손익분석1"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손익전망" localSheetId="0">#REF!</definedName>
    <definedName name="손익전망">#REF!</definedName>
    <definedName name="솟" localSheetId="0">BlankMacro1</definedName>
    <definedName name="솟">BlankMacro1</definedName>
    <definedName name="솟곳곳ㄱ" localSheetId="0">BlankMacro1</definedName>
    <definedName name="솟곳곳ㄱ">BlankMacro1</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금1" localSheetId="0">[32]진행보고서!수금1</definedName>
    <definedName name="수금1">[32]진행보고서!수금1</definedName>
    <definedName name="수금10">#N/A</definedName>
    <definedName name="수금100" localSheetId="0">[32]진행보고서!수금100</definedName>
    <definedName name="수금100">[32]진행보고서!수금100</definedName>
    <definedName name="수금11" localSheetId="0">[32]진행보고서!수금11</definedName>
    <definedName name="수금11">[32]진행보고서!수금11</definedName>
    <definedName name="수금12" localSheetId="0">[32]진행보고서!수금12</definedName>
    <definedName name="수금12">[32]진행보고서!수금12</definedName>
    <definedName name="수금2" localSheetId="0">[32]진행보고서!수금2</definedName>
    <definedName name="수금2">[32]진행보고서!수금2</definedName>
    <definedName name="수금3" localSheetId="0">[32]진행보고서!수금3</definedName>
    <definedName name="수금3">[32]진행보고서!수금3</definedName>
    <definedName name="수금4" localSheetId="0">[32]진행보고서!수금4</definedName>
    <definedName name="수금4">[32]진행보고서!수금4</definedName>
    <definedName name="수금5" localSheetId="0">[32]진행보고서!수금5</definedName>
    <definedName name="수금5">[32]진행보고서!수금5</definedName>
    <definedName name="수금6" localSheetId="0">[32]진행보고서!수금6</definedName>
    <definedName name="수금6">[32]진행보고서!수금6</definedName>
    <definedName name="수금7" localSheetId="0">[32]진행보고서!수금7</definedName>
    <definedName name="수금7">[32]진행보고서!수금7</definedName>
    <definedName name="수금8" localSheetId="0">[32]진행보고서!수금8</definedName>
    <definedName name="수금8">[32]진행보고서!수금8</definedName>
    <definedName name="수금9" localSheetId="0">[32]진행보고서!수금9</definedName>
    <definedName name="수금9">[32]진행보고서!수금9</definedName>
    <definedName name="수주" localSheetId="0" hidden="1">[64]스포회원매출!#REF!</definedName>
    <definedName name="수주" hidden="1">[64]스포회원매출!#REF!</definedName>
    <definedName name="수주검토2" localSheetId="0">BlankMacro1</definedName>
    <definedName name="수주검토2">BlankMacro1</definedName>
    <definedName name="수주정보" localSheetId="0">BlankMacro1</definedName>
    <definedName name="수주정보">BlankMacro1</definedName>
    <definedName name="수주정보등록" localSheetId="0">BlankMacro1</definedName>
    <definedName name="수주정보등록">BlankMacro1</definedName>
    <definedName name="수주정보보고서" localSheetId="0">BlankMacro1</definedName>
    <definedName name="수주정보보고서">BlankMacro1</definedName>
    <definedName name="수지2">#N/A</definedName>
    <definedName name="수지분석">#N/A</definedName>
    <definedName name="수지분석2">{"Book1","공동준비.xls"}</definedName>
    <definedName name="수지분석비교">#N/A</definedName>
    <definedName name="숙박시설">[35]건축개요!$C$126</definedName>
    <definedName name="스케줄" localSheetId="0">#REF!</definedName>
    <definedName name="스케줄">#REF!</definedName>
    <definedName name="시공여유" localSheetId="0">#REF!</definedName>
    <definedName name="시공여유">#REF!</definedName>
    <definedName name="시나리오" localSheetId="0">#REF!</definedName>
    <definedName name="시나리오">#REF!</definedName>
    <definedName name="시세" localSheetId="0">#REF!</definedName>
    <definedName name="시세">#REF!</definedName>
    <definedName name="시행" hidden="1">{#N/A,#N/A,FALSE,"이태원철근"}</definedName>
    <definedName name="신분양가산정" localSheetId="0">#REF!</definedName>
    <definedName name="신분양가산정">#REF!</definedName>
    <definedName name="신인도" localSheetId="0">#REF!</definedName>
    <definedName name="신인도">#REF!</definedName>
    <definedName name="신호기">[10]!신호기</definedName>
    <definedName name="실지배당액">'[65]CashFlow(중간집계)'!$G$9:$G$343</definedName>
    <definedName name="실지배당액현가">'[43]CashFlow(중간집계)'!$I$9:$I$61</definedName>
    <definedName name="실행총괄" localSheetId="0">#REF!</definedName>
    <definedName name="실행총괄">#REF!</definedName>
    <definedName name="ㅇ" localSheetId="0">#REF!</definedName>
    <definedName name="ㅇ">#REF!</definedName>
    <definedName name="ㅇ19" localSheetId="0">[66]투입!#REF!</definedName>
    <definedName name="ㅇ19">[66]투입!#REF!</definedName>
    <definedName name="ㅇㄴㄹㅇㄹ" localSheetId="0" hidden="1">[67]목차!#REF!</definedName>
    <definedName name="ㅇㄴㄹㅇㄹ" hidden="1">[67]목차!#REF!</definedName>
    <definedName name="ㅇㄹ" localSheetId="0">#REF!</definedName>
    <definedName name="ㅇㄹ">#REF!</definedName>
    <definedName name="ㅇㄹㄴㄹㅁㄴㅇㄹ" localSheetId="0">#REF!</definedName>
    <definedName name="ㅇㄹㄴㄹㅁㄴㅇㄹ">#REF!</definedName>
    <definedName name="ㅇㄹㄴㅇㄹ">{"Book1","공동준비.xls"}</definedName>
    <definedName name="ㅇㄹㅇ" localSheetId="0">BlankMacro1</definedName>
    <definedName name="ㅇㄹㅇ">BlankMacro1</definedName>
    <definedName name="ㅇㄹㅇㄹ" localSheetId="0">#REF!</definedName>
    <definedName name="ㅇㄹㅇㄹ">#REF!</definedName>
    <definedName name="ㅇㅁㄴㄹ" localSheetId="0">#REF!</definedName>
    <definedName name="ㅇㅁㄴㄹ">#REF!</definedName>
    <definedName name="ㅇㅅㅎ"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ㅇㅇ" localSheetId="0">BlankMacro1</definedName>
    <definedName name="ㅇㅇ">BlankMacro1</definedName>
    <definedName name="ㅇ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ㅊㅊ" hidden="1">{#N/A,#N/A,TRUE,"사업자등록증 (2)"}</definedName>
    <definedName name="아"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아1_1" localSheetId="0">[55]공동!#REF!</definedName>
    <definedName name="아1_1">[55]공동!#REF!</definedName>
    <definedName name="아1_2" localSheetId="0">[55]공동!#REF!</definedName>
    <definedName name="아1_2">[55]공동!#REF!</definedName>
    <definedName name="아2_1" localSheetId="0">[55]공동!#REF!</definedName>
    <definedName name="아2_1">[55]공동!#REF!</definedName>
    <definedName name="아2_2" localSheetId="0">[55]공동!#REF!</definedName>
    <definedName name="아2_2">[55]공동!#REF!</definedName>
    <definedName name="아3_1" localSheetId="0">[55]공동!#REF!</definedName>
    <definedName name="아3_1">[55]공동!#REF!</definedName>
    <definedName name="아3_2" localSheetId="0">[55]공동!#REF!</definedName>
    <definedName name="아3_2">[55]공동!#REF!</definedName>
    <definedName name="아3_3" localSheetId="0">[55]공동!#REF!</definedName>
    <definedName name="아3_3">[55]공동!#REF!</definedName>
    <definedName name="아3_4" localSheetId="0">[55]공동!#REF!</definedName>
    <definedName name="아3_4">[55]공동!#REF!</definedName>
    <definedName name="아4_1" localSheetId="0">[55]공동!#REF!</definedName>
    <definedName name="아4_1">[55]공동!#REF!</definedName>
    <definedName name="아4_2" localSheetId="0">[55]공동!#REF!</definedName>
    <definedName name="아4_2">[55]공동!#REF!</definedName>
    <definedName name="아4_3" localSheetId="0">[55]공동!#REF!</definedName>
    <definedName name="아4_3">[55]공동!#REF!</definedName>
    <definedName name="아4_4" localSheetId="0">[55]공동!#REF!</definedName>
    <definedName name="아4_4">[55]공동!#REF!</definedName>
    <definedName name="아5_1" localSheetId="0">[55]공동!#REF!</definedName>
    <definedName name="아5_1">[55]공동!#REF!</definedName>
    <definedName name="아5_2" localSheetId="0">[55]공동!#REF!</definedName>
    <definedName name="아5_2">[55]공동!#REF!</definedName>
    <definedName name="아5_3" localSheetId="0">[55]공동!#REF!</definedName>
    <definedName name="아5_3">[55]공동!#REF!</definedName>
    <definedName name="아5_4" localSheetId="0">[55]공동!#REF!</definedName>
    <definedName name="아5_4">[55]공동!#REF!</definedName>
    <definedName name="아6_1" localSheetId="0">[55]공동!#REF!</definedName>
    <definedName name="아6_1">[55]공동!#REF!</definedName>
    <definedName name="아6_2" localSheetId="0">[55]공동!#REF!</definedName>
    <definedName name="아6_2">[55]공동!#REF!</definedName>
    <definedName name="아7" localSheetId="0">[55]공동!#REF!</definedName>
    <definedName name="아7">[55]공동!#REF!</definedName>
    <definedName name="아8_1" localSheetId="0">[55]공동!#REF!</definedName>
    <definedName name="아8_1">[55]공동!#REF!</definedName>
    <definedName name="아8_2" localSheetId="0">[55]공동!#REF!</definedName>
    <definedName name="아8_2">[55]공동!#REF!</definedName>
    <definedName name="아8_3" localSheetId="0">[55]공동!#REF!</definedName>
    <definedName name="아8_3">[55]공동!#REF!</definedName>
    <definedName name="아8_4" localSheetId="0">[55]공동!#REF!</definedName>
    <definedName name="아8_4">[55]공동!#REF!</definedName>
    <definedName name="아8_5" localSheetId="0">[55]공동!#REF!</definedName>
    <definedName name="아8_5">[55]공동!#REF!</definedName>
    <definedName name="아9_04" localSheetId="0">[56]공동!#REF!</definedName>
    <definedName name="아9_04">[56]공동!#REF!</definedName>
    <definedName name="아9_1" localSheetId="0">[55]공동!#REF!</definedName>
    <definedName name="아9_1">[55]공동!#REF!</definedName>
    <definedName name="아9_2" localSheetId="0">[55]공동!#REF!</definedName>
    <definedName name="아9_2">[55]공동!#REF!</definedName>
    <definedName name="아9_3" localSheetId="0">[55]공동!#REF!</definedName>
    <definedName name="아9_3">[55]공동!#REF!</definedName>
    <definedName name="아9_4" localSheetId="0">[55]공동!#REF!</definedName>
    <definedName name="아9_4">[55]공동!#REF!</definedName>
    <definedName name="아9_5" localSheetId="0">[55]공동!#REF!</definedName>
    <definedName name="아9_5">[55]공동!#REF!</definedName>
    <definedName name="아라라라라라랄" localSheetId="0">BlankMacro1</definedName>
    <definedName name="아라라라라라랄">BlankMacro1</definedName>
    <definedName name="아름" hidden="1">{#N/A,#N/A,FALSE,"이태원철근"}</definedName>
    <definedName name="아아아" localSheetId="0">#REF!</definedName>
    <definedName name="아아아">#REF!</definedName>
    <definedName name="아파트" localSheetId="0">#REF!</definedName>
    <definedName name="아파트">#REF!</definedName>
    <definedName name="아파트건축면적" localSheetId="0">#REF!</definedName>
    <definedName name="아파트건축면적">#REF!</definedName>
    <definedName name="아파트대지면적" localSheetId="0">#REF!</definedName>
    <definedName name="아파트대지면적">#REF!</definedName>
    <definedName name="아파트전체연면적" localSheetId="0">#REF!</definedName>
    <definedName name="아파트전체연면적">#REF!</definedName>
    <definedName name="아파트지상층면적" localSheetId="0">#REF!</definedName>
    <definedName name="아파트지상층면적">#REF!</definedName>
    <definedName name="안내" hidden="1">{#N/A,#N/A,FALSE,"이태원철근"}</definedName>
    <definedName name="안양현대" hidden="1">{#N/A,#N/A,FALSE,"이태원철근"}</definedName>
    <definedName name="안전" localSheetId="0">#REF!</definedName>
    <definedName name="안전">#REF!</definedName>
    <definedName name="안전관리비" localSheetId="0">#REF!</definedName>
    <definedName name="안전관리비">#REF!</definedName>
    <definedName name="암남동총괄표" localSheetId="0">[68]반포2차!#REF!</definedName>
    <definedName name="암남동총괄표">[68]반포2차!#REF!</definedName>
    <definedName name="암사" localSheetId="0">#REF!</definedName>
    <definedName name="암사">#REF!</definedName>
    <definedName name="양" hidden="1">{#N/A,#N/A,FALSE,"이태원철근"}</definedName>
    <definedName name="양매자0403">[26]데이타!$E$168</definedName>
    <definedName name="양매자0505">[26]데이타!$E$169</definedName>
    <definedName name="양매자0606">[26]데이타!$E$170</definedName>
    <definedName name="양중계획" hidden="1">{#N/A,#N/A,FALSE,"이태원철근"}</definedName>
    <definedName name="업무시설">[35]건축개요!$C$118:$C$119</definedName>
    <definedName name="업체명" localSheetId="0">#REF!</definedName>
    <definedName name="업체명">#REF!</definedName>
    <definedName name="업체명1" localSheetId="0">#REF!</definedName>
    <definedName name="업체명1">#REF!</definedName>
    <definedName name="연1_01" localSheetId="0">[56]공동!#REF!</definedName>
    <definedName name="연1_01">[56]공동!#REF!</definedName>
    <definedName name="연1_1" localSheetId="0">[55]공동!#REF!</definedName>
    <definedName name="연1_1">[55]공동!#REF!</definedName>
    <definedName name="연1_2" localSheetId="0">[55]공동!#REF!</definedName>
    <definedName name="연1_2">[55]공동!#REF!</definedName>
    <definedName name="연1_3" localSheetId="0">[55]공동!#REF!</definedName>
    <definedName name="연1_3">[55]공동!#REF!</definedName>
    <definedName name="연2_1" localSheetId="0">[55]공동!#REF!</definedName>
    <definedName name="연2_1">[55]공동!#REF!</definedName>
    <definedName name="연2_2" localSheetId="0">[55]공동!#REF!</definedName>
    <definedName name="연2_2">[55]공동!#REF!</definedName>
    <definedName name="연3" localSheetId="0">[55]공동!#REF!</definedName>
    <definedName name="연3">[55]공동!#REF!</definedName>
    <definedName name="연4" localSheetId="0">[55]공동!#REF!</definedName>
    <definedName name="연4">[55]공동!#REF!</definedName>
    <definedName name="연립총면적" localSheetId="0">[55]공동!#REF!</definedName>
    <definedName name="연립총면적">[55]공동!#REF!</definedName>
    <definedName name="영광원자력56호기" localSheetId="0">[0]!영광원자력5,'[27]6호기'!$A$1</definedName>
    <definedName name="영광원자력56호기">[0]!영광원자력5,'[27]6호기'!$A$1</definedName>
    <definedName name="예산내역" hidden="1">{#N/A,#N/A,FALSE,"이태원철근"}</definedName>
    <definedName name="오" localSheetId="0">[54]첨!#REF!</definedName>
    <definedName name="오">[54]첨!#REF!</definedName>
    <definedName name="오순선" hidden="1">[69]생산직!$A$5:$U$139</definedName>
    <definedName name="옥" hidden="1">{#N/A,#N/A,FALSE,"이태원철근"}</definedName>
    <definedName name="옥외공사" hidden="1">{#N/A,#N/A,FALSE,"이태원철근"}</definedName>
    <definedName name="옥외대비" hidden="1">{#N/A,#N/A,FALSE,"이태원철근"}</definedName>
    <definedName name="외주공과잡비" localSheetId="0">#REF!</definedName>
    <definedName name="외주공과잡비">#REF!</definedName>
    <definedName name="외주안전" localSheetId="0">#REF!</definedName>
    <definedName name="외주안전">#REF!</definedName>
    <definedName name="우리" hidden="1">{#N/A,#N/A,FALSE,"이태원철근"}</definedName>
    <definedName name="운영개시일">'[36]가정 및 결과'!$J$26</definedName>
    <definedName name="운영비대안">[21]운영비용!$F$43</definedName>
    <definedName name="운영종료일">'[36]가정 및 결과'!$J$29</definedName>
    <definedName name="운전자본증가율" localSheetId="0">#REF!</definedName>
    <definedName name="운전자본증가율">#REF!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위락시설">[35]건축개요!$C$127:$C$128</definedName>
    <definedName name="위치도" localSheetId="0">BlankMacro1</definedName>
    <definedName name="위치도">BlankMacro1</definedName>
    <definedName name="위험물">[35]건축개요!$C$143</definedName>
    <definedName name="유" hidden="1">{#N/A,#N/A,FALSE,"이태원철근"}</definedName>
    <definedName name="유1" localSheetId="0">#REF!</definedName>
    <definedName name="유1">#REF!</definedName>
    <definedName name="유2" localSheetId="0">#REF!</definedName>
    <definedName name="유2">#REF!</definedName>
    <definedName name="유치원" localSheetId="0">#REF!</definedName>
    <definedName name="유치원">#REF!</definedName>
    <definedName name="응암개략산정표" localSheetId="0">#REF!</definedName>
    <definedName name="응암개략산정표">#REF!</definedName>
    <definedName name="응암개략집계표" localSheetId="0">#REF!</definedName>
    <definedName name="응암개략집계표">#REF!</definedName>
    <definedName name="의료시설">[35]건축개요!$C$117</definedName>
    <definedName name="이95">[62]Sheet5!$C$6</definedName>
    <definedName name="이96">[63]Sheet5!$C$10</definedName>
    <definedName name="이라리" localSheetId="0">BlankMacro1</definedName>
    <definedName name="이라리">BlankMacro1</definedName>
    <definedName name="이름" hidden="1">{#N/A,#N/A,FALSE,"이태원철근"}</definedName>
    <definedName name="이사95">[62]한진금융비!$E$7</definedName>
    <definedName name="이사96">[63]한화금융비!$I$7</definedName>
    <definedName name="이이이ㅣ잉" localSheetId="0">BlankMacro1</definedName>
    <definedName name="이이이ㅣ잉">BlankMacro1</definedName>
    <definedName name="이재성이이이이이" localSheetId="0">#REF!</definedName>
    <definedName name="이재성이이이이이">#REF!</definedName>
    <definedName name="이주" localSheetId="0">#REF!</definedName>
    <definedName name="이주">#REF!</definedName>
    <definedName name="인모" localSheetId="0">#REF!</definedName>
    <definedName name="인모">#REF!</definedName>
    <definedName name="인양제내역서">[70]전체!$B$1:$H$248</definedName>
    <definedName name="일95">[62]Sheet5!$C$5</definedName>
    <definedName name="일96">[62]Sheet5!$C$9</definedName>
    <definedName name="일련번호">[50]담보평가!$B$9:$B$178</definedName>
    <definedName name="일사95">[62]한진금융비!$D$7</definedName>
    <definedName name="일사96">[62]한진금융비!$H$7</definedName>
    <definedName name="일산사업팀" localSheetId="0">BlankMacro1</definedName>
    <definedName name="일산사업팀">BlankMacro1</definedName>
    <definedName name="일자">[52]색인구역!$B$6:$B$247</definedName>
    <definedName name="임대건축집계" localSheetId="0">#REF!</definedName>
    <definedName name="임대건축집계">#REF!</definedName>
    <definedName name="임대부대공사" localSheetId="0">#REF!</definedName>
    <definedName name="임대부대공사">#REF!</definedName>
    <definedName name="임대부속동" localSheetId="0">#REF!</definedName>
    <definedName name="임대부속동">#REF!</definedName>
    <definedName name="임대상가" localSheetId="0">#REF!</definedName>
    <definedName name="임대상가">#REF!</definedName>
    <definedName name="임대아파트" localSheetId="0">#REF!</definedName>
    <definedName name="임대아파트">#REF!</definedName>
    <definedName name="임대주차장" localSheetId="0">#REF!</definedName>
    <definedName name="임대주차장">#REF!</definedName>
    <definedName name="ㅈ" hidden="1">{#N/A,#N/A,FALSE,"이태원철근"}</definedName>
    <definedName name="ㅈㄱ" hidden="1">{#N/A,#N/A,TRUE,"사업자등록증 (2)"}</definedName>
    <definedName name="ㅈㄷ륒ㄹ"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ㅈㅇ">#N/A</definedName>
    <definedName name="ㅈㅈ" localSheetId="0">CHOOSE([71]건축개요!$B$46,[0]!ㅊ,[10]!중6,[10]!이사96,[10]!유1,[0]!군장,[0]!조,[0]!평촌,[0]!ㅇㅅㅎ,[10]!유1,[0]!군장,[0]!보,동일수지표!공정2,[0]!군장,[0]!조,[0]!군장,[10]!총면적,[0]!선택1,[10]!유1,동일수지표!금융비,[0]!조,[10]!총면적,[0]!듈오ㅠ처ㅠㅂ쳐ㅓㅠㅂ,[10]!공사)</definedName>
    <definedName name="ㅈㅈ">CHOOSE([71]건축개요!$B$46,ㅊ,[10]!중6,[10]!이사96,[10]!유1,군장,조,평촌,ㅇㅅㅎ,[10]!유1,군장,보,공정2,군장,조,군장,[10]!총면적,선택1,[10]!유1,금융비,조,[10]!총면적,듈오ㅠ처ㅠㅂ쳐ㅓㅠㅂ,[10]!공사)</definedName>
    <definedName name="ㅈㅈㅈ"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자" localSheetId="0">[72]반포2차!#REF!</definedName>
    <definedName name="자">[72]반포2차!#REF!</definedName>
    <definedName name="자금" localSheetId="0">BlankMacro1</definedName>
    <definedName name="자금">BlankMacro1</definedName>
    <definedName name="자기자본" localSheetId="0">#REF!</definedName>
    <definedName name="자기자본">#REF!</definedName>
    <definedName name="자자자" localSheetId="0" hidden="1">[29]목차!#REF!</definedName>
    <definedName name="자자자" hidden="1">[29]목차!#REF!</definedName>
    <definedName name="자치구" localSheetId="0">#REF!</definedName>
    <definedName name="자치구">#REF!</definedName>
    <definedName name="잔" localSheetId="0">'[19]98지급계획'!#REF!</definedName>
    <definedName name="잔">'[19]98지급계획'!#REF!</definedName>
    <definedName name="잔금비율_공장">[73]cashflow!$AE$12</definedName>
    <definedName name="잔금비율_근생">[73]cashflow!$AE$14</definedName>
    <definedName name="잔금비율_기숙사">[73]cashflow!$AE$16</definedName>
    <definedName name="잔존년수">[74]잔존년수!$B$7:$C$32</definedName>
    <definedName name="장례묘지관련">[35]건축개요!$C$146:$C$147</definedName>
    <definedName name="재고회전율" localSheetId="0">#REF!</definedName>
    <definedName name="재고회전율">#REF!</definedName>
    <definedName name="저" localSheetId="0">CHOOSE([71]건축개요!$B$46,[0]!ㅊ,[10]!중6,[10]!이사96,[10]!유1,[0]!군장,[0]!조,[0]!평촌,[0]!ㅇㅅㅎ,[10]!유1,[0]!군장,[0]!보,동일수지표!공정2,[0]!군장,[0]!조,[0]!군장,[10]!총면적,[0]!선택1,[10]!유1,동일수지표!금융비,[0]!조,[10]!총면적,[0]!듈오ㅠ처ㅠㅂ쳐ㅓㅠㅂ,[10]!공사)</definedName>
    <definedName name="저">CHOOSE([71]건축개요!$B$46,ㅊ,[10]!중6,[10]!이사96,[10]!유1,군장,조,평촌,ㅇㅅㅎ,[10]!유1,군장,보,공정2,군장,조,군장,[10]!총면적,선택1,[10]!유1,금융비,조,[10]!총면적,듈오ㅠ처ㅠㅂ쳐ㅓㅠㅂ,[10]!공사)</definedName>
    <definedName name="저압케이블공">[10]!저압케이블공</definedName>
    <definedName name="저장시설">[35]건축개요!$C$136:$C$138</definedName>
    <definedName name="저저" localSheetId="0" hidden="1">[15]목차!#REF!</definedName>
    <definedName name="저저" hidden="1">[15]목차!#REF!</definedName>
    <definedName name="전기공사" localSheetId="0">#REF!</definedName>
    <definedName name="전기공사">#REF!</definedName>
    <definedName name="전략기획팀1" localSheetId="0">#REF!</definedName>
    <definedName name="전략기획팀1">#REF!</definedName>
    <definedName name="전략기획팀손익" localSheetId="0">#REF!</definedName>
    <definedName name="전략기획팀손익">#REF!</definedName>
    <definedName name="전망" localSheetId="0">#REF!</definedName>
    <definedName name="전망">#REF!</definedName>
    <definedName name="전시시설">[35]건축개요!$C$122:$C$123</definedName>
    <definedName name="전체건축면적" localSheetId="0">#REF!</definedName>
    <definedName name="전체건축면적">#REF!</definedName>
    <definedName name="전체대지면적" localSheetId="0">#REF!</definedName>
    <definedName name="전체대지면적">#REF!</definedName>
    <definedName name="전체세대수" localSheetId="0">#REF!</definedName>
    <definedName name="전체세대수">#REF!</definedName>
    <definedName name="전체연면적" localSheetId="0">#REF!</definedName>
    <definedName name="전체연면적">#REF!</definedName>
    <definedName name="전체지상층면적" localSheetId="0">#REF!</definedName>
    <definedName name="전체지상층면적">#REF!</definedName>
    <definedName name="전체지하층면적" localSheetId="0">#REF!</definedName>
    <definedName name="전체지하층면적">#REF!</definedName>
    <definedName name="절" localSheetId="0" hidden="1">[37]유림골조!#REF!</definedName>
    <definedName name="절" hidden="1">[37]유림골조!#REF!</definedName>
    <definedName name="정렬범위" localSheetId="0">#REF!</definedName>
    <definedName name="정렬범위">#REF!</definedName>
    <definedName name="정리계획">[43]정리계획CF평가!$B$7:$G$39</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조경공">[34]데이타!$E$658</definedName>
    <definedName name="조경공B10">[26]식재인부!$B$24</definedName>
    <definedName name="조경공B4이하">[26]식재인부!$B$18</definedName>
    <definedName name="조경공B5">[26]식재인부!$B$19</definedName>
    <definedName name="조경공B6">[26]식재인부!$B$20</definedName>
    <definedName name="조경공B8">[26]식재인부!$B$22</definedName>
    <definedName name="조경공R10">[26]식재인부!$B$54</definedName>
    <definedName name="조경공R12">[26]식재인부!$B$56</definedName>
    <definedName name="조경공R15">[26]식재인부!$B$59</definedName>
    <definedName name="조경공R4이하">[26]식재인부!$B$48</definedName>
    <definedName name="조경공R5">[26]식재인부!$B$49</definedName>
    <definedName name="조경공R6">[26]식재인부!$B$50</definedName>
    <definedName name="조경공R7">[26]식재인부!$B$51</definedName>
    <definedName name="조경공R8">[26]식재인부!$B$52</definedName>
    <definedName name="조달금액">[73]수지표!$E$32</definedName>
    <definedName name="조도등주종류">[10]!조도등주종류</definedName>
    <definedName name="조도케이블길이">[10]!조도케이블길이</definedName>
    <definedName name="조수">[10]!조수</definedName>
    <definedName name="조원공_1.1_1.5">[26]식재인부!$B$5</definedName>
    <definedName name="조합지분" localSheetId="0">#REF!</definedName>
    <definedName name="조합지분">#REF!</definedName>
    <definedName name="조형가이즈까3010">[26]데이타!$E$11</definedName>
    <definedName name="조형가이즈까3012">[26]데이타!$E$12</definedName>
    <definedName name="조형가이즈까3014">[26]데이타!$E$13</definedName>
    <definedName name="조형가이즈까3516">[26]데이타!$E$14</definedName>
    <definedName name="종교시설">[35]건축개요!$C$115:$C$116</definedName>
    <definedName name="주거시설">[35]건축개요!$C$114</definedName>
    <definedName name="주요개정">{"Book1","공동준비.xls"}</definedName>
    <definedName name="주요개정2">{"Book1","공동준비.xls"}</definedName>
    <definedName name="죽전5차" hidden="1">{#N/A,#N/A,FALSE,"이태원철근"}</definedName>
    <definedName name="준공_및_잔금" localSheetId="0">#REF!</definedName>
    <definedName name="준공_및_잔금">#REF!</definedName>
    <definedName name="중5" localSheetId="0">[72]반포2차!#REF!</definedName>
    <definedName name="중5">[72]반포2차!#REF!</definedName>
    <definedName name="중6" localSheetId="0">[72]반포2차!#REF!</definedName>
    <definedName name="중6">[72]반포2차!#REF!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기기사">[10]!중기기사</definedName>
    <definedName name="중정형" localSheetId="0">#REF!</definedName>
    <definedName name="중정형">#REF!</definedName>
    <definedName name="지보7" localSheetId="0">#REF!</definedName>
    <definedName name="지보7">#REF!</definedName>
    <definedName name="지보약" localSheetId="0">#REF!</definedName>
    <definedName name="지보약">#REF!</definedName>
    <definedName name="지지지" localSheetId="0">BlankMacro1</definedName>
    <definedName name="지지지">BlankMacro1</definedName>
    <definedName name="직원조직" hidden="1">{#N/A,#N/A,FALSE,"이태원철근"}</definedName>
    <definedName name="직원조직표" hidden="1">{#N/A,#N/A,FALSE,"이태원철근"}</definedName>
    <definedName name="ㅊ" hidden="1">{#N/A,#N/A,FALSE,"사업개요";#N/A,#N/A,FALSE,"위치도";#N/A,#N/A,FALSE,"상권분석";#N/A,#N/A,FALSE,"상권분석-1";#N/A,#N/A,FALSE,"주변현황";#N/A,#N/A,FALSE,"주변현황-1";#N/A,#N/A,FALSE,"시장성향";#N/A,#N/A,FALSE,"적정분양가제안 ";#N/A,#N/A,FALSE,"적정분양가제안(1)";#N/A,#N/A,FALSE,"적정분양가제안(2)";#N/A,#N/A,FALSE,"사업추진방향";#N/A,#N/A,FALSE,"MD기획";#N/A,#N/A,FALSE,"MD기획 (2)";#N/A,#N/A,FALSE,"변경분양가 및 수수료율";#N/A,#N/A,FALSE,"분양및 매체일정(1)";#N/A,#N/A,FALSE,"분양 및 매체일정(2)";#N/A,#N/A,FALSE,"실적";#N/A,#N/A,FALSE,"실적-1";#N/A,#N/A,FALSE,"실적-2";#N/A,#N/A,FALSE,"조직도";#N/A,#N/A,FALSE,"등기부등본";#N/A,#N/A,FALSE,"사업자등록증"}</definedName>
    <definedName name="ㅊ5" localSheetId="0">[66]수입!#REF!</definedName>
    <definedName name="ㅊ5">[66]수입!#REF!</definedName>
    <definedName name="차" localSheetId="0">#REF!</definedName>
    <definedName name="차">#REF!</definedName>
    <definedName name="차량SVC" hidden="1">{#N/A,#N/A,FALSE,"UNIT";#N/A,#N/A,FALSE,"UNIT";#N/A,#N/A,FALSE,"계정"}</definedName>
    <definedName name="차주번호" localSheetId="0">#REF!</definedName>
    <definedName name="차주번호">#REF!</definedName>
    <definedName name="차주번호2">'[43]CashFlow(중간집계)'!$C$9:$C$61</definedName>
    <definedName name="찬의"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참조" localSheetId="0">#REF!</definedName>
    <definedName name="참조">#REF!</definedName>
    <definedName name="창고" localSheetId="0">#REF!</definedName>
    <definedName name="창고">#REF!</definedName>
    <definedName name="채무자번호" localSheetId="0">#REF!</definedName>
    <definedName name="채무자번호">#REF!</definedName>
    <definedName name="처처구구" localSheetId="0" hidden="1">[8]스포회원매출!#REF!</definedName>
    <definedName name="처처구구" hidden="1">[8]스포회원매출!#REF!</definedName>
    <definedName name="철거" localSheetId="0">#REF!</definedName>
    <definedName name="철거">#REF!</definedName>
    <definedName name="청" localSheetId="0">[24]!Macro14</definedName>
    <definedName name="청">[24]!Macro14</definedName>
    <definedName name="청소년수련시설">[35]건축개요!$C$148</definedName>
    <definedName name="체육시설">[35]건축개요!$C$141</definedName>
    <definedName name="초기예산서보고" hidden="1">{#N/A,#N/A,FALSE,"이태원철근"}</definedName>
    <definedName name="총" localSheetId="0">#REF!</definedName>
    <definedName name="총">#REF!</definedName>
    <definedName name="총괄표" localSheetId="0">#REF!</definedName>
    <definedName name="총괄표">#REF!</definedName>
    <definedName name="총면적" localSheetId="0">#REF!</definedName>
    <definedName name="총면적">#REF!</definedName>
    <definedName name="최종" localSheetId="0">BlankMacro1</definedName>
    <definedName name="최종">BlankMacro1</definedName>
    <definedName name="추심기일">'[43]CashFlow(중간집계)'!$C$9:$M$61</definedName>
    <definedName name="추심기일2">[65]LoanList!$AH$9:$AH$537</definedName>
    <definedName name="추심액">[65]LoanList!$AG$9:$AG$537</definedName>
    <definedName name="충당금" localSheetId="0">#REF!</definedName>
    <definedName name="충당금">#REF!</definedName>
    <definedName name="취소">[10]!취소</definedName>
    <definedName name="취하" hidden="1">{#N/A,#N/A,FALSE,"이태원철근"}</definedName>
    <definedName name="치치구구" localSheetId="0">#REF!</definedName>
    <definedName name="치치구구">#REF!</definedName>
    <definedName name="치치허허" localSheetId="0">#REF!</definedName>
    <definedName name="치치허허">#REF!</definedName>
    <definedName name="ㅋ"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크레인가격">[10]!크레인가격</definedName>
    <definedName name="ㅌ" hidden="1">{#N/A,#N/A,TRUE,"사업개요";#N/A,#N/A,TRUE,"위치도";#N/A,#N/A,TRUE,"상권분석";#N/A,#N/A,TRUE,"상권분석-1";#N/A,#N/A,TRUE,"현장사진";#N/A,#N/A,TRUE,"현장사진-1";#N/A,#N/A,TRUE,"현장사진-2";#N/A,#N/A,TRUE,"시장성향및방향"}</definedName>
    <definedName name="ㅌ750" localSheetId="0">#REF!</definedName>
    <definedName name="ㅌ750">#REF!</definedName>
    <definedName name="ㅌㅀ">CHOOSE([35]건축개요!$B$46,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타입평" localSheetId="0">#REF!</definedName>
    <definedName name="타입평">#REF!</definedName>
    <definedName name="타타" localSheetId="0" hidden="1">[15]목차!#REF!</definedName>
    <definedName name="타타" hidden="1">[15]목차!#REF!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 localSheetId="0">#REF!</definedName>
    <definedName name="토공">#REF!</definedName>
    <definedName name="토목공사" hidden="1">{#N/A,#N/A,FALSE,"이태원철근"}</definedName>
    <definedName name="토목공사강릉" localSheetId="0" hidden="1">#REF!</definedName>
    <definedName name="토목공사강릉" hidden="1">#REF!</definedName>
    <definedName name="토목실견적" hidden="1">{#N/A,#N/A,FALSE,"이태원철근"}</definedName>
    <definedName name="토지조서"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통내">[41]노무비!$B$8</definedName>
    <definedName name="통설">[41]노무비!$B$10</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ㅍ" hidden="1">{#N/A,#N/A,TRUE,"사업자등록증 (2)"}</definedName>
    <definedName name="ㅍㅍ"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파"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판관비성장율" localSheetId="0">#REF!</definedName>
    <definedName name="판관비성장율">#REF!</definedName>
    <definedName name="판매시설">[35]건축개요!$C$124:$C$125</definedName>
    <definedName name="평" localSheetId="0">#REF!</definedName>
    <definedName name="평">#REF!</definedName>
    <definedName name="평단가" localSheetId="0">#REF!</definedName>
    <definedName name="평단가">#REF!</definedName>
    <definedName name="평촌"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평형구분" localSheetId="0">#REF!</definedName>
    <definedName name="평형구분">#REF!</definedName>
    <definedName name="포장공" localSheetId="0">#REF!</definedName>
    <definedName name="포장공">#REF!</definedName>
    <definedName name="표준건축비" localSheetId="0">#REF!</definedName>
    <definedName name="표준건축비">#REF!</definedName>
    <definedName name="표지" localSheetId="0">BlankMacro1</definedName>
    <definedName name="표지">BlankMacro1</definedName>
    <definedName name="표지로">#N/A</definedName>
    <definedName name="풍납동" localSheetId="0" hidden="1">[58]Sheet4!#REF!</definedName>
    <definedName name="풍납동" hidden="1">[58]Sheet4!#REF!</definedName>
    <definedName name="풍납동아파트" localSheetId="0" hidden="1">[58]Sheet4!#REF!</definedName>
    <definedName name="풍납동아파트" hidden="1">[58]Sheet4!#REF!</definedName>
    <definedName name="프린터">'[12]콤보박스와 리스트박스의 연결'!$H$11:$H$14</definedName>
    <definedName name="프린터영역01" localSheetId="0">#REF!</definedName>
    <definedName name="프린터영역01">#REF!</definedName>
    <definedName name="프린트영역" localSheetId="0">#REF!</definedName>
    <definedName name="프린트영역">#REF!</definedName>
    <definedName name="플라타너스B8">[26]데이타!$E$552</definedName>
    <definedName name="피로티" hidden="1">{#N/A,#N/A,FALSE,"이태원철근"}</definedName>
    <definedName name="피로티1" hidden="1">{#N/A,#N/A,FALSE,"이태원철근"}</definedName>
    <definedName name="ㅎ" hidden="1">{#N/A,#N/A,TRUE,"사업개요";#N/A,#N/A,TRUE,"위치도";#N/A,#N/A,TRUE,"상권분석";#N/A,#N/A,TRUE,"상권분석-1";#N/A,#N/A,TRUE,"현장사진";#N/A,#N/A,TRUE,"현장사진-1";#N/A,#N/A,TRUE,"현장사진-2";#N/A,#N/A,TRUE,"시장성향및방향"}</definedName>
    <definedName name="ㅎ앵" localSheetId="0">[72]반포2차!#REF!</definedName>
    <definedName name="ㅎ앵">[72]반포2차!#REF!</definedName>
    <definedName name="ㅎㅎㅎ" localSheetId="0" hidden="1">[29]목차!#REF!</definedName>
    <definedName name="ㅎㅎㅎ" hidden="1">[29]목차!#REF!</definedName>
    <definedName name="하자" localSheetId="0">[0]!영광원자력5,'[27]6호기'!$A$1</definedName>
    <definedName name="하자">[0]!영광원자력5,'[27]6호기'!$A$1</definedName>
    <definedName name="하하" localSheetId="0">BlankMacro1</definedName>
    <definedName name="하하">BlankMacro1</definedName>
    <definedName name="하하하" localSheetId="0">BlankMacro1</definedName>
    <definedName name="하하하">BlankMacro1</definedName>
    <definedName name="하하하치치" localSheetId="0" hidden="1">[15]목차!#REF!</definedName>
    <definedName name="하하하치치" hidden="1">[15]목차!#REF!</definedName>
    <definedName name="한" localSheetId="0">#REF!</definedName>
    <definedName name="한">#REF!</definedName>
    <definedName name="항고고려후배당기일">'[65]CashFlow(중간집계)'!$D$9:$D$343</definedName>
    <definedName name="허허처터" localSheetId="0">#REF!</definedName>
    <definedName name="허허처터">#REF!</definedName>
    <definedName name="현금" localSheetId="0">#REF!</definedName>
    <definedName name="현금">#REF!</definedName>
    <definedName name="현금2" localSheetId="0">#REF!</definedName>
    <definedName name="현금2">#REF!</definedName>
    <definedName name="현금흐름" localSheetId="0">[75]현금흐름!#REF!</definedName>
    <definedName name="현금흐름">[75]현금흐름!#REF!</definedName>
    <definedName name="현대코아공통비" localSheetId="0" hidden="1">#REF!</definedName>
    <definedName name="현대코아공통비" hidden="1">#REF!</definedName>
    <definedName name="현장관리비" localSheetId="0">#REF!</definedName>
    <definedName name="현장관리비">#REF!</definedName>
    <definedName name="현장충당금" localSheetId="0">#REF!</definedName>
    <definedName name="현장충당금">#REF!</definedName>
    <definedName name="현지" localSheetId="0">#REF!</definedName>
    <definedName name="현지">#REF!</definedName>
    <definedName name="협조전" localSheetId="0" hidden="1">#REF!</definedName>
    <definedName name="협조전" hidden="1">#REF!</definedName>
    <definedName name="형균">{"Book1","공동준비.xls"}</definedName>
    <definedName name="형별면적표" localSheetId="0">#REF!</definedName>
    <definedName name="형별면적표">#REF!</definedName>
    <definedName name="호별가격" localSheetId="0">#REF!</definedName>
    <definedName name="호별가격">#REF!</definedName>
    <definedName name="호별시가안분" localSheetId="0">#REF!</definedName>
    <definedName name="호별시가안분">#REF!</definedName>
    <definedName name="호호호" localSheetId="0">BlankMacro1</definedName>
    <definedName name="호호호">BlankMacro1</definedName>
    <definedName name="호호호하하" localSheetId="0" hidden="1">[15]목차!#REF!</definedName>
    <definedName name="호호호하하" hidden="1">[15]목차!#REF!</definedName>
    <definedName name="호ㅓ" localSheetId="0" hidden="1">#REF!</definedName>
    <definedName name="호ㅓ" hidden="1">#REF!</definedName>
    <definedName name="호ㅜㅗㅜㅗㅜㅗ" localSheetId="0">BlankMacro1</definedName>
    <definedName name="호ㅜㅗㅜㅗㅜㅗ">BlankMacro1</definedName>
    <definedName name="화1" localSheetId="0">#REF!</definedName>
    <definedName name="화1">#REF!</definedName>
    <definedName name="화2" localSheetId="0">#REF!</definedName>
    <definedName name="화2">#REF!</definedName>
    <definedName name="화3" localSheetId="0">#REF!</definedName>
    <definedName name="화3">#REF!</definedName>
    <definedName name="화4" localSheetId="0">#REF!</definedName>
    <definedName name="화4">#REF!</definedName>
    <definedName name="화5" localSheetId="0">#REF!</definedName>
    <definedName name="화5">#REF!</definedName>
    <definedName name="화6" localSheetId="0">#REF!</definedName>
    <definedName name="화6">#REF!</definedName>
    <definedName name="화의" localSheetId="0">#REF!</definedName>
    <definedName name="화의">#REF!</definedName>
    <definedName name="화ㅓㅣ허ㅏ" localSheetId="0">#REF!</definedName>
    <definedName name="화ㅓㅣ허ㅏ">#REF!</definedName>
    <definedName name="확" localSheetId="0" hidden="1">[76]상가지급현황!#REF!</definedName>
    <definedName name="확" hidden="1">[76]상가지급현황!#REF!</definedName>
    <definedName name="회사명" localSheetId="0">#REF!</definedName>
    <definedName name="회사명">#REF!</definedName>
    <definedName name="회사이름" localSheetId="0">#REF!</definedName>
    <definedName name="회사이름">#REF!</definedName>
    <definedName name="ㅏ"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ㅐ" hidden="1">{#N/A,#N/A,TRUE,"사업자등록증 (2)"}</definedName>
    <definedName name="ㅐㅐㅐ" localSheetId="0" hidden="1">[40]스포회원매출!#REF!</definedName>
    <definedName name="ㅐㅐㅐ" hidden="1">[40]스포회원매출!#REF!</definedName>
    <definedName name="ㅑ" hidden="1">{#N/A,#N/A,FALSE,"표지";#N/A,#N/A,FALSE,"제출문";#N/A,#N/A,FALSE,"목차";#N/A,#N/A,FALSE,"소목차(1)";#N/A,#N/A,FALSE,"경제전망";#N/A,#N/A,FALSE,"부동산전망";#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경쟁업체상품분석1";#N/A,#N/A,FALSE,"경쟁업체상품분석2";#N/A,#N/A,FALSE,"경쟁업체상품분석3";#N/A,#N/A,FALSE,"경쟁업체상품분석4";#N/A,#N/A,FALSE,"경쟁업체상품분석5";#N/A,#N/A,FALSE,"경쟁업체상품분석6";#N/A,#N/A,FALSE,"경쟁업체상품분석7";#N/A,#N/A,FALSE,"이삭줍기1";#N/A,#N/A,FALSE,"이삭줍기2";#N/A,#N/A,FALSE,"고가전략고수를 위한 알파제고안";#N/A,#N/A,FALSE,"귀족마케팅";#N/A,#N/A,FALSE,"영업활동";#N/A,#N/A,FALSE,"영업활동1";#N/A,#N/A,FALSE,"영업활동2";#N/A,#N/A,FALSE,"DM";#N/A,#N/A,FALSE,"전단";#N/A,#N/A,FALSE,"VMS";#N/A,#N/A,FALSE,"CRM";#N/A,#N/A,FALSE,"옥외광고물";#N/A,#N/A,FALSE,"소목차6  ";#N/A,#N/A,FALSE,"기본원칙 ";#N/A,#N/A,FALSE,"mh재배치";#N/A,#N/A,FALSE,"MH 운영다원화";#N/A,#N/A,FALSE,"분양조직운영";#N/A,#N/A,FALSE,"조직도";#N/A,#N/A,FALSE,"소목차7";#N/A,#N/A,FALSE,"분양목표";#N/A,#N/A,FALSE,"분양대행수수료 ";#N/A,#N/A,FALSE,"지원요청";#N/A,#N/A,FALSE,"세부업무분장";#N/A,#N/A,FALSE,"컨설팅실적(1)";#N/A,#N/A,FALSE,"컨설팅실적(2)";#N/A,#N/A,FALSE,"컨설팅실적(3)";#N/A,#N/A,FALSE,"조직도 ";#N/A,#N/A,FALSE,"사업자등록증";#N/A,#N/A,FALSE,"법인등본";#N/A,#N/A,FALSE,"분양대행일정";#N/A,#N/A,FALSE,"포스홈타운 마감자재"}</definedName>
    <definedName name="ㅑ7" localSheetId="0">#REF!</definedName>
    <definedName name="ㅑ7">#REF!</definedName>
    <definedName name="ㅑㅐ"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ㅓ" hidden="1">{#N/A,#N/A,FALSE,"부동산전망";#N/A,#N/A,FALSE,"투자환경(1)";#N/A,#N/A,FALSE,"투자환경(2)";#N/A,#N/A,FALSE,"투자환경(3)";#N/A,#N/A,FALSE,"투자환경(4)";#N/A,#N/A,FALSE,"소목차(2)";#N/A,#N/A,FALSE,"사업개요";#N/A,#N/A,FALSE,"프로젝트분석";#N/A,#N/A,FALSE,"프로젝트평가";#N/A,#N/A,FALSE,"소목차(3)";#N/A,#N/A,FALSE,"공급사례(1)";#N/A,#N/A,FALSE,"공급사례(2)";#N/A,#N/A,FALSE,"상권분석";#N/A,#N/A,FALSE,"상권분석 (2)";#N/A,#N/A,FALSE,"상품최적화(1)";#N/A,#N/A,FALSE,"상품최적화(2)";#N/A,#N/A,FALSE,"상품최적화(3)";#N/A,#N/A,FALSE,"소목차(4)";#N/A,#N/A,FALSE,"기본전제";#N/A,#N/A,FALSE,"적정분양가";#N/A,#N/A,FALSE,"적정분양가(1)";#N/A,#N/A,FALSE,"적정분양가(2)";#N/A,#N/A,FALSE,"적정분양가(3)";#N/A,#N/A,FALSE,"적정분양가(4)";#N/A,#N/A,FALSE,"적정분양가(5)";#N/A,#N/A,FALSE,"target(1)";#N/A,#N/A,FALSE,"target(2)";#N/A,#N/A,FALSE,"소목차(5)";#N/A,#N/A,FALSE,"분양전략수립전제";#N/A,#N/A,FALSE,"단계별분양전략";#N/A,#N/A,FALSE,"분양전략흐름도";#N/A,#N/A,FALSE,"분양활동방향";#N/A,#N/A,FALSE,"Pre-m";#N/A,#N/A,FALSE,"부동산우군화방안";#N/A,#N/A,FALSE,"기타영업전략(1)";#N/A,#N/A,FALSE,"기타영업전략(2)";#N/A,#N/A,FALSE,"분양사무실운영";#N/A,#N/A,FALSE,"분양조직운영";#N/A,#N/A,FALSE,"조직도";#N/A,#N/A,FALSE,"세부업무분장";#N/A,#N/A,FALSE,"소목차(6)";#N/A,#N/A,FALSE,"분양목표";#N/A,#N/A,FALSE,"분양대행수수료 ";#N/A,#N/A,FALSE,"컨설팅실적(1)";#N/A,#N/A,FALSE,"컨설팅실적(2)";#N/A,#N/A,FALSE,"컨설팅실적(3)";#N/A,#N/A,FALSE,"조직도 "}</definedName>
    <definedName name="ㅓㅓㅓ" localSheetId="0">#REF!</definedName>
    <definedName name="ㅓㅓㅓ">#REF!</definedName>
    <definedName name="ㅔ"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ㅔㅐㅑㅔ">CHOOSE([35]건축개요!$B$46,주거시설,종교시설,의료시설,업무시설,관람집회,전시시설,판매시설,숙박시설,위락시설,관련시설,방송통신시설,공장,교육연구시설,저장시설,관광휴게시설,체육시설,사회복지시설,위험물,근린생활시설,장례묘지관련,청소년수련시설,동물관련시설,공공용시설)</definedName>
    <definedName name="ㅕ" hidden="1">{#N/A,#N/A,FALSE,"사업개요";#N/A,#N/A,FALSE,"위치도";#N/A,#N/A,FALSE,"상권분석";#N/A,#N/A,FALSE,"상권분석-1";#N/A,#N/A,FALSE,"주변현황";#N/A,#N/A,FALSE,"주변현황-1";#N/A,#N/A,FALSE,"시장성향";#N/A,#N/A,FALSE,"적정분양가제안";#N/A,#N/A,FALSE,"사업추진방향";#N/A,#N/A,FALSE,"실적";#N/A,#N/A,FALSE,"실적-1";#N/A,#N/A,FALSE,"실적-2";#N/A,#N/A,FALSE,"조직도"}</definedName>
    <definedName name="ㅕㅕㅕ" localSheetId="0">#REF!</definedName>
    <definedName name="ㅕㅕㅕ">#REF!</definedName>
    <definedName name="ㅗ"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ㅗㅅ" localSheetId="0">BlankMacro1</definedName>
    <definedName name="ㅗㅅ">BlankMacro1</definedName>
    <definedName name="ㅗㅛㅕㅡㅓㅗㅛㅕ" localSheetId="0">BlankMacro1</definedName>
    <definedName name="ㅗㅛㅕㅡㅓㅗㅛㅕ">BlankMacro1</definedName>
    <definedName name="ㅛㅕㅑㅛㅑ">CHOOSE('[12]콤보박스와 리스트박스의 연결'!$C$9,CPU,램,프린터,모니터)</definedName>
    <definedName name="ㅜ"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ㅠ" hidden="1">{#N/A,#N/A,TRUE,"인천시분석(1)";#N/A,#N/A,TRUE,"인천시분석(2)";#N/A,#N/A,TRUE,"인천시분석(3)";#N/A,#N/A,TRUE,"입지분석";#N/A,#N/A,TRUE,"입지분석 2";#N/A,#N/A,TRUE,"입지분석3";#N/A,#N/A,TRUE,"여건분석종합";#N/A,#N/A,TRUE,"공급사례1";#N/A,#N/A,TRUE,"공급사례2";#N/A,#N/A,TRUE,"공급사례3";#N/A,#N/A,TRUE,"공급사례4";#N/A,#N/A,TRUE,"공급사례5";#N/A,#N/A,TRUE,"공급사례6";#N/A,#N/A,TRUE,"공급사례7";#N/A,#N/A,TRUE,"상품최적화(1)";#N/A,#N/A,TRUE,"상품최적화(2)";#N/A,#N/A,TRUE,"상품최적화(3)";#N/A,#N/A,TRUE,"사업개요 ";#N/A,#N/A,TRUE,"주변현황 (1)";#N/A,#N/A,TRUE,"주변현황  (2)";#N/A,#N/A,TRUE,"프로젝트분석";#N/A,#N/A,TRUE,"프로젝트평가";#N/A,#N/A,TRUE,"배치도분석";#N/A,#N/A,TRUE,"설계변경제안";#N/A,#N/A,TRUE,"설계변경제안 (2)";#N/A,#N/A,TRUE,"성공분양기본전제";#N/A,#N/A,TRUE,"수익율";#N/A,#N/A,TRUE,"거래사례(1)";#N/A,#N/A,TRUE,"거래사례(2)";#N/A,#N/A,TRUE,"원가법";#N/A,#N/A,TRUE,"분양가결정";#N/A,#N/A,TRUE,"사업성";#N/A,#N/A,TRUE,"사업성 (2)";#N/A,#N/A,TRUE,"사업성 (3)";#N/A,#N/A,TRUE,"조견표";#N/A,#N/A,TRUE,"target(1)";#N/A,#N/A,TRUE,"target(2)";#N/A,#N/A,TRUE,"단계별분양전략";#N/A,#N/A,TRUE,"분양전략흐름도";#N/A,#N/A,TRUE,"분양활동방향";#N/A,#N/A,TRUE,"Pre-m";#N/A,#N/A,TRUE,"부동산우군화방안";#N/A,#N/A,TRUE,"분양조직운영";#N/A,#N/A,TRUE,"조직도";#N/A,#N/A,TRUE,"세부업무분장";#N/A,#N/A,TRUE,"분양목표";#N/A,#N/A,TRUE,"분양대행수수료 ";#N/A,#N/A,TRUE,"마감제안1";#N/A,#N/A,TRUE,"마감제안2";#N/A,#N/A,TRUE,"컨설팅실적(1)";#N/A,#N/A,TRUE,"컨설팅실적(2)";#N/A,#N/A,TRUE,"컨설팅실적(3)";#N/A,#N/A,TRUE,"조직도 ";#N/A,#N/A,TRUE,"사업자등록증";#N/A,#N/A,TRUE,"등기부등본"}</definedName>
    <definedName name="ㅠㅠㅜ" localSheetId="0">BlankMacro1</definedName>
    <definedName name="ㅠㅠㅜ">BlankMacro1</definedName>
    <definedName name="ㅡ" hidden="1">{#N/A,#N/A,TRUE,"사업개요";#N/A,#N/A,TRUE,"오피스텔매출액";#N/A,#N/A,TRUE,"문제점1";#N/A,#N/A,TRUE,"문제점2";#N/A,#N/A,TRUE,"당초청구사업성검토안 ";#N/A,#N/A,TRUE,"사업성분석(1)";#N/A,#N/A,TRUE,"사업성분석(2)";#N/A,#N/A,TRUE,"사업성분석(3)";#N/A,#N/A,TRUE,"사업성분석(4)";#N/A,#N/A,TRUE,"사업성분석(5)";#N/A,#N/A,TRUE,"제안조건"}</definedName>
    <definedName name="ㅡㅡ" hidden="1">{#N/A,#N/A,FALSE,"표지";#N/A,#N/A,FALSE,"제출문";#N/A,#N/A,FALSE,"소목차(1)";#N/A,#N/A,FALSE,"경제전망";#N/A,#N/A,FALSE,"부동산전망";#N/A,#N/A,FALSE,"부동산전망2";#N/A,#N/A,FALSE,"아파트개발트랜드";#N/A,#N/A,FALSE,"아파트개발트랜드2";#N/A,#N/A,FALSE,"주택시장트랜드";#N/A,#N/A,FALSE,"소목차(2)";#N/A,#N/A,FALSE,"사업개요";#N/A,#N/A,FALSE,"사업지입지분석";#N/A,#N/A,FALSE,"인근지역분석";#N/A,#N/A,FALSE,"인근지역분석2";#N/A,#N/A,FALSE,"서울 분당 용인 시세";#N/A,#N/A,FALSE,"서울 재건축 시세 ";#N/A,#N/A,FALSE,"상품분석";#N/A,#N/A,FALSE,"상품분석2";#N/A,#N/A,FALSE,"소목차3(훈민)";#N/A,#N/A,FALSE,"소목차4(훈민)";#N/A,#N/A,FALSE,"소목차5";#N/A,#N/A,FALSE,"영업전략수립전제";#N/A,#N/A,FALSE,"판매조건변경";#N/A,#N/A,FALSE,"판매조건변경2";#N/A,#N/A,FALSE,"알파제고방안";#N/A,#N/A,FALSE,"판매방제휴방안";#N/A,#N/A,FALSE,"영업활동";#N/A,#N/A,FALSE,"영업활동2";#N/A,#N/A,FALSE,"황제마케팅";#N/A,#N/A,FALSE,"DM";#N/A,#N/A,FALSE,"전단";#N/A,#N/A,FALSE,"VMS";#N/A,#N/A,FALSE,"CRM";#N/A,#N/A,FALSE,"옥외광고물";#N/A,#N/A,FALSE,"소목차6";#N/A,#N/A,FALSE,"MH운영";#N/A,#N/A,FALSE,"분양조직운영";#N/A,#N/A,FALSE,"조직도";#N/A,#N/A,FALSE,"목차";#N/A,#N/A,FALSE,"소목차7";#N/A,#N/A,FALSE,"분양목표";#N/A,#N/A,FALSE,"분양대행수수료 ";#N/A,#N/A,FALSE,"지원요청";#N/A,#N/A,FALSE,"세부업무분장"}</definedName>
    <definedName name="ㅣㅣ" localSheetId="0">[24]!Macro10</definedName>
    <definedName name="ㅣㅣ">[24]!Macro10</definedName>
    <definedName name="ㅣㅣㅣ" localSheetId="0">#REF!</definedName>
    <definedName name="ㅣㅣㅣ">#REF!</definedName>
  </definedNames>
  <calcPr calcId="162913"/>
</workbook>
</file>

<file path=xl/calcChain.xml><?xml version="1.0" encoding="utf-8"?>
<calcChain xmlns="http://schemas.openxmlformats.org/spreadsheetml/2006/main">
  <c r="N84" i="315" l="1"/>
  <c r="BK84" i="315" s="1"/>
  <c r="BO84" i="315" s="1"/>
  <c r="N65" i="315"/>
  <c r="N41" i="315"/>
  <c r="BJ41" i="315"/>
  <c r="N26" i="315"/>
  <c r="K20" i="315"/>
  <c r="H19" i="315"/>
  <c r="K19" i="315" s="1"/>
  <c r="X19" i="315" s="1"/>
  <c r="AJ19" i="315" s="1"/>
  <c r="AN19" i="315" s="1"/>
  <c r="K18" i="315"/>
  <c r="X18" i="315" s="1"/>
  <c r="AJ18" i="315" s="1"/>
  <c r="AN18" i="315" s="1"/>
  <c r="H14" i="315"/>
  <c r="K14" i="315" s="1"/>
  <c r="BJ83" i="315"/>
  <c r="BK82" i="315"/>
  <c r="BO82" i="315" s="1"/>
  <c r="BJ82" i="315"/>
  <c r="BK83" i="315"/>
  <c r="BJ81" i="315"/>
  <c r="BJ80" i="315"/>
  <c r="BK81" i="315"/>
  <c r="BJ79" i="315"/>
  <c r="BO78" i="315"/>
  <c r="BR79" i="315" s="1"/>
  <c r="Y80" i="315"/>
  <c r="BN77" i="315"/>
  <c r="BJ77" i="315"/>
  <c r="BN76" i="315"/>
  <c r="BJ76" i="315"/>
  <c r="BO75" i="315"/>
  <c r="BR76" i="315" s="1"/>
  <c r="BC76" i="315"/>
  <c r="BB76" i="315"/>
  <c r="BA76" i="315"/>
  <c r="BN74" i="315"/>
  <c r="BO74" i="315" s="1"/>
  <c r="BM74" i="315"/>
  <c r="BN73" i="315"/>
  <c r="BJ73" i="315"/>
  <c r="BC74" i="315"/>
  <c r="BB74" i="315"/>
  <c r="BN67" i="315"/>
  <c r="BJ67" i="315"/>
  <c r="BN66" i="315"/>
  <c r="BJ66" i="315"/>
  <c r="BN65" i="315"/>
  <c r="BO65" i="315" s="1"/>
  <c r="BM65" i="315"/>
  <c r="BJ65" i="315"/>
  <c r="BN64" i="315"/>
  <c r="BJ64" i="315"/>
  <c r="BB65" i="315"/>
  <c r="BC65" i="315" s="1"/>
  <c r="BO63" i="315"/>
  <c r="BR64" i="315" s="1"/>
  <c r="N64" i="315"/>
  <c r="BK64" i="315" s="1"/>
  <c r="BP62" i="315"/>
  <c r="BJ62" i="315"/>
  <c r="BP61" i="315"/>
  <c r="BJ61" i="315"/>
  <c r="BN60" i="315"/>
  <c r="BJ60" i="315"/>
  <c r="BN59" i="315"/>
  <c r="BJ59" i="315"/>
  <c r="BN58" i="315"/>
  <c r="BJ58" i="315"/>
  <c r="BN57" i="315"/>
  <c r="BJ57" i="315"/>
  <c r="N58" i="315"/>
  <c r="BK59" i="315" s="1"/>
  <c r="BN56" i="315"/>
  <c r="BO56" i="315" s="1"/>
  <c r="BM56" i="315"/>
  <c r="N57" i="315"/>
  <c r="BK58" i="315" s="1"/>
  <c r="BN55" i="315"/>
  <c r="BJ55" i="315"/>
  <c r="N56" i="315"/>
  <c r="BN54" i="315"/>
  <c r="BO54" i="315" s="1"/>
  <c r="BM54" i="315"/>
  <c r="BJ54" i="315"/>
  <c r="BN53" i="315"/>
  <c r="BJ53" i="315"/>
  <c r="BN51" i="315"/>
  <c r="BO51" i="315" s="1"/>
  <c r="BM51" i="315"/>
  <c r="BJ51" i="315"/>
  <c r="N53" i="315"/>
  <c r="BN50" i="315"/>
  <c r="BJ50" i="315"/>
  <c r="BB51" i="315"/>
  <c r="AY51" i="315"/>
  <c r="BN49" i="315"/>
  <c r="BJ49" i="315"/>
  <c r="BR49" i="315"/>
  <c r="BN47" i="315"/>
  <c r="BJ47" i="315"/>
  <c r="BN46" i="315"/>
  <c r="BJ46" i="315"/>
  <c r="BN45" i="315"/>
  <c r="BJ45" i="315"/>
  <c r="N46" i="315"/>
  <c r="BK47" i="315" s="1"/>
  <c r="BN44" i="315"/>
  <c r="BO44" i="315" s="1"/>
  <c r="BR45" i="315" s="1"/>
  <c r="BN43" i="315"/>
  <c r="BJ43" i="315"/>
  <c r="BN42" i="315"/>
  <c r="BJ42" i="315"/>
  <c r="BK43" i="315"/>
  <c r="BN40" i="315"/>
  <c r="BJ40" i="315"/>
  <c r="BK42" i="315"/>
  <c r="BN39" i="315"/>
  <c r="BJ39" i="315"/>
  <c r="BN38" i="315"/>
  <c r="BJ38" i="315"/>
  <c r="BB39" i="315"/>
  <c r="BN37" i="315"/>
  <c r="BJ37" i="315"/>
  <c r="N38" i="315"/>
  <c r="BK38" i="315" s="1"/>
  <c r="BN36" i="315"/>
  <c r="BK36" i="315"/>
  <c r="BJ36" i="315"/>
  <c r="BP35" i="315"/>
  <c r="BJ35" i="315"/>
  <c r="BN34" i="315"/>
  <c r="BO34" i="315" s="1"/>
  <c r="BM34" i="315"/>
  <c r="BN33" i="315"/>
  <c r="BJ33" i="315"/>
  <c r="BN32" i="315"/>
  <c r="BJ32" i="315"/>
  <c r="BN31" i="315"/>
  <c r="BJ31" i="315"/>
  <c r="BD32" i="315"/>
  <c r="BA57" i="315" s="1"/>
  <c r="BN30" i="315"/>
  <c r="BK30" i="315"/>
  <c r="BO30" i="315" s="1"/>
  <c r="BJ30" i="315"/>
  <c r="BD31" i="315"/>
  <c r="BN29" i="315"/>
  <c r="BJ29" i="315"/>
  <c r="BN28" i="315"/>
  <c r="BN27" i="315"/>
  <c r="BJ27" i="315"/>
  <c r="BN25" i="315"/>
  <c r="BJ25" i="315"/>
  <c r="AU19" i="315"/>
  <c r="BK16" i="315"/>
  <c r="BM16" i="315" s="1"/>
  <c r="T17" i="315"/>
  <c r="BO15" i="315"/>
  <c r="BC63" i="315"/>
  <c r="K15" i="315"/>
  <c r="X15" i="315" s="1"/>
  <c r="AJ15" i="315" s="1"/>
  <c r="AU14" i="315"/>
  <c r="AU13" i="315" s="1"/>
  <c r="K13" i="315"/>
  <c r="BA63" i="315" s="1"/>
  <c r="BN11" i="315"/>
  <c r="N9" i="315"/>
  <c r="AU7" i="315"/>
  <c r="N7" i="315"/>
  <c r="N6" i="315"/>
  <c r="BA5" i="315"/>
  <c r="N5" i="315"/>
  <c r="N4" i="315"/>
  <c r="N3" i="315"/>
  <c r="AG2" i="315"/>
  <c r="BO36" i="315" l="1"/>
  <c r="AO15" i="315"/>
  <c r="BM30" i="315"/>
  <c r="BM36" i="315"/>
  <c r="BR53" i="315"/>
  <c r="BR55" i="315"/>
  <c r="BR57" i="315"/>
  <c r="BR31" i="315"/>
  <c r="N19" i="315"/>
  <c r="N18" i="315"/>
  <c r="BL16" i="315"/>
  <c r="BO16" i="315" s="1"/>
  <c r="X20" i="315"/>
  <c r="AJ20" i="315" s="1"/>
  <c r="BR35" i="315"/>
  <c r="BR66" i="315"/>
  <c r="BR75" i="315"/>
  <c r="BM82" i="315"/>
  <c r="BR83" i="315" s="1"/>
  <c r="BO38" i="315"/>
  <c r="BM38" i="315"/>
  <c r="N51" i="315"/>
  <c r="BK53" i="315" s="1"/>
  <c r="N25" i="315"/>
  <c r="N45" i="315"/>
  <c r="T40" i="315"/>
  <c r="N40" i="315" s="1"/>
  <c r="T37" i="315"/>
  <c r="N37" i="315" s="1"/>
  <c r="N35" i="315"/>
  <c r="T39" i="315"/>
  <c r="N39" i="315" s="1"/>
  <c r="AN15" i="315"/>
  <c r="N15" i="315"/>
  <c r="BO42" i="315"/>
  <c r="BM42" i="315"/>
  <c r="BO43" i="315"/>
  <c r="BM43" i="315"/>
  <c r="BO59" i="315"/>
  <c r="BM59" i="315"/>
  <c r="BO64" i="315"/>
  <c r="BM64" i="315"/>
  <c r="BO81" i="315"/>
  <c r="BM81" i="315"/>
  <c r="T22" i="315"/>
  <c r="BC5" i="315"/>
  <c r="BB63" i="315"/>
  <c r="X14" i="315"/>
  <c r="AO18" i="315"/>
  <c r="AO19" i="315"/>
  <c r="BO47" i="315"/>
  <c r="BM47" i="315"/>
  <c r="BR48" i="315" s="1"/>
  <c r="X13" i="315"/>
  <c r="BD46" i="315"/>
  <c r="BK57" i="315"/>
  <c r="BO58" i="315"/>
  <c r="BM58" i="315"/>
  <c r="BD57" i="315"/>
  <c r="BK80" i="315"/>
  <c r="BO83" i="315"/>
  <c r="BM83" i="315"/>
  <c r="BK79" i="315"/>
  <c r="BR37" i="315" l="1"/>
  <c r="BR59" i="315"/>
  <c r="BR84" i="315"/>
  <c r="AN20" i="315"/>
  <c r="N20" i="315"/>
  <c r="N21" i="315" s="1"/>
  <c r="X21" i="315"/>
  <c r="AO20" i="315"/>
  <c r="BR39" i="315"/>
  <c r="BO79" i="315"/>
  <c r="BM79" i="315"/>
  <c r="N66" i="315"/>
  <c r="N54" i="315"/>
  <c r="BB5" i="315"/>
  <c r="BR82" i="315"/>
  <c r="BR65" i="315"/>
  <c r="BR60" i="315"/>
  <c r="BR44" i="315"/>
  <c r="BR43" i="315"/>
  <c r="BK39" i="315"/>
  <c r="BK37" i="315"/>
  <c r="BK45" i="315"/>
  <c r="N47" i="315"/>
  <c r="BM80" i="315"/>
  <c r="BO80" i="315"/>
  <c r="BO57" i="315"/>
  <c r="BM57" i="315"/>
  <c r="X17" i="315"/>
  <c r="AJ13" i="315"/>
  <c r="AO13" i="315"/>
  <c r="AJ14" i="315"/>
  <c r="AO14" i="315"/>
  <c r="BK61" i="315"/>
  <c r="BO53" i="315"/>
  <c r="BM53" i="315"/>
  <c r="N44" i="315"/>
  <c r="BK35" i="315"/>
  <c r="BK40" i="315"/>
  <c r="N32" i="315"/>
  <c r="BK32" i="315" s="1"/>
  <c r="N30" i="315"/>
  <c r="BK25" i="315"/>
  <c r="N33" i="315"/>
  <c r="BK31" i="315" s="1"/>
  <c r="N31" i="315"/>
  <c r="N28" i="315"/>
  <c r="N27" i="315"/>
  <c r="X22" i="315" l="1"/>
  <c r="BK62" i="315"/>
  <c r="BL9" i="315"/>
  <c r="BR81" i="315"/>
  <c r="BK27" i="315"/>
  <c r="BK33" i="315"/>
  <c r="N34" i="315"/>
  <c r="BO25" i="315"/>
  <c r="BM25" i="315"/>
  <c r="BO40" i="315"/>
  <c r="BM40" i="315"/>
  <c r="N76" i="315"/>
  <c r="N77" i="315"/>
  <c r="BK29" i="315"/>
  <c r="BO31" i="315"/>
  <c r="BM31" i="315"/>
  <c r="BK28" i="315"/>
  <c r="BR54" i="315"/>
  <c r="BB64" i="315"/>
  <c r="AN14" i="315"/>
  <c r="N14" i="315"/>
  <c r="BA64" i="315"/>
  <c r="AN13" i="315"/>
  <c r="N13" i="315"/>
  <c r="BR58" i="315"/>
  <c r="BO45" i="315"/>
  <c r="BM45" i="315"/>
  <c r="BO39" i="315"/>
  <c r="BM39" i="315"/>
  <c r="BK66" i="315"/>
  <c r="BC64" i="315"/>
  <c r="BR80" i="315"/>
  <c r="BO32" i="315"/>
  <c r="BM32" i="315"/>
  <c r="BO35" i="315"/>
  <c r="BM35" i="315"/>
  <c r="BQ36" i="315"/>
  <c r="BM61" i="315"/>
  <c r="BO61" i="315"/>
  <c r="BO37" i="315"/>
  <c r="BM37" i="315"/>
  <c r="N49" i="315"/>
  <c r="N48" i="315"/>
  <c r="BK55" i="315"/>
  <c r="BQ62" i="315" l="1"/>
  <c r="BR62" i="315" s="1"/>
  <c r="BO62" i="315"/>
  <c r="BM62" i="315"/>
  <c r="BR32" i="315"/>
  <c r="BR36" i="315"/>
  <c r="BR42" i="315"/>
  <c r="BR33" i="315"/>
  <c r="BO55" i="315"/>
  <c r="BM55" i="315"/>
  <c r="BK50" i="315"/>
  <c r="N55" i="315"/>
  <c r="BK49" i="315"/>
  <c r="BO66" i="315"/>
  <c r="BM66" i="315"/>
  <c r="N17" i="315"/>
  <c r="BA67" i="315"/>
  <c r="BA77" i="315" s="1"/>
  <c r="BA79" i="315" s="1"/>
  <c r="BO29" i="315"/>
  <c r="BM29" i="315"/>
  <c r="BK77" i="315"/>
  <c r="BR27" i="315"/>
  <c r="BO33" i="315"/>
  <c r="BM33" i="315"/>
  <c r="BR38" i="315"/>
  <c r="BC67" i="315"/>
  <c r="BC77" i="315" s="1"/>
  <c r="BC79" i="315" s="1"/>
  <c r="BR40" i="315"/>
  <c r="BR46" i="315"/>
  <c r="BB67" i="315"/>
  <c r="BB77" i="315" s="1"/>
  <c r="BB79" i="315" s="1"/>
  <c r="BO28" i="315"/>
  <c r="BM28" i="315"/>
  <c r="N78" i="315"/>
  <c r="BK76" i="315"/>
  <c r="BO27" i="315"/>
  <c r="BM27" i="315"/>
  <c r="BQ63" i="315" l="1"/>
  <c r="BR63" i="315" s="1"/>
  <c r="BC75" i="315"/>
  <c r="BC78" i="315" s="1"/>
  <c r="BB75" i="315"/>
  <c r="BB78" i="315" s="1"/>
  <c r="BR28" i="315"/>
  <c r="BR29" i="315"/>
  <c r="BO76" i="315"/>
  <c r="BM76" i="315"/>
  <c r="BO77" i="315"/>
  <c r="BM77" i="315"/>
  <c r="BA80" i="315"/>
  <c r="BL6" i="315"/>
  <c r="BL11" i="315" s="1"/>
  <c r="N22" i="315"/>
  <c r="BO50" i="315"/>
  <c r="BM50" i="315"/>
  <c r="BB80" i="315"/>
  <c r="BC80" i="315"/>
  <c r="BR34" i="315"/>
  <c r="BR30" i="315"/>
  <c r="BA75" i="315"/>
  <c r="BA78" i="315" s="1"/>
  <c r="BR67" i="315"/>
  <c r="BO49" i="315"/>
  <c r="BM49" i="315"/>
  <c r="BR56" i="315"/>
  <c r="BA32" i="315" l="1"/>
  <c r="AU18" i="315"/>
  <c r="AU22" i="315" s="1"/>
  <c r="BQ87" i="315"/>
  <c r="BR78" i="315"/>
  <c r="BR77" i="315"/>
  <c r="BR50" i="315"/>
  <c r="BR51" i="315"/>
  <c r="AQ22" i="315"/>
  <c r="AQ21" i="315"/>
  <c r="AT14" i="315"/>
  <c r="BO9" i="315"/>
  <c r="N23" i="315"/>
  <c r="BO11" i="315"/>
  <c r="AQ17" i="315"/>
  <c r="BK46" i="315"/>
  <c r="BO46" i="315" l="1"/>
  <c r="BM46" i="315"/>
  <c r="N67" i="315"/>
  <c r="N74" i="315"/>
  <c r="N59" i="315"/>
  <c r="AQ23" i="315"/>
  <c r="AQ18" i="315"/>
  <c r="AQ20" i="315"/>
  <c r="AQ19" i="315"/>
  <c r="BN15" i="315"/>
  <c r="AQ15" i="315"/>
  <c r="AQ13" i="315"/>
  <c r="AQ14" i="315"/>
  <c r="BK60" i="315" l="1"/>
  <c r="N63" i="315"/>
  <c r="BK73" i="315"/>
  <c r="BK67" i="315"/>
  <c r="N75" i="315"/>
  <c r="BR47" i="315"/>
  <c r="N85" i="315" l="1"/>
  <c r="AQ73" i="315" s="1"/>
  <c r="BO67" i="315"/>
  <c r="BM67" i="315"/>
  <c r="BO73" i="315"/>
  <c r="BM73" i="315"/>
  <c r="BO60" i="315"/>
  <c r="BM60" i="315"/>
  <c r="BK86" i="315"/>
  <c r="N86" i="315" l="1"/>
  <c r="Y86" i="315" s="1"/>
  <c r="AQ54" i="315"/>
  <c r="AQ77" i="315"/>
  <c r="AQ37" i="315"/>
  <c r="AQ25" i="315"/>
  <c r="AQ51" i="315"/>
  <c r="AQ67" i="315"/>
  <c r="AQ49" i="315"/>
  <c r="AQ30" i="315"/>
  <c r="AQ28" i="315"/>
  <c r="AQ35" i="315"/>
  <c r="AQ39" i="315"/>
  <c r="AQ65" i="315"/>
  <c r="AQ38" i="315"/>
  <c r="AQ43" i="315"/>
  <c r="AQ50" i="315"/>
  <c r="AQ57" i="315"/>
  <c r="AQ58" i="315"/>
  <c r="AQ74" i="315"/>
  <c r="AQ59" i="315"/>
  <c r="AQ62" i="315"/>
  <c r="AQ76" i="315"/>
  <c r="AQ48" i="315"/>
  <c r="AQ27" i="315"/>
  <c r="AQ66" i="315"/>
  <c r="AQ31" i="315"/>
  <c r="AQ40" i="315"/>
  <c r="AQ60" i="315"/>
  <c r="AQ45" i="315"/>
  <c r="AQ53" i="315"/>
  <c r="AQ64" i="315"/>
  <c r="AQ61" i="315"/>
  <c r="AQ29" i="315"/>
  <c r="AQ46" i="315"/>
  <c r="AQ56" i="315"/>
  <c r="AQ36" i="315"/>
  <c r="BK88" i="315"/>
  <c r="BP86" i="315"/>
  <c r="BQ89" i="315"/>
  <c r="BO86" i="315"/>
  <c r="BR61" i="315"/>
  <c r="BM86" i="315"/>
  <c r="BR74" i="315"/>
  <c r="BR73" i="315"/>
  <c r="AN87" i="315"/>
  <c r="AQ75" i="315" l="1"/>
  <c r="AQ78" i="315"/>
  <c r="AQ34" i="315"/>
  <c r="AQ44" i="315"/>
  <c r="AQ63" i="315"/>
  <c r="AQ55" i="315"/>
  <c r="AQ47" i="315"/>
  <c r="BM88" i="315"/>
  <c r="BM87" i="315"/>
  <c r="BL86" i="315"/>
  <c r="BO88" i="315"/>
  <c r="BN86" i="315"/>
  <c r="BR87" i="315"/>
  <c r="BF5" i="315" l="1"/>
  <c r="AU6" i="315" l="1"/>
  <c r="BG23" i="315" l="1"/>
  <c r="BG21" i="315" l="1"/>
  <c r="BG19" i="315"/>
  <c r="BG20" i="315"/>
  <c r="BG11" i="315" l="1"/>
  <c r="BG10" i="315"/>
  <c r="BG22" i="315"/>
  <c r="BA40" i="315" s="1"/>
  <c r="BG6" i="315"/>
  <c r="BG7" i="315"/>
  <c r="BG13" i="315"/>
  <c r="BG14" i="315"/>
  <c r="BG17" i="315" l="1"/>
  <c r="BG16" i="315"/>
  <c r="BD40" i="315"/>
  <c r="BD53" i="315"/>
  <c r="BA53" i="315"/>
  <c r="AZ40" i="315"/>
  <c r="BB23" i="315" l="1"/>
  <c r="BB21" i="315" l="1"/>
  <c r="BB20" i="315"/>
  <c r="BB19" i="315"/>
  <c r="BB7" i="315" l="1"/>
  <c r="BB6" i="315"/>
  <c r="BB22" i="315"/>
  <c r="BA39" i="315" s="1"/>
  <c r="BB11" i="315"/>
  <c r="BB10" i="315"/>
  <c r="BB13" i="315"/>
  <c r="BB14" i="315"/>
  <c r="BB17" i="315" l="1"/>
  <c r="BB16" i="315"/>
  <c r="BA31" i="315" s="1"/>
  <c r="BA51" i="315"/>
  <c r="BA54" i="315" s="1"/>
  <c r="BA42" i="315"/>
  <c r="AZ39" i="315"/>
  <c r="BD51" i="315"/>
  <c r="BD54" i="315" s="1"/>
  <c r="BD39" i="315"/>
  <c r="BD42" i="315" s="1"/>
  <c r="AU9" i="315" l="1"/>
  <c r="BA34" i="315" l="1"/>
  <c r="BA33" i="315" l="1"/>
  <c r="AZ33" i="315" l="1"/>
  <c r="BA35" i="315"/>
  <c r="BD35" i="315"/>
  <c r="BA58" i="315" l="1"/>
  <c r="BA59" i="315" s="1"/>
  <c r="AZ35" i="315"/>
  <c r="BD47" i="315"/>
  <c r="BD58" i="315" l="1"/>
  <c r="BD59" i="315" s="1"/>
  <c r="BD48" i="315"/>
</calcChain>
</file>

<file path=xl/comments1.xml><?xml version="1.0" encoding="utf-8"?>
<comments xmlns="http://schemas.openxmlformats.org/spreadsheetml/2006/main">
  <authors>
    <author>이성일</author>
    <author>power</author>
    <author>jin</author>
    <author>User</author>
  </authors>
  <commentList>
    <comment ref="D27" authorId="0" shapeId="0">
      <text>
        <r>
          <rPr>
            <sz val="11"/>
            <color indexed="81"/>
            <rFont val="굴림"/>
            <family val="3"/>
            <charset val="129"/>
          </rPr>
          <t>■ 취득·등록세(지방세법 제105조, 제111조, 제124조, 제130조, 제260조)
- 부동산을 취득하였을 때는 부동산 소재지 관할 시·군·구청에 신고·납부하여야 함
- 납부시기
• 취득세 : 부동산을 취득한 날로부터 30일 이내, 이 기한을 넘기면 신고불성실가산세(20%) 및 납부불성실가산세(1일 3/10,000)를 추가 부담해야 함
• 등록세 : 취득한 부동산의 소유권 이전등기를 하기 전에 납부, 등기신청시 등록세 ‘영수필확인서’를 첨부하여 제출해야 함
&lt; 취득·등록세 계산&gt;
취득방법     취득세      농어촌특별세      등록세        지방교육세
              취득가액의   취득세액의         등록가액의  등록세액의
매매              2%              10%                 2%              20%
주) 1. 취득가액 : 취득자가 신고한 가액으로 하되, 신고를 하지 아니하거나 신고한 금액이 시가표준액에 미달하는 때에는 시가표준액으로 계산함
2, 시가표준액 :
     • 토지: 취득일 현재의 개별공시지가로 계산하되, 취득일 현재 당해연도에 적용할 개별공시지가가 결정고시 되지 아니한 때에는 직전연도의 개별공시지가를 적용
• 건물: 당해 지방자치단체의 장이 결정한 매년 1월 1일 현재의 가액을 말함
    3. 2005.1.5 지방세법 131조 참조&lt;개정&gt;
- 예) 공동주택 부지 12,000평을 평당 200만원에 매수하였을 경우 à (12,000평 X 200만원/평) X 4.6%(취득세, 등록세, 농어촌특별세, 지방교육세) = 1,104,000천원</t>
        </r>
        <r>
          <rPr>
            <sz val="9"/>
            <color indexed="81"/>
            <rFont val="굴림"/>
            <family val="3"/>
            <charset val="129"/>
          </rPr>
          <t xml:space="preserve">
</t>
        </r>
      </text>
    </comment>
    <comment ref="Y27" authorId="1" shapeId="0">
      <text>
        <r>
          <rPr>
            <b/>
            <sz val="10"/>
            <color indexed="81"/>
            <rFont val="맑은 고딕"/>
            <family val="3"/>
            <charset val="129"/>
            <scheme val="minor"/>
          </rPr>
          <t>공시지가</t>
        </r>
      </text>
    </comment>
    <comment ref="D33" authorId="2" shapeId="0">
      <text>
        <r>
          <rPr>
            <b/>
            <sz val="9"/>
            <color indexed="81"/>
            <rFont val="맑은 고딕"/>
            <family val="3"/>
            <charset val="129"/>
          </rPr>
          <t>토지</t>
        </r>
        <r>
          <rPr>
            <b/>
            <sz val="9"/>
            <color indexed="81"/>
            <rFont val="Tahoma"/>
            <family val="2"/>
          </rPr>
          <t xml:space="preserve"> : </t>
        </r>
        <r>
          <rPr>
            <b/>
            <sz val="9"/>
            <color indexed="81"/>
            <rFont val="맑은 고딕"/>
            <family val="3"/>
            <charset val="129"/>
          </rPr>
          <t>법령상</t>
        </r>
        <r>
          <rPr>
            <b/>
            <sz val="9"/>
            <color indexed="81"/>
            <rFont val="Tahoma"/>
            <family val="2"/>
          </rPr>
          <t xml:space="preserve"> </t>
        </r>
        <r>
          <rPr>
            <b/>
            <sz val="9"/>
            <color indexed="81"/>
            <rFont val="맑은 고딕"/>
            <family val="3"/>
            <charset val="129"/>
          </rPr>
          <t>인허가를</t>
        </r>
        <r>
          <rPr>
            <b/>
            <sz val="9"/>
            <color indexed="81"/>
            <rFont val="Tahoma"/>
            <family val="2"/>
          </rPr>
          <t xml:space="preserve"> </t>
        </r>
        <r>
          <rPr>
            <b/>
            <sz val="9"/>
            <color indexed="81"/>
            <rFont val="맑은 고딕"/>
            <family val="3"/>
            <charset val="129"/>
          </rPr>
          <t>받은</t>
        </r>
        <r>
          <rPr>
            <b/>
            <sz val="9"/>
            <color indexed="81"/>
            <rFont val="Tahoma"/>
            <family val="2"/>
          </rPr>
          <t xml:space="preserve"> </t>
        </r>
        <r>
          <rPr>
            <b/>
            <sz val="9"/>
            <color indexed="81"/>
            <rFont val="맑은 고딕"/>
            <family val="3"/>
            <charset val="129"/>
          </rPr>
          <t>사업용토지는</t>
        </r>
        <r>
          <rPr>
            <b/>
            <sz val="9"/>
            <color indexed="81"/>
            <rFont val="Tahoma"/>
            <family val="2"/>
          </rPr>
          <t xml:space="preserve"> </t>
        </r>
        <r>
          <rPr>
            <b/>
            <sz val="9"/>
            <color indexed="81"/>
            <rFont val="맑은 고딕"/>
            <family val="3"/>
            <charset val="129"/>
          </rPr>
          <t>별도합산과세
세율</t>
        </r>
        <r>
          <rPr>
            <b/>
            <sz val="9"/>
            <color indexed="81"/>
            <rFont val="Tahoma"/>
            <family val="2"/>
          </rPr>
          <t xml:space="preserve"> : 160</t>
        </r>
        <r>
          <rPr>
            <b/>
            <sz val="9"/>
            <color indexed="81"/>
            <rFont val="맑은 고딕"/>
            <family val="3"/>
            <charset val="129"/>
          </rPr>
          <t>억이하</t>
        </r>
        <r>
          <rPr>
            <b/>
            <sz val="9"/>
            <color indexed="81"/>
            <rFont val="Tahoma"/>
            <family val="2"/>
          </rPr>
          <t xml:space="preserve"> 0.6%, 960</t>
        </r>
        <r>
          <rPr>
            <b/>
            <sz val="9"/>
            <color indexed="81"/>
            <rFont val="맑은 고딕"/>
            <family val="3"/>
            <charset val="129"/>
          </rPr>
          <t>억이하</t>
        </r>
        <r>
          <rPr>
            <b/>
            <sz val="9"/>
            <color indexed="81"/>
            <rFont val="Tahoma"/>
            <family val="2"/>
          </rPr>
          <t xml:space="preserve"> 1%, 960</t>
        </r>
        <r>
          <rPr>
            <b/>
            <sz val="9"/>
            <color indexed="81"/>
            <rFont val="맑은 고딕"/>
            <family val="3"/>
            <charset val="129"/>
          </rPr>
          <t>억초과</t>
        </r>
        <r>
          <rPr>
            <b/>
            <sz val="9"/>
            <color indexed="81"/>
            <rFont val="Tahoma"/>
            <family val="2"/>
          </rPr>
          <t xml:space="preserve"> 1.6%
</t>
        </r>
        <r>
          <rPr>
            <b/>
            <sz val="9"/>
            <color indexed="81"/>
            <rFont val="맑은 고딕"/>
            <family val="3"/>
            <charset val="129"/>
          </rPr>
          <t>산출세액</t>
        </r>
        <r>
          <rPr>
            <b/>
            <sz val="9"/>
            <color indexed="81"/>
            <rFont val="Tahoma"/>
            <family val="2"/>
          </rPr>
          <t xml:space="preserve"> : = (</t>
        </r>
        <r>
          <rPr>
            <b/>
            <sz val="9"/>
            <color indexed="81"/>
            <rFont val="맑은 고딕"/>
            <family val="3"/>
            <charset val="129"/>
          </rPr>
          <t>별도합산토지분</t>
        </r>
        <r>
          <rPr>
            <b/>
            <sz val="9"/>
            <color indexed="81"/>
            <rFont val="Tahoma"/>
            <family val="2"/>
          </rPr>
          <t xml:space="preserve"> </t>
        </r>
        <r>
          <rPr>
            <b/>
            <sz val="9"/>
            <color indexed="81"/>
            <rFont val="맑은 고딕"/>
            <family val="3"/>
            <charset val="129"/>
          </rPr>
          <t>과세표준</t>
        </r>
        <r>
          <rPr>
            <b/>
            <sz val="9"/>
            <color indexed="81"/>
            <rFont val="Tahoma"/>
            <family val="2"/>
          </rPr>
          <t xml:space="preserve"> * </t>
        </r>
        <r>
          <rPr>
            <b/>
            <sz val="9"/>
            <color indexed="81"/>
            <rFont val="맑은 고딕"/>
            <family val="3"/>
            <charset val="129"/>
          </rPr>
          <t>세율</t>
        </r>
        <r>
          <rPr>
            <b/>
            <sz val="9"/>
            <color indexed="81"/>
            <rFont val="Tahoma"/>
            <family val="2"/>
          </rPr>
          <t xml:space="preserve"> - </t>
        </r>
        <r>
          <rPr>
            <b/>
            <sz val="9"/>
            <color indexed="81"/>
            <rFont val="맑은 고딕"/>
            <family val="3"/>
            <charset val="129"/>
          </rPr>
          <t>누진공제</t>
        </r>
        <r>
          <rPr>
            <b/>
            <sz val="9"/>
            <color indexed="81"/>
            <rFont val="Tahoma"/>
            <family val="2"/>
          </rPr>
          <t xml:space="preserve">) * 65% - </t>
        </r>
        <r>
          <rPr>
            <b/>
            <sz val="9"/>
            <color indexed="81"/>
            <rFont val="맑은 고딕"/>
            <family val="3"/>
            <charset val="129"/>
          </rPr>
          <t>법정공제세액
법정공제세액</t>
        </r>
        <r>
          <rPr>
            <b/>
            <sz val="9"/>
            <color indexed="81"/>
            <rFont val="Tahoma"/>
            <family val="2"/>
          </rPr>
          <t xml:space="preserve"> : </t>
        </r>
        <r>
          <rPr>
            <b/>
            <sz val="9"/>
            <color indexed="81"/>
            <rFont val="맑은 고딕"/>
            <family val="3"/>
            <charset val="129"/>
          </rPr>
          <t>공제할</t>
        </r>
        <r>
          <rPr>
            <b/>
            <sz val="9"/>
            <color indexed="81"/>
            <rFont val="Tahoma"/>
            <family val="2"/>
          </rPr>
          <t xml:space="preserve"> </t>
        </r>
        <r>
          <rPr>
            <b/>
            <sz val="9"/>
            <color indexed="81"/>
            <rFont val="맑은 고딕"/>
            <family val="3"/>
            <charset val="129"/>
          </rPr>
          <t>재산세액</t>
        </r>
        <r>
          <rPr>
            <b/>
            <sz val="9"/>
            <color indexed="81"/>
            <rFont val="Tahoma"/>
            <family val="2"/>
          </rPr>
          <t xml:space="preserve"> + </t>
        </r>
        <r>
          <rPr>
            <b/>
            <sz val="9"/>
            <color indexed="81"/>
            <rFont val="맑은 고딕"/>
            <family val="3"/>
            <charset val="129"/>
          </rPr>
          <t>세부담상한초과세액
과세기준일</t>
        </r>
        <r>
          <rPr>
            <b/>
            <sz val="9"/>
            <color indexed="81"/>
            <rFont val="Tahoma"/>
            <family val="2"/>
          </rPr>
          <t xml:space="preserve"> : </t>
        </r>
        <r>
          <rPr>
            <b/>
            <sz val="9"/>
            <color indexed="81"/>
            <rFont val="맑은 고딕"/>
            <family val="3"/>
            <charset val="129"/>
          </rPr>
          <t>매년</t>
        </r>
        <r>
          <rPr>
            <b/>
            <sz val="9"/>
            <color indexed="81"/>
            <rFont val="Tahoma"/>
            <family val="2"/>
          </rPr>
          <t xml:space="preserve"> 6</t>
        </r>
        <r>
          <rPr>
            <b/>
            <sz val="9"/>
            <color indexed="81"/>
            <rFont val="맑은 고딕"/>
            <family val="3"/>
            <charset val="129"/>
          </rPr>
          <t>월</t>
        </r>
        <r>
          <rPr>
            <b/>
            <sz val="9"/>
            <color indexed="81"/>
            <rFont val="Tahoma"/>
            <family val="2"/>
          </rPr>
          <t xml:space="preserve"> 1</t>
        </r>
        <r>
          <rPr>
            <b/>
            <sz val="9"/>
            <color indexed="81"/>
            <rFont val="맑은 고딕"/>
            <family val="3"/>
            <charset val="129"/>
          </rPr>
          <t>일
납부기간</t>
        </r>
        <r>
          <rPr>
            <b/>
            <sz val="9"/>
            <color indexed="81"/>
            <rFont val="Tahoma"/>
            <family val="2"/>
          </rPr>
          <t xml:space="preserve"> : </t>
        </r>
        <r>
          <rPr>
            <b/>
            <sz val="9"/>
            <color indexed="81"/>
            <rFont val="맑은 고딕"/>
            <family val="3"/>
            <charset val="129"/>
          </rPr>
          <t>매년</t>
        </r>
        <r>
          <rPr>
            <b/>
            <sz val="9"/>
            <color indexed="81"/>
            <rFont val="Tahoma"/>
            <family val="2"/>
          </rPr>
          <t xml:space="preserve"> 12</t>
        </r>
        <r>
          <rPr>
            <b/>
            <sz val="9"/>
            <color indexed="81"/>
            <rFont val="맑은 고딕"/>
            <family val="3"/>
            <charset val="129"/>
          </rPr>
          <t>월</t>
        </r>
        <r>
          <rPr>
            <b/>
            <sz val="9"/>
            <color indexed="81"/>
            <rFont val="Tahoma"/>
            <family val="2"/>
          </rPr>
          <t xml:space="preserve"> 1</t>
        </r>
      </text>
    </comment>
    <comment ref="T33" authorId="2" shapeId="0">
      <text>
        <r>
          <rPr>
            <b/>
            <sz val="9"/>
            <color indexed="81"/>
            <rFont val="Tahoma"/>
            <family val="2"/>
          </rPr>
          <t>jin:</t>
        </r>
        <r>
          <rPr>
            <sz val="9"/>
            <color indexed="81"/>
            <rFont val="Tahoma"/>
            <family val="2"/>
          </rPr>
          <t xml:space="preserve">
</t>
        </r>
        <r>
          <rPr>
            <sz val="9"/>
            <color indexed="81"/>
            <rFont val="돋움"/>
            <family val="3"/>
            <charset val="129"/>
          </rPr>
          <t>과세기준일</t>
        </r>
        <r>
          <rPr>
            <sz val="9"/>
            <color indexed="81"/>
            <rFont val="Tahoma"/>
            <family val="2"/>
          </rPr>
          <t xml:space="preserve"> : </t>
        </r>
        <r>
          <rPr>
            <sz val="9"/>
            <color indexed="81"/>
            <rFont val="돋움"/>
            <family val="3"/>
            <charset val="129"/>
          </rPr>
          <t>매년</t>
        </r>
        <r>
          <rPr>
            <sz val="9"/>
            <color indexed="81"/>
            <rFont val="Tahoma"/>
            <family val="2"/>
          </rPr>
          <t xml:space="preserve"> 6</t>
        </r>
        <r>
          <rPr>
            <sz val="9"/>
            <color indexed="81"/>
            <rFont val="돋움"/>
            <family val="3"/>
            <charset val="129"/>
          </rPr>
          <t>월</t>
        </r>
        <r>
          <rPr>
            <sz val="9"/>
            <color indexed="81"/>
            <rFont val="Tahoma"/>
            <family val="2"/>
          </rPr>
          <t xml:space="preserve"> 1</t>
        </r>
        <r>
          <rPr>
            <sz val="9"/>
            <color indexed="81"/>
            <rFont val="돋움"/>
            <family val="3"/>
            <charset val="129"/>
          </rPr>
          <t>일
납부일</t>
        </r>
        <r>
          <rPr>
            <sz val="9"/>
            <color indexed="81"/>
            <rFont val="Tahoma"/>
            <family val="2"/>
          </rPr>
          <t xml:space="preserve"> : </t>
        </r>
        <r>
          <rPr>
            <sz val="9"/>
            <color indexed="81"/>
            <rFont val="돋움"/>
            <family val="3"/>
            <charset val="129"/>
          </rPr>
          <t>매년</t>
        </r>
        <r>
          <rPr>
            <sz val="9"/>
            <color indexed="81"/>
            <rFont val="Tahoma"/>
            <family val="2"/>
          </rPr>
          <t xml:space="preserve"> 12</t>
        </r>
        <r>
          <rPr>
            <sz val="9"/>
            <color indexed="81"/>
            <rFont val="돋움"/>
            <family val="3"/>
            <charset val="129"/>
          </rPr>
          <t>월</t>
        </r>
        <r>
          <rPr>
            <sz val="9"/>
            <color indexed="81"/>
            <rFont val="Tahoma"/>
            <family val="2"/>
          </rPr>
          <t xml:space="preserve"> 1~15</t>
        </r>
        <r>
          <rPr>
            <sz val="9"/>
            <color indexed="81"/>
            <rFont val="돋움"/>
            <family val="3"/>
            <charset val="129"/>
          </rPr>
          <t xml:space="preserve">일
</t>
        </r>
      </text>
    </comment>
    <comment ref="Y33" authorId="2" shapeId="0">
      <text>
        <r>
          <rPr>
            <b/>
            <sz val="9"/>
            <color indexed="81"/>
            <rFont val="Tahoma"/>
            <family val="2"/>
          </rPr>
          <t>jin:</t>
        </r>
        <r>
          <rPr>
            <sz val="9"/>
            <color indexed="81"/>
            <rFont val="Tahoma"/>
            <family val="2"/>
          </rPr>
          <t xml:space="preserve">
= </t>
        </r>
        <r>
          <rPr>
            <sz val="9"/>
            <color indexed="81"/>
            <rFont val="돋움"/>
            <family val="3"/>
            <charset val="129"/>
          </rPr>
          <t xml:space="preserve">토지공시가격
</t>
        </r>
        <r>
          <rPr>
            <sz val="9"/>
            <color indexed="81"/>
            <rFont val="Tahoma"/>
            <family val="2"/>
          </rPr>
          <t>(</t>
        </r>
        <r>
          <rPr>
            <sz val="9"/>
            <color indexed="81"/>
            <rFont val="돋움"/>
            <family val="3"/>
            <charset val="129"/>
          </rPr>
          <t>토지매매가</t>
        </r>
        <r>
          <rPr>
            <sz val="9"/>
            <color indexed="81"/>
            <rFont val="Tahoma"/>
            <family val="2"/>
          </rPr>
          <t xml:space="preserve"> × 70%) × 80%</t>
        </r>
      </text>
    </comment>
    <comment ref="AD33" authorId="2" shapeId="0">
      <text>
        <r>
          <rPr>
            <b/>
            <sz val="9"/>
            <color indexed="81"/>
            <rFont val="Tahoma"/>
            <family val="2"/>
          </rPr>
          <t>jin:</t>
        </r>
        <r>
          <rPr>
            <sz val="9"/>
            <color indexed="81"/>
            <rFont val="Tahoma"/>
            <family val="2"/>
          </rPr>
          <t xml:space="preserve">
0.6 %,  1%,  1.6%
</t>
        </r>
        <r>
          <rPr>
            <sz val="9"/>
            <color indexed="81"/>
            <rFont val="돋움"/>
            <family val="3"/>
            <charset val="129"/>
          </rPr>
          <t>분리과세</t>
        </r>
        <r>
          <rPr>
            <sz val="9"/>
            <color indexed="81"/>
            <rFont val="Tahoma"/>
            <family val="2"/>
          </rPr>
          <t xml:space="preserve">, </t>
        </r>
        <r>
          <rPr>
            <sz val="9"/>
            <color indexed="81"/>
            <rFont val="돋움"/>
            <family val="3"/>
            <charset val="129"/>
          </rPr>
          <t>토지분</t>
        </r>
        <r>
          <rPr>
            <sz val="9"/>
            <color indexed="81"/>
            <rFont val="Tahoma"/>
            <family val="2"/>
          </rPr>
          <t xml:space="preserve">, </t>
        </r>
        <r>
          <rPr>
            <sz val="9"/>
            <color indexed="81"/>
            <rFont val="돋움"/>
            <family val="3"/>
            <charset val="129"/>
          </rPr>
          <t>공급목적</t>
        </r>
        <r>
          <rPr>
            <sz val="9"/>
            <color indexed="81"/>
            <rFont val="Tahoma"/>
            <family val="2"/>
          </rPr>
          <t xml:space="preserve"> </t>
        </r>
        <r>
          <rPr>
            <sz val="9"/>
            <color indexed="81"/>
            <rFont val="돋움"/>
            <family val="3"/>
            <charset val="129"/>
          </rPr>
          <t>보유토지</t>
        </r>
        <r>
          <rPr>
            <sz val="9"/>
            <color indexed="81"/>
            <rFont val="Tahoma"/>
            <family val="2"/>
          </rPr>
          <t xml:space="preserve"> </t>
        </r>
        <r>
          <rPr>
            <sz val="9"/>
            <color indexed="81"/>
            <rFont val="돋움"/>
            <family val="3"/>
            <charset val="129"/>
          </rPr>
          <t>재산세</t>
        </r>
        <r>
          <rPr>
            <sz val="9"/>
            <color indexed="81"/>
            <rFont val="Tahoma"/>
            <family val="2"/>
          </rPr>
          <t xml:space="preserve"> 0.2%</t>
        </r>
        <r>
          <rPr>
            <sz val="9"/>
            <color indexed="81"/>
            <rFont val="돋움"/>
            <family val="3"/>
            <charset val="129"/>
          </rPr>
          <t>만부과</t>
        </r>
      </text>
    </comment>
    <comment ref="G38" authorId="1" shapeId="0">
      <text>
        <r>
          <rPr>
            <sz val="10"/>
            <color indexed="81"/>
            <rFont val="굴림"/>
            <family val="3"/>
            <charset val="129"/>
          </rPr>
          <t xml:space="preserve">문화예술진흥법시행령 
제24조 (건축물에 대한 미술장식) 
① 건축물로서 연면적(주차장 · 기계실 · 전기실 · 변전실 · 발전실 및 공조실의 면적을 제외)이 1만제곱미터이상인 것
 다만, 공동주택은 각 동의 연면적의 합계가 1만제곱미터이상
1. 공동주택(기숙사를 제외한다)
2. 제1종 근린생활시설(건축법시행령 별표 1 제3호 바목 · 사목 및 아목의 시설을 제외한다) 및 제2종 근린생활시설
3. 문화 및 집회시설중 공연장 · 집회장 및 관람장
4. 판매 및 영업시설
5. 의료시설중 병원
6. 업무시설
7. 숙박시설
8. 위락시설
9. 공공용시설중 방송국 · 전신전화국 및 촬영소 기타 이와 유사한 것과 통신용시설
② "건축"이라 함은 신축 및 증축을 말한다.
③ "건축비용"이라 함은 건설교통부장관이 고시하는 표준건축비 * 연면적을 기준으로 산정한 금액
 다만, 특별시 및 광역시 지역을 제외한 지역의 경우에는 표준건축비의 100분의 95 * 연면적에 대하여 산정한 금액
④ 법 제11조제1항 및 제2항에서 "미술장식"이라 함은 제24조의2의 규정에 의하여 감정 또는 평가를 거친 다음 각호의 것을 말한다.
1. 회화 · 조각 · 공예 · 사진 · 서예 등 조형예술물
2. 벽화 · 분수대 · 상징탑 등 환경조형물
⑤ 미술장식에 사용하여야 하는 금액
1. 공동주택 : 건축비용의 0.1% 이상  ~ 0.7%1 이하 (지방자치단체의 조례로 정하는 비율)
2. 제24조제1항제2호 내지 제9호의 건축물
+------------------------+---------------------------------------------+
|      건축물 소재지     |            미술장식 사용금액                |
+------------------------+---------------------------------------------+
| 가. 시(자치구가 설치되 |  건축비용의 1천분의 5이상 1천분의 7이하의   |
|    지 아니한 시를 말한 |  범위안에서 지방자치단체의 조례로 정하는    |
|    다)·군지역에 소재   |  비율에 해당하는 금액                       |
|    하는 건축물         |                                             |
+------------------------+---------------------------------------------+
| 나. 가목 외의 지역에   | (1) 연면적 1만제곱미터이상 2만제곱미타이하인|
|     소재하는 건축물    |    건축물 : 건축비용의 1천분의 7에 해당하는 |
|                        |    금액                                     |
|                        | (2) 연면적 2만제곱미터 초과 건축물 : 연면적 |
|                        |    2만제곱미터에 사용되는 건축비용의 1천분의|
|                        |    7에 해당하는 금액 + 2만제곱미터를 초과하 |
|                        |    는 연면적에 대한 건축비용의 1천분의 5에  |
|                        |    해당하는 금액                            |
+------------------------+---------------------------------------------+
제24조의2 (미술장식의 설치절차 · 방법) 
① 당해 건축물이 특별시 · 광역시 지역에 소재하는 때에는 특별시장 · 광역시장에게, 그외의 지역에 소재하는 때에는 시장 · 군수에게 당해 미술장식의 가격 및 예술성 등에 대한 감정 · 평가를 신청하여야 한다.
② 제1항의 규정에 의한 신청을 받은 지방자치단체의 장은 당해 미술장식의 가격 및 예술성 등을 공정하고 객관적으로 감정 · 평가하여 그 결과를 건축주에게 통지하여야 한다.
③ 기타 미술장식의 설치절차 등에 관하여 필요한 사항은 지방자치단체의 조례로 정한다. [본조신설 2000.10.23]
제24조의3 (미술장식심의위원회) 
① 지방자치단체는 제24조의2제2항의 규정에 의한 미술장식의 가격 및 예술성 등에 대한 공정하고 객관적인감정 · 평가를 위하여 미술 · 건축 · 환경 · 공간디자인 · 도시계획분야 등의 전문가 및 시민대표 등으로 구성되는 미술장식심의위원회를 운영할 수 있다.
② 제1항의 규정에 의한 미술장식심의위원회는 다음 각호의 사항을 심의한다.
1. 미술장식의 가격
2. 미술장식의 예술성
3. 미술장식과 건축물의 조화
4. 기타 미술장식의 도시미관에 대한 기여도 등
③ 미술장식심의위원회는 제2항 각호의 사항을 심의한 경우에는 그 결과를 공보에 공고하여야 한다.
④ 미술장식심의위원회의 구성 · 운영 등에 관하여 필요한 사항은 지방자치단체의 조례로 정한다. [본조신설 2000.10.23]
제25조 (미술장식의 철거 · 훼손시의 조치) 
지방자치단체의 장은 법 제11조의 규정에 의하여 설치된 미술장식이 철거 · 훼손 · 용도변경 또는 분실된 경우에는 당해 건축주로 하여금 이를 원상회복하도록 조치하여야 한다. 다만, 건축주에게 귀책사유가 없는 경우에는 그러하지 아니하다. [전문개정 2000.10.23]
■ 미술장식품설치비(문화예술진흥법 제11조, 동법시행령 제24조 등)
- 미술장식품의 설치는 그 동안 건축법에 의해 권장사항이었으나 1995. 1. 5자 개정된 
문화예술진흥법에서 의무사항으로 변경됨
- 설치대상 건축물: 
① 신축: •근린생활시설 •의료시설 중 병원 •업무시설 •숙박시설• 판매시설 •위락시설
•관람집회시설 중 공연장 집회장 •운수시설 중 철도역사 • 방송·통신시설
② 증축: 증축되는 연면적이 1만㎡ 이상인 위의 건축물
- 미술장식품의 종류: 
① 회화, 조각, 공예, 사진, 서예 등 조형예술물
② 벽화, 분수대, 상징탑 등 환경조형물
※ 서울시의 경우 시행자와 작가간의 계약서상의 금액을 기준으로 이를 지방국세청장에게 통보
&lt;미술장식품의 설치비용&gt;
구분 미술장식품의 금액 비고
위 설치대상 건축물 건축비용의 1/100이상 건축비용 산정시의 건축은 신축과 증축을 말함
연면적 1만㎡ 이상인 공동주택 건축비용의 1/1,000이상 ~ 1/100이하※서울시의 경우: 1/1,000이상 지방자치단체의 조례로 정함
위 설치대상 건축물 중 자치구가 없는 시·군지역에 건축하는 건축물 건축비용의 5/1,000이상 ~1/100이하 지방자치단체의 조례로 정함
※ 건축비용: 건설교통부장관이 고시하는 표준건축비를 기준으로 연면적에 대하여 산정한 금액
- 예) 서울시에서 건축연면적이 55,419㎡ 이상인 공동주택을 개발할 경우
à 55,419㎡(건축연면적) X 1,321,000원 X 0.1% = 73,208천원(백단위절삭)
</t>
        </r>
      </text>
    </comment>
    <comment ref="AG38" authorId="1" shapeId="0">
      <text>
        <r>
          <rPr>
            <sz val="10"/>
            <color indexed="81"/>
            <rFont val="굴림"/>
            <family val="3"/>
            <charset val="129"/>
          </rPr>
          <t>1. 공동주택 : 표준건축비의 0.1% 이상  ~ 0.7%1 이하 
                (지방자치단체의 조례로 정하는 비율)
2. 기타 건축물
  가. 시(자치구가 설치되지 아니한 시), 군지역 소재
      - 표준건축비의 0.5% 이상 ~ 0.7%이하
  나. 가목 외의 지역에 소재
    (1) 연면적 1만제곱미터이상 2만제곱미타이하인
      - 표준건축비의 0.7%
    (2) 연면적 2만제곱미터 초과
      - 연면적 2만제곱미터 * 표준건축비의 0.7% + 2만제곱미터초과 연면적 * 0.5%</t>
        </r>
      </text>
    </comment>
    <comment ref="Y43" authorId="1" shapeId="0">
      <text>
        <r>
          <rPr>
            <b/>
            <sz val="10"/>
            <color indexed="81"/>
            <rFont val="맑은 고딕"/>
            <family val="3"/>
            <charset val="129"/>
            <scheme val="minor"/>
          </rPr>
          <t>통상 35만원</t>
        </r>
      </text>
    </comment>
    <comment ref="T45" authorId="1" shapeId="0">
      <text>
        <r>
          <rPr>
            <b/>
            <sz val="9"/>
            <color indexed="81"/>
            <rFont val="굴림"/>
            <family val="3"/>
            <charset val="129"/>
          </rPr>
          <t>대지면적기준</t>
        </r>
        <r>
          <rPr>
            <sz val="9"/>
            <color indexed="81"/>
            <rFont val="굴림"/>
            <family val="3"/>
            <charset val="129"/>
          </rPr>
          <t xml:space="preserve">
</t>
        </r>
      </text>
    </comment>
    <comment ref="Y45" authorId="1" shapeId="0">
      <text>
        <r>
          <rPr>
            <sz val="10"/>
            <color indexed="81"/>
            <rFont val="굴림"/>
            <family val="3"/>
            <charset val="129"/>
          </rPr>
          <t xml:space="preserve">통상 4만원
</t>
        </r>
      </text>
    </comment>
    <comment ref="D48" authorId="1" shapeId="0">
      <text>
        <r>
          <rPr>
            <sz val="10"/>
            <color indexed="81"/>
            <rFont val="굴림"/>
            <family val="3"/>
            <charset val="129"/>
          </rPr>
          <t xml:space="preserve">대상사업
 - 법령 : 연면적 60,000㎡ 이상
 - 서울시 : 연면적 50,000㎡ 이상
</t>
        </r>
      </text>
    </comment>
    <comment ref="D49" authorId="3" shapeId="0">
      <text>
        <r>
          <rPr>
            <sz val="10"/>
            <color indexed="81"/>
            <rFont val="굴림"/>
            <family val="3"/>
            <charset val="129"/>
          </rPr>
          <t>착공전 협의
- 3회까지 분납가능
  (일시불내지 2회 3회 분납가능)
- 착공전 1회 납부
  300일내 잔금 납부(분할 혹은 일시불)
  → 협의내용에 따라 결정
- 사용검사전 모두 납부하여야 함</t>
        </r>
        <r>
          <rPr>
            <sz val="9"/>
            <color indexed="81"/>
            <rFont val="굴림"/>
            <family val="3"/>
            <charset val="129"/>
          </rPr>
          <t xml:space="preserve">
</t>
        </r>
      </text>
    </comment>
    <comment ref="D51" authorId="1" shapeId="0">
      <text>
        <r>
          <rPr>
            <sz val="10"/>
            <color indexed="81"/>
            <rFont val="굴림"/>
            <family val="3"/>
            <charset val="129"/>
          </rPr>
          <t xml:space="preserve">부과대상 : 20세대이상 공동주택, 택지조성사업
부과율 : 수도권 4%, 기타대도시권 2%
부과일시 : 사업승인후 60일 이내
납부기간 : 부과일로부터 60일 이내
제15조 (광역교통시설부담금의 부과대상 지역 등) 
① 법 제11조 본문에서 "대통령령으로 정하는 대도시권"이라 함은 법 제3조의 규정에 의하여 광역교통계획이 수립ㆍ고시된 대도 시권을 말한다.
② 법 제11조제6호에서 "대통령령으로 정하는 사업"이라 함은 건축법 제8조의 규정에 의한 건축허가를 받아 주택외의 시설과 20세대 이상의 주택을 동일건축물로 건축하는 사업(법 제11조제1호 내지 제3호의 사업이 시행되는 지구ㆍ구역 또는 사업 지역안에서 시행되는 경우를 제외한다)을 말한다.
③ 관계 행정기관의 장(관계 행정기관의 장의 권한을 위탁받은 자를 포함한다)은 법 제11조 각호의 사업계획을 수립하거나 준공완료한 때 또는 그에 관한 승인ㆍ인가ㆍ허가ㆍ준공검사ㆍ사용검사를 한 때(변경의 경우를 포함한다)에는 관할 시ㆍ도지사에게 그 사실을 통보하여야 한다.
제3조 (대도시권광역교통계획의 수립) 
① 건설교통부장관은 관계중앙행정기관의 장과 대도시권에 포함된 행정구역을 관할하는 특별시장ㆍ광역시장 또는 도지사(이하 "시ㆍ도지사"라 한다)의 의견을 들어 다음 각호의 사항이 포함된 대도시권광역교통계획(이하 "광역교통계획"이라 한다)을 5년을 단위로 하여 입안한다.
1. 대도시권 광역교통의 현황과 전망
2. 광역교통계획의 목표 및 기본방향에 관한 사항
3. 광역교통시설의 건설과 개량에 관한 사항
4. 광역교통체계 개선 및 광역교통수요의 관리에 관한 사항
5. 광역적인 차원에서의 대중교통수단의 확충 및 운영개선에 관한 사항
6. 광역교통계획의 시행에 필요한 재원의 조달과 투자비의 분담에 관한 사항
7. 제2호 내지 제6호의 규정에 의한 계획의 집행에 필요한 사항
8. 기타 대통령령으로 정하는 대도시권광역교통의 개선에 필요한 사항
② 건설교통부장관은 제1항의 규정에 의한 광역교통계획을 제8조의 규정에 의한 대도시권광역교통위원회의 심의를 거쳐 결정한다. 결정된 광역교통계획을 변경할 때에도 또한 같다.
③ 건설교통부장관은 제2항의 규정에 의하여 광역교통계획을 결정하거나 변경하고자 할 때에는 대도시권광역교통위원회의 심의전에 공청회를 열어 주민 및 관계 전문가등으로부터 의견을 들어야 한다. 다만, 대통령령이 정하는 경미한 사항을 변경하는 경우에는 그러하지 아니하다.
④ 건설교통부장관은 제2항의 규정에 의하여 결정 또는 변경된 광역교통계획을 대통령령이 정하는 바에 따라 고시하고 관계중앙행정기관의 장 및 시ㆍ도지사에게 통보하여야 한다
대도시권광역교통관리에 관한 특별법에 의거하여 아파트를 분양받는 분양대상자에게 부과되는 일종의 세금입니다. 
법령을 살펴보면, 대통령령으로 정해진 대도시권에서 시행되는 다음의 사업에 대해서는 교통시설부담금이 부과됩니다. 
</t>
        </r>
        <r>
          <rPr>
            <b/>
            <sz val="10"/>
            <color indexed="81"/>
            <rFont val="굴림"/>
            <family val="3"/>
            <charset val="129"/>
          </rPr>
          <t xml:space="preserve">1. 택지개발촉진법에 의한 택지개발사업 
2. 도시개발법에 의한 도시개발사업 
3. 주택건설촉진법에 의한 아파트지구개발사업ㆍ대지조성사업 
4. 주택건설촉진법에 의한 주택건설사업(다만, 제1호 내지 제3호의 사업이 시행되는 지구, 구역 또는 사업지역안에서 시행되는 경우는 제외한다) 
5. 도시재개발법에 의한 주택재개발사업 
6. 기타 제1호 내지 제5호의 사업과 유사한 사업으로서 대통령령으로 정하는 사업 
</t>
        </r>
        <r>
          <rPr>
            <sz val="10"/>
            <color indexed="81"/>
            <rFont val="굴림"/>
            <family val="3"/>
            <charset val="129"/>
          </rPr>
          <t xml:space="preserve">
그러나, 이러한 부담금은 종례의 재건축, 재개발 사업일 경우, 조합원이 아닌 일반분양자에 한하여 부담금이 부과되게 되어 있습니다. 
광역교통시설부담금의 산정기준으로는 
* 택지개발촉진법에 의한 택지개발사업 
* 주택건설촉진법에 의한 아파트지구개발사업ㆍ대지조성사업 
위의 사업에서는 ＝{1㎡당 표준개발비×부과율×개발면적×(용적률÷200)}－공제액 
* 주택건설촉진법에 의한 주택건설사업 
* 도시재개발법에 의한 주택재개발사업 
위의 사업에는 = {1㎡당 표준건축비×부과율×건축연면적}－공제액 
이러한 산식으로 아파트 분양자에게 부과되게 됩니다. 
</t>
        </r>
      </text>
    </comment>
    <comment ref="Y51" authorId="1" shapeId="0">
      <text>
        <r>
          <rPr>
            <sz val="10"/>
            <color indexed="81"/>
            <rFont val="굴림"/>
            <family val="3"/>
            <charset val="129"/>
          </rPr>
          <t xml:space="preserve">1. 표준개발비 : 건설교통부장관이 매년 고시하는 금액을 기준, 
   표준건축비 : 임대주택을 매각할 때 매각가격의 산정기준이 되는 건설교통부장관이 고시하는 표준건축비를 기준
2. 주택건설사업 : ㎡당 표준건축비(건설교통부장관 매년 고시)
3. 택지조성사업 : ㎡당 표준개발비(2002년 표준개발비 : 229천원)
4. 광역교통시설부담금 표준건축비,건교부고시 2000-196호(단위 : 천원)
’02. 12. 2.
 ※2002년 12월 2일 이후 입주자모집공고승인신청서가 접수되는 사업부터 적용
5층 이하       전용면적 40㎡ 이하              780.3천원/㎡
                   전용면적 40초과～50㎡이하  738.5천원/㎡
                   전용면적 50초과～60㎡이하   724.5천원/㎡
                   전용면적 60㎡초과               696.6천원/㎡
6～10층 이하  전용면적 40㎡ 이하              746.0천원/㎡
                    전용면적 40초과～50㎡이하   706.0천원/㎡
                    전용면적 50초과～60㎡이하   692.7천원/㎡
                    전용면적 60㎡초과               666.1천원/㎡
11～15층 이하 전용면적 40㎡ 이하              678.7천원/㎡
                    전용면적 40초과～50㎡이하   642.4천원/㎡
                    전용면적 50초과～60㎡이하   630.3천원/㎡
                    전용면적 60㎡초과               606.0천원/㎡
16층 이상       전용면적 40㎡ 이하              754.5천원/㎡
                    전용면적 40초과～50㎡이하   714.1천원/㎡
                    전용면적 50초과～60㎡이하   700.7천원/㎡
                    전용면적 60㎡초과               673.7천원/㎡
</t>
        </r>
        <r>
          <rPr>
            <sz val="9"/>
            <color indexed="81"/>
            <rFont val="굴림"/>
            <family val="3"/>
            <charset val="129"/>
          </rPr>
          <t xml:space="preserve">
</t>
        </r>
      </text>
    </comment>
    <comment ref="AG51" authorId="1" shapeId="0">
      <text>
        <r>
          <rPr>
            <sz val="10"/>
            <color indexed="81"/>
            <rFont val="굴림"/>
            <family val="3"/>
            <charset val="129"/>
          </rPr>
          <t>1. 택지조성사업
    수도권 30%, 기타대도시권 15%
2. 주택건설사업 : 수도권 4%, 기타대도시권 2%</t>
        </r>
        <r>
          <rPr>
            <sz val="9"/>
            <color indexed="81"/>
            <rFont val="굴림"/>
            <family val="3"/>
            <charset val="129"/>
          </rPr>
          <t xml:space="preserve">
</t>
        </r>
      </text>
    </comment>
    <comment ref="D56" authorId="1" shapeId="0">
      <text>
        <r>
          <rPr>
            <sz val="10"/>
            <color indexed="81"/>
            <rFont val="굴림"/>
            <family val="3"/>
            <charset val="129"/>
          </rPr>
          <t>1. 비용 : 1 ~ 3억 정도
2. 면적 : 통상 200평</t>
        </r>
        <r>
          <rPr>
            <sz val="9"/>
            <color indexed="81"/>
            <rFont val="굴림"/>
            <family val="3"/>
            <charset val="129"/>
          </rPr>
          <t xml:space="preserve">
</t>
        </r>
      </text>
    </comment>
    <comment ref="D57" authorId="1" shapeId="0">
      <text>
        <r>
          <rPr>
            <sz val="10"/>
            <color indexed="81"/>
            <rFont val="굴림"/>
            <family val="3"/>
            <charset val="129"/>
          </rPr>
          <t>통상 3억 ~ 5억</t>
        </r>
        <r>
          <rPr>
            <sz val="9"/>
            <color indexed="81"/>
            <rFont val="굴림"/>
            <family val="3"/>
            <charset val="129"/>
          </rPr>
          <t xml:space="preserve">
</t>
        </r>
      </text>
    </comment>
    <comment ref="D58" authorId="1" shapeId="0">
      <text>
        <r>
          <rPr>
            <sz val="10"/>
            <color indexed="81"/>
            <rFont val="굴림"/>
            <family val="3"/>
            <charset val="129"/>
          </rPr>
          <t>통상 : 2천만원/월</t>
        </r>
        <r>
          <rPr>
            <b/>
            <sz val="9"/>
            <color indexed="81"/>
            <rFont val="굴림"/>
            <family val="3"/>
            <charset val="129"/>
          </rPr>
          <t xml:space="preserve">
</t>
        </r>
        <r>
          <rPr>
            <sz val="9"/>
            <color indexed="81"/>
            <rFont val="굴림"/>
            <family val="3"/>
            <charset val="129"/>
          </rPr>
          <t xml:space="preserve">
</t>
        </r>
      </text>
    </comment>
    <comment ref="AG59" authorId="1" shapeId="0">
      <text>
        <r>
          <rPr>
            <sz val="10"/>
            <color indexed="81"/>
            <rFont val="굴림"/>
            <family val="3"/>
            <charset val="129"/>
          </rPr>
          <t>통상 : 1%</t>
        </r>
        <r>
          <rPr>
            <sz val="9"/>
            <color indexed="81"/>
            <rFont val="굴림"/>
            <family val="3"/>
            <charset val="129"/>
          </rPr>
          <t xml:space="preserve">
</t>
        </r>
      </text>
    </comment>
    <comment ref="AG62" authorId="1" shapeId="0">
      <text>
        <r>
          <rPr>
            <b/>
            <sz val="9"/>
            <color indexed="81"/>
            <rFont val="굴림"/>
            <family val="3"/>
            <charset val="129"/>
          </rPr>
          <t>* 주택사업 기준
A, A+ : 0.34%(연)
B+ : 0.35%(연)
B, C, C+ :0.36%(연)
D+ : 0.41%(연)
D, E  : 0.44%(연)</t>
        </r>
        <r>
          <rPr>
            <sz val="9"/>
            <color indexed="81"/>
            <rFont val="굴림"/>
            <family val="3"/>
            <charset val="129"/>
          </rPr>
          <t xml:space="preserve">
</t>
        </r>
      </text>
    </comment>
    <comment ref="AG65" authorId="1" shapeId="0">
      <text>
        <r>
          <rPr>
            <sz val="10"/>
            <color indexed="81"/>
            <rFont val="굴림"/>
            <family val="3"/>
            <charset val="129"/>
          </rPr>
          <t>통상 : 1%</t>
        </r>
        <r>
          <rPr>
            <sz val="9"/>
            <color indexed="81"/>
            <rFont val="굴림"/>
            <family val="3"/>
            <charset val="129"/>
          </rPr>
          <t xml:space="preserve">
</t>
        </r>
      </text>
    </comment>
    <comment ref="D67" authorId="1" shapeId="0">
      <text>
        <r>
          <rPr>
            <b/>
            <sz val="9"/>
            <color indexed="81"/>
            <rFont val="굴림"/>
            <family val="3"/>
            <charset val="129"/>
          </rPr>
          <t>분양수입의 2%
개발비용의 3%</t>
        </r>
        <r>
          <rPr>
            <sz val="9"/>
            <color indexed="81"/>
            <rFont val="굴림"/>
            <family val="3"/>
            <charset val="129"/>
          </rPr>
          <t xml:space="preserve">
■ 부동산신탁수수료(신탁업법 제9조~제10조, 동법시행령 제15조)
- 토지 및 그 정착물의 소유권을 재산으로 하여 성립하는 신탁. 신탁회사가 인수할 수 있는
부동산신탁에는 이 밖에 지상권, 토지의 임차권을 신탁재산으로 하는 경우도 있음
- 신탁이 이루어졌을 때, 위탁자는 자기 소유의 부동산을 수탁자의 명의로
  신탁재산표시등기를 하고, 신탁계약요항(信託契約要項)을 신탁원부(信託原簿)에 기재해야
  함 
- 이와 같은 공시절차를 거치지 않으면 선의의 제 3 자에 대항할 수 없음
- 예) 토지대가 110억, 예정 분양 매출액이 300억인 주상복합 사업을 토지신탁할 경우
   à 300억(예상분양가) X 0.4%(보수율) = 120,000천원
   à 110억(토지대) X 0.4% = 44,000천원
&lt;신탁보수(수수료&gt;
신탁 종류 신탁보수 산정기준 보수율
토지신탁 기본보수 건설비 기준   예정건설비  (공사비, 설계비, 감리비 등)  5 / 100 이내
  분양가 기준  (분양형) 예정분양금액총액 (임대형) 예정임대보증금총액 4 / 100 이내
 성과보수  사업성과 등에 따라 기본보수의 20 / 100을 기준으로 위탁자와 협의하여 별도로 정할 수 있음 
관리신탁 갑종관리신탁 기본보수  아래의 3가지 방법중 택일 1) 총수의 기준 2) 수탁재산가격 기준 3) 총수익과 수탁재산가격 기준  1) 년 6 ~ 10 / 100 이내 2) 년 6 ~ 10 / 1,000 이내 3) (총수익 기준보수 +   수탁재산가격 기준보수)   X  1/2
 을종 관리신탁 기본보수  수탁재산가격 기준  년 10  ~ 30 / 10,000 이내
처분신탁 기본보수  아래의 3가지 방법중 택일 1) 처분가격 기준 2) 처분이익 기준 3) 처분가격과 처분이익 기준  1) 4 ~ 16 / 1,000 이내 2) 4 ~ 16 / 1,000 이내 3) (처분가격 기준보수+ 처분이익기준보수) X 1/2
담보신탁 기본보수  수익권증서금액(수익권리금)  55 / 10,000 이내 
 환지처분보수   처분가격  4 ~ 10 / 1,000 이내
</t>
        </r>
      </text>
    </comment>
    <comment ref="D77" authorId="1" shapeId="0">
      <text>
        <r>
          <rPr>
            <b/>
            <sz val="9"/>
            <color indexed="81"/>
            <rFont val="굴림"/>
            <family val="3"/>
            <charset val="129"/>
          </rPr>
          <t xml:space="preserve">과세표준액이 1천만원을 초과하는 경우 다음의 구분에 따라 가산.
            1천만원초과      5천만원까지                                 1천만원초과액의    10/10,000
            5천만원초과         1억원까지             40,000원 +      5천만원초과액의     9/10,000
               1억원초과         3억원까지             85,000원 +         1억원초과액의     8/10,000
               3억원초과         5억원까지           245,000원 +         3억원초과액의     7/10,000
               5억원초과        10억원까지           385,000원 +         5억원초과액의     6/10,000
             10억원초과        20억원까지           685,000원 +       10억원 초과액의     5/10,000
             20억원초과       200억원까지        1,185,000원 +       20억원 초과액의     4/10,000
            200억원초과                               8,385,000원 +      200억원 초과액의     1/10,000
1.부동산등기(선박.입목.재단의 등기 포함)
 </t>
        </r>
        <r>
          <rPr>
            <sz val="10"/>
            <color indexed="81"/>
            <rFont val="굴림"/>
            <family val="3"/>
            <charset val="129"/>
          </rPr>
          <t xml:space="preserve">  가.소유권보존
     (1)토지, 건물(증축 및 부속건물신축 포함, 구분건물 제외), 입목 50,000원
     (2)구분건물                                                               40,000원
     (3)선박,재단                                                              60,000원
   나.소유권 이전
     (1)토지,건물, 입목                                                       60,000원
     (2)선박,재단                                                              65,000원
   다.용기권.담보권의 설정, 처분 또는 채권액 증가
     (1)토지,건물,입목                                                        60,000원
     (2)선박,재단,공장저당                                                   80,000원
</t>
        </r>
        <r>
          <rPr>
            <b/>
            <sz val="9"/>
            <color indexed="81"/>
            <rFont val="굴림"/>
            <family val="3"/>
            <charset val="129"/>
          </rPr>
          <t xml:space="preserve">
 </t>
        </r>
      </text>
    </comment>
  </commentList>
</comments>
</file>

<file path=xl/sharedStrings.xml><?xml version="1.0" encoding="utf-8"?>
<sst xmlns="http://schemas.openxmlformats.org/spreadsheetml/2006/main" count="423" uniqueCount="272">
  <si>
    <t>사 업 명</t>
  </si>
  <si>
    <t>용도지구</t>
  </si>
  <si>
    <t>부지 대표지번</t>
  </si>
  <si>
    <t>토지평단가</t>
  </si>
  <si>
    <t>시가의</t>
  </si>
  <si>
    <t>용적율</t>
  </si>
  <si>
    <t>㎡</t>
  </si>
  <si>
    <t>평</t>
  </si>
  <si>
    <t>건폐율</t>
  </si>
  <si>
    <t>건축규모</t>
  </si>
  <si>
    <t>지하</t>
  </si>
  <si>
    <t>PF율(토지비)</t>
  </si>
  <si>
    <t>중도금무이자비율</t>
  </si>
  <si>
    <t>구    분</t>
  </si>
  <si>
    <t>금  액</t>
  </si>
  <si>
    <t>비율</t>
  </si>
  <si>
    <t>매
출</t>
  </si>
  <si>
    <t>×</t>
  </si>
  <si>
    <t>천원</t>
  </si>
  <si>
    <t>계</t>
  </si>
  <si>
    <t>소계</t>
  </si>
  <si>
    <t>설계비</t>
  </si>
  <si>
    <t>지 출 합 계</t>
  </si>
  <si>
    <t>합계</t>
  </si>
  <si>
    <t>수익금(증) 및 부족금(감)</t>
  </si>
  <si>
    <t>미분양</t>
  </si>
  <si>
    <t>구분</t>
    <phoneticPr fontId="25" type="noConversion"/>
  </si>
  <si>
    <t>근린생활</t>
  </si>
  <si>
    <t>잔금</t>
    <phoneticPr fontId="25" type="noConversion"/>
  </si>
  <si>
    <t>잔여대출금</t>
  </si>
  <si>
    <t>상환대출금</t>
  </si>
  <si>
    <t>소계</t>
    <phoneticPr fontId="25" type="noConversion"/>
  </si>
  <si>
    <t>근린생활</t>
    <phoneticPr fontId="25" type="noConversion"/>
  </si>
  <si>
    <t>합계</t>
    <phoneticPr fontId="25" type="noConversion"/>
  </si>
  <si>
    <t>계약금</t>
    <phoneticPr fontId="25" type="noConversion"/>
  </si>
  <si>
    <t>■ 분양수입금 배분구조</t>
    <phoneticPr fontId="24" type="noConversion"/>
  </si>
  <si>
    <t>분양률</t>
    <phoneticPr fontId="25" type="noConversion"/>
  </si>
  <si>
    <t xml:space="preserve">대지
</t>
    <phoneticPr fontId="24" type="noConversion"/>
  </si>
  <si>
    <t>공부상면적</t>
    <phoneticPr fontId="24" type="noConversion"/>
  </si>
  <si>
    <t>분양대금 배분</t>
    <phoneticPr fontId="25" type="noConversion"/>
  </si>
  <si>
    <t>&lt;-- 사업비 충당</t>
    <phoneticPr fontId="25" type="noConversion"/>
  </si>
  <si>
    <t>&lt;-- 대출금 상환</t>
    <phoneticPr fontId="25" type="noConversion"/>
  </si>
  <si>
    <t>[잔금]</t>
    <phoneticPr fontId="25" type="noConversion"/>
  </si>
  <si>
    <t>사업비 충당</t>
    <phoneticPr fontId="25" type="noConversion"/>
  </si>
  <si>
    <t>대출금 상환</t>
    <phoneticPr fontId="25" type="noConversion"/>
  </si>
  <si>
    <t>■ 대출금 LTV 검토</t>
    <phoneticPr fontId="24" type="noConversion"/>
  </si>
  <si>
    <t>분양대금</t>
    <phoneticPr fontId="25" type="noConversion"/>
  </si>
  <si>
    <t>계약</t>
    <phoneticPr fontId="25" type="noConversion"/>
  </si>
  <si>
    <t>공급가</t>
    <phoneticPr fontId="26" type="noConversion"/>
  </si>
  <si>
    <t>중도</t>
    <phoneticPr fontId="25" type="noConversion"/>
  </si>
  <si>
    <t>중도금</t>
    <phoneticPr fontId="25" type="noConversion"/>
  </si>
  <si>
    <t>■ 사업비 검토</t>
    <phoneticPr fontId="25" type="noConversion"/>
  </si>
  <si>
    <t>■ 대출금 검토</t>
    <phoneticPr fontId="25" type="noConversion"/>
  </si>
  <si>
    <t>분 양 대 금[A]</t>
    <phoneticPr fontId="25" type="noConversion"/>
  </si>
  <si>
    <t>대출+ Equity[B]</t>
    <phoneticPr fontId="25" type="noConversion"/>
  </si>
  <si>
    <t>수입</t>
    <phoneticPr fontId="26" type="noConversion"/>
  </si>
  <si>
    <t>공 사 금 액[C]</t>
    <phoneticPr fontId="25" type="noConversion"/>
  </si>
  <si>
    <t>필 수 사업비[D]</t>
    <phoneticPr fontId="25" type="noConversion"/>
  </si>
  <si>
    <t>지급 100%</t>
    <phoneticPr fontId="26" type="noConversion"/>
  </si>
  <si>
    <t>공사금액[E]</t>
    <phoneticPr fontId="25" type="noConversion"/>
  </si>
  <si>
    <t>×</t>
    <phoneticPr fontId="25" type="noConversion"/>
  </si>
  <si>
    <t>■ 분양률에 따른 우선수익자 채권 회수 방안</t>
    <phoneticPr fontId="24" type="noConversion"/>
  </si>
  <si>
    <t>총 집행금액</t>
    <phoneticPr fontId="25" type="noConversion"/>
  </si>
  <si>
    <t>토지비등</t>
    <phoneticPr fontId="24" type="noConversion"/>
  </si>
  <si>
    <t>취득, 등록세 등</t>
    <phoneticPr fontId="25" type="noConversion"/>
  </si>
  <si>
    <t>합계</t>
    <phoneticPr fontId="24" type="noConversion"/>
  </si>
  <si>
    <t>공사비</t>
    <phoneticPr fontId="25" type="noConversion"/>
  </si>
  <si>
    <t>전기,전화,수도,가스</t>
    <phoneticPr fontId="25" type="noConversion"/>
  </si>
  <si>
    <t>연면적1만㎡이하 제외/표준건축비의 0.1% ~ 0.7%</t>
    <phoneticPr fontId="24" type="noConversion"/>
  </si>
  <si>
    <t>감리비</t>
    <phoneticPr fontId="24" type="noConversion"/>
  </si>
  <si>
    <t>부[분]담금</t>
    <phoneticPr fontId="25" type="noConversion"/>
  </si>
  <si>
    <t>광역교통시설부담금</t>
    <phoneticPr fontId="24" type="noConversion"/>
  </si>
  <si>
    <t>분양제비용</t>
    <phoneticPr fontId="25" type="noConversion"/>
  </si>
  <si>
    <t>기타개발비</t>
    <phoneticPr fontId="25" type="noConversion"/>
  </si>
  <si>
    <t>예비비</t>
    <phoneticPr fontId="24" type="noConversion"/>
  </si>
  <si>
    <t>보존등기비</t>
    <phoneticPr fontId="24" type="noConversion"/>
  </si>
  <si>
    <t>법무사수수료</t>
    <phoneticPr fontId="25" type="noConversion"/>
  </si>
  <si>
    <t>금융비용</t>
    <phoneticPr fontId="25" type="noConversion"/>
  </si>
  <si>
    <t>정산</t>
    <phoneticPr fontId="25" type="noConversion"/>
  </si>
  <si>
    <t>세전이익</t>
    <phoneticPr fontId="25" type="noConversion"/>
  </si>
  <si>
    <t>평</t>
    <phoneticPr fontId="24" type="noConversion"/>
  </si>
  <si>
    <t>공급가 매출금액</t>
    <phoneticPr fontId="25" type="noConversion"/>
  </si>
  <si>
    <t>전체분양[안]</t>
    <phoneticPr fontId="26" type="noConversion"/>
  </si>
  <si>
    <t>근린생활시설</t>
    <phoneticPr fontId="25" type="noConversion"/>
  </si>
  <si>
    <t>공사기간</t>
    <phoneticPr fontId="24" type="noConversion"/>
  </si>
  <si>
    <t>[계약금]</t>
    <phoneticPr fontId="25" type="noConversion"/>
  </si>
  <si>
    <t>건축</t>
    <phoneticPr fontId="24" type="noConversion"/>
  </si>
  <si>
    <t>연면적</t>
    <phoneticPr fontId="24" type="noConversion"/>
  </si>
  <si>
    <t>근린생활</t>
    <phoneticPr fontId="26" type="noConversion"/>
  </si>
  <si>
    <t>지상층면적</t>
    <phoneticPr fontId="24" type="noConversion"/>
  </si>
  <si>
    <t>[중도금]</t>
    <phoneticPr fontId="25" type="noConversion"/>
  </si>
  <si>
    <t>지하층면적</t>
    <phoneticPr fontId="24" type="noConversion"/>
  </si>
  <si>
    <t>중도금무이자 이자율</t>
  </si>
  <si>
    <t>총분양률</t>
    <phoneticPr fontId="25" type="noConversion"/>
  </si>
  <si>
    <t>전용</t>
    <phoneticPr fontId="24" type="noConversion"/>
  </si>
  <si>
    <t>산출 내역</t>
    <phoneticPr fontId="24" type="noConversion"/>
  </si>
  <si>
    <t>전용률</t>
    <phoneticPr fontId="24" type="noConversion"/>
  </si>
  <si>
    <t>소 계</t>
    <phoneticPr fontId="24" type="noConversion"/>
  </si>
  <si>
    <t>LTV</t>
    <phoneticPr fontId="26" type="noConversion"/>
  </si>
  <si>
    <t>대출금액</t>
    <phoneticPr fontId="24" type="noConversion"/>
  </si>
  <si>
    <t>총분양대금</t>
    <phoneticPr fontId="25" type="noConversion"/>
  </si>
  <si>
    <t>토지매입비</t>
    <phoneticPr fontId="24" type="noConversion"/>
  </si>
  <si>
    <t>합   계</t>
    <phoneticPr fontId="26" type="noConversion"/>
  </si>
  <si>
    <t>미분양시 건설중 할인분양</t>
    <phoneticPr fontId="25" type="noConversion"/>
  </si>
  <si>
    <t>간접비등</t>
    <phoneticPr fontId="24" type="noConversion"/>
  </si>
  <si>
    <t>인입공사비</t>
    <phoneticPr fontId="25" type="noConversion"/>
  </si>
  <si>
    <t>미술장식품설치비</t>
    <phoneticPr fontId="25" type="noConversion"/>
  </si>
  <si>
    <t>우선수익자 변제</t>
    <phoneticPr fontId="25" type="noConversion"/>
  </si>
  <si>
    <t>대출원금</t>
    <phoneticPr fontId="25" type="noConversion"/>
  </si>
  <si>
    <t>미분양 담보대출</t>
    <phoneticPr fontId="25" type="noConversion"/>
  </si>
  <si>
    <t>미분양시 대물변제</t>
    <phoneticPr fontId="25" type="noConversion"/>
  </si>
  <si>
    <t>인허가비</t>
    <phoneticPr fontId="25" type="noConversion"/>
  </si>
  <si>
    <t>상수도원인자분담금</t>
    <phoneticPr fontId="24" type="noConversion"/>
  </si>
  <si>
    <t>수도사업소</t>
    <phoneticPr fontId="25" type="noConversion"/>
  </si>
  <si>
    <t>하수도원인자분담금</t>
    <phoneticPr fontId="24" type="noConversion"/>
  </si>
  <si>
    <t>분양사무실 관리운영비</t>
    <phoneticPr fontId="24" type="noConversion"/>
  </si>
  <si>
    <t>광고선전비</t>
    <phoneticPr fontId="25" type="noConversion"/>
  </si>
  <si>
    <t>시행사운영비</t>
    <phoneticPr fontId="24" type="noConversion"/>
  </si>
  <si>
    <t>신탁수수료</t>
    <phoneticPr fontId="24" type="noConversion"/>
  </si>
  <si>
    <t>공사비등</t>
    <phoneticPr fontId="25" type="noConversion"/>
  </si>
  <si>
    <t>입주관리비</t>
    <phoneticPr fontId="24" type="noConversion"/>
  </si>
  <si>
    <t>비고</t>
    <phoneticPr fontId="26" type="noConversion"/>
  </si>
  <si>
    <t>■ 분양률(매출액 기준)</t>
    <phoneticPr fontId="24" type="noConversion"/>
  </si>
  <si>
    <t>■ 대출금 및 Equity</t>
    <phoneticPr fontId="24" type="noConversion"/>
  </si>
  <si>
    <t>대출금</t>
    <phoneticPr fontId="25" type="noConversion"/>
  </si>
  <si>
    <t>자기자본</t>
    <phoneticPr fontId="25" type="noConversion"/>
  </si>
  <si>
    <t>즘감</t>
    <phoneticPr fontId="25" type="noConversion"/>
  </si>
  <si>
    <t>손익분기점 분석(BEP 산정)</t>
    <phoneticPr fontId="25" type="noConversion"/>
  </si>
  <si>
    <t>구분</t>
  </si>
  <si>
    <t>비율</t>
    <phoneticPr fontId="25" type="noConversion"/>
  </si>
  <si>
    <t>총사업비</t>
    <phoneticPr fontId="25" type="noConversion"/>
  </si>
  <si>
    <t>구   분</t>
    <phoneticPr fontId="25" type="noConversion"/>
  </si>
  <si>
    <t>금액</t>
    <phoneticPr fontId="25" type="noConversion"/>
  </si>
  <si>
    <t>필수사업비</t>
    <phoneticPr fontId="25" type="noConversion"/>
  </si>
  <si>
    <t>분양연동사업비</t>
    <phoneticPr fontId="25" type="noConversion"/>
  </si>
  <si>
    <t>후순위사업비</t>
    <phoneticPr fontId="25" type="noConversion"/>
  </si>
  <si>
    <t>대출금액</t>
  </si>
  <si>
    <t>취급수수료</t>
  </si>
  <si>
    <t>대출이자</t>
  </si>
  <si>
    <t>선순위</t>
  </si>
  <si>
    <t>구 분</t>
    <phoneticPr fontId="180" type="noConversion"/>
  </si>
  <si>
    <t>LTV</t>
    <phoneticPr fontId="180" type="noConversion"/>
  </si>
  <si>
    <t>금 액</t>
    <phoneticPr fontId="180" type="noConversion"/>
  </si>
  <si>
    <t>합 계</t>
    <phoneticPr fontId="180" type="noConversion"/>
  </si>
  <si>
    <t>인출방식</t>
    <phoneticPr fontId="180" type="noConversion"/>
  </si>
  <si>
    <t>Tr A-1</t>
    <phoneticPr fontId="25" type="noConversion"/>
  </si>
  <si>
    <t>한도인출</t>
    <phoneticPr fontId="180" type="noConversion"/>
  </si>
  <si>
    <t>Tr A-2</t>
    <phoneticPr fontId="25" type="noConversion"/>
  </si>
  <si>
    <t>선순위</t>
    <phoneticPr fontId="25" type="noConversion"/>
  </si>
  <si>
    <t>■ 대출개요</t>
    <phoneticPr fontId="24" type="noConversion"/>
  </si>
  <si>
    <t>■ 대출가능액</t>
    <phoneticPr fontId="24" type="noConversion"/>
  </si>
  <si>
    <t>PF 대출</t>
    <phoneticPr fontId="24" type="noConversion"/>
  </si>
  <si>
    <t>비고</t>
    <phoneticPr fontId="180" type="noConversion"/>
  </si>
  <si>
    <t>all-in-cost</t>
    <phoneticPr fontId="180" type="noConversion"/>
  </si>
  <si>
    <t>분양가</t>
    <phoneticPr fontId="24" type="noConversion"/>
  </si>
  <si>
    <t>+</t>
    <phoneticPr fontId="180" type="noConversion"/>
  </si>
  <si>
    <t>매출액대비</t>
    <phoneticPr fontId="180" type="noConversion"/>
  </si>
  <si>
    <t>전용평당가</t>
    <phoneticPr fontId="180" type="noConversion"/>
  </si>
  <si>
    <t>■ 전체 분양구조</t>
    <phoneticPr fontId="24" type="noConversion"/>
  </si>
  <si>
    <t>■ 평형별 임대수익률 산정</t>
    <phoneticPr fontId="24" type="noConversion"/>
  </si>
  <si>
    <t>임대수익률 계산</t>
    <phoneticPr fontId="25" type="noConversion"/>
  </si>
  <si>
    <t>일반분양시</t>
    <phoneticPr fontId="25" type="noConversion"/>
  </si>
  <si>
    <t>비   고</t>
    <phoneticPr fontId="25" type="noConversion"/>
  </si>
  <si>
    <t>기준층</t>
    <phoneticPr fontId="24" type="noConversion"/>
  </si>
  <si>
    <t>분양가[매입가]</t>
    <phoneticPr fontId="24" type="noConversion"/>
  </si>
  <si>
    <t>공급가액</t>
    <phoneticPr fontId="24" type="noConversion"/>
  </si>
  <si>
    <t>임대보증금</t>
    <phoneticPr fontId="24" type="noConversion"/>
  </si>
  <si>
    <t>부가세 환급</t>
    <phoneticPr fontId="24" type="noConversion"/>
  </si>
  <si>
    <t>월세</t>
    <phoneticPr fontId="24" type="noConversion"/>
  </si>
  <si>
    <t>단위 천원</t>
    <phoneticPr fontId="25" type="noConversion"/>
  </si>
  <si>
    <t>담보대출</t>
    <phoneticPr fontId="25" type="noConversion"/>
  </si>
  <si>
    <t>[분양가의 60% 적용]</t>
    <phoneticPr fontId="25" type="noConversion"/>
  </si>
  <si>
    <t>대출이자</t>
    <phoneticPr fontId="25" type="noConversion"/>
  </si>
  <si>
    <t>실투자비</t>
    <phoneticPr fontId="25" type="noConversion"/>
  </si>
  <si>
    <t>년간임대료 수입</t>
    <phoneticPr fontId="25" type="noConversion"/>
  </si>
  <si>
    <t>년이자</t>
    <phoneticPr fontId="25" type="noConversion"/>
  </si>
  <si>
    <t>임대수익률</t>
    <phoneticPr fontId="25" type="noConversion"/>
  </si>
  <si>
    <t>년순수익</t>
    <phoneticPr fontId="25" type="noConversion"/>
  </si>
  <si>
    <t>월순수익</t>
    <phoneticPr fontId="25" type="noConversion"/>
  </si>
  <si>
    <t xml:space="preserve">~ 지상 </t>
    <phoneticPr fontId="24" type="noConversion"/>
  </si>
  <si>
    <t>동</t>
  </si>
  <si>
    <t>대출 수수료</t>
    <phoneticPr fontId="24" type="noConversion"/>
  </si>
  <si>
    <t>대출 이자율</t>
    <phoneticPr fontId="24" type="noConversion"/>
  </si>
  <si>
    <t>법무사비용</t>
    <phoneticPr fontId="25" type="noConversion"/>
  </si>
  <si>
    <t>등기비용</t>
    <phoneticPr fontId="180" type="noConversion"/>
  </si>
  <si>
    <t>분양판촉비 포함</t>
    <phoneticPr fontId="25" type="noConversion"/>
  </si>
  <si>
    <t>모형, 사인물, 디스플레이, 기타집기포함</t>
    <phoneticPr fontId="25" type="noConversion"/>
  </si>
  <si>
    <t>×</t>
    <phoneticPr fontId="26" type="noConversion"/>
  </si>
  <si>
    <t>일시인출</t>
    <phoneticPr fontId="180" type="noConversion"/>
  </si>
  <si>
    <t>지
출</t>
    <phoneticPr fontId="24" type="noConversion"/>
  </si>
  <si>
    <t>기타비용역비</t>
    <phoneticPr fontId="24" type="noConversion"/>
  </si>
  <si>
    <t>건축허가조건 이행공사비</t>
    <phoneticPr fontId="24" type="noConversion"/>
  </si>
  <si>
    <t>수수료포함</t>
    <phoneticPr fontId="25" type="noConversion"/>
  </si>
  <si>
    <t>공동주택</t>
    <phoneticPr fontId="180" type="noConversion"/>
  </si>
  <si>
    <t>지구단위용역비</t>
    <phoneticPr fontId="24" type="noConversion"/>
  </si>
  <si>
    <t>지방교육세</t>
    <phoneticPr fontId="24" type="noConversion"/>
  </si>
  <si>
    <t>도시계획세</t>
    <phoneticPr fontId="25" type="noConversion"/>
  </si>
  <si>
    <t>추후확인</t>
    <phoneticPr fontId="25" type="noConversion"/>
  </si>
  <si>
    <t>추후확인</t>
    <phoneticPr fontId="180" type="noConversion"/>
  </si>
  <si>
    <t>M/H임차료</t>
    <phoneticPr fontId="24" type="noConversion"/>
  </si>
  <si>
    <t>M/H 설치및해체비</t>
    <phoneticPr fontId="180" type="noConversion"/>
  </si>
  <si>
    <t>오피스텔</t>
    <phoneticPr fontId="180" type="noConversion"/>
  </si>
  <si>
    <t>1개타입</t>
    <phoneticPr fontId="25" type="noConversion"/>
  </si>
  <si>
    <t>계약금비율</t>
    <phoneticPr fontId="25" type="noConversion"/>
  </si>
  <si>
    <t>매출액의 1%</t>
    <phoneticPr fontId="25" type="noConversion"/>
  </si>
  <si>
    <t>진입로,단지외공사, 주변도로개설,공원조성 등</t>
    <phoneticPr fontId="25" type="noConversion"/>
  </si>
  <si>
    <t>철거공사비/토목공사비</t>
    <phoneticPr fontId="25" type="noConversion"/>
  </si>
  <si>
    <t>지장물이설포함</t>
    <phoneticPr fontId="25" type="noConversion"/>
  </si>
  <si>
    <t>인허가비용</t>
    <phoneticPr fontId="24" type="noConversion"/>
  </si>
  <si>
    <t>도시가스시설부담금</t>
    <phoneticPr fontId="25" type="noConversion"/>
  </si>
  <si>
    <t>공사기간(실착공일로부터28개월)</t>
    <phoneticPr fontId="25" type="noConversion"/>
  </si>
  <si>
    <t>공 제 면 적</t>
    <phoneticPr fontId="24" type="noConversion"/>
  </si>
  <si>
    <t>사 업 면 적</t>
    <phoneticPr fontId="24" type="noConversion"/>
  </si>
  <si>
    <t>아파트</t>
    <phoneticPr fontId="180" type="noConversion"/>
  </si>
  <si>
    <t>명도예상비용</t>
    <phoneticPr fontId="25" type="noConversion"/>
  </si>
  <si>
    <t>감정평가비</t>
    <phoneticPr fontId="25" type="noConversion"/>
  </si>
  <si>
    <t>지주작업비</t>
    <phoneticPr fontId="25" type="noConversion"/>
  </si>
  <si>
    <t>국민주택채권매입</t>
    <phoneticPr fontId="25" type="noConversion"/>
  </si>
  <si>
    <t>직접공사비</t>
    <phoneticPr fontId="25" type="noConversion"/>
  </si>
  <si>
    <t>조합정산비용</t>
    <phoneticPr fontId="25" type="noConversion"/>
  </si>
  <si>
    <t>조합해산(환불포함),선투입비 정산</t>
    <phoneticPr fontId="25" type="noConversion"/>
  </si>
  <si>
    <t>민원처리비</t>
    <phoneticPr fontId="25" type="noConversion"/>
  </si>
  <si>
    <t>수익율</t>
    <phoneticPr fontId="25" type="noConversion"/>
  </si>
  <si>
    <t>인허가(면허세등), 지구단위, 측량, 감정평가 등</t>
  </si>
  <si>
    <t>취등록세등</t>
    <phoneticPr fontId="25" type="noConversion"/>
  </si>
  <si>
    <t>종합부동산세</t>
    <phoneticPr fontId="25" type="noConversion"/>
  </si>
  <si>
    <t>공정시장가액=개별공시지가(토지매입가의70%수준)</t>
    <phoneticPr fontId="25" type="noConversion"/>
  </si>
  <si>
    <t>-</t>
    <phoneticPr fontId="25" type="noConversion"/>
  </si>
  <si>
    <t>아파트</t>
    <phoneticPr fontId="25" type="noConversion"/>
  </si>
  <si>
    <t>서울시 동작구 대방동 11-103번지 일원</t>
    <phoneticPr fontId="25" type="noConversion"/>
  </si>
  <si>
    <t>제2종일반주거지역</t>
    <phoneticPr fontId="25" type="noConversion"/>
  </si>
  <si>
    <t>실착공일로부터 24개월</t>
    <phoneticPr fontId="25" type="noConversion"/>
  </si>
  <si>
    <t>건축비</t>
    <phoneticPr fontId="24" type="noConversion"/>
  </si>
  <si>
    <t>254 세대</t>
    <phoneticPr fontId="26" type="noConversion"/>
  </si>
  <si>
    <t>600 만원</t>
    <phoneticPr fontId="26" type="noConversion"/>
  </si>
  <si>
    <t>토지매입가</t>
    <phoneticPr fontId="26" type="noConversion"/>
  </si>
  <si>
    <t>3,000 만원</t>
    <phoneticPr fontId="26" type="noConversion"/>
  </si>
  <si>
    <t>대방동 지역주택조합 공동주택(아파트) 신축공사</t>
    <phoneticPr fontId="26" type="noConversion"/>
  </si>
  <si>
    <t>건축면적</t>
    <phoneticPr fontId="24" type="noConversion"/>
  </si>
  <si>
    <t>과밀부담금</t>
    <phoneticPr fontId="26" type="noConversion"/>
  </si>
  <si>
    <t>제외</t>
    <phoneticPr fontId="26" type="noConversion"/>
  </si>
  <si>
    <t>임대주택</t>
    <phoneticPr fontId="24" type="noConversion"/>
  </si>
  <si>
    <t>임대 25 평형</t>
    <phoneticPr fontId="25" type="noConversion"/>
  </si>
  <si>
    <t>임대 31평형</t>
    <phoneticPr fontId="25" type="noConversion"/>
  </si>
  <si>
    <t>임대 34 평형</t>
    <phoneticPr fontId="25" type="noConversion"/>
  </si>
  <si>
    <t>2022.05.15</t>
    <phoneticPr fontId="26" type="noConversion"/>
  </si>
  <si>
    <t>단위 : 천원</t>
    <phoneticPr fontId="26" type="noConversion"/>
  </si>
  <si>
    <t>국유지</t>
    <phoneticPr fontId="26" type="noConversion"/>
  </si>
  <si>
    <t>에너지.설계교통.환경.인허가.측량 등</t>
    <phoneticPr fontId="26" type="noConversion"/>
  </si>
  <si>
    <t>상하수도. 가스분담금</t>
    <phoneticPr fontId="26" type="noConversion"/>
  </si>
  <si>
    <t>분양보증수수료</t>
    <phoneticPr fontId="180" type="noConversion"/>
  </si>
  <si>
    <t>12개월</t>
    <phoneticPr fontId="26" type="noConversion"/>
  </si>
  <si>
    <t>분양수수료</t>
    <phoneticPr fontId="25" type="noConversion"/>
  </si>
  <si>
    <t>254 세대 X 1500 만원</t>
    <phoneticPr fontId="26" type="noConversion"/>
  </si>
  <si>
    <t>농어촌특별세</t>
    <phoneticPr fontId="26" type="noConversion"/>
  </si>
  <si>
    <t>조합 및 대행사 일반관리</t>
    <phoneticPr fontId="26" type="noConversion"/>
  </si>
  <si>
    <t>주택채권매입</t>
    <phoneticPr fontId="26" type="noConversion"/>
  </si>
  <si>
    <t>종합토지세</t>
    <phoneticPr fontId="26" type="noConversion"/>
  </si>
  <si>
    <t>도시계획세</t>
    <phoneticPr fontId="26" type="noConversion"/>
  </si>
  <si>
    <t>44,383 X 12%</t>
    <phoneticPr fontId="26" type="noConversion"/>
  </si>
  <si>
    <t>104,490,000 X 0.2% X 3년</t>
    <phoneticPr fontId="26" type="noConversion"/>
  </si>
  <si>
    <t>104,490,000 X 0.2% X 2년</t>
    <phoneticPr fontId="26" type="noConversion"/>
  </si>
  <si>
    <t>근저당설정가등기비용</t>
    <phoneticPr fontId="26" type="noConversion"/>
  </si>
  <si>
    <t>PF 수수료   120%</t>
    <phoneticPr fontId="24" type="noConversion"/>
  </si>
  <si>
    <t>PF 이자     120%</t>
    <phoneticPr fontId="24" type="noConversion"/>
  </si>
  <si>
    <t>브릿지론 이자 및 수수료</t>
    <phoneticPr fontId="24" type="noConversion"/>
  </si>
  <si>
    <t>중도금 무이자</t>
    <phoneticPr fontId="24" type="noConversion"/>
  </si>
  <si>
    <t>학교용지분담금</t>
    <phoneticPr fontId="26" type="noConversion"/>
  </si>
  <si>
    <t>215,115,000 X 0.8%</t>
    <phoneticPr fontId="26" type="noConversion"/>
  </si>
  <si>
    <t>소 계</t>
    <phoneticPr fontId="26" type="noConversion"/>
  </si>
  <si>
    <t xml:space="preserve"> </t>
    <phoneticPr fontId="26" type="noConversion"/>
  </si>
  <si>
    <t>대방동 지역주택조합</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</si>
</sst>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6">
    <numFmt numFmtId="42" formatCode="_-&quot;₩&quot;* #,##0_-;\-&quot;₩&quot;* #,##0_-;_-&quot;₩&quot;* &quot;-&quot;_-;_-@_-"/>
    <numFmt numFmtId="41" formatCode="_-* #,##0_-;\-* #,##0_-;_-* &quot;-&quot;_-;_-@_-"/>
    <numFmt numFmtId="44" formatCode="_-&quot;₩&quot;* #,##0.00_-;\-&quot;₩&quot;* #,##0.00_-;_-&quot;₩&quot;* &quot;-&quot;??_-;_-@_-"/>
    <numFmt numFmtId="43" formatCode="_-* #,##0.00_-;\-* #,##0.00_-;_-* &quot;-&quot;??_-;_-@_-"/>
    <numFmt numFmtId="23" formatCode="\$#,##0_);\(\$#,##0\)"/>
    <numFmt numFmtId="24" formatCode="\$#,##0_);[Red]\(\$#,##0\)"/>
    <numFmt numFmtId="25" formatCode="\$#,##0.00_);\(\$#,##0.00\)"/>
    <numFmt numFmtId="176" formatCode="#,##0_);\(#,##0\);\-"/>
    <numFmt numFmtId="177" formatCode="_-* #,##0.00_-;\-* #,##0.00_-;_-* &quot;-&quot;_-;_-@_-"/>
    <numFmt numFmtId="178" formatCode="0.0%"/>
    <numFmt numFmtId="179" formatCode="_-* #,##0.0_-;\-* #,##0.0_-;_-* &quot;-&quot;_-;_-@_-"/>
    <numFmt numFmtId="180" formatCode="#,##0.00_ "/>
    <numFmt numFmtId="181" formatCode="#,##0_);[Red]\(#,##0\)"/>
    <numFmt numFmtId="182" formatCode="#,##0_ ;[Red]\-#,##0\ "/>
    <numFmt numFmtId="183" formatCode="#,##0.00_);[Red]\(#,##0.00\)"/>
    <numFmt numFmtId="184" formatCode="_-* #,##0.0000_-;\-* #,##0.0000_-;_-* &quot;-&quot;_-;_-@_-"/>
    <numFmt numFmtId="185" formatCode="&quot;PF금액:&quot;\ #,##0"/>
    <numFmt numFmtId="186" formatCode="#,##0&quot;세대&quot;"/>
    <numFmt numFmtId="187" formatCode="#,##0.00_ ;[Red]\-#,##0.00\ "/>
    <numFmt numFmtId="188" formatCode="#,###&quot;/세대&quot;"/>
    <numFmt numFmtId="189" formatCode="\ #,###&quot;세대&quot;\ "/>
    <numFmt numFmtId="190" formatCode="&quot;순매출액의&quot;\ 0.00%"/>
    <numFmt numFmtId="191" formatCode="#,##0.00&quot;평&quot;"/>
    <numFmt numFmtId="192" formatCode="_(* #,##0_);_(* \(#,##0\);_(* &quot;-&quot;??_);_(@_)"/>
    <numFmt numFmtId="193" formatCode="0\ &quot;개월&quot;"/>
    <numFmt numFmtId="194" formatCode="0.0"/>
    <numFmt numFmtId="195" formatCode="&quot;PF(Tr-A):&quot;\ #,##0"/>
    <numFmt numFmtId="196" formatCode="_-* #,##0_-;\-* #,##0_-;_-* &quot;-&quot;??_-;_-@_-"/>
    <numFmt numFmtId="197" formatCode="&quot;₩&quot;#,##0;[Red]&quot;₩&quot;\-#,##0"/>
    <numFmt numFmtId="198" formatCode="_(* #,##0_);_(* \(#,##0\);_(* &quot;-&quot;?_);@_)"/>
    <numFmt numFmtId="199" formatCode="_(* #,##0_);_(* \(#,##0\);_(* &quot;-&quot;_);_(@_)"/>
    <numFmt numFmtId="200" formatCode="_(* #,##0.00_);_(* \(#,##0.00\);_(* &quot;-&quot;??_);_(@_)"/>
    <numFmt numFmtId="201" formatCode="_ * #,##0.00_ ;_ * \-#,##0.00_ ;_ * &quot;-&quot;??_ ;_ @_ "/>
    <numFmt numFmtId="202" formatCode="&quot;₩&quot;#,##0.00;&quot;₩&quot;&quot;₩&quot;&quot;₩&quot;&quot;₩&quot;&quot;₩&quot;&quot;₩&quot;&quot;₩&quot;&quot;₩&quot;\-#,##0.00"/>
    <numFmt numFmtId="203" formatCode="#,##0.00&quot;坪&quot;_)"/>
    <numFmt numFmtId="204" formatCode="_-[$€-2]* #,##0.00_-;\-[$€-2]* #,##0.00_-;_-[$€-2]* &quot;-&quot;??_-"/>
    <numFmt numFmtId="205" formatCode="#,##0_ ;\(#,##0\)_-;&quot;-&quot;"/>
    <numFmt numFmtId="206" formatCode="_ * #,##0_ ;_ * \-#,##0_ ;_ * &quot;-&quot;_ ;_ @_ "/>
    <numFmt numFmtId="207" formatCode="_-* #,##0.0000_-;\-* #,##0.0000_-;_-* &quot;-&quot;????_-;_-@_-"/>
    <numFmt numFmtId="208" formatCode="&quot;₩&quot;#,##0.00;&quot;₩&quot;\-#,##0.00"/>
    <numFmt numFmtId="209" formatCode="_-\ #,##0.0_-;\-\ #,##0.0_-;_-* &quot;-&quot;_-;_-@_-"/>
    <numFmt numFmtId="210" formatCode="_(* #,##0.0_);_(* \(#,##0.0\);_(* &quot;-&quot;??_);_(@_)"/>
    <numFmt numFmtId="211" formatCode="&quot;₩&quot;#,##0;[Red]&quot;₩&quot;&quot;₩&quot;&quot;₩&quot;\-#,##0"/>
    <numFmt numFmtId="212" formatCode="0.0000%"/>
    <numFmt numFmtId="213" formatCode="0.000%"/>
    <numFmt numFmtId="218" formatCode="&quot;지급&quot;\ 0%"/>
    <numFmt numFmtId="219" formatCode="&quot;미지급&quot;\ 0%"/>
    <numFmt numFmtId="220" formatCode="&quot;선투입비용 Equity:&quot;\ #,##0"/>
    <numFmt numFmtId="222" formatCode="#,##0&quot;세대 중&quot;"/>
    <numFmt numFmtId="223" formatCode="#,##0.00&quot; m2&quot;"/>
    <numFmt numFmtId="224" formatCode="#,###.00&quot; 평&quot;"/>
    <numFmt numFmtId="225" formatCode="mm&quot;월&quot;\ dd&quot;일&quot;"/>
    <numFmt numFmtId="226" formatCode="_-* #,##0.0_-;\-* #,##0.0_-;_-* &quot;-&quot;??_-;_-@_-"/>
    <numFmt numFmtId="227" formatCode="#,##0;&quot;-&quot;#,##0"/>
    <numFmt numFmtId="228" formatCode="0.000"/>
    <numFmt numFmtId="231" formatCode="#,##0\ &quot;천원&quot;"/>
    <numFmt numFmtId="232" formatCode="#,##0\ &quot;개월&quot;"/>
    <numFmt numFmtId="233" formatCode="&quot;적용율&quot;\ 0%"/>
    <numFmt numFmtId="234" formatCode="0&quot;식&quot;"/>
    <numFmt numFmtId="235" formatCode="#,###&quot; 평&quot;"/>
    <numFmt numFmtId="236" formatCode="#,##0&quot; m2&quot;"/>
    <numFmt numFmtId="237" formatCode="&quot;감면율&quot;\ 0%"/>
    <numFmt numFmtId="238" formatCode="\ #,###&quot;개월&quot;\ "/>
    <numFmt numFmtId="239" formatCode="#,##0&quot;천원&quot;"/>
    <numFmt numFmtId="240" formatCode="&quot;아파트&quot;\ 0%"/>
    <numFmt numFmtId="241" formatCode="&quot;오피스텔&quot;\ 0%"/>
    <numFmt numFmtId="242" formatCode="\ #,###&quot;/세대&quot;\ "/>
    <numFmt numFmtId="243" formatCode="&quot;근린생활&quot;\ 0%"/>
    <numFmt numFmtId="244" formatCode="&quot;₩&quot;\ \ #,##0\ &quot;원정&quot;;\-&quot;₩&quot;#,##0"/>
    <numFmt numFmtId="245" formatCode="0.000000"/>
    <numFmt numFmtId="246" formatCode="\(&quot;₩&quot;#,##0\);[Red]\(\-&quot;₩&quot;#,##0\)"/>
    <numFmt numFmtId="247" formatCode="\(&quot;₩&quot;#,##0\);[Red]\(&quot;△&quot;&quot;₩&quot;#,##0\)"/>
    <numFmt numFmtId="248" formatCode="@\ &quot;주임&quot;"/>
    <numFmt numFmtId="249" formatCode="000.000"/>
    <numFmt numFmtId="250" formatCode="0.00_ "/>
    <numFmt numFmtId="251" formatCode="0_);[Red]\(0\)"/>
    <numFmt numFmtId="252" formatCode="_ &quot;₩&quot;* #,##0.00_ ;_ &quot;₩&quot;* \-#,##0.00_ ;_ &quot;₩&quot;* &quot;-&quot;??_ ;_ @_ "/>
    <numFmt numFmtId="253" formatCode="_ &quot;₩&quot;* #,##0_ ;_ &quot;₩&quot;* \-#,##0_ ;_ &quot;₩&quot;* &quot;-&quot;_ ;_ @_ "/>
    <numFmt numFmtId="254" formatCode="&quot;₩&quot;#,##0;&quot;₩&quot;&quot;₩&quot;&quot;₩&quot;&quot;₩&quot;&quot;₩&quot;\-#,##0"/>
    <numFmt numFmtId="255" formatCode="_ * #,##0_ ;_ * &quot;₩&quot;&quot;₩&quot;&quot;₩&quot;\-#,##0_ ;_ * &quot;-&quot;_ ;_ @_ "/>
    <numFmt numFmtId="256" formatCode="0.00000000"/>
    <numFmt numFmtId="257" formatCode="_(&quot;$&quot;* #,##0.00_);_(&quot;$&quot;* \(#,##0.00\);_(&quot;$&quot;* &quot;-&quot;??_);_(@_)"/>
    <numFmt numFmtId="258" formatCode="_-* #,##0.000000_-;\-* #,##0.000000_-;_-* &quot;-&quot;??_-;_-@_-"/>
    <numFmt numFmtId="259" formatCode="&quot;₩&quot;#,##0.00;&quot;₩&quot;&quot;₩&quot;&quot;₩&quot;&quot;₩&quot;&quot;₩&quot;\-#,##0.00"/>
    <numFmt numFmtId="260" formatCode="&quot;«&quot;#,##0;_(* #,##0;_(* &quot;-&quot;??_);_(@_)"/>
    <numFmt numFmtId="261" formatCode="&quot;$&quot;#,##0"/>
    <numFmt numFmtId="262" formatCode="_-* #,##0.0000_-;\-* #,##0.0000_-;_-* &quot;-&quot;??_-;_-@_-"/>
    <numFmt numFmtId="263" formatCode="#,##0,_);\(#,##0,\);\-\ "/>
    <numFmt numFmtId="264" formatCode="#,##0.0_ "/>
    <numFmt numFmtId="265" formatCode="&quot;₩&quot;#,##0;&quot;₩&quot;\-#,##0"/>
    <numFmt numFmtId="266" formatCode="_-* #,##0_-;\-* #,##0_-;_-* \-_-;_-@_-"/>
    <numFmt numFmtId="267" formatCode="#,##0_-;[Red]\(#,##0\);_-\ &quot;-&quot;_-;_-@_-"/>
    <numFmt numFmtId="268" formatCode="&quot;all-in-cost&quot;\ #,###.00%\ &quot;주선수수료 제외&quot;"/>
    <numFmt numFmtId="269" formatCode="0&quot;천원&quot;"/>
    <numFmt numFmtId="270" formatCode="#."/>
    <numFmt numFmtId="271" formatCode="&quot;₩&quot;#,##0.00;[Red]&quot;₩&quot;&quot;₩&quot;&quot;₩&quot;&quot;₩&quot;&quot;₩&quot;&quot;₩&quot;&quot;₩&quot;\-#,##0.00"/>
    <numFmt numFmtId="272" formatCode="#,##0.0;[Red]#,##0.0"/>
    <numFmt numFmtId="273" formatCode="\(#,##0.0000\)"/>
    <numFmt numFmtId="274" formatCode=";;;"/>
    <numFmt numFmtId="275" formatCode="_-* #,##0.000_-;\-* #,##0.000_-;_-* &quot;-&quot;_-;_-@_-"/>
    <numFmt numFmtId="276" formatCode="_(&quot;₩&quot;* #,##0_);_(&quot;₩&quot;* \(#,##0\);_(&quot;₩&quot;* &quot;-&quot;_);_(@_)"/>
    <numFmt numFmtId="277" formatCode="&quot;₩&quot;#,##0;&quot;₩&quot;&quot;₩&quot;&quot;₩&quot;&quot;₩&quot;&quot;₩&quot;&quot;₩&quot;\-#,##0"/>
    <numFmt numFmtId="278" formatCode="_(* #,##0.0_);_(* &quot;₩&quot;&quot;₩&quot;&quot;₩&quot;&quot;₩&quot;&quot;₩&quot;&quot;₩&quot;\(#,##0.0&quot;₩&quot;&quot;₩&quot;&quot;₩&quot;&quot;₩&quot;&quot;₩&quot;&quot;₩&quot;\);_(* &quot;-&quot;??_);_(@_)"/>
    <numFmt numFmtId="279" formatCode="&quot;N$&quot;#,##0_);[Red]\(&quot;N$&quot;#,##0\)"/>
    <numFmt numFmtId="280" formatCode="&quot;₩&quot;#,##0.00;&quot;₩&quot;&quot;₩&quot;&quot;₩&quot;&quot;₩&quot;&quot;₩&quot;\-&quot;₩&quot;#,##0.00"/>
    <numFmt numFmtId="281" formatCode="&quot;$&quot;#,##0.00_);&quot;₩&quot;\(&quot;$&quot;#,##0.00&quot;₩&quot;\)"/>
    <numFmt numFmtId="282" formatCode="_-* #,##0_-;&quot;₩&quot;&quot;₩&quot;&quot;₩&quot;&quot;₩&quot;&quot;₩&quot;&quot;₩&quot;\-* #,##0_-;_-* &quot;-&quot;??_-;_-@_-"/>
    <numFmt numFmtId="283" formatCode="&quot;£&quot;\ #,##0_);[Red]\(&quot;£&quot;\ #,##0\)"/>
    <numFmt numFmtId="284" formatCode="&quot;¥&quot;\ #,##0_);[Red]\(&quot;¥&quot;\ #,##0\)"/>
    <numFmt numFmtId="285" formatCode="#,##0_-;&quot;△&quot;#,##0_-;\-"/>
    <numFmt numFmtId="286" formatCode="#,##0.0000"/>
    <numFmt numFmtId="287" formatCode="#,##0.0;[Red]#,##0.0;&quot; &quot;"/>
    <numFmt numFmtId="288" formatCode="#,##0.000\ &quot;10공/㎥ &quot;"/>
    <numFmt numFmtId="289" formatCode="#,##0.00;[Red]#,##0.00;&quot; &quot;"/>
    <numFmt numFmtId="290" formatCode="_ &quot;₩&quot;* #,##0_ ;_ &quot;₩&quot;* &quot;₩&quot;&quot;₩&quot;&quot;₩&quot;&quot;₩&quot;&quot;₩&quot;&quot;₩&quot;&quot;₩&quot;&quot;₩&quot;&quot;₩&quot;&quot;₩&quot;&quot;₩&quot;\-#,##0_ ;_ &quot;₩&quot;* &quot;-&quot;_ ;_ @_ "/>
    <numFmt numFmtId="291" formatCode="&quot;$&quot;#,##0_);[Red]\(&quot;$&quot;#,##0\)"/>
    <numFmt numFmtId="292" formatCode="_(&quot;$&quot;* #,##0_);_(&quot;$&quot;* \(#,##0\);_(&quot;$&quot;* &quot;-&quot;_);_(@_)"/>
    <numFmt numFmtId="293" formatCode="_(&quot;RM&quot;* #,##0_);_(&quot;RM&quot;* \(#,##0\);_(&quot;RM&quot;* &quot;-&quot;_);_(@_)"/>
    <numFmt numFmtId="294" formatCode="_ &quot;₩&quot;* #,##0.00_ ;_ &quot;₩&quot;* &quot;₩&quot;&quot;₩&quot;&quot;₩&quot;&quot;₩&quot;&quot;₩&quot;&quot;₩&quot;&quot;₩&quot;&quot;₩&quot;&quot;₩&quot;&quot;₩&quot;&quot;₩&quot;\-#,##0.00_ ;_ &quot;₩&quot;* &quot;-&quot;??_ ;_ @_ "/>
    <numFmt numFmtId="295" formatCode="&quot;$&quot;#,##0.00_);[Red]\(&quot;$&quot;#,##0.00\)"/>
    <numFmt numFmtId="296" formatCode="yy\.mm\.dd"/>
    <numFmt numFmtId="297" formatCode="_(&quot;RM&quot;* #,##0.00_);_(&quot;RM&quot;* \(#,##0.00\);_(&quot;RM&quot;* &quot;-&quot;??_);_(@_)"/>
    <numFmt numFmtId="298" formatCode="#,##0.0###&quot;A㎥/h/대&quot;;\-#,##0.0#####&quot;A㎥/h/대&quot;"/>
    <numFmt numFmtId="299" formatCode="_ * #,##0_ ;_ * &quot;₩&quot;&quot;₩&quot;&quot;₩&quot;&quot;₩&quot;&quot;₩&quot;&quot;₩&quot;&quot;₩&quot;&quot;₩&quot;&quot;₩&quot;&quot;₩&quot;&quot;₩&quot;\-#,##0_ ;_ * &quot;-&quot;_ ;_ @_ "/>
    <numFmt numFmtId="300" formatCode="_ * #,##0.00_ ;_ * &quot;₩&quot;&quot;₩&quot;&quot;₩&quot;&quot;₩&quot;&quot;₩&quot;&quot;₩&quot;&quot;₩&quot;&quot;₩&quot;&quot;₩&quot;&quot;₩&quot;&quot;₩&quot;\-#,##0.00_ ;_ * &quot;-&quot;??_ ;_ @_ "/>
    <numFmt numFmtId="301" formatCode="_(* #,##0.0_);_(* \(#,##0.0\);_(* &quot;-&quot;?_);@_)"/>
    <numFmt numFmtId="302" formatCode="#,##0.00&quot;w&quot;_);[Red]\(#,##0.00&quot;w&quot;\)"/>
    <numFmt numFmtId="303" formatCode="&quot;•&quot;\ \ @"/>
    <numFmt numFmtId="304" formatCode="###0_);[Red]\(###0\)"/>
    <numFmt numFmtId="305" formatCode="0.0%;\ \(0.0%\)"/>
    <numFmt numFmtId="306" formatCode="&quot;                  &quot;@"/>
    <numFmt numFmtId="307" formatCode="#,##0,_);[Red]\(#,##0,\)"/>
    <numFmt numFmtId="308" formatCode="&quot;             &quot;@"/>
    <numFmt numFmtId="309" formatCode="0.0000"/>
    <numFmt numFmtId="310" formatCode="_-* #,##0_)_-;* \(#,##0\)_-;_-* &quot;-&quot;??_-;_-@_-"/>
    <numFmt numFmtId="311" formatCode="#,##0.0_);\(#,##0.0\)"/>
    <numFmt numFmtId="312" formatCode="#,##0.0#&quot;CMH/대&quot;;\-#,##0.0#&quot;CMH/대&quot;"/>
    <numFmt numFmtId="313" formatCode="#,##0.0#&quot;CMM/대&quot;;\-#,##0.0#&quot;CMM/대&quot;"/>
    <numFmt numFmtId="314" formatCode="#,##0.0_);[Red]\(#,##0.0\)"/>
    <numFmt numFmtId="315" formatCode="#,##0.000_);[Red]\(#,##0.000\)"/>
    <numFmt numFmtId="316" formatCode="#,##0_%_);\(#,##0\)_%;#,##0_%_);@_%_)"/>
    <numFmt numFmtId="317" formatCode="&quot;$&quot;#,##0.0;\(&quot;$&quot;#,##0.0\);&quot;$&quot;#,##0.0"/>
    <numFmt numFmtId="318" formatCode="&quot;$&quot;#,##0.00;[Red]\-&quot;$&quot;#,##0.00"/>
    <numFmt numFmtId="319" formatCode="_([$€]* #,##0.00_);_([$€]* \(#,##0.00\);_([$€]* &quot;-&quot;??_);_(@_)"/>
    <numFmt numFmtId="320" formatCode="_-* #,##0.00\ [$€-1]_-;\-* #,##0.00\ [$€-1]_-;_-* &quot;-&quot;??\ [$€-1]_-"/>
    <numFmt numFmtId="321" formatCode="#,##0_);\(#,##0\);&quot; - &quot;_);@_)"/>
    <numFmt numFmtId="322" formatCode="#.00"/>
    <numFmt numFmtId="323" formatCode="#,##0\ &quot;F&quot;;\-#,##0\ &quot;F&quot;"/>
    <numFmt numFmtId="324" formatCode="#,##0.00;[Red]#,##0.00"/>
    <numFmt numFmtId="325" formatCode="&quot;₩&quot;#,##0.00;[Red]&quot;₩&quot;&quot;₩&quot;&quot;₩&quot;&quot;₩&quot;&quot;₩&quot;&quot;₩&quot;&quot;₩&quot;&quot;₩&quot;&quot;₩&quot;\-#,##0.00"/>
    <numFmt numFmtId="326" formatCode="#,##0;\(#,##0\)"/>
    <numFmt numFmtId="327" formatCode="#,##0&quot;£&quot;_);[Red]\(#,##0&quot;£&quot;\)"/>
    <numFmt numFmtId="328" formatCode="_(* #,##0_);_(* \(#,##0\);_(* &quot;-&quot;_);@_)"/>
    <numFmt numFmtId="329" formatCode="0%_);\(0%\)"/>
    <numFmt numFmtId="330" formatCode="#,##0.00\ &quot;개 &quot;"/>
    <numFmt numFmtId="331" formatCode="#,###\ &quot;개&quot;"/>
    <numFmt numFmtId="332" formatCode="#,##0.0\ &quot;개소 &quot;"/>
    <numFmt numFmtId="333" formatCode="\(#,##0\)"/>
    <numFmt numFmtId="334" formatCode="&quot;80억원&quot;"/>
    <numFmt numFmtId="335" formatCode="yyyy\.mm\.dd"/>
    <numFmt numFmtId="336" formatCode="#,###.00\ &quot;매 &quot;"/>
    <numFmt numFmtId="337" formatCode="&quot;US$&quot;#,##0_);\(&quot;US$&quot;#,##0\)"/>
    <numFmt numFmtId="338" formatCode="&quot;￡&quot;#,##0;\-&quot;￡&quot;#,##0"/>
    <numFmt numFmtId="339" formatCode="0.00_);\(0.00\)"/>
    <numFmt numFmtId="340" formatCode="#,###.00"/>
    <numFmt numFmtId="341" formatCode="_-* #,##0;\-* #,##0;_-* &quot;-&quot;;_-@"/>
    <numFmt numFmtId="342" formatCode="#,##0;[Red]&quot;-&quot;#,##0"/>
    <numFmt numFmtId="343" formatCode="#,##0_ "/>
    <numFmt numFmtId="344" formatCode="_-* #,##0.0_-;\-* #,##0.0_-;_-* &quot;-&quot;?_-;_-@_-"/>
    <numFmt numFmtId="345" formatCode="&quot;$&quot;#,##0.000_);[Red]\(&quot;$&quot;#,##0.000\)"/>
    <numFmt numFmtId="346" formatCode="_-* #,##0_-;[Red]\ * \(#,##0\);_-* &quot;-&quot;_-;_-@_-"/>
    <numFmt numFmtId="347" formatCode="#,##0\ &quot;식&quot;"/>
    <numFmt numFmtId="348" formatCode="_-&quot;S&quot;\ * #,##0.00_-;\-&quot;S&quot;\ * #,##0.00_-;_-&quot;S&quot;\ * &quot;-&quot;??_-;_-@_-"/>
    <numFmt numFmtId="349" formatCode="&quot; &quot;@"/>
    <numFmt numFmtId="350" formatCode="_(* #,##0.00_);_(* \(#,##0.00\);_(* &quot;-&quot;_);_(@_)"/>
    <numFmt numFmtId="351" formatCode="&quot;     &quot;@"/>
    <numFmt numFmtId="352" formatCode="\(#,##0.000\)"/>
    <numFmt numFmtId="353" formatCode="#,##0_);[Red]\(#,##0\);\-_)"/>
    <numFmt numFmtId="354" formatCode="#,##0;[Red]\-#,##0;\-"/>
    <numFmt numFmtId="355" formatCode="&quot;US$&quot;#,##0_);[Red]\(&quot;US$&quot;#,##0\)"/>
    <numFmt numFmtId="356" formatCode="#,##0\ \ \ \ "/>
    <numFmt numFmtId="357" formatCode="#&quot;년&quot;"/>
    <numFmt numFmtId="358" formatCode="#,##0&quot; &quot;;[Red]&quot;△&quot;#,##0&quot; &quot;"/>
    <numFmt numFmtId="359" formatCode="* #,##0&quot; &quot;;[Red]* &quot;△&quot;#,##0&quot; &quot;;* @"/>
    <numFmt numFmtId="360" formatCode="#,##0.####;[Red]&quot;△&quot;#,##0.####"/>
    <numFmt numFmtId="361" formatCode="0&quot;점&quot;"/>
    <numFmt numFmtId="362" formatCode="&quot;₩&quot;#,##0.00;[Red]&quot;₩&quot;\-#,##0.00"/>
    <numFmt numFmtId="363" formatCode="_-* #,##0.00&quot;р.&quot;_-;\-* #,##0.00&quot;р.&quot;_-;_-* &quot;-&quot;??&quot;р.&quot;_-;_-@_-"/>
    <numFmt numFmtId="364" formatCode="[Blue]0.0%;[Red]&quot;-&quot;0.0%"/>
    <numFmt numFmtId="365" formatCode="#,##0.0\ &quot;평&quot;"/>
    <numFmt numFmtId="366" formatCode="_-&quot;S&quot;\ * #,##0_-;\-&quot;S&quot;\ * #,##0_-;_-&quot;S&quot;\ * &quot;-&quot;_-;_-@_-"/>
    <numFmt numFmtId="367" formatCode="0.00_)"/>
    <numFmt numFmtId="368" formatCode="&quot;전용&quot;\ #.##&quot;평&quot;"/>
    <numFmt numFmtId="369" formatCode="#,##0.00\ &quot;TYPE&quot;"/>
    <numFmt numFmtId="370" formatCode="0.0_ "/>
    <numFmt numFmtId="371" formatCode="0&quot;회&quot;"/>
  </numFmts>
  <fonts count="333">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3"/>
      <charset val="129"/>
    </font>
    <font>
      <sz val="11"/>
      <name val="돋움"/>
      <family val="3"/>
      <charset val="129"/>
    </font>
    <font>
      <sz val="10"/>
      <name val="돋움"/>
      <family val="3"/>
      <charset val="129"/>
    </font>
    <font>
      <sz val="8"/>
      <name val="Arial"/>
      <family val="2"/>
    </font>
    <font>
      <sz val="8"/>
      <name val="바탕체"/>
      <family val="1"/>
      <charset val="129"/>
    </font>
    <font>
      <sz val="8"/>
      <name val="맑은 고딕"/>
      <family val="3"/>
      <charset val="129"/>
    </font>
    <font>
      <sz val="8"/>
      <name val="돋움"/>
      <family val="3"/>
      <charset val="129"/>
    </font>
    <font>
      <sz val="8"/>
      <name val="맑은 고딕"/>
      <family val="3"/>
      <charset val="129"/>
      <scheme val="minor"/>
    </font>
    <font>
      <sz val="11"/>
      <color theme="1"/>
      <name val="맑은 고딕"/>
      <family val="3"/>
      <charset val="129"/>
      <scheme val="minor"/>
    </font>
    <font>
      <sz val="12"/>
      <name val="바탕체"/>
      <family val="1"/>
      <charset val="129"/>
    </font>
    <font>
      <sz val="11"/>
      <name val="굴림"/>
      <family val="3"/>
      <charset val="129"/>
    </font>
    <font>
      <sz val="12"/>
      <name val="Times New Roman"/>
      <family val="1"/>
    </font>
    <font>
      <sz val="10"/>
      <color indexed="8"/>
      <name val="Arial"/>
      <family val="2"/>
    </font>
    <font>
      <sz val="10"/>
      <color indexed="9"/>
      <name val="Arial"/>
      <family val="2"/>
    </font>
    <font>
      <sz val="12"/>
      <name val="ⓒoUAAA¨u"/>
      <family val="1"/>
      <charset val="129"/>
    </font>
    <font>
      <sz val="12"/>
      <name val="¹ÙÅÁÃ¼"/>
      <family val="1"/>
      <charset val="129"/>
    </font>
    <font>
      <sz val="12"/>
      <name val="¹UAAA¼"/>
      <family val="3"/>
      <charset val="129"/>
    </font>
    <font>
      <sz val="10"/>
      <color indexed="20"/>
      <name val="Arial"/>
      <family val="2"/>
    </font>
    <font>
      <b/>
      <sz val="8"/>
      <color indexed="24"/>
      <name val="Arial"/>
      <family val="2"/>
    </font>
    <font>
      <sz val="9"/>
      <name val="Arial"/>
      <family val="2"/>
    </font>
    <font>
      <b/>
      <sz val="9"/>
      <color indexed="24"/>
      <name val="Arial"/>
      <family val="2"/>
    </font>
    <font>
      <b/>
      <sz val="11"/>
      <color indexed="24"/>
      <name val="Arial"/>
      <family val="2"/>
    </font>
    <font>
      <sz val="12"/>
      <name val="System"/>
      <family val="2"/>
      <charset val="129"/>
    </font>
    <font>
      <sz val="10"/>
      <name val="±¼¸²Ã¼"/>
      <family val="3"/>
      <charset val="129"/>
    </font>
    <font>
      <sz val="10"/>
      <name val="±¼¸²A¼"/>
      <family val="3"/>
      <charset val="129"/>
    </font>
    <font>
      <b/>
      <sz val="10"/>
      <color indexed="52"/>
      <name val="Arial"/>
      <family val="2"/>
    </font>
    <font>
      <sz val="10"/>
      <name val="Arial"/>
      <family val="2"/>
    </font>
    <font>
      <b/>
      <sz val="10"/>
      <color indexed="9"/>
      <name val="Arial"/>
      <family val="2"/>
    </font>
    <font>
      <u/>
      <sz val="10"/>
      <color indexed="12"/>
      <name val="Arial"/>
      <family val="2"/>
    </font>
    <font>
      <sz val="1"/>
      <color indexed="8"/>
      <name val="Courier"/>
      <family val="3"/>
    </font>
    <font>
      <sz val="10"/>
      <name val="새굴림"/>
      <family val="1"/>
      <charset val="129"/>
    </font>
    <font>
      <sz val="10"/>
      <name val="굴림체"/>
      <family val="3"/>
      <charset val="129"/>
    </font>
    <font>
      <sz val="11"/>
      <name val="굴림체"/>
      <family val="3"/>
      <charset val="129"/>
    </font>
    <font>
      <i/>
      <sz val="10"/>
      <color indexed="23"/>
      <name val="Arial"/>
      <family val="2"/>
    </font>
    <font>
      <u/>
      <sz val="10"/>
      <color indexed="36"/>
      <name val="Arial"/>
      <family val="2"/>
    </font>
    <font>
      <sz val="10"/>
      <color indexed="17"/>
      <name val="Arial"/>
      <family val="2"/>
    </font>
    <font>
      <b/>
      <sz val="12"/>
      <name val="Arial"/>
      <family val="2"/>
    </font>
    <font>
      <b/>
      <sz val="15"/>
      <color indexed="56"/>
      <name val="Arial"/>
      <family val="2"/>
    </font>
    <font>
      <b/>
      <sz val="13"/>
      <color indexed="56"/>
      <name val="Arial"/>
      <family val="2"/>
    </font>
    <font>
      <b/>
      <sz val="11"/>
      <color indexed="56"/>
      <name val="Arial"/>
      <family val="2"/>
    </font>
    <font>
      <b/>
      <sz val="10"/>
      <color indexed="8"/>
      <name val="Arial"/>
      <family val="2"/>
    </font>
    <font>
      <b/>
      <sz val="12"/>
      <color indexed="8"/>
      <name val="Arial"/>
      <family val="2"/>
    </font>
    <font>
      <b/>
      <sz val="14"/>
      <name val="Arial"/>
      <family val="2"/>
    </font>
    <font>
      <sz val="10"/>
      <color indexed="62"/>
      <name val="Arial"/>
      <family val="2"/>
    </font>
    <font>
      <sz val="10"/>
      <color indexed="52"/>
      <name val="Arial"/>
      <family val="2"/>
    </font>
    <font>
      <sz val="10"/>
      <color indexed="60"/>
      <name val="Arial"/>
      <family val="2"/>
    </font>
    <font>
      <sz val="7"/>
      <name val="Small Fonts"/>
      <family val="2"/>
    </font>
    <font>
      <sz val="12"/>
      <name val="Helv"/>
      <family val="2"/>
    </font>
    <font>
      <b/>
      <sz val="10"/>
      <color indexed="63"/>
      <name val="Arial"/>
      <family val="2"/>
    </font>
    <font>
      <b/>
      <sz val="18"/>
      <color indexed="56"/>
      <name val="맑은 고딕"/>
      <family val="3"/>
      <charset val="129"/>
    </font>
    <font>
      <b/>
      <u/>
      <sz val="13"/>
      <name val="굴림체"/>
      <family val="3"/>
      <charset val="129"/>
    </font>
    <font>
      <sz val="12"/>
      <name val="굴림체"/>
      <family val="3"/>
      <charset val="129"/>
    </font>
    <font>
      <sz val="10"/>
      <color indexed="10"/>
      <name val="Arial"/>
      <family val="2"/>
    </font>
    <font>
      <b/>
      <sz val="1"/>
      <color indexed="8"/>
      <name val="Courier"/>
      <family val="3"/>
    </font>
    <font>
      <sz val="12"/>
      <color theme="1"/>
      <name val="맑은 고딕"/>
      <family val="3"/>
      <charset val="129"/>
    </font>
    <font>
      <sz val="10"/>
      <color indexed="12"/>
      <name val="굴림체"/>
      <family val="3"/>
      <charset val="129"/>
    </font>
    <font>
      <sz val="12"/>
      <color indexed="24"/>
      <name val="바탕체"/>
      <family val="1"/>
      <charset val="129"/>
    </font>
    <font>
      <sz val="10"/>
      <name val="돋움체"/>
      <family val="3"/>
      <charset val="129"/>
    </font>
    <font>
      <sz val="11"/>
      <color indexed="8"/>
      <name val="Calibri"/>
      <family val="2"/>
    </font>
    <font>
      <sz val="11"/>
      <color theme="1"/>
      <name val="HY헤드라인M"/>
      <family val="2"/>
      <charset val="129"/>
    </font>
    <font>
      <sz val="11"/>
      <color theme="1"/>
      <name val="HY헤드라인M"/>
      <family val="1"/>
      <charset val="129"/>
    </font>
    <font>
      <sz val="11"/>
      <color theme="0"/>
      <name val="맑은 고딕"/>
      <family val="2"/>
      <charset val="129"/>
      <scheme val="minor"/>
    </font>
    <font>
      <sz val="11"/>
      <color rgb="FF3F3F76"/>
      <name val="맑은 고딕"/>
      <family val="2"/>
      <charset val="129"/>
      <scheme val="minor"/>
    </font>
    <font>
      <u/>
      <sz val="11"/>
      <color indexed="36"/>
      <name val="돋움"/>
      <family val="3"/>
      <charset val="129"/>
    </font>
    <font>
      <sz val="11"/>
      <color indexed="8"/>
      <name val="맑은 고딕"/>
      <family val="3"/>
    </font>
    <font>
      <sz val="11"/>
      <color indexed="9"/>
      <name val="맑은 고딕"/>
      <family val="3"/>
    </font>
    <font>
      <sz val="11"/>
      <color indexed="20"/>
      <name val="맑은 고딕"/>
      <family val="3"/>
    </font>
    <font>
      <b/>
      <sz val="11"/>
      <color indexed="52"/>
      <name val="맑은 고딕"/>
      <family val="3"/>
    </font>
    <font>
      <b/>
      <sz val="11"/>
      <color indexed="9"/>
      <name val="맑은 고딕"/>
      <family val="3"/>
    </font>
    <font>
      <i/>
      <sz val="11"/>
      <color indexed="23"/>
      <name val="맑은 고딕"/>
      <family val="3"/>
    </font>
    <font>
      <sz val="11"/>
      <color indexed="17"/>
      <name val="맑은 고딕"/>
      <family val="3"/>
    </font>
    <font>
      <b/>
      <sz val="15"/>
      <color indexed="56"/>
      <name val="맑은 고딕"/>
      <family val="3"/>
    </font>
    <font>
      <b/>
      <sz val="13"/>
      <color indexed="56"/>
      <name val="맑은 고딕"/>
      <family val="3"/>
    </font>
    <font>
      <b/>
      <sz val="11"/>
      <color indexed="56"/>
      <name val="맑은 고딕"/>
      <family val="3"/>
    </font>
    <font>
      <sz val="11"/>
      <color indexed="62"/>
      <name val="맑은 고딕"/>
      <family val="3"/>
    </font>
    <font>
      <sz val="11"/>
      <color indexed="52"/>
      <name val="맑은 고딕"/>
      <family val="3"/>
    </font>
    <font>
      <sz val="11"/>
      <color indexed="60"/>
      <name val="맑은 고딕"/>
      <family val="3"/>
    </font>
    <font>
      <b/>
      <sz val="11"/>
      <color indexed="63"/>
      <name val="맑은 고딕"/>
      <family val="3"/>
    </font>
    <font>
      <b/>
      <sz val="18"/>
      <color indexed="56"/>
      <name val="맑은 고딕"/>
      <family val="3"/>
    </font>
    <font>
      <b/>
      <sz val="11"/>
      <color indexed="8"/>
      <name val="맑은 고딕"/>
      <family val="3"/>
    </font>
    <font>
      <sz val="11"/>
      <color indexed="10"/>
      <name val="맑은 고딕"/>
      <family val="3"/>
    </font>
    <font>
      <sz val="1"/>
      <color indexed="16"/>
      <name val="Courier"/>
      <family val="3"/>
    </font>
    <font>
      <sz val="12"/>
      <name val="Arial"/>
      <family val="2"/>
    </font>
    <font>
      <sz val="12"/>
      <name val="¹ÙÅÁÃ¼"/>
      <family val="3"/>
      <charset val="129"/>
    </font>
    <font>
      <b/>
      <sz val="11"/>
      <name val="Helv"/>
      <family val="2"/>
    </font>
    <font>
      <sz val="10"/>
      <name val="MS Sans Serif"/>
      <family val="2"/>
    </font>
    <font>
      <sz val="1"/>
      <color indexed="0"/>
      <name val="Courier"/>
      <family val="3"/>
    </font>
    <font>
      <sz val="10"/>
      <name val="명조"/>
      <family val="3"/>
      <charset val="129"/>
    </font>
    <font>
      <sz val="12"/>
      <name val="돋움체"/>
      <family val="3"/>
      <charset val="129"/>
    </font>
    <font>
      <sz val="11"/>
      <name val="바탕체"/>
      <family val="1"/>
      <charset val="129"/>
    </font>
    <font>
      <sz val="10"/>
      <name val="Courier New"/>
      <family val="3"/>
    </font>
    <font>
      <sz val="12"/>
      <name val="견명조"/>
      <family val="1"/>
      <charset val="129"/>
    </font>
    <font>
      <sz val="10"/>
      <name val="옛체"/>
      <family val="1"/>
      <charset val="129"/>
    </font>
    <font>
      <sz val="11"/>
      <color indexed="9"/>
      <name val="맑은 고딕"/>
      <family val="3"/>
      <charset val="129"/>
    </font>
    <font>
      <sz val="9"/>
      <color indexed="81"/>
      <name val="굴림"/>
      <family val="3"/>
      <charset val="129"/>
    </font>
    <font>
      <sz val="10"/>
      <color indexed="81"/>
      <name val="굴림"/>
      <family val="3"/>
      <charset val="129"/>
    </font>
    <font>
      <sz val="11"/>
      <color indexed="81"/>
      <name val="굴림"/>
      <family val="3"/>
      <charset val="129"/>
    </font>
    <font>
      <b/>
      <sz val="9"/>
      <color indexed="81"/>
      <name val="굴림"/>
      <family val="3"/>
      <charset val="129"/>
    </font>
    <font>
      <b/>
      <sz val="10"/>
      <color indexed="81"/>
      <name val="굴림"/>
      <family val="3"/>
      <charset val="129"/>
    </font>
    <font>
      <b/>
      <sz val="10"/>
      <color indexed="81"/>
      <name val="맑은 고딕"/>
      <family val="3"/>
      <charset val="129"/>
      <scheme val="minor"/>
    </font>
    <font>
      <sz val="10"/>
      <name val="바탕체"/>
      <family val="1"/>
      <charset val="129"/>
    </font>
    <font>
      <sz val="9"/>
      <name val="굴림체"/>
      <family val="3"/>
      <charset val="129"/>
    </font>
    <font>
      <sz val="12"/>
      <name val="¹UAAA¼"/>
      <family val="1"/>
      <charset val="129"/>
    </font>
    <font>
      <sz val="10"/>
      <name val="MS Serif"/>
      <family val="1"/>
    </font>
    <font>
      <sz val="10"/>
      <color indexed="16"/>
      <name val="MS Serif"/>
      <family val="1"/>
    </font>
    <font>
      <i/>
      <sz val="1"/>
      <color indexed="8"/>
      <name val="Courier"/>
      <family val="3"/>
    </font>
    <font>
      <b/>
      <sz val="12"/>
      <name val="Helv"/>
      <family val="2"/>
    </font>
    <font>
      <sz val="10"/>
      <name val="Univers (WN)"/>
      <family val="2"/>
    </font>
    <font>
      <sz val="8"/>
      <name val="Helv"/>
      <family val="2"/>
    </font>
    <font>
      <b/>
      <sz val="8"/>
      <color indexed="8"/>
      <name val="Helv"/>
      <family val="2"/>
    </font>
    <font>
      <i/>
      <outline/>
      <shadow/>
      <u/>
      <sz val="1"/>
      <color indexed="24"/>
      <name val="Courier"/>
      <family val="3"/>
    </font>
    <font>
      <sz val="11"/>
      <name val="뼻뮝"/>
      <family val="3"/>
      <charset val="129"/>
    </font>
    <font>
      <sz val="12"/>
      <name val="궁서체"/>
      <family val="1"/>
      <charset val="129"/>
    </font>
    <font>
      <sz val="18"/>
      <name val="궁서체"/>
      <family val="1"/>
      <charset val="129"/>
    </font>
    <font>
      <sz val="10"/>
      <name val="궁서(English)"/>
      <family val="3"/>
      <charset val="129"/>
    </font>
    <font>
      <sz val="12"/>
      <name val="명조"/>
      <family val="3"/>
      <charset val="129"/>
    </font>
    <font>
      <u/>
      <sz val="11"/>
      <color indexed="12"/>
      <name val="돋움"/>
      <family val="3"/>
      <charset val="129"/>
    </font>
    <font>
      <sz val="10"/>
      <color rgb="FF002060"/>
      <name val="HY헤드라인M"/>
      <family val="1"/>
      <charset val="129"/>
    </font>
    <font>
      <u/>
      <sz val="10"/>
      <color rgb="FF002060"/>
      <name val="HY헤드라인M"/>
      <family val="1"/>
      <charset val="129"/>
    </font>
    <font>
      <sz val="11"/>
      <color rgb="FF002060"/>
      <name val="HY헤드라인M"/>
      <family val="1"/>
      <charset val="129"/>
    </font>
    <font>
      <sz val="8"/>
      <name val="굴림체"/>
      <family val="3"/>
      <charset val="129"/>
    </font>
    <font>
      <b/>
      <sz val="10"/>
      <name val="MS Sans Serif"/>
      <family val="2"/>
    </font>
    <font>
      <i/>
      <sz val="12"/>
      <name val="굴림체"/>
      <family val="3"/>
      <charset val="129"/>
    </font>
    <font>
      <u/>
      <sz val="11"/>
      <color indexed="36"/>
      <name val="굃굍 굊긕긘긞긏"/>
      <family val="3"/>
      <charset val="129"/>
    </font>
    <font>
      <sz val="10"/>
      <name val="Helv"/>
      <family val="2"/>
    </font>
    <font>
      <sz val="10"/>
      <name val="‚l‚r ƒSƒVƒbƒN"/>
      <family val="3"/>
    </font>
    <font>
      <sz val="14"/>
      <name val="¾©"/>
      <family val="3"/>
    </font>
    <font>
      <sz val="12"/>
      <name val="¾©"/>
      <family val="3"/>
    </font>
    <font>
      <sz val="9"/>
      <name val="Tahoma"/>
      <family val="2"/>
    </font>
    <font>
      <sz val="10"/>
      <name val="μ¸¿oA¼"/>
      <family val="3"/>
      <charset val="129"/>
    </font>
    <font>
      <b/>
      <sz val="11"/>
      <name val="돋움"/>
      <family val="3"/>
      <charset val="129"/>
    </font>
    <font>
      <b/>
      <sz val="10"/>
      <name val="Helv"/>
      <family val="2"/>
    </font>
    <font>
      <u/>
      <sz val="9"/>
      <color indexed="12"/>
      <name val="µ¸¿ò"/>
      <family val="3"/>
    </font>
    <font>
      <b/>
      <sz val="10"/>
      <name val="Arial"/>
      <family val="2"/>
    </font>
    <font>
      <b/>
      <sz val="18"/>
      <name val="Arial"/>
      <family val="2"/>
    </font>
    <font>
      <b/>
      <sz val="8"/>
      <name val="Arial"/>
      <family val="2"/>
    </font>
    <font>
      <sz val="12"/>
      <name val="굴림"/>
      <family val="3"/>
      <charset val="129"/>
    </font>
    <font>
      <sz val="10"/>
      <name val="Times New Roman"/>
      <family val="1"/>
    </font>
    <font>
      <sz val="11"/>
      <color indexed="12"/>
      <name val="Times New Roman"/>
      <family val="1"/>
    </font>
    <font>
      <sz val="11"/>
      <color indexed="10"/>
      <name val="맑은 고딕"/>
      <family val="3"/>
      <charset val="129"/>
    </font>
    <font>
      <b/>
      <sz val="11"/>
      <color indexed="52"/>
      <name val="맑은 고딕"/>
      <family val="3"/>
      <charset val="129"/>
    </font>
    <font>
      <b/>
      <sz val="16"/>
      <name val="굴림체"/>
      <family val="3"/>
      <charset val="129"/>
    </font>
    <font>
      <u/>
      <sz val="11"/>
      <color indexed="12"/>
      <name val="굃굍 굊긕긘긞긏"/>
      <family val="3"/>
      <charset val="129"/>
    </font>
    <font>
      <sz val="11"/>
      <color indexed="20"/>
      <name val="맑은 고딕"/>
      <family val="3"/>
      <charset val="129"/>
    </font>
    <font>
      <sz val="11"/>
      <name val="Times New Roman"/>
      <family val="1"/>
    </font>
    <font>
      <sz val="9"/>
      <name val="Verdana"/>
      <family val="2"/>
    </font>
    <font>
      <sz val="9"/>
      <color theme="1"/>
      <name val="돋움"/>
      <family val="3"/>
      <charset val="129"/>
    </font>
    <font>
      <sz val="11"/>
      <name val="Arial"/>
      <family val="2"/>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sz val="10"/>
      <color indexed="24"/>
      <name val="MS Sans Serif"/>
      <family val="2"/>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22"/>
      <color rgb="FF002060"/>
      <name val="HY헤드라인M"/>
      <family val="1"/>
      <charset val="129"/>
    </font>
    <font>
      <sz val="8"/>
      <name val="맑은 고딕"/>
      <family val="2"/>
      <charset val="129"/>
      <scheme val="minor"/>
    </font>
    <font>
      <sz val="12"/>
      <color indexed="8"/>
      <name val="굴림체"/>
      <family val="3"/>
      <charset val="129"/>
    </font>
    <font>
      <i/>
      <u/>
      <sz val="1"/>
      <color indexed="16"/>
      <name val="Courier"/>
      <family val="3"/>
    </font>
    <font>
      <i/>
      <sz val="12"/>
      <name val="바탕체"/>
      <family val="1"/>
      <charset val="129"/>
    </font>
    <font>
      <sz val="12"/>
      <name val="μ¸¿oA¼"/>
      <family val="3"/>
      <charset val="129"/>
    </font>
    <font>
      <sz val="8"/>
      <name val="???"/>
      <family val="1"/>
    </font>
    <font>
      <sz val="12"/>
      <name val="COUR"/>
      <family val="3"/>
    </font>
    <font>
      <sz val="10"/>
      <name val="Arial Narrow"/>
      <family val="2"/>
    </font>
    <font>
      <sz val="11"/>
      <name val="돋움체"/>
      <family val="3"/>
      <charset val="129"/>
    </font>
    <font>
      <sz val="11"/>
      <name val="μ¸¿o"/>
      <family val="3"/>
      <charset val="129"/>
    </font>
    <font>
      <sz val="10"/>
      <color indexed="22"/>
      <name val="Modern"/>
      <family val="3"/>
      <charset val="255"/>
    </font>
    <font>
      <sz val="1"/>
      <color indexed="18"/>
      <name val="Courier"/>
      <family val="3"/>
    </font>
    <font>
      <sz val="14"/>
      <name val="¾©"/>
      <family val="3"/>
      <charset val="129"/>
    </font>
    <font>
      <sz val="12"/>
      <name val="¾©"/>
      <family val="3"/>
      <charset val="129"/>
    </font>
    <font>
      <sz val="12"/>
      <name val="돋움"/>
      <family val="3"/>
      <charset val="129"/>
    </font>
    <font>
      <sz val="11"/>
      <color indexed="9"/>
      <name val="Calibri"/>
      <family val="2"/>
    </font>
    <font>
      <sz val="11"/>
      <color theme="0"/>
      <name val="맑은 고딕"/>
      <family val="3"/>
      <charset val="129"/>
      <scheme val="minor"/>
    </font>
    <font>
      <sz val="11"/>
      <name val="￠R¨u¡§u¡E¡þ¨I¡AA¡§u"/>
      <family val="3"/>
      <charset val="129"/>
    </font>
    <font>
      <sz val="12"/>
      <name val="©öUAAA¨ù"/>
      <family val="3"/>
      <charset val="129"/>
    </font>
    <font>
      <sz val="11"/>
      <color indexed="8"/>
      <name val="돋움"/>
      <family val="3"/>
      <charset val="129"/>
    </font>
    <font>
      <sz val="11"/>
      <color indexed="9"/>
      <name val="돋움"/>
      <family val="3"/>
      <charset val="129"/>
    </font>
    <font>
      <sz val="11"/>
      <name val="μ¸¿o"/>
      <family val="1"/>
      <charset val="129"/>
    </font>
    <font>
      <sz val="12"/>
      <name val="1UAAA?"/>
      <family val="1"/>
    </font>
    <font>
      <sz val="12"/>
      <name val="±¼¸²A¼"/>
      <family val="3"/>
      <charset val="129"/>
    </font>
    <font>
      <sz val="12"/>
      <name val="∂?좲2A?"/>
      <family val="3"/>
      <charset val="129"/>
    </font>
    <font>
      <sz val="12"/>
      <name val="µ¸¿òÃ¼"/>
      <family val="3"/>
      <charset val="129"/>
    </font>
    <font>
      <sz val="11"/>
      <name val="µ¸¿ò"/>
      <family val="3"/>
      <charset val="129"/>
    </font>
    <font>
      <sz val="8"/>
      <name val="Times"/>
      <family val="1"/>
    </font>
    <font>
      <b/>
      <sz val="10"/>
      <color indexed="9"/>
      <name val="Gill Sans MT"/>
      <family val="2"/>
    </font>
    <font>
      <sz val="11"/>
      <color indexed="16"/>
      <name val="돋움"/>
      <family val="3"/>
      <charset val="129"/>
    </font>
    <font>
      <sz val="11"/>
      <color indexed="20"/>
      <name val="Calibri"/>
      <family val="2"/>
    </font>
    <font>
      <sz val="8"/>
      <color indexed="12"/>
      <name val="Tms Rmn"/>
      <family val="1"/>
    </font>
    <font>
      <sz val="12"/>
      <name val="Tms Rmn"/>
      <family val="1"/>
    </font>
    <font>
      <b/>
      <sz val="12"/>
      <name val="Times New Roman"/>
      <family val="1"/>
    </font>
    <font>
      <sz val="8"/>
      <name val="Times New Roman"/>
      <family val="1"/>
    </font>
    <font>
      <sz val="12"/>
      <name val="¨IoUAAA¡§u"/>
      <family val="1"/>
      <charset val="129"/>
    </font>
    <font>
      <sz val="10"/>
      <name val="¹ÙÅÁÃ¼"/>
      <family val="1"/>
      <charset val="129"/>
    </font>
    <font>
      <sz val="10"/>
      <name val="¹UAAA¼"/>
      <family val="1"/>
      <charset val="129"/>
    </font>
    <font>
      <sz val="11"/>
      <name val="µ¸¿òÃ¼"/>
      <family val="3"/>
      <charset val="129"/>
    </font>
    <font>
      <sz val="14"/>
      <name val="¹UAAA¼"/>
      <family val="3"/>
      <charset val="129"/>
    </font>
    <font>
      <sz val="11"/>
      <name val="±¼¸²A¼"/>
      <family val="3"/>
      <charset val="129"/>
    </font>
    <font>
      <sz val="10"/>
      <name val="¹UAAA¼"/>
      <family val="3"/>
      <charset val="129"/>
    </font>
    <font>
      <b/>
      <sz val="11"/>
      <color indexed="53"/>
      <name val="돋움"/>
      <family val="3"/>
      <charset val="129"/>
    </font>
    <font>
      <b/>
      <i/>
      <sz val="10"/>
      <name val="Times New Roman"/>
      <family val="1"/>
    </font>
    <font>
      <sz val="10"/>
      <color indexed="18"/>
      <name val="Times New Roman"/>
      <family val="1"/>
    </font>
    <font>
      <b/>
      <sz val="10"/>
      <name val="Palatino"/>
      <family val="1"/>
    </font>
    <font>
      <b/>
      <sz val="11"/>
      <color indexed="9"/>
      <name val="돋움"/>
      <family val="3"/>
      <charset val="129"/>
    </font>
    <font>
      <b/>
      <sz val="11"/>
      <color indexed="9"/>
      <name val="Calibri"/>
      <family val="2"/>
    </font>
    <font>
      <i/>
      <sz val="8"/>
      <color indexed="10"/>
      <name val="Arial"/>
      <family val="2"/>
    </font>
    <font>
      <sz val="12"/>
      <color indexed="8"/>
      <name val="바탕체"/>
      <family val="1"/>
      <charset val="129"/>
    </font>
    <font>
      <sz val="10"/>
      <color indexed="8"/>
      <name val="Impact"/>
      <family val="2"/>
    </font>
    <font>
      <b/>
      <sz val="10"/>
      <name val="Times New Roman"/>
      <family val="1"/>
    </font>
    <font>
      <b/>
      <sz val="8"/>
      <color indexed="9"/>
      <name val="Arial"/>
      <family val="2"/>
    </font>
    <font>
      <b/>
      <sz val="8"/>
      <color indexed="8"/>
      <name val="Arial"/>
      <family val="2"/>
    </font>
    <font>
      <b/>
      <sz val="8"/>
      <color indexed="8"/>
      <name val="Courier New"/>
      <family val="3"/>
    </font>
    <font>
      <b/>
      <sz val="12"/>
      <name val="바탕체"/>
      <family val="1"/>
      <charset val="129"/>
    </font>
    <font>
      <sz val="11"/>
      <name val="Tahoma"/>
      <family val="2"/>
    </font>
    <font>
      <u/>
      <sz val="14"/>
      <name val="바탕체"/>
      <family val="1"/>
      <charset val="129"/>
    </font>
    <font>
      <b/>
      <sz val="8"/>
      <name val="Times New Roman"/>
      <family val="1"/>
    </font>
    <font>
      <sz val="8"/>
      <name val="Palatino"/>
      <family val="1"/>
    </font>
    <font>
      <sz val="8"/>
      <name val="1UAAA?"/>
      <family val="1"/>
    </font>
    <font>
      <sz val="10"/>
      <name val="Palatino"/>
      <family val="1"/>
    </font>
    <font>
      <sz val="9"/>
      <name val="Times New Roman"/>
      <family val="1"/>
    </font>
    <font>
      <b/>
      <sz val="12"/>
      <name val="Tms Rmn"/>
      <family val="1"/>
    </font>
    <font>
      <sz val="10"/>
      <color indexed="12"/>
      <name val="Arial"/>
      <family val="2"/>
    </font>
    <font>
      <sz val="18"/>
      <name val="Times New Roman"/>
      <family val="1"/>
    </font>
    <font>
      <b/>
      <sz val="13"/>
      <name val="Times New Roman"/>
      <family val="1"/>
    </font>
    <font>
      <b/>
      <i/>
      <sz val="12"/>
      <name val="Times New Roman"/>
      <family val="1"/>
    </font>
    <font>
      <i/>
      <sz val="12"/>
      <name val="Times New Roman"/>
      <family val="1"/>
    </font>
    <font>
      <u/>
      <sz val="18"/>
      <name val="Times New Roman"/>
      <family val="1"/>
    </font>
    <font>
      <b/>
      <sz val="20"/>
      <color indexed="10"/>
      <name val="Arial"/>
      <family val="2"/>
    </font>
    <font>
      <b/>
      <sz val="9"/>
      <color theme="3"/>
      <name val="맑은 고딕"/>
      <family val="2"/>
      <scheme val="minor"/>
    </font>
    <font>
      <sz val="9"/>
      <color theme="1"/>
      <name val="맑은 고딕"/>
      <family val="2"/>
      <scheme val="minor"/>
    </font>
    <font>
      <sz val="8"/>
      <color theme="1"/>
      <name val="맑은 고딕"/>
      <family val="2"/>
      <scheme val="minor"/>
    </font>
    <font>
      <b/>
      <sz val="9"/>
      <color theme="1"/>
      <name val="맑은 고딕"/>
      <family val="2"/>
      <scheme val="minor"/>
    </font>
    <font>
      <b/>
      <sz val="11"/>
      <color theme="3"/>
      <name val="맑은 고딕"/>
      <family val="2"/>
      <scheme val="minor"/>
    </font>
    <font>
      <b/>
      <i/>
      <u val="double"/>
      <sz val="12"/>
      <name val="Arial Rounded MT Bold"/>
      <family val="2"/>
    </font>
    <font>
      <i/>
      <sz val="10"/>
      <name val="Arial"/>
      <family val="2"/>
    </font>
    <font>
      <sz val="10"/>
      <name val="Geneva"/>
      <family val="2"/>
    </font>
    <font>
      <sz val="11"/>
      <name val="궁서"/>
      <family val="1"/>
      <charset val="129"/>
    </font>
    <font>
      <sz val="11"/>
      <color rgb="FFFF0000"/>
      <name val="맑은 고딕"/>
      <family val="3"/>
      <charset val="129"/>
      <scheme val="minor"/>
    </font>
    <font>
      <b/>
      <sz val="11"/>
      <color rgb="FFFA7D00"/>
      <name val="맑은 고딕"/>
      <family val="3"/>
      <charset val="129"/>
      <scheme val="minor"/>
    </font>
    <font>
      <b/>
      <sz val="18"/>
      <color indexed="24"/>
      <name val="바탕체"/>
      <family val="1"/>
      <charset val="129"/>
    </font>
    <font>
      <b/>
      <sz val="15"/>
      <color indexed="24"/>
      <name val="바탕체"/>
      <family val="1"/>
      <charset val="129"/>
    </font>
    <font>
      <sz val="10"/>
      <name val="PragmaticaCTT"/>
      <family val="1"/>
    </font>
    <font>
      <sz val="10"/>
      <name val="굴림"/>
      <family val="3"/>
      <charset val="129"/>
    </font>
    <font>
      <sz val="11"/>
      <color rgb="FF9C0006"/>
      <name val="맑은 고딕"/>
      <family val="3"/>
      <charset val="129"/>
      <scheme val="minor"/>
    </font>
    <font>
      <sz val="11"/>
      <name val="바탕"/>
      <family val="1"/>
      <charset val="129"/>
    </font>
    <font>
      <sz val="11"/>
      <name val="사랑체"/>
      <family val="1"/>
      <charset val="129"/>
    </font>
    <font>
      <sz val="11"/>
      <color rgb="FF000000"/>
      <name val="돋움"/>
      <family val="3"/>
      <charset val="129"/>
    </font>
    <font>
      <sz val="10"/>
      <color theme="1"/>
      <name val="Arial"/>
      <family val="2"/>
      <charset val="129"/>
    </font>
    <font>
      <sz val="10"/>
      <color theme="1"/>
      <name val="맑은 고딕"/>
      <family val="3"/>
      <charset val="129"/>
    </font>
    <font>
      <sz val="11"/>
      <color rgb="FF000000"/>
      <name val="맑은 고딕"/>
      <family val="3"/>
      <charset val="129"/>
    </font>
    <font>
      <sz val="11"/>
      <color theme="1"/>
      <name val="돋움"/>
      <family val="2"/>
      <charset val="129"/>
    </font>
    <font>
      <sz val="10"/>
      <color theme="1"/>
      <name val="맑은 고딕"/>
      <family val="2"/>
      <charset val="129"/>
      <scheme val="minor"/>
    </font>
    <font>
      <sz val="11"/>
      <color rgb="FF9C6500"/>
      <name val="맑은 고딕"/>
      <family val="3"/>
      <charset val="129"/>
      <scheme val="minor"/>
    </font>
    <font>
      <sz val="12"/>
      <name val="뼻뮝"/>
      <family val="1"/>
      <charset val="129"/>
    </font>
    <font>
      <sz val="10"/>
      <color indexed="10"/>
      <name val="돋움체"/>
      <family val="3"/>
      <charset val="129"/>
    </font>
    <font>
      <i/>
      <sz val="11"/>
      <color rgb="FF7F7F7F"/>
      <name val="맑은 고딕"/>
      <family val="3"/>
      <charset val="129"/>
      <scheme val="minor"/>
    </font>
    <font>
      <b/>
      <sz val="11"/>
      <color theme="0"/>
      <name val="맑은 고딕"/>
      <family val="3"/>
      <charset val="129"/>
      <scheme val="minor"/>
    </font>
    <font>
      <sz val="9"/>
      <name val="돋움체"/>
      <family val="3"/>
      <charset val="129"/>
    </font>
    <font>
      <sz val="14"/>
      <name val="돋움"/>
      <family val="3"/>
      <charset val="129"/>
    </font>
    <font>
      <b/>
      <sz val="12"/>
      <color indexed="16"/>
      <name val="굴림체"/>
      <family val="3"/>
      <charset val="129"/>
    </font>
    <font>
      <sz val="11"/>
      <color theme="1"/>
      <name val="굴림체"/>
      <family val="2"/>
      <charset val="129"/>
    </font>
    <font>
      <sz val="11"/>
      <color indexed="8"/>
      <name val="굴림"/>
      <family val="3"/>
      <charset val="129"/>
    </font>
    <font>
      <sz val="11"/>
      <color indexed="8"/>
      <name val="맑은 고딕"/>
      <family val="2"/>
    </font>
    <font>
      <sz val="10"/>
      <color theme="1"/>
      <name val="맑은 고딕"/>
      <family val="2"/>
      <charset val="129"/>
    </font>
    <font>
      <sz val="14"/>
      <name val="뼻뮝"/>
      <family val="1"/>
      <charset val="129"/>
    </font>
    <font>
      <vertAlign val="superscript"/>
      <sz val="12"/>
      <color indexed="8"/>
      <name val="굴림체"/>
      <family val="3"/>
      <charset val="129"/>
    </font>
    <font>
      <sz val="11"/>
      <color rgb="FFFA7D00"/>
      <name val="맑은 고딕"/>
      <family val="3"/>
      <charset val="129"/>
      <scheme val="minor"/>
    </font>
    <font>
      <sz val="6"/>
      <name val="Arial"/>
      <family val="2"/>
    </font>
    <font>
      <b/>
      <sz val="11"/>
      <color theme="1"/>
      <name val="맑은 고딕"/>
      <family val="3"/>
      <charset val="129"/>
      <scheme val="minor"/>
    </font>
    <font>
      <sz val="12"/>
      <name val="견고딕"/>
      <family val="1"/>
      <charset val="129"/>
    </font>
    <font>
      <sz val="11"/>
      <color rgb="FF3F3F76"/>
      <name val="맑은 고딕"/>
      <family val="3"/>
      <charset val="129"/>
      <scheme val="minor"/>
    </font>
    <font>
      <b/>
      <sz val="15"/>
      <color theme="3"/>
      <name val="맑은 고딕"/>
      <family val="3"/>
      <charset val="129"/>
      <scheme val="minor"/>
    </font>
    <font>
      <sz val="18"/>
      <name val="돋움체"/>
      <family val="3"/>
      <charset val="129"/>
    </font>
    <font>
      <b/>
      <sz val="13"/>
      <color theme="3"/>
      <name val="맑은 고딕"/>
      <family val="3"/>
      <charset val="129"/>
      <scheme val="minor"/>
    </font>
    <font>
      <b/>
      <sz val="13"/>
      <name val="굴림체"/>
      <family val="3"/>
      <charset val="129"/>
    </font>
    <font>
      <b/>
      <sz val="11"/>
      <color theme="3"/>
      <name val="맑은 고딕"/>
      <family val="3"/>
      <charset val="129"/>
      <scheme val="minor"/>
    </font>
    <font>
      <b/>
      <sz val="18"/>
      <color theme="3"/>
      <name val="맑은 고딕"/>
      <family val="3"/>
      <charset val="129"/>
      <scheme val="major"/>
    </font>
    <font>
      <b/>
      <sz val="18"/>
      <name val="굴림체"/>
      <family val="3"/>
      <charset val="129"/>
    </font>
    <font>
      <b/>
      <sz val="14"/>
      <name val="굴림체"/>
      <family val="3"/>
      <charset val="129"/>
    </font>
    <font>
      <b/>
      <sz val="12"/>
      <name val="굴림체"/>
      <family val="3"/>
      <charset val="129"/>
    </font>
    <font>
      <b/>
      <sz val="16"/>
      <name val="돋움체"/>
      <family val="3"/>
      <charset val="129"/>
    </font>
    <font>
      <sz val="11"/>
      <color rgb="FF006100"/>
      <name val="맑은 고딕"/>
      <family val="3"/>
      <charset val="129"/>
      <scheme val="minor"/>
    </font>
    <font>
      <b/>
      <sz val="12"/>
      <color indexed="8"/>
      <name val="돋움체"/>
      <family val="3"/>
      <charset val="129"/>
    </font>
    <font>
      <b/>
      <sz val="11"/>
      <color rgb="FF3F3F3F"/>
      <name val="맑은 고딕"/>
      <family val="3"/>
      <charset val="129"/>
      <scheme val="minor"/>
    </font>
    <font>
      <sz val="10"/>
      <name val="Arial Cyr"/>
      <family val="2"/>
      <charset val="204"/>
    </font>
    <font>
      <b/>
      <sz val="10"/>
      <color indexed="9"/>
      <name val="가는각진제목체"/>
      <family val="1"/>
      <charset val="129"/>
    </font>
    <font>
      <sz val="10"/>
      <color indexed="8"/>
      <name val="맑은 고딕"/>
      <family val="3"/>
      <charset val="129"/>
    </font>
    <font>
      <sz val="10"/>
      <color theme="1"/>
      <name val="새굴림"/>
      <family val="2"/>
      <charset val="129"/>
    </font>
    <font>
      <sz val="9"/>
      <name val="돋움"/>
      <family val="3"/>
      <charset val="129"/>
    </font>
    <font>
      <sz val="11"/>
      <color theme="1"/>
      <name val="굴림"/>
      <family val="3"/>
      <charset val="129"/>
    </font>
    <font>
      <sz val="11"/>
      <color theme="1"/>
      <name val="맑은 고딕"/>
      <family val="2"/>
      <charset val="129"/>
    </font>
    <font>
      <sz val="9"/>
      <name val="굴림"/>
      <family val="3"/>
      <charset val="129"/>
    </font>
    <font>
      <u/>
      <sz val="9.9"/>
      <color theme="10"/>
      <name val="맑은 고딕"/>
      <family val="2"/>
    </font>
    <font>
      <u/>
      <sz val="9.9"/>
      <color theme="10"/>
      <name val="맑은 고딕"/>
      <family val="3"/>
      <charset val="129"/>
    </font>
    <font>
      <u/>
      <sz val="11"/>
      <color indexed="12"/>
      <name val="맑은 고딕"/>
      <family val="2"/>
    </font>
    <font>
      <u/>
      <sz val="11"/>
      <color theme="10"/>
      <name val="맑은 고딕"/>
      <family val="3"/>
      <charset val="129"/>
    </font>
    <font>
      <sz val="14"/>
      <name val="AngsanaUPC"/>
      <family val="1"/>
    </font>
    <font>
      <b/>
      <sz val="9"/>
      <name val="굴림체"/>
      <family val="3"/>
      <charset val="129"/>
    </font>
    <font>
      <sz val="13"/>
      <color rgb="FF002060"/>
      <name val="HY헤드라인M"/>
      <family val="1"/>
      <charset val="129"/>
    </font>
    <font>
      <u/>
      <sz val="10"/>
      <color rgb="FFFF0000"/>
      <name val="HY헤드라인M"/>
      <family val="1"/>
      <charset val="129"/>
    </font>
    <font>
      <sz val="16"/>
      <color rgb="FF002060"/>
      <name val="HY헤드라인M"/>
      <family val="1"/>
      <charset val="129"/>
    </font>
    <font>
      <sz val="12"/>
      <color rgb="FF002060"/>
      <name val="HY헤드라인M"/>
      <family val="1"/>
      <charset val="129"/>
    </font>
    <font>
      <sz val="18"/>
      <color rgb="FF002060"/>
      <name val="HY헤드라인M"/>
      <family val="1"/>
      <charset val="129"/>
    </font>
    <font>
      <sz val="10"/>
      <color rgb="FFFF0000"/>
      <name val="HY헤드라인M"/>
      <family val="1"/>
      <charset val="129"/>
    </font>
    <font>
      <sz val="10"/>
      <color theme="1"/>
      <name val="HY헤드라인M"/>
      <family val="1"/>
      <charset val="129"/>
    </font>
    <font>
      <sz val="9"/>
      <color indexed="81"/>
      <name val="Tahoma"/>
      <family val="2"/>
    </font>
    <font>
      <b/>
      <sz val="10"/>
      <color rgb="FF002060"/>
      <name val="HY헤드라인M"/>
      <family val="1"/>
      <charset val="129"/>
    </font>
    <font>
      <b/>
      <sz val="9"/>
      <color indexed="81"/>
      <name val="Tahoma"/>
      <family val="2"/>
    </font>
    <font>
      <b/>
      <sz val="9"/>
      <color indexed="81"/>
      <name val="맑은 고딕"/>
      <family val="3"/>
      <charset val="129"/>
    </font>
    <font>
      <sz val="9"/>
      <color indexed="81"/>
      <name val="돋움"/>
      <family val="3"/>
      <charset val="129"/>
    </font>
  </fonts>
  <fills count="91">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3"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4"/>
      </patternFill>
    </fill>
    <fill>
      <patternFill patternType="solid">
        <fgColor rgb="FFFFCC99"/>
      </patternFill>
    </fill>
    <fill>
      <patternFill patternType="solid">
        <fgColor rgb="FFFFFFCC"/>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darkGray">
        <fgColor indexed="16"/>
      </patternFill>
    </fill>
    <fill>
      <patternFill patternType="solid">
        <fgColor indexed="9"/>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2"/>
        <bgColor indexed="52"/>
      </patternFill>
    </fill>
    <fill>
      <patternFill patternType="solid">
        <fgColor indexed="44"/>
        <bgColor indexed="64"/>
      </patternFill>
    </fill>
    <fill>
      <patternFill patternType="solid">
        <fgColor indexed="8"/>
        <bgColor indexed="64"/>
      </patternFill>
    </fill>
    <fill>
      <patternFill patternType="solid">
        <fgColor indexed="45"/>
        <bgColor indexed="45"/>
      </patternFill>
    </fill>
    <fill>
      <patternFill patternType="solid">
        <fgColor indexed="9"/>
        <bgColor indexed="9"/>
      </patternFill>
    </fill>
    <fill>
      <patternFill patternType="gray0625">
        <fgColor indexed="15"/>
      </patternFill>
    </fill>
    <fill>
      <patternFill patternType="solid">
        <fgColor indexed="12"/>
      </patternFill>
    </fill>
    <fill>
      <patternFill patternType="solid">
        <fgColor indexed="40"/>
      </patternFill>
    </fill>
    <fill>
      <patternFill patternType="solid">
        <fgColor rgb="FFFCD4B6"/>
        <bgColor indexed="64"/>
      </patternFill>
    </fill>
    <fill>
      <patternFill patternType="solid">
        <fgColor rgb="FFE8E6DF"/>
        <bgColor indexed="64"/>
      </patternFill>
    </fill>
    <fill>
      <patternFill patternType="solid">
        <fgColor indexed="33"/>
        <bgColor indexed="64"/>
      </patternFill>
    </fill>
    <fill>
      <patternFill patternType="gray0625"/>
    </fill>
    <fill>
      <patternFill patternType="solid">
        <fgColor indexed="34"/>
        <bgColor indexed="64"/>
      </patternFill>
    </fill>
    <fill>
      <patternFill patternType="solid">
        <fgColor indexed="56"/>
        <bgColor indexed="64"/>
      </patternFill>
    </fill>
    <fill>
      <patternFill patternType="solid">
        <fgColor theme="3"/>
        <bgColor indexed="64"/>
      </patternFill>
    </fill>
  </fills>
  <borders count="245">
    <border>
      <left/>
      <right/>
      <top/>
      <bottom/>
      <diagonal/>
    </border>
    <border>
      <left style="thin">
        <color indexed="23"/>
      </left>
      <right style="thin">
        <color indexed="23"/>
      </right>
      <top style="thin">
        <color indexed="23"/>
      </top>
      <bottom style="thin">
        <color indexed="23"/>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top style="hair">
        <color indexed="64"/>
      </top>
      <bottom/>
      <diagonal/>
    </border>
    <border>
      <left/>
      <right/>
      <top style="medium">
        <color indexed="64"/>
      </top>
      <bottom style="medium">
        <color indexed="64"/>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hair">
        <color auto="1"/>
      </left>
      <right style="hair">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bottom style="medium">
        <color indexed="2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top style="thin">
        <color auto="1"/>
      </top>
      <bottom style="thin">
        <color auto="1"/>
      </bottom>
      <diagonal/>
    </border>
    <border>
      <left/>
      <right style="thin">
        <color auto="1"/>
      </right>
      <top style="hair">
        <color auto="1"/>
      </top>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right/>
      <top style="hair">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style="thin">
        <color rgb="FF002060"/>
      </top>
      <bottom style="hair">
        <color indexed="64"/>
      </bottom>
      <diagonal/>
    </border>
    <border>
      <left style="thin">
        <color indexed="64"/>
      </left>
      <right/>
      <top style="thin">
        <color rgb="FF002060"/>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auto="1"/>
      </top>
      <bottom style="thin">
        <color auto="1"/>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23"/>
      </left>
      <right style="thin">
        <color theme="0" tint="-0.499984740745262"/>
      </right>
      <top style="thin">
        <color theme="0" tint="-0.499984740745262"/>
      </top>
      <bottom style="thin">
        <color indexed="23"/>
      </bottom>
      <diagonal/>
    </border>
    <border>
      <left style="thin">
        <color theme="0" tint="-0.499984740745262"/>
      </left>
      <right style="thin">
        <color indexed="23"/>
      </right>
      <top style="thin">
        <color indexed="23"/>
      </top>
      <bottom style="thin">
        <color theme="0" tint="-0.499984740745262"/>
      </bottom>
      <diagonal/>
    </border>
    <border>
      <left style="thin">
        <color indexed="23"/>
      </left>
      <right style="thin">
        <color indexed="23"/>
      </right>
      <top style="thin">
        <color indexed="23"/>
      </top>
      <bottom style="thin">
        <color theme="0" tint="-0.499984740745262"/>
      </bottom>
      <diagonal/>
    </border>
    <border>
      <left style="thin">
        <color indexed="23"/>
      </left>
      <right style="thin">
        <color theme="0" tint="-0.499984740745262"/>
      </right>
      <top style="thin">
        <color indexed="23"/>
      </top>
      <bottom style="thin">
        <color theme="0" tint="-0.499984740745262"/>
      </bottom>
      <diagonal/>
    </border>
    <border>
      <left style="thin">
        <color indexed="23"/>
      </left>
      <right style="thin">
        <color theme="0" tint="-0.499984740745262"/>
      </right>
      <top style="thin">
        <color indexed="23"/>
      </top>
      <bottom style="thin">
        <color indexed="23"/>
      </bottom>
      <diagonal/>
    </border>
    <border>
      <left style="thin">
        <color theme="0" tint="-0.499984740745262"/>
      </left>
      <right style="thin">
        <color indexed="23"/>
      </right>
      <top/>
      <bottom style="thin">
        <color indexed="23"/>
      </bottom>
      <diagonal/>
    </border>
    <border>
      <left style="thin">
        <color indexed="23"/>
      </left>
      <right style="thin">
        <color indexed="23"/>
      </right>
      <top/>
      <bottom style="thin">
        <color indexed="23"/>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indexed="64"/>
      </right>
      <top style="thin">
        <color rgb="FF002060"/>
      </top>
      <bottom style="hair">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medium">
        <color rgb="FF002060"/>
      </left>
      <right/>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auto="1"/>
      </right>
      <top style="thin">
        <color indexed="64"/>
      </top>
      <bottom style="hair">
        <color auto="1"/>
      </bottom>
      <diagonal/>
    </border>
    <border>
      <left/>
      <right/>
      <top/>
      <bottom style="medium">
        <color indexed="64"/>
      </bottom>
      <diagonal/>
    </border>
    <border>
      <left style="thin">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499984740745262"/>
      </left>
      <right style="thin">
        <color indexed="23"/>
      </right>
      <top style="thin">
        <color theme="0" tint="-0.499984740745262"/>
      </top>
      <bottom style="thin">
        <color theme="0" tint="-0.499984740745262"/>
      </bottom>
      <diagonal/>
    </border>
    <border>
      <left style="thin">
        <color indexed="23"/>
      </left>
      <right style="thin">
        <color indexed="23"/>
      </right>
      <top style="thin">
        <color theme="0" tint="-0.499984740745262"/>
      </top>
      <bottom style="thin">
        <color theme="0" tint="-0.499984740745262"/>
      </bottom>
      <diagonal/>
    </border>
    <border>
      <left style="thin">
        <color indexed="23"/>
      </left>
      <right style="thin">
        <color theme="0" tint="-0.499984740745262"/>
      </right>
      <top style="thin">
        <color theme="0" tint="-0.499984740745262"/>
      </top>
      <bottom style="thin">
        <color theme="0" tint="-0.499984740745262"/>
      </bottom>
      <diagonal/>
    </border>
    <border>
      <left/>
      <right style="thin">
        <color theme="0" tint="-0.499984740745262"/>
      </right>
      <top style="thin">
        <color indexed="23"/>
      </top>
      <bottom style="thin">
        <color indexed="23"/>
      </bottom>
      <diagonal/>
    </border>
    <border>
      <left/>
      <right/>
      <top style="thin">
        <color theme="0" tint="-0.499984740745262"/>
      </top>
      <bottom style="thin">
        <color theme="0" tint="-0.499984740745262"/>
      </bottom>
      <diagonal/>
    </border>
    <border>
      <left style="medium">
        <color rgb="FF002060"/>
      </left>
      <right style="medium">
        <color rgb="FF002060"/>
      </right>
      <top/>
      <bottom/>
      <diagonal/>
    </border>
    <border>
      <left/>
      <right style="thin">
        <color indexed="23"/>
      </right>
      <top style="thin">
        <color theme="0" tint="-0.499984740745262"/>
      </top>
      <bottom style="thin">
        <color theme="0" tint="-0.4999847407452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medium">
        <color rgb="FF002060"/>
      </left>
      <right style="thin">
        <color theme="0" tint="-0.499984740745262"/>
      </right>
      <top style="medium">
        <color rgb="FF002060"/>
      </top>
      <bottom style="thin">
        <color theme="0" tint="-0.499984740745262"/>
      </bottom>
      <diagonal/>
    </border>
    <border>
      <left style="thin">
        <color theme="0" tint="-0.499984740745262"/>
      </left>
      <right style="medium">
        <color rgb="FF002060"/>
      </right>
      <top style="medium">
        <color rgb="FF002060"/>
      </top>
      <bottom style="thin">
        <color theme="0" tint="-0.499984740745262"/>
      </bottom>
      <diagonal/>
    </border>
    <border>
      <left style="medium">
        <color rgb="FF002060"/>
      </left>
      <right style="thin">
        <color theme="0" tint="-0.499984740745262"/>
      </right>
      <top style="thin">
        <color theme="0" tint="-0.499984740745262"/>
      </top>
      <bottom style="thin">
        <color theme="0" tint="-0.499984740745262"/>
      </bottom>
      <diagonal/>
    </border>
    <border>
      <left style="thin">
        <color theme="0" tint="-0.499984740745262"/>
      </left>
      <right style="medium">
        <color rgb="FF002060"/>
      </right>
      <top style="thin">
        <color theme="0" tint="-0.499984740745262"/>
      </top>
      <bottom style="thin">
        <color theme="0" tint="-0.499984740745262"/>
      </bottom>
      <diagonal/>
    </border>
    <border>
      <left style="medium">
        <color rgb="FF002060"/>
      </left>
      <right style="thin">
        <color theme="0" tint="-0.499984740745262"/>
      </right>
      <top style="thin">
        <color theme="0" tint="-0.499984740745262"/>
      </top>
      <bottom style="medium">
        <color rgb="FF002060"/>
      </bottom>
      <diagonal/>
    </border>
    <border>
      <left style="thin">
        <color theme="0" tint="-0.499984740745262"/>
      </left>
      <right style="medium">
        <color rgb="FF002060"/>
      </right>
      <top style="thin">
        <color theme="0" tint="-0.499984740745262"/>
      </top>
      <bottom style="medium">
        <color rgb="FF002060"/>
      </bottom>
      <diagonal/>
    </border>
    <border>
      <left style="medium">
        <color rgb="FF002060"/>
      </left>
      <right style="medium">
        <color rgb="FF002060"/>
      </right>
      <top style="medium">
        <color rgb="FF002060"/>
      </top>
      <bottom style="thin">
        <color theme="0" tint="-0.499984740745262"/>
      </bottom>
      <diagonal/>
    </border>
    <border>
      <left style="medium">
        <color rgb="FF002060"/>
      </left>
      <right style="medium">
        <color rgb="FF002060"/>
      </right>
      <top style="thin">
        <color theme="0" tint="-0.499984740745262"/>
      </top>
      <bottom style="thin">
        <color theme="0" tint="-0.499984740745262"/>
      </bottom>
      <diagonal/>
    </border>
    <border>
      <left style="medium">
        <color rgb="FF002060"/>
      </left>
      <right style="medium">
        <color rgb="FF002060"/>
      </right>
      <top style="thin">
        <color theme="0" tint="-0.499984740745262"/>
      </top>
      <bottom style="medium">
        <color rgb="FF002060"/>
      </bottom>
      <diagonal/>
    </border>
    <border>
      <left style="medium">
        <color rgb="FF002060"/>
      </left>
      <right/>
      <top style="medium">
        <color rgb="FF002060"/>
      </top>
      <bottom style="thin">
        <color theme="0" tint="-0.499984740745262"/>
      </bottom>
      <diagonal/>
    </border>
    <border>
      <left style="medium">
        <color rgb="FF002060"/>
      </left>
      <right/>
      <top style="thin">
        <color theme="0" tint="-0.499984740745262"/>
      </top>
      <bottom style="thin">
        <color theme="0" tint="-0.499984740745262"/>
      </bottom>
      <diagonal/>
    </border>
    <border>
      <left style="medium">
        <color rgb="FF002060"/>
      </left>
      <right/>
      <top style="thin">
        <color theme="0" tint="-0.499984740745262"/>
      </top>
      <bottom style="medium">
        <color rgb="FF002060"/>
      </bottom>
      <diagonal/>
    </border>
    <border>
      <left style="medium">
        <color rgb="FF002060"/>
      </left>
      <right style="thin">
        <color theme="0" tint="-0.499984740745262"/>
      </right>
      <top style="medium">
        <color rgb="FF002060"/>
      </top>
      <bottom style="medium">
        <color rgb="FF002060"/>
      </bottom>
      <diagonal/>
    </border>
    <border>
      <left style="thin">
        <color theme="0" tint="-0.499984740745262"/>
      </left>
      <right style="thin">
        <color theme="0" tint="-0.499984740745262"/>
      </right>
      <top style="medium">
        <color rgb="FF002060"/>
      </top>
      <bottom style="medium">
        <color rgb="FF002060"/>
      </bottom>
      <diagonal/>
    </border>
    <border>
      <left style="thin">
        <color theme="0" tint="-0.499984740745262"/>
      </left>
      <right style="thin">
        <color theme="0" tint="-0.499984740745262"/>
      </right>
      <top style="thin">
        <color theme="0" tint="-0.499984740745262"/>
      </top>
      <bottom style="medium">
        <color rgb="FF002060"/>
      </bottom>
      <diagonal/>
    </border>
    <border>
      <left style="medium">
        <color rgb="FF002060"/>
      </left>
      <right style="thin">
        <color theme="0" tint="-0.499984740745262"/>
      </right>
      <top/>
      <bottom style="thin">
        <color theme="0" tint="-0.499984740745262"/>
      </bottom>
      <diagonal/>
    </border>
    <border>
      <left style="thin">
        <color theme="0" tint="-0.499984740745262"/>
      </left>
      <right style="medium">
        <color rgb="FF002060"/>
      </right>
      <top/>
      <bottom style="thin">
        <color theme="0" tint="-0.499984740745262"/>
      </bottom>
      <diagonal/>
    </border>
    <border>
      <left style="medium">
        <color rgb="FF002060"/>
      </left>
      <right style="thin">
        <color theme="0" tint="-0.499984740745262"/>
      </right>
      <top/>
      <bottom/>
      <diagonal/>
    </border>
    <border>
      <left style="hair">
        <color rgb="FF002060"/>
      </left>
      <right style="hair">
        <color rgb="FF002060"/>
      </right>
      <top style="hair">
        <color rgb="FF002060"/>
      </top>
      <bottom style="hair">
        <color rgb="FF002060"/>
      </bottom>
      <diagonal/>
    </border>
    <border>
      <left style="medium">
        <color rgb="FF002060"/>
      </left>
      <right style="hair">
        <color rgb="FF002060"/>
      </right>
      <top style="medium">
        <color rgb="FF002060"/>
      </top>
      <bottom style="hair">
        <color rgb="FF002060"/>
      </bottom>
      <diagonal/>
    </border>
    <border>
      <left style="hair">
        <color rgb="FF002060"/>
      </left>
      <right style="hair">
        <color rgb="FF002060"/>
      </right>
      <top style="medium">
        <color rgb="FF002060"/>
      </top>
      <bottom style="hair">
        <color rgb="FF002060"/>
      </bottom>
      <diagonal/>
    </border>
    <border>
      <left style="hair">
        <color rgb="FF002060"/>
      </left>
      <right style="medium">
        <color rgb="FF002060"/>
      </right>
      <top style="medium">
        <color rgb="FF002060"/>
      </top>
      <bottom style="hair">
        <color rgb="FF002060"/>
      </bottom>
      <diagonal/>
    </border>
    <border>
      <left style="medium">
        <color rgb="FF002060"/>
      </left>
      <right style="hair">
        <color rgb="FF002060"/>
      </right>
      <top style="hair">
        <color rgb="FF002060"/>
      </top>
      <bottom style="hair">
        <color rgb="FF002060"/>
      </bottom>
      <diagonal/>
    </border>
    <border>
      <left style="hair">
        <color rgb="FF002060"/>
      </left>
      <right style="medium">
        <color rgb="FF002060"/>
      </right>
      <top style="hair">
        <color rgb="FF002060"/>
      </top>
      <bottom style="hair">
        <color rgb="FF002060"/>
      </bottom>
      <diagonal/>
    </border>
    <border>
      <left style="medium">
        <color rgb="FF002060"/>
      </left>
      <right style="hair">
        <color rgb="FF002060"/>
      </right>
      <top style="hair">
        <color rgb="FF002060"/>
      </top>
      <bottom style="medium">
        <color rgb="FF002060"/>
      </bottom>
      <diagonal/>
    </border>
    <border>
      <left style="hair">
        <color rgb="FF002060"/>
      </left>
      <right style="hair">
        <color rgb="FF002060"/>
      </right>
      <top style="hair">
        <color rgb="FF002060"/>
      </top>
      <bottom style="medium">
        <color rgb="FF002060"/>
      </bottom>
      <diagonal/>
    </border>
    <border>
      <left style="hair">
        <color rgb="FF002060"/>
      </left>
      <right style="medium">
        <color rgb="FF002060"/>
      </right>
      <top style="hair">
        <color rgb="FF002060"/>
      </top>
      <bottom style="medium">
        <color rgb="FF002060"/>
      </bottom>
      <diagonal/>
    </border>
    <border>
      <left style="thin">
        <color theme="0" tint="-0.499984740745262"/>
      </left>
      <right style="medium">
        <color rgb="FF002060"/>
      </right>
      <top style="medium">
        <color rgb="FF002060"/>
      </top>
      <bottom style="medium">
        <color rgb="FF002060"/>
      </bottom>
      <diagonal/>
    </border>
    <border>
      <left style="thin">
        <color theme="0" tint="-0.499984740745262"/>
      </left>
      <right style="medium">
        <color rgb="FF002060"/>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style="medium">
        <color indexed="64"/>
      </bottom>
      <diagonal/>
    </border>
    <border>
      <left style="thick">
        <color indexed="64"/>
      </left>
      <right style="thin">
        <color indexed="64"/>
      </right>
      <top style="thick">
        <color indexed="64"/>
      </top>
      <bottom style="thick">
        <color indexed="64"/>
      </bottom>
      <diagonal/>
    </border>
    <border>
      <left style="double">
        <color indexed="64"/>
      </left>
      <right/>
      <top/>
      <bottom style="hair">
        <color indexed="64"/>
      </bottom>
      <diagonal/>
    </border>
    <border>
      <left/>
      <right/>
      <top/>
      <bottom style="thin">
        <color indexed="44"/>
      </bottom>
      <diagonal/>
    </border>
    <border>
      <left style="double">
        <color indexed="64"/>
      </left>
      <right style="double">
        <color indexed="64"/>
      </right>
      <top style="double">
        <color indexed="64"/>
      </top>
      <bottom style="double">
        <color indexed="64"/>
      </bottom>
      <diagonal/>
    </border>
    <border>
      <left style="thin">
        <color indexed="48"/>
      </left>
      <right style="thin">
        <color indexed="48"/>
      </right>
      <top style="thin">
        <color indexed="48"/>
      </top>
      <bottom style="thin">
        <color indexed="48"/>
      </bottom>
      <diagonal/>
    </border>
    <border>
      <left/>
      <right/>
      <top/>
      <bottom style="medium">
        <color theme="4"/>
      </bottom>
      <diagonal/>
    </border>
    <border>
      <left/>
      <right/>
      <top style="thin">
        <color theme="4"/>
      </top>
      <bottom/>
      <diagonal/>
    </border>
    <border>
      <left/>
      <right/>
      <top style="thin">
        <color theme="4"/>
      </top>
      <bottom style="medium">
        <color theme="4"/>
      </bottom>
      <diagonal/>
    </border>
    <border>
      <left style="medium">
        <color indexed="64"/>
      </left>
      <right style="thin">
        <color indexed="64"/>
      </right>
      <top/>
      <bottom/>
      <diagonal/>
    </border>
    <border>
      <left style="dashed">
        <color indexed="64"/>
      </left>
      <right/>
      <top style="hair">
        <color indexed="64"/>
      </top>
      <bottom style="hair">
        <color indexed="64"/>
      </bottom>
      <diagonal/>
    </border>
    <border>
      <left/>
      <right/>
      <top/>
      <bottom style="medium">
        <color indexed="9"/>
      </bottom>
      <diagonal/>
    </border>
    <border>
      <left/>
      <right/>
      <top style="thin">
        <color indexed="64"/>
      </top>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ck">
        <color indexed="64"/>
      </left>
      <right/>
      <top style="thick">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55"/>
      </left>
      <right style="thin">
        <color indexed="55"/>
      </right>
      <top style="thin">
        <color indexed="55"/>
      </top>
      <bottom style="thin">
        <color indexed="55"/>
      </bottom>
      <diagonal/>
    </border>
    <border>
      <left style="medium">
        <color indexed="64"/>
      </left>
      <right/>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C00000"/>
      </left>
      <right style="hair">
        <color indexed="64"/>
      </right>
      <top style="thin">
        <color rgb="FF002060"/>
      </top>
      <bottom style="hair">
        <color auto="1"/>
      </bottom>
      <diagonal/>
    </border>
    <border>
      <left style="hair">
        <color indexed="64"/>
      </left>
      <right/>
      <top style="thin">
        <color rgb="FF002060"/>
      </top>
      <bottom style="hair">
        <color indexed="64"/>
      </bottom>
      <diagonal/>
    </border>
    <border>
      <left/>
      <right style="medium">
        <color rgb="FFC00000"/>
      </right>
      <top style="thin">
        <color rgb="FF002060"/>
      </top>
      <bottom style="hair">
        <color indexed="64"/>
      </bottom>
      <diagonal/>
    </border>
    <border>
      <left style="medium">
        <color rgb="FFC00000"/>
      </left>
      <right style="hair">
        <color indexed="64"/>
      </right>
      <top style="thin">
        <color indexed="64"/>
      </top>
      <bottom/>
      <diagonal/>
    </border>
    <border>
      <left/>
      <right style="medium">
        <color rgb="FFC00000"/>
      </right>
      <top style="thin">
        <color indexed="64"/>
      </top>
      <bottom/>
      <diagonal/>
    </border>
    <border>
      <left style="medium">
        <color rgb="FFC00000"/>
      </left>
      <right style="hair">
        <color indexed="64"/>
      </right>
      <top style="hair">
        <color auto="1"/>
      </top>
      <bottom style="hair">
        <color rgb="FF002060"/>
      </bottom>
      <diagonal/>
    </border>
    <border>
      <left/>
      <right/>
      <top style="hair">
        <color auto="1"/>
      </top>
      <bottom style="hair">
        <color rgb="FF002060"/>
      </bottom>
      <diagonal/>
    </border>
    <border>
      <left/>
      <right style="thin">
        <color indexed="64"/>
      </right>
      <top style="hair">
        <color auto="1"/>
      </top>
      <bottom style="hair">
        <color rgb="FF002060"/>
      </bottom>
      <diagonal/>
    </border>
    <border>
      <left style="thin">
        <color indexed="64"/>
      </left>
      <right/>
      <top style="hair">
        <color auto="1"/>
      </top>
      <bottom style="hair">
        <color rgb="FF00206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00000"/>
      </left>
      <right/>
      <top style="medium">
        <color rgb="FFC00000"/>
      </top>
      <bottom/>
      <diagonal/>
    </border>
    <border>
      <left/>
      <right/>
      <top style="medium">
        <color rgb="FFC00000"/>
      </top>
      <bottom/>
      <diagonal/>
    </border>
    <border>
      <left/>
      <right style="thin">
        <color indexed="64"/>
      </right>
      <top style="medium">
        <color rgb="FFC00000"/>
      </top>
      <bottom/>
      <diagonal/>
    </border>
    <border>
      <left style="thin">
        <color indexed="64"/>
      </left>
      <right/>
      <top style="medium">
        <color rgb="FFC00000"/>
      </top>
      <bottom/>
      <diagonal/>
    </border>
    <border>
      <left/>
      <right style="medium">
        <color rgb="FFC00000"/>
      </right>
      <top style="medium">
        <color rgb="FFC00000"/>
      </top>
      <bottom/>
      <diagonal/>
    </border>
    <border>
      <left style="medium">
        <color rgb="FFC00000"/>
      </left>
      <right/>
      <top/>
      <bottom style="thin">
        <color indexed="64"/>
      </bottom>
      <diagonal/>
    </border>
    <border>
      <left/>
      <right style="medium">
        <color rgb="FFC00000"/>
      </right>
      <top/>
      <bottom style="thin">
        <color indexed="64"/>
      </bottom>
      <diagonal/>
    </border>
    <border>
      <left style="medium">
        <color rgb="FFC00000"/>
      </left>
      <right/>
      <top style="thin">
        <color indexed="64"/>
      </top>
      <bottom style="thin">
        <color indexed="64"/>
      </bottom>
      <diagonal/>
    </border>
    <border>
      <left/>
      <right style="medium">
        <color rgb="FFC00000"/>
      </right>
      <top style="thin">
        <color indexed="64"/>
      </top>
      <bottom style="thin">
        <color indexed="64"/>
      </bottom>
      <diagonal/>
    </border>
    <border>
      <left style="medium">
        <color rgb="FFC00000"/>
      </left>
      <right style="thin">
        <color indexed="64"/>
      </right>
      <top style="thin">
        <color indexed="64"/>
      </top>
      <bottom style="thin">
        <color indexed="64"/>
      </bottom>
      <diagonal/>
    </border>
    <border>
      <left style="thin">
        <color indexed="64"/>
      </left>
      <right style="medium">
        <color rgb="FFC00000"/>
      </right>
      <top style="thin">
        <color indexed="64"/>
      </top>
      <bottom style="thin">
        <color indexed="64"/>
      </bottom>
      <diagonal/>
    </border>
    <border>
      <left/>
      <right style="medium">
        <color rgb="FFC00000"/>
      </right>
      <top/>
      <bottom/>
      <diagonal/>
    </border>
    <border>
      <left/>
      <right style="medium">
        <color rgb="FF002060"/>
      </right>
      <top style="medium">
        <color rgb="FF002060"/>
      </top>
      <bottom style="thin">
        <color theme="0" tint="-0.499984740745262"/>
      </bottom>
      <diagonal/>
    </border>
    <border>
      <left style="medium">
        <color rgb="FF002060"/>
      </left>
      <right/>
      <top/>
      <bottom style="thin">
        <color theme="0" tint="-0.499984740745262"/>
      </bottom>
      <diagonal/>
    </border>
    <border>
      <left style="medium">
        <color rgb="FF002060"/>
      </left>
      <right style="medium">
        <color rgb="FF002060"/>
      </right>
      <top/>
      <bottom style="thin">
        <color theme="0" tint="-0.499984740745262"/>
      </bottom>
      <diagonal/>
    </border>
    <border>
      <left/>
      <right style="medium">
        <color rgb="FF002060"/>
      </right>
      <top/>
      <bottom style="thin">
        <color theme="0" tint="-0.499984740745262"/>
      </bottom>
      <diagonal/>
    </border>
    <border>
      <left style="medium">
        <color rgb="FF002060"/>
      </left>
      <right style="thin">
        <color theme="0" tint="-0.499984740745262"/>
      </right>
      <top style="medium">
        <color rgb="FF002060"/>
      </top>
      <bottom/>
      <diagonal/>
    </border>
    <border>
      <left style="thin">
        <color theme="0" tint="-0.499984740745262"/>
      </left>
      <right style="medium">
        <color rgb="FF002060"/>
      </right>
      <top style="medium">
        <color rgb="FF002060"/>
      </top>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s>
  <cellStyleXfs count="41096">
    <xf numFmtId="0" fontId="0" fillId="0" borderId="0">
      <alignment vertical="center"/>
    </xf>
    <xf numFmtId="0" fontId="20" fillId="0" borderId="0" applyNumberFormat="0" applyFont="0" applyFill="0" applyBorder="0" applyAlignment="0" applyProtection="0">
      <alignment vertical="center"/>
    </xf>
    <xf numFmtId="9" fontId="19"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19" fillId="0" borderId="0" applyFont="0" applyFill="0" applyBorder="0" applyAlignment="0" applyProtection="0">
      <alignment vertical="center"/>
    </xf>
    <xf numFmtId="41" fontId="20" fillId="0" borderId="0" applyFont="0" applyFill="0" applyBorder="0" applyAlignment="0" applyProtection="0">
      <alignment vertical="center"/>
    </xf>
    <xf numFmtId="41" fontId="22" fillId="0" borderId="0" applyFont="0" applyBorder="0" applyAlignment="0">
      <alignment vertical="center"/>
    </xf>
    <xf numFmtId="176" fontId="21" fillId="0" borderId="1">
      <alignment horizontal="right" vertical="center"/>
    </xf>
    <xf numFmtId="0" fontId="20" fillId="0" borderId="0"/>
    <xf numFmtId="0" fontId="20" fillId="0" borderId="0">
      <alignment vertical="center"/>
    </xf>
    <xf numFmtId="41" fontId="20" fillId="0" borderId="0" applyFont="0" applyFill="0" applyBorder="0" applyAlignment="0" applyProtection="0"/>
    <xf numFmtId="9" fontId="20" fillId="0" borderId="0" applyFont="0" applyFill="0" applyBorder="0" applyAlignment="0" applyProtection="0"/>
    <xf numFmtId="0" fontId="28" fillId="0" borderId="0"/>
    <xf numFmtId="0" fontId="29" fillId="0" borderId="0" applyFont="0" applyFill="0" applyBorder="0" applyAlignment="0" applyProtection="0"/>
    <xf numFmtId="0" fontId="29" fillId="0" borderId="0" applyFont="0" applyFill="0" applyBorder="0" applyAlignment="0" applyProtection="0"/>
    <xf numFmtId="0" fontId="29" fillId="0" borderId="0"/>
    <xf numFmtId="0" fontId="29" fillId="0" borderId="0" applyFont="0" applyFill="0" applyBorder="0" applyAlignment="0" applyProtection="0"/>
    <xf numFmtId="0" fontId="28" fillId="0" borderId="0" applyFont="0" applyFill="0" applyBorder="0" applyAlignment="0" applyProtection="0"/>
    <xf numFmtId="0" fontId="30" fillId="0" borderId="0"/>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2" fillId="26" borderId="0" applyNumberFormat="0" applyBorder="0" applyAlignment="0" applyProtection="0">
      <alignment vertical="center"/>
    </xf>
    <xf numFmtId="0" fontId="35" fillId="0" borderId="0" applyFont="0" applyFill="0" applyBorder="0" applyAlignment="0" applyProtection="0"/>
    <xf numFmtId="197" fontId="34"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40" fontId="34" fillId="0" borderId="0" applyFont="0" applyFill="0" applyBorder="0" applyAlignment="0" applyProtection="0"/>
    <xf numFmtId="0" fontId="35" fillId="0" borderId="0" applyFont="0" applyFill="0" applyBorder="0" applyAlignment="0" applyProtection="0"/>
    <xf numFmtId="0" fontId="36" fillId="10" borderId="0" applyNumberFormat="0" applyBorder="0" applyAlignment="0" applyProtection="0">
      <alignment vertical="center"/>
    </xf>
    <xf numFmtId="49" fontId="37" fillId="0" borderId="0" applyFont="0" applyFill="0" applyBorder="0" applyAlignment="0" applyProtection="0">
      <alignment horizontal="left"/>
    </xf>
    <xf numFmtId="198" fontId="38" fillId="0" borderId="0" applyAlignment="0" applyProtection="0"/>
    <xf numFmtId="178" fontId="22" fillId="0" borderId="0" applyFill="0" applyBorder="0" applyAlignment="0" applyProtection="0"/>
    <xf numFmtId="49" fontId="22" fillId="0" borderId="0" applyNumberFormat="0" applyAlignment="0" applyProtection="0">
      <alignment horizontal="left"/>
    </xf>
    <xf numFmtId="49" fontId="39" fillId="0" borderId="28" applyNumberFormat="0" applyAlignment="0" applyProtection="0">
      <alignment horizontal="left" wrapText="1"/>
    </xf>
    <xf numFmtId="49" fontId="39" fillId="0" borderId="0" applyNumberFormat="0" applyAlignment="0" applyProtection="0">
      <alignment horizontal="left" wrapText="1"/>
    </xf>
    <xf numFmtId="49" fontId="40" fillId="0" borderId="0" applyAlignment="0" applyProtection="0">
      <alignment horizontal="left"/>
    </xf>
    <xf numFmtId="0" fontId="34" fillId="0" borderId="0"/>
    <xf numFmtId="0" fontId="29" fillId="0" borderId="0"/>
    <xf numFmtId="0" fontId="34" fillId="0" borderId="0"/>
    <xf numFmtId="0" fontId="29" fillId="0" borderId="0"/>
    <xf numFmtId="0" fontId="20" fillId="0" borderId="0"/>
    <xf numFmtId="0" fontId="29" fillId="0" borderId="0"/>
    <xf numFmtId="0" fontId="34" fillId="0" borderId="0"/>
    <xf numFmtId="0" fontId="29" fillId="0" borderId="0"/>
    <xf numFmtId="0" fontId="34" fillId="0" borderId="0"/>
    <xf numFmtId="0" fontId="20" fillId="0" borderId="0"/>
    <xf numFmtId="0" fontId="34" fillId="0" borderId="0"/>
    <xf numFmtId="0" fontId="35" fillId="0" borderId="0"/>
    <xf numFmtId="0" fontId="20" fillId="0" borderId="0"/>
    <xf numFmtId="0" fontId="29" fillId="0" borderId="0"/>
    <xf numFmtId="0" fontId="34" fillId="0" borderId="0"/>
    <xf numFmtId="0" fontId="29" fillId="0" borderId="0"/>
    <xf numFmtId="0" fontId="20" fillId="0" borderId="0"/>
    <xf numFmtId="0" fontId="29" fillId="0" borderId="0"/>
    <xf numFmtId="0" fontId="34" fillId="0" borderId="0"/>
    <xf numFmtId="0" fontId="20" fillId="0" borderId="0"/>
    <xf numFmtId="0" fontId="20" fillId="0" borderId="0"/>
    <xf numFmtId="0" fontId="29" fillId="0" borderId="0"/>
    <xf numFmtId="0" fontId="34" fillId="0" borderId="0"/>
    <xf numFmtId="0" fontId="20" fillId="0" borderId="0"/>
    <xf numFmtId="0" fontId="34" fillId="0" borderId="0"/>
    <xf numFmtId="0" fontId="20" fillId="0" borderId="0"/>
    <xf numFmtId="0" fontId="34" fillId="0" borderId="0"/>
    <xf numFmtId="0" fontId="35" fillId="0" borderId="0"/>
    <xf numFmtId="0" fontId="20" fillId="0" borderId="0"/>
    <xf numFmtId="0" fontId="29" fillId="0" borderId="0"/>
    <xf numFmtId="0" fontId="34" fillId="0" borderId="0"/>
    <xf numFmtId="0" fontId="29" fillId="0" borderId="0"/>
    <xf numFmtId="0" fontId="20" fillId="0" borderId="0"/>
    <xf numFmtId="0" fontId="29" fillId="0" borderId="0"/>
    <xf numFmtId="0" fontId="34" fillId="0" borderId="0"/>
    <xf numFmtId="0" fontId="20" fillId="0" borderId="0"/>
    <xf numFmtId="0" fontId="20" fillId="0" borderId="0"/>
    <xf numFmtId="0" fontId="29" fillId="0" borderId="0"/>
    <xf numFmtId="0" fontId="34" fillId="0" borderId="0"/>
    <xf numFmtId="0" fontId="20" fillId="0" borderId="0"/>
    <xf numFmtId="0" fontId="34" fillId="0" borderId="0"/>
    <xf numFmtId="0" fontId="20" fillId="0" borderId="0"/>
    <xf numFmtId="0" fontId="34" fillId="0" borderId="0"/>
    <xf numFmtId="0" fontId="35" fillId="0" borderId="0"/>
    <xf numFmtId="0" fontId="42" fillId="0" borderId="0"/>
    <xf numFmtId="0" fontId="43" fillId="0" borderId="0"/>
    <xf numFmtId="0" fontId="42" fillId="0" borderId="0"/>
    <xf numFmtId="0" fontId="43" fillId="0" borderId="0"/>
    <xf numFmtId="0" fontId="42" fillId="0" borderId="0"/>
    <xf numFmtId="0" fontId="20" fillId="0" borderId="0"/>
    <xf numFmtId="0" fontId="20" fillId="0" borderId="0"/>
    <xf numFmtId="0" fontId="43" fillId="0" borderId="0"/>
    <xf numFmtId="0" fontId="42" fillId="0" borderId="0"/>
    <xf numFmtId="0" fontId="20" fillId="0" borderId="0"/>
    <xf numFmtId="0" fontId="20" fillId="0" borderId="0"/>
    <xf numFmtId="0" fontId="43" fillId="0" borderId="0"/>
    <xf numFmtId="0" fontId="42" fillId="0" borderId="0"/>
    <xf numFmtId="0" fontId="4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3" fillId="0" borderId="0"/>
    <xf numFmtId="0" fontId="42" fillId="0" borderId="0"/>
    <xf numFmtId="0" fontId="20" fillId="0" borderId="0"/>
    <xf numFmtId="0" fontId="20" fillId="0" borderId="0"/>
    <xf numFmtId="0" fontId="43" fillId="0" borderId="0"/>
    <xf numFmtId="0" fontId="42" fillId="0" borderId="0"/>
    <xf numFmtId="0" fontId="20" fillId="0" borderId="0"/>
    <xf numFmtId="0" fontId="20" fillId="0" borderId="0"/>
    <xf numFmtId="0" fontId="43" fillId="0" borderId="0"/>
    <xf numFmtId="0" fontId="4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3" fillId="0" borderId="0"/>
    <xf numFmtId="0" fontId="42" fillId="0" borderId="0"/>
    <xf numFmtId="0" fontId="20" fillId="0" borderId="0"/>
    <xf numFmtId="0" fontId="20" fillId="0" borderId="0"/>
    <xf numFmtId="0" fontId="20" fillId="0" borderId="0"/>
    <xf numFmtId="0" fontId="20" fillId="0" borderId="0"/>
    <xf numFmtId="0" fontId="20" fillId="0" borderId="0"/>
    <xf numFmtId="0" fontId="20" fillId="0" borderId="0"/>
    <xf numFmtId="0" fontId="43" fillId="0" borderId="0"/>
    <xf numFmtId="0" fontId="42" fillId="0" borderId="0"/>
    <xf numFmtId="0" fontId="35" fillId="0" borderId="0"/>
    <xf numFmtId="0" fontId="44" fillId="27" borderId="29" applyNumberFormat="0" applyAlignment="0" applyProtection="0">
      <alignment vertical="center"/>
    </xf>
    <xf numFmtId="0" fontId="45" fillId="0" borderId="0"/>
    <xf numFmtId="0" fontId="46" fillId="28" borderId="30" applyNumberFormat="0" applyAlignment="0" applyProtection="0">
      <alignment vertical="center"/>
    </xf>
    <xf numFmtId="0" fontId="47" fillId="0" borderId="0" applyNumberFormat="0" applyFill="0" applyBorder="0" applyAlignment="0" applyProtection="0">
      <alignment vertical="top"/>
      <protection locked="0"/>
    </xf>
    <xf numFmtId="4" fontId="48" fillId="0" borderId="0">
      <protection locked="0"/>
    </xf>
    <xf numFmtId="199" fontId="49" fillId="0" borderId="0" applyFont="0" applyFill="0" applyBorder="0" applyAlignment="0" applyProtection="0">
      <alignment vertical="center"/>
    </xf>
    <xf numFmtId="199" fontId="49" fillId="0" borderId="0" applyFont="0" applyFill="0" applyBorder="0" applyAlignment="0" applyProtection="0">
      <alignment vertical="center"/>
    </xf>
    <xf numFmtId="199" fontId="31" fillId="0" borderId="0" applyFont="0" applyFill="0" applyBorder="0" applyAlignment="0" applyProtection="0">
      <alignment vertical="center"/>
    </xf>
    <xf numFmtId="199" fontId="31" fillId="0" borderId="0" applyFont="0" applyFill="0" applyBorder="0" applyAlignment="0" applyProtection="0">
      <alignment vertical="center"/>
    </xf>
    <xf numFmtId="41" fontId="49" fillId="0" borderId="0" applyFont="0" applyFill="0" applyBorder="0" applyAlignment="0" applyProtection="0">
      <alignment vertical="center"/>
    </xf>
    <xf numFmtId="0" fontId="45" fillId="0" borderId="0" applyFont="0" applyFill="0" applyBorder="0" applyAlignment="0" applyProtection="0"/>
    <xf numFmtId="200" fontId="20" fillId="0" borderId="0" applyFont="0" applyFill="0" applyBorder="0" applyAlignment="0" applyProtection="0">
      <alignment vertical="center"/>
    </xf>
    <xf numFmtId="0" fontId="28" fillId="0" borderId="0"/>
    <xf numFmtId="201" fontId="45" fillId="0" borderId="0" applyFont="0" applyFill="0" applyBorder="0" applyAlignment="0" applyProtection="0"/>
    <xf numFmtId="3" fontId="45" fillId="0" borderId="0" applyFont="0" applyFill="0" applyBorder="0" applyAlignment="0" applyProtection="0"/>
    <xf numFmtId="0" fontId="50" fillId="0" borderId="0" applyFont="0" applyFill="0" applyBorder="0" applyAlignment="0" applyProtection="0"/>
    <xf numFmtId="0" fontId="48" fillId="0" borderId="0">
      <protection locked="0"/>
    </xf>
    <xf numFmtId="202" fontId="45" fillId="0" borderId="0" applyFont="0" applyFill="0" applyBorder="0" applyAlignment="0" applyProtection="0"/>
    <xf numFmtId="203" fontId="51" fillId="0" borderId="0" applyFont="0" applyFill="0" applyBorder="0" applyAlignment="0" applyProtection="0"/>
    <xf numFmtId="0" fontId="28" fillId="0" borderId="0"/>
    <xf numFmtId="0" fontId="45" fillId="0" borderId="0" applyFont="0" applyFill="0" applyBorder="0" applyAlignment="0" applyProtection="0"/>
    <xf numFmtId="0" fontId="28" fillId="0" borderId="0"/>
    <xf numFmtId="204" fontId="20" fillId="0" borderId="0" applyFont="0" applyFill="0" applyBorder="0" applyAlignment="0" applyProtection="0">
      <alignment vertical="center"/>
    </xf>
    <xf numFmtId="0" fontId="52" fillId="0" borderId="0" applyNumberFormat="0" applyFill="0" applyBorder="0" applyAlignment="0" applyProtection="0">
      <alignment vertical="center"/>
    </xf>
    <xf numFmtId="2" fontId="45" fillId="0" borderId="0" applyFont="0" applyFill="0" applyBorder="0" applyAlignment="0" applyProtection="0"/>
    <xf numFmtId="0" fontId="53" fillId="0" borderId="0" applyNumberFormat="0" applyFill="0" applyBorder="0" applyAlignment="0" applyProtection="0">
      <alignment vertical="top"/>
      <protection locked="0"/>
    </xf>
    <xf numFmtId="0" fontId="54" fillId="11" borderId="0" applyNumberFormat="0" applyBorder="0" applyAlignment="0" applyProtection="0">
      <alignment vertical="center"/>
    </xf>
    <xf numFmtId="38" fontId="22" fillId="4" borderId="0" applyNumberFormat="0" applyBorder="0" applyAlignment="0" applyProtection="0"/>
    <xf numFmtId="0" fontId="55" fillId="0" borderId="14" applyNumberFormat="0" applyAlignment="0" applyProtection="0">
      <alignment horizontal="left" vertical="center"/>
    </xf>
    <xf numFmtId="0" fontId="55" fillId="0" borderId="31">
      <alignment horizontal="left" vertical="center"/>
    </xf>
    <xf numFmtId="0" fontId="56" fillId="0" borderId="32" applyNumberFormat="0" applyFill="0" applyAlignment="0" applyProtection="0">
      <alignment vertical="center"/>
    </xf>
    <xf numFmtId="0" fontId="57" fillId="0" borderId="33" applyNumberFormat="0" applyFill="0" applyAlignment="0" applyProtection="0">
      <alignment vertical="center"/>
    </xf>
    <xf numFmtId="0" fontId="58" fillId="0" borderId="34" applyNumberFormat="0" applyFill="0" applyAlignment="0" applyProtection="0">
      <alignment vertical="center"/>
    </xf>
    <xf numFmtId="0" fontId="58" fillId="0" borderId="0" applyNumberFormat="0" applyFill="0" applyBorder="0" applyAlignment="0" applyProtection="0">
      <alignment vertical="center"/>
    </xf>
    <xf numFmtId="205" fontId="31" fillId="0" borderId="0">
      <alignment horizontal="left"/>
    </xf>
    <xf numFmtId="0" fontId="59" fillId="0" borderId="0"/>
    <xf numFmtId="0" fontId="60" fillId="0" borderId="0"/>
    <xf numFmtId="0" fontId="61" fillId="0" borderId="0">
      <alignment horizontal="left"/>
    </xf>
    <xf numFmtId="0" fontId="47" fillId="0" borderId="0" applyNumberFormat="0" applyFill="0" applyBorder="0" applyAlignment="0" applyProtection="0">
      <alignment vertical="top"/>
      <protection locked="0"/>
    </xf>
    <xf numFmtId="0" fontId="62" fillId="14" borderId="29" applyNumberFormat="0" applyAlignment="0" applyProtection="0">
      <alignment vertical="center"/>
    </xf>
    <xf numFmtId="10" fontId="22" fillId="29" borderId="35" applyNumberFormat="0" applyBorder="0" applyAlignment="0" applyProtection="0"/>
    <xf numFmtId="0" fontId="63" fillId="0" borderId="36" applyNumberFormat="0" applyFill="0" applyAlignment="0" applyProtection="0">
      <alignment vertical="center"/>
    </xf>
    <xf numFmtId="206"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64" fillId="30" borderId="0" applyNumberFormat="0" applyBorder="0" applyAlignment="0" applyProtection="0">
      <alignment vertical="center"/>
    </xf>
    <xf numFmtId="37" fontId="65" fillId="0" borderId="0"/>
    <xf numFmtId="0" fontId="20"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31" fillId="0" borderId="0">
      <alignment vertical="center"/>
    </xf>
    <xf numFmtId="0" fontId="45" fillId="0" borderId="0"/>
    <xf numFmtId="0" fontId="31" fillId="0" borderId="0">
      <alignment vertical="center"/>
    </xf>
    <xf numFmtId="0" fontId="31" fillId="0" borderId="0">
      <alignment vertical="center"/>
    </xf>
    <xf numFmtId="0" fontId="31" fillId="0" borderId="0">
      <alignment vertical="center"/>
    </xf>
    <xf numFmtId="0" fontId="45" fillId="0" borderId="0"/>
    <xf numFmtId="0" fontId="20" fillId="31" borderId="37" applyNumberFormat="0" applyFont="0" applyAlignment="0" applyProtection="0">
      <alignment vertical="center"/>
    </xf>
    <xf numFmtId="0" fontId="67" fillId="27" borderId="38" applyNumberFormat="0" applyAlignment="0" applyProtection="0">
      <alignment vertical="center"/>
    </xf>
    <xf numFmtId="0" fontId="48" fillId="0" borderId="0">
      <protection locked="0"/>
    </xf>
    <xf numFmtId="10" fontId="45" fillId="0" borderId="0" applyFont="0" applyFill="0" applyBorder="0" applyAlignment="0" applyProtection="0"/>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49" fillId="0" borderId="0" applyFont="0" applyFill="0" applyBorder="0" applyAlignment="0" applyProtection="0">
      <alignment vertical="center"/>
    </xf>
    <xf numFmtId="0" fontId="20" fillId="0" borderId="0"/>
    <xf numFmtId="0" fontId="68" fillId="0" borderId="0" applyNumberFormat="0" applyFill="0" applyBorder="0" applyAlignment="0" applyProtection="0">
      <alignment vertical="center"/>
    </xf>
    <xf numFmtId="0" fontId="69" fillId="0" borderId="0" applyFill="0" applyBorder="0" applyProtection="0">
      <alignment horizontal="centerContinuous" vertical="center"/>
    </xf>
    <xf numFmtId="0" fontId="70" fillId="2" borderId="0" applyFill="0" applyBorder="0" applyProtection="0">
      <alignment horizontal="center" vertical="center"/>
    </xf>
    <xf numFmtId="0" fontId="59" fillId="0" borderId="39" applyNumberFormat="0" applyFill="0" applyAlignment="0" applyProtection="0">
      <alignment vertical="center"/>
    </xf>
    <xf numFmtId="0" fontId="23" fillId="0" borderId="21">
      <alignment horizontal="left"/>
    </xf>
    <xf numFmtId="0" fontId="71" fillId="0" borderId="0" applyNumberFormat="0" applyFill="0" applyBorder="0" applyAlignment="0" applyProtection="0">
      <alignment vertical="center"/>
    </xf>
    <xf numFmtId="0" fontId="53" fillId="0" borderId="0" applyNumberFormat="0" applyFill="0" applyBorder="0" applyAlignment="0" applyProtection="0">
      <alignment vertical="top"/>
      <protection locked="0"/>
    </xf>
    <xf numFmtId="207" fontId="20" fillId="0" borderId="0">
      <protection locked="0"/>
    </xf>
    <xf numFmtId="0" fontId="72" fillId="0" borderId="0">
      <protection locked="0"/>
    </xf>
    <xf numFmtId="0" fontId="72" fillId="0" borderId="0">
      <protection locked="0"/>
    </xf>
    <xf numFmtId="208" fontId="51" fillId="0" borderId="35">
      <alignment horizontal="right" vertical="center" shrinkToFit="1"/>
    </xf>
    <xf numFmtId="0" fontId="48" fillId="0" borderId="0">
      <protection locked="0"/>
    </xf>
    <xf numFmtId="1" fontId="51" fillId="0" borderId="35" applyFill="0" applyBorder="0">
      <alignment horizontal="center"/>
    </xf>
    <xf numFmtId="0" fontId="48" fillId="0" borderId="0">
      <protection locked="0"/>
    </xf>
    <xf numFmtId="209" fontId="20" fillId="0" borderId="0">
      <alignment vertical="center"/>
    </xf>
    <xf numFmtId="9" fontId="51" fillId="2" borderId="0" applyFill="0" applyBorder="0" applyProtection="0">
      <alignment horizontal="right"/>
    </xf>
    <xf numFmtId="10" fontId="51" fillId="0" borderId="0" applyFill="0" applyBorder="0" applyProtection="0">
      <alignment horizontal="right"/>
    </xf>
    <xf numFmtId="9" fontId="73" fillId="0" borderId="0" applyFont="0" applyFill="0" applyBorder="0" applyAlignment="0" applyProtection="0">
      <alignment vertical="center"/>
    </xf>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alignment vertical="center"/>
    </xf>
    <xf numFmtId="0" fontId="20" fillId="0" borderId="12">
      <alignment horizontal="center" vertical="center"/>
    </xf>
    <xf numFmtId="210" fontId="20" fillId="0" borderId="0">
      <alignment vertical="center"/>
    </xf>
    <xf numFmtId="41" fontId="73" fillId="0" borderId="0" applyFont="0" applyFill="0" applyBorder="0" applyAlignment="0" applyProtection="0">
      <alignment vertical="center"/>
    </xf>
    <xf numFmtId="41" fontId="19"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74" fillId="0" borderId="0">
      <alignment vertical="center"/>
    </xf>
    <xf numFmtId="4" fontId="48" fillId="0" borderId="0">
      <protection locked="0"/>
    </xf>
    <xf numFmtId="3" fontId="75" fillId="0" borderId="0" applyFont="0" applyFill="0" applyBorder="0" applyAlignment="0" applyProtection="0"/>
    <xf numFmtId="0" fontId="28" fillId="0" borderId="0"/>
    <xf numFmtId="211" fontId="20" fillId="2" borderId="0" applyFill="0" applyBorder="0" applyProtection="0">
      <alignment horizontal="right"/>
    </xf>
    <xf numFmtId="212" fontId="20" fillId="0" borderId="0">
      <protection locked="0"/>
    </xf>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51" fillId="0" borderId="0"/>
    <xf numFmtId="0" fontId="28" fillId="0" borderId="0"/>
    <xf numFmtId="0" fontId="20" fillId="0" borderId="0"/>
    <xf numFmtId="0" fontId="27" fillId="0" borderId="0">
      <alignment vertical="center"/>
    </xf>
    <xf numFmtId="0" fontId="20" fillId="0" borderId="0"/>
    <xf numFmtId="0" fontId="18"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8" fillId="0" borderId="40">
      <protection locked="0"/>
    </xf>
    <xf numFmtId="213" fontId="20" fillId="0" borderId="0">
      <protection locked="0"/>
    </xf>
    <xf numFmtId="192" fontId="20" fillId="0" borderId="0">
      <protection locked="0"/>
    </xf>
    <xf numFmtId="0" fontId="17" fillId="0" borderId="0">
      <alignment vertical="center"/>
    </xf>
    <xf numFmtId="41" fontId="17"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62" fillId="14" borderId="53" applyNumberFormat="0" applyAlignment="0" applyProtection="0">
      <alignment vertical="center"/>
    </xf>
    <xf numFmtId="0" fontId="44" fillId="27" borderId="53" applyNumberFormat="0" applyAlignment="0" applyProtection="0">
      <alignment vertical="center"/>
    </xf>
    <xf numFmtId="0" fontId="62" fillId="14" borderId="54" applyNumberFormat="0" applyAlignment="0" applyProtection="0">
      <alignment vertical="center"/>
    </xf>
    <xf numFmtId="0" fontId="44" fillId="27" borderId="54" applyNumberFormat="0" applyAlignment="0" applyProtection="0">
      <alignment vertical="center"/>
    </xf>
    <xf numFmtId="0" fontId="77" fillId="0" borderId="0">
      <alignment vertical="center"/>
    </xf>
    <xf numFmtId="0" fontId="16" fillId="0" borderId="0">
      <alignment vertical="center"/>
    </xf>
    <xf numFmtId="41" fontId="16" fillId="0" borderId="0" applyFont="0" applyFill="0" applyBorder="0" applyAlignment="0" applyProtection="0">
      <alignment vertical="center"/>
    </xf>
    <xf numFmtId="0" fontId="15" fillId="0" borderId="0">
      <alignment vertical="center"/>
    </xf>
    <xf numFmtId="41" fontId="15" fillId="0" borderId="0" applyFont="0" applyFill="0" applyBorder="0" applyAlignment="0" applyProtection="0">
      <alignment vertical="center"/>
    </xf>
    <xf numFmtId="0" fontId="27" fillId="0" borderId="0">
      <alignment vertical="center"/>
    </xf>
    <xf numFmtId="9" fontId="15" fillId="0" borderId="0" applyFont="0" applyFill="0" applyBorder="0" applyAlignment="0" applyProtection="0">
      <alignment vertical="center"/>
    </xf>
    <xf numFmtId="0" fontId="27" fillId="0" borderId="0">
      <alignment vertical="center"/>
    </xf>
    <xf numFmtId="41" fontId="20" fillId="0" borderId="0">
      <alignment vertical="center"/>
    </xf>
    <xf numFmtId="0" fontId="14" fillId="0" borderId="0">
      <alignment vertical="center"/>
    </xf>
    <xf numFmtId="0" fontId="27" fillId="0" borderId="0">
      <alignment vertical="center"/>
    </xf>
    <xf numFmtId="0" fontId="13" fillId="0" borderId="0">
      <alignment vertical="center"/>
    </xf>
    <xf numFmtId="41" fontId="13" fillId="0" borderId="0" applyFont="0" applyFill="0" applyBorder="0" applyAlignment="0" applyProtection="0">
      <alignment vertical="center"/>
    </xf>
    <xf numFmtId="9" fontId="13" fillId="0" borderId="0" applyFont="0" applyFill="0" applyBorder="0" applyAlignment="0" applyProtection="0">
      <alignment vertical="center"/>
    </xf>
    <xf numFmtId="0" fontId="27" fillId="0" borderId="0">
      <alignment vertical="center"/>
    </xf>
    <xf numFmtId="0" fontId="20" fillId="0" borderId="0">
      <alignment vertical="center"/>
    </xf>
    <xf numFmtId="41" fontId="13" fillId="0" borderId="0" applyFont="0" applyFill="0" applyBorder="0" applyAlignment="0" applyProtection="0">
      <alignment vertical="center"/>
    </xf>
    <xf numFmtId="0" fontId="12" fillId="0" borderId="0">
      <alignment vertical="center"/>
    </xf>
    <xf numFmtId="9" fontId="12" fillId="0" borderId="0" applyFont="0" applyFill="0" applyBorder="0" applyAlignment="0" applyProtection="0">
      <alignment vertical="center"/>
    </xf>
    <xf numFmtId="0" fontId="27" fillId="0" borderId="0">
      <alignment vertical="center"/>
    </xf>
    <xf numFmtId="0" fontId="78" fillId="0" borderId="0">
      <alignment vertical="center"/>
    </xf>
    <xf numFmtId="41" fontId="20" fillId="0" borderId="0" applyFont="0" applyFill="0" applyBorder="0" applyAlignment="0" applyProtection="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176" fontId="21" fillId="0" borderId="58">
      <alignment horizontal="right" vertical="center"/>
    </xf>
    <xf numFmtId="0" fontId="44" fillId="27" borderId="71" applyNumberFormat="0" applyAlignment="0" applyProtection="0">
      <alignment vertical="center"/>
    </xf>
    <xf numFmtId="0" fontId="55" fillId="0" borderId="73">
      <alignment horizontal="left" vertical="center"/>
    </xf>
    <xf numFmtId="0" fontId="62" fillId="14" borderId="71" applyNumberFormat="0" applyAlignment="0" applyProtection="0">
      <alignment vertical="center"/>
    </xf>
    <xf numFmtId="10" fontId="22" fillId="29" borderId="72" applyNumberFormat="0" applyBorder="0" applyAlignment="0" applyProtection="0"/>
    <xf numFmtId="0" fontId="44" fillId="27" borderId="58" applyNumberFormat="0" applyAlignment="0" applyProtection="0">
      <alignment vertical="center"/>
    </xf>
    <xf numFmtId="0" fontId="20" fillId="31" borderId="74" applyNumberFormat="0" applyFont="0" applyAlignment="0" applyProtection="0">
      <alignment vertical="center"/>
    </xf>
    <xf numFmtId="0" fontId="67" fillId="27" borderId="75" applyNumberFormat="0" applyAlignment="0" applyProtection="0">
      <alignment vertical="center"/>
    </xf>
    <xf numFmtId="0" fontId="55" fillId="0" borderId="56">
      <alignment horizontal="left" vertical="center"/>
    </xf>
    <xf numFmtId="0" fontId="59" fillId="0" borderId="76" applyNumberFormat="0" applyFill="0" applyAlignment="0" applyProtection="0">
      <alignment vertical="center"/>
    </xf>
    <xf numFmtId="208" fontId="51" fillId="0" borderId="72">
      <alignment horizontal="right" vertical="center" shrinkToFit="1"/>
    </xf>
    <xf numFmtId="0" fontId="62" fillId="14" borderId="58" applyNumberFormat="0" applyAlignment="0" applyProtection="0">
      <alignment vertical="center"/>
    </xf>
    <xf numFmtId="10" fontId="22" fillId="29" borderId="57" applyNumberFormat="0" applyBorder="0" applyAlignment="0" applyProtection="0"/>
    <xf numFmtId="1" fontId="51" fillId="0" borderId="72" applyFill="0" applyBorder="0">
      <alignment horizontal="center"/>
    </xf>
    <xf numFmtId="0" fontId="20" fillId="31" borderId="61" applyNumberFormat="0" applyFont="0" applyAlignment="0" applyProtection="0">
      <alignment vertical="center"/>
    </xf>
    <xf numFmtId="0" fontId="67" fillId="27" borderId="62" applyNumberFormat="0" applyAlignment="0" applyProtection="0">
      <alignment vertical="center"/>
    </xf>
    <xf numFmtId="0" fontId="59" fillId="0" borderId="63" applyNumberFormat="0" applyFill="0" applyAlignment="0" applyProtection="0">
      <alignment vertical="center"/>
    </xf>
    <xf numFmtId="208" fontId="51" fillId="0" borderId="57">
      <alignment horizontal="right" vertical="center" shrinkToFit="1"/>
    </xf>
    <xf numFmtId="1" fontId="51" fillId="0" borderId="57" applyFill="0" applyBorder="0">
      <alignment horizontal="center"/>
    </xf>
    <xf numFmtId="1" fontId="51" fillId="0" borderId="64" applyFill="0" applyBorder="0">
      <alignment horizontal="center"/>
    </xf>
    <xf numFmtId="208" fontId="51" fillId="0" borderId="64">
      <alignment horizontal="right" vertical="center" shrinkToFit="1"/>
    </xf>
    <xf numFmtId="0" fontId="59" fillId="0" borderId="69" applyNumberFormat="0" applyFill="0" applyAlignment="0" applyProtection="0">
      <alignment vertical="center"/>
    </xf>
    <xf numFmtId="0" fontId="67" fillId="27" borderId="68" applyNumberFormat="0" applyAlignment="0" applyProtection="0">
      <alignment vertical="center"/>
    </xf>
    <xf numFmtId="0" fontId="20" fillId="31" borderId="67" applyNumberFormat="0" applyFont="0" applyAlignment="0" applyProtection="0">
      <alignment vertical="center"/>
    </xf>
    <xf numFmtId="10" fontId="22" fillId="29" borderId="64" applyNumberFormat="0" applyBorder="0" applyAlignment="0" applyProtection="0"/>
    <xf numFmtId="0" fontId="62" fillId="14" borderId="66" applyNumberFormat="0" applyAlignment="0" applyProtection="0">
      <alignment vertical="center"/>
    </xf>
    <xf numFmtId="0" fontId="55" fillId="0" borderId="51">
      <alignment horizontal="left" vertical="center"/>
    </xf>
    <xf numFmtId="0" fontId="44" fillId="27" borderId="66" applyNumberFormat="0" applyAlignment="0" applyProtection="0">
      <alignment vertical="center"/>
    </xf>
    <xf numFmtId="176" fontId="21" fillId="0" borderId="66">
      <alignment horizontal="right" vertical="center"/>
    </xf>
    <xf numFmtId="0" fontId="11" fillId="0" borderId="0">
      <alignment vertical="center"/>
    </xf>
    <xf numFmtId="0" fontId="11" fillId="0" borderId="0">
      <alignment vertical="center"/>
    </xf>
    <xf numFmtId="41" fontId="11" fillId="0" borderId="0" applyFont="0" applyFill="0" applyBorder="0" applyAlignment="0" applyProtection="0">
      <alignment vertical="center"/>
    </xf>
    <xf numFmtId="0" fontId="62" fillId="14" borderId="65" applyNumberFormat="0" applyAlignment="0" applyProtection="0">
      <alignment vertical="center"/>
    </xf>
    <xf numFmtId="0" fontId="44" fillId="27" borderId="65" applyNumberFormat="0" applyAlignment="0" applyProtection="0">
      <alignment vertical="center"/>
    </xf>
    <xf numFmtId="0" fontId="62" fillId="14" borderId="65" applyNumberFormat="0" applyAlignment="0" applyProtection="0">
      <alignment vertical="center"/>
    </xf>
    <xf numFmtId="0" fontId="44" fillId="27" borderId="65" applyNumberFormat="0" applyAlignment="0" applyProtection="0">
      <alignment vertical="center"/>
    </xf>
    <xf numFmtId="0" fontId="11" fillId="0" borderId="0">
      <alignment vertical="center"/>
    </xf>
    <xf numFmtId="41" fontId="11" fillId="0" borderId="0" applyFont="0" applyFill="0" applyBorder="0" applyAlignment="0" applyProtection="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1" fillId="0" borderId="0">
      <alignment vertical="center"/>
    </xf>
    <xf numFmtId="0" fontId="11" fillId="0" borderId="0">
      <alignment vertical="center"/>
    </xf>
    <xf numFmtId="41"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1" fillId="0" borderId="0">
      <alignment vertical="center"/>
    </xf>
    <xf numFmtId="9" fontId="11" fillId="0" borderId="0" applyFont="0" applyFill="0" applyBorder="0" applyAlignment="0" applyProtection="0">
      <alignment vertical="center"/>
    </xf>
    <xf numFmtId="0" fontId="62" fillId="14" borderId="70" applyNumberFormat="0" applyAlignment="0" applyProtection="0">
      <alignment vertical="center"/>
    </xf>
    <xf numFmtId="0" fontId="44" fillId="27" borderId="70" applyNumberFormat="0" applyAlignment="0" applyProtection="0">
      <alignment vertical="center"/>
    </xf>
    <xf numFmtId="0" fontId="62" fillId="14" borderId="70" applyNumberFormat="0" applyAlignment="0" applyProtection="0">
      <alignment vertical="center"/>
    </xf>
    <xf numFmtId="0" fontId="44" fillId="27" borderId="70" applyNumberFormat="0" applyAlignment="0" applyProtection="0">
      <alignment vertical="center"/>
    </xf>
    <xf numFmtId="176" fontId="21" fillId="0" borderId="71">
      <alignment horizontal="right" vertical="center"/>
    </xf>
    <xf numFmtId="0" fontId="80" fillId="32"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0" fillId="0" borderId="0">
      <alignment vertical="center"/>
    </xf>
    <xf numFmtId="0" fontId="81" fillId="33" borderId="78" applyNumberFormat="0" applyAlignment="0" applyProtection="0">
      <alignment vertical="center"/>
    </xf>
    <xf numFmtId="0" fontId="27" fillId="34" borderId="79" applyNumberFormat="0" applyFont="0" applyAlignment="0" applyProtection="0">
      <alignment vertical="center"/>
    </xf>
    <xf numFmtId="0" fontId="10" fillId="0" borderId="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100" fillId="0" borderId="0">
      <protection locked="0"/>
    </xf>
    <xf numFmtId="0" fontId="100" fillId="0" borderId="0">
      <protection locked="0"/>
    </xf>
    <xf numFmtId="0" fontId="100" fillId="0" borderId="0">
      <protection locked="0"/>
    </xf>
    <xf numFmtId="0" fontId="83" fillId="9" borderId="0" applyNumberFormat="0" applyBorder="0" applyAlignment="0" applyProtection="0">
      <alignment vertical="center"/>
    </xf>
    <xf numFmtId="0" fontId="83" fillId="10" borderId="0" applyNumberFormat="0" applyBorder="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3" borderId="0" applyNumberFormat="0" applyBorder="0" applyAlignment="0" applyProtection="0">
      <alignment vertical="center"/>
    </xf>
    <xf numFmtId="0" fontId="83" fillId="14" borderId="0" applyNumberFormat="0" applyBorder="0" applyAlignment="0" applyProtection="0">
      <alignment vertical="center"/>
    </xf>
    <xf numFmtId="0" fontId="100" fillId="0" borderId="0">
      <protection locked="0"/>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7"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8" borderId="0" applyNumberFormat="0" applyBorder="0" applyAlignment="0" applyProtection="0">
      <alignment vertical="center"/>
    </xf>
    <xf numFmtId="0" fontId="84" fillId="19" borderId="0" applyNumberFormat="0" applyBorder="0" applyAlignment="0" applyProtection="0">
      <alignment vertical="center"/>
    </xf>
    <xf numFmtId="0" fontId="84" fillId="16" borderId="0" applyNumberFormat="0" applyBorder="0" applyAlignment="0" applyProtection="0">
      <alignment vertical="center"/>
    </xf>
    <xf numFmtId="0" fontId="84" fillId="17" borderId="0" applyNumberFormat="0" applyBorder="0" applyAlignment="0" applyProtection="0">
      <alignment vertical="center"/>
    </xf>
    <xf numFmtId="0" fontId="84" fillId="20" borderId="0" applyNumberFormat="0" applyBorder="0" applyAlignment="0" applyProtection="0">
      <alignment vertical="center"/>
    </xf>
    <xf numFmtId="0" fontId="84" fillId="21" borderId="0" applyNumberFormat="0" applyBorder="0" applyAlignment="0" applyProtection="0">
      <alignment vertical="center"/>
    </xf>
    <xf numFmtId="0" fontId="84" fillId="22" borderId="0" applyNumberFormat="0" applyBorder="0" applyAlignment="0" applyProtection="0">
      <alignment vertical="center"/>
    </xf>
    <xf numFmtId="0" fontId="101" fillId="0" borderId="0"/>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5" borderId="0" applyNumberFormat="0" applyBorder="0" applyAlignment="0" applyProtection="0">
      <alignment vertical="center"/>
    </xf>
    <xf numFmtId="0" fontId="84" fillId="20" borderId="0" applyNumberFormat="0" applyBorder="0" applyAlignment="0" applyProtection="0">
      <alignment vertical="center"/>
    </xf>
    <xf numFmtId="0" fontId="84" fillId="21" borderId="0" applyNumberFormat="0" applyBorder="0" applyAlignment="0" applyProtection="0">
      <alignment vertical="center"/>
    </xf>
    <xf numFmtId="0" fontId="84" fillId="26" borderId="0" applyNumberFormat="0" applyBorder="0" applyAlignment="0" applyProtection="0">
      <alignment vertical="center"/>
    </xf>
    <xf numFmtId="0" fontId="102" fillId="0" borderId="0" applyFont="0" applyFill="0" applyBorder="0" applyAlignment="0" applyProtection="0"/>
    <xf numFmtId="0" fontId="100" fillId="0" borderId="0">
      <protection locked="0"/>
    </xf>
    <xf numFmtId="0" fontId="100" fillId="0" borderId="0">
      <protection locked="0"/>
    </xf>
    <xf numFmtId="0" fontId="100" fillId="0" borderId="0">
      <protection locked="0"/>
    </xf>
    <xf numFmtId="0" fontId="85" fillId="10" borderId="0" applyNumberFormat="0" applyBorder="0" applyAlignment="0" applyProtection="0">
      <alignment vertical="center"/>
    </xf>
    <xf numFmtId="0" fontId="20" fillId="0" borderId="0" applyFill="0" applyBorder="0" applyAlignment="0"/>
    <xf numFmtId="0" fontId="86" fillId="27" borderId="103" applyNumberFormat="0" applyAlignment="0" applyProtection="0">
      <alignment vertical="center"/>
    </xf>
    <xf numFmtId="0" fontId="87" fillId="28" borderId="30" applyNumberFormat="0" applyAlignment="0" applyProtection="0">
      <alignment vertical="center"/>
    </xf>
    <xf numFmtId="0" fontId="100" fillId="0" borderId="40">
      <protection locked="0"/>
    </xf>
    <xf numFmtId="0" fontId="51" fillId="0" borderId="0">
      <protection locked="0"/>
    </xf>
    <xf numFmtId="0" fontId="20" fillId="0" borderId="0"/>
    <xf numFmtId="37" fontId="45" fillId="0" borderId="0" applyFill="0" applyBorder="0" applyAlignment="0" applyProtection="0"/>
    <xf numFmtId="0" fontId="51" fillId="0" borderId="0">
      <protection locked="0"/>
    </xf>
    <xf numFmtId="23" fontId="45" fillId="0" borderId="0" applyFill="0" applyBorder="0" applyAlignment="0" applyProtection="0"/>
    <xf numFmtId="0" fontId="20" fillId="0" borderId="0"/>
    <xf numFmtId="0" fontId="45" fillId="0" borderId="0" applyFill="0" applyBorder="0" applyAlignment="0" applyProtection="0"/>
    <xf numFmtId="0" fontId="20" fillId="0" borderId="0"/>
    <xf numFmtId="0" fontId="100" fillId="0" borderId="0">
      <protection locked="0"/>
    </xf>
    <xf numFmtId="0" fontId="100" fillId="0" borderId="0">
      <protection locked="0"/>
    </xf>
    <xf numFmtId="0" fontId="88" fillId="0" borderId="0" applyNumberFormat="0" applyFill="0" applyBorder="0" applyAlignment="0" applyProtection="0">
      <alignment vertical="center"/>
    </xf>
    <xf numFmtId="2" fontId="45" fillId="0" borderId="0" applyFill="0" applyBorder="0" applyAlignment="0" applyProtection="0"/>
    <xf numFmtId="0" fontId="89" fillId="11" borderId="0" applyNumberFormat="0" applyBorder="0" applyAlignment="0" applyProtection="0">
      <alignment vertical="center"/>
    </xf>
    <xf numFmtId="0" fontId="55" fillId="0" borderId="80">
      <alignment horizontal="left" vertical="center"/>
    </xf>
    <xf numFmtId="0" fontId="90" fillId="0" borderId="32" applyNumberFormat="0" applyFill="0" applyAlignment="0" applyProtection="0">
      <alignment vertical="center"/>
    </xf>
    <xf numFmtId="0" fontId="91" fillId="0" borderId="33" applyNumberFormat="0" applyFill="0" applyAlignment="0" applyProtection="0">
      <alignment vertical="center"/>
    </xf>
    <xf numFmtId="0" fontId="92" fillId="0" borderId="34" applyNumberFormat="0" applyFill="0" applyAlignment="0" applyProtection="0">
      <alignment vertical="center"/>
    </xf>
    <xf numFmtId="0" fontId="92" fillId="0" borderId="0" applyNumberFormat="0" applyFill="0" applyBorder="0" applyAlignment="0" applyProtection="0">
      <alignment vertical="center"/>
    </xf>
    <xf numFmtId="0" fontId="93" fillId="14" borderId="103" applyNumberFormat="0" applyAlignment="0" applyProtection="0">
      <alignment vertical="center"/>
    </xf>
    <xf numFmtId="0" fontId="94" fillId="0" borderId="36" applyNumberFormat="0" applyFill="0" applyAlignment="0" applyProtection="0">
      <alignment vertical="center"/>
    </xf>
    <xf numFmtId="0" fontId="95" fillId="30" borderId="0" applyNumberFormat="0" applyBorder="0" applyAlignment="0" applyProtection="0">
      <alignment vertical="center"/>
    </xf>
    <xf numFmtId="0" fontId="45" fillId="0" borderId="0" applyNumberFormat="0" applyFill="0" applyBorder="0" applyAlignment="0" applyProtection="0"/>
    <xf numFmtId="0" fontId="28" fillId="0" borderId="0"/>
    <xf numFmtId="0" fontId="83" fillId="31" borderId="104" applyNumberFormat="0" applyFont="0" applyAlignment="0" applyProtection="0">
      <alignment vertical="center"/>
    </xf>
    <xf numFmtId="0" fontId="96" fillId="27" borderId="105" applyNumberFormat="0" applyAlignment="0" applyProtection="0">
      <alignment vertical="center"/>
    </xf>
    <xf numFmtId="0" fontId="51" fillId="0" borderId="0">
      <protection locked="0"/>
    </xf>
    <xf numFmtId="0" fontId="103" fillId="0" borderId="0"/>
    <xf numFmtId="0" fontId="97" fillId="0" borderId="0" applyNumberFormat="0" applyFill="0" applyBorder="0" applyAlignment="0" applyProtection="0">
      <alignment vertical="center"/>
    </xf>
    <xf numFmtId="0" fontId="98" fillId="0" borderId="106" applyNumberFormat="0" applyFill="0" applyAlignment="0" applyProtection="0">
      <alignment vertical="center"/>
    </xf>
    <xf numFmtId="0" fontId="99" fillId="0" borderId="0" applyNumberFormat="0" applyFill="0" applyBorder="0" applyAlignment="0" applyProtection="0">
      <alignment vertical="center"/>
    </xf>
    <xf numFmtId="0" fontId="20" fillId="0" borderId="0">
      <protection locked="0"/>
    </xf>
    <xf numFmtId="0" fontId="48" fillId="0" borderId="0">
      <protection locked="0"/>
    </xf>
    <xf numFmtId="0" fontId="48" fillId="0" borderId="0">
      <protection locked="0"/>
    </xf>
    <xf numFmtId="38" fontId="51" fillId="0" borderId="0"/>
    <xf numFmtId="3" fontId="104" fillId="0" borderId="26">
      <alignment horizontal="center"/>
    </xf>
    <xf numFmtId="0" fontId="105" fillId="0" borderId="0">
      <protection locked="0"/>
    </xf>
    <xf numFmtId="9" fontId="20" fillId="0" borderId="0" applyFont="0" applyFill="0" applyBorder="0" applyAlignment="0" applyProtection="0">
      <alignment vertical="center"/>
    </xf>
    <xf numFmtId="41" fontId="50" fillId="0" borderId="0" applyFont="0" applyFill="0" applyBorder="0" applyAlignment="0" applyProtection="0">
      <alignment vertical="center"/>
    </xf>
    <xf numFmtId="0" fontId="45" fillId="0" borderId="0"/>
    <xf numFmtId="0" fontId="106" fillId="0" borderId="3"/>
    <xf numFmtId="0" fontId="105" fillId="0" borderId="0">
      <protection locked="0"/>
    </xf>
    <xf numFmtId="0" fontId="105" fillId="0" borderId="0">
      <protection locked="0"/>
    </xf>
    <xf numFmtId="0" fontId="105" fillId="0" borderId="0">
      <protection locked="0"/>
    </xf>
    <xf numFmtId="0" fontId="105" fillId="0" borderId="0">
      <protection locked="0"/>
    </xf>
    <xf numFmtId="0" fontId="105" fillId="0" borderId="0">
      <protection locked="0"/>
    </xf>
    <xf numFmtId="0" fontId="20" fillId="2" borderId="0" applyFill="0" applyBorder="0" applyProtection="0">
      <alignment horizontal="right"/>
    </xf>
    <xf numFmtId="0" fontId="105" fillId="0" borderId="0">
      <protection locked="0"/>
    </xf>
    <xf numFmtId="0" fontId="105" fillId="0" borderId="0">
      <protection locked="0"/>
    </xf>
    <xf numFmtId="0" fontId="105" fillId="0" borderId="0">
      <protection locked="0"/>
    </xf>
    <xf numFmtId="0" fontId="105" fillId="0" borderId="0">
      <protection locked="0"/>
    </xf>
    <xf numFmtId="0" fontId="105" fillId="0" borderId="0">
      <protection locked="0"/>
    </xf>
    <xf numFmtId="0" fontId="20" fillId="0" borderId="0">
      <protection locked="0"/>
    </xf>
    <xf numFmtId="0" fontId="105" fillId="0" borderId="0">
      <protection locked="0"/>
    </xf>
    <xf numFmtId="0" fontId="105" fillId="0" borderId="0">
      <protection locked="0"/>
    </xf>
    <xf numFmtId="0" fontId="105" fillId="0" borderId="0">
      <protection locked="0"/>
    </xf>
    <xf numFmtId="0" fontId="105" fillId="0" borderId="0">
      <protection locked="0"/>
    </xf>
    <xf numFmtId="0" fontId="20" fillId="0" borderId="0">
      <protection locked="0"/>
    </xf>
    <xf numFmtId="0" fontId="20" fillId="0" borderId="0">
      <protection locked="0"/>
    </xf>
    <xf numFmtId="0" fontId="20" fillId="0" borderId="0"/>
    <xf numFmtId="0" fontId="20" fillId="0" borderId="0"/>
    <xf numFmtId="0" fontId="20" fillId="0" borderId="0"/>
    <xf numFmtId="0" fontId="9" fillId="0" borderId="0">
      <alignment vertical="center"/>
    </xf>
    <xf numFmtId="41" fontId="9" fillId="0" borderId="0" applyFont="0" applyFill="0" applyBorder="0" applyAlignment="0" applyProtection="0">
      <alignment vertical="center"/>
    </xf>
    <xf numFmtId="3" fontId="107" fillId="0" borderId="77"/>
    <xf numFmtId="194" fontId="20" fillId="0" borderId="0" applyFont="0" applyFill="0" applyBorder="0" applyAlignment="0" applyProtection="0">
      <alignment vertical="center"/>
    </xf>
    <xf numFmtId="0" fontId="28" fillId="0" borderId="0"/>
    <xf numFmtId="0" fontId="45" fillId="0" borderId="0"/>
    <xf numFmtId="0" fontId="50" fillId="0" borderId="0" applyFont="0" applyFill="0" applyBorder="0" applyAlignment="0" applyProtection="0"/>
    <xf numFmtId="0" fontId="45" fillId="0" borderId="0"/>
    <xf numFmtId="0" fontId="45" fillId="0" borderId="0"/>
    <xf numFmtId="0" fontId="45" fillId="0" borderId="0"/>
    <xf numFmtId="0" fontId="45"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1" fillId="0" borderId="0"/>
    <xf numFmtId="0" fontId="45" fillId="0" borderId="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225" fontId="20" fillId="0" borderId="0" applyFont="0" applyFill="0" applyBorder="0" applyProtection="0">
      <alignment vertical="center"/>
    </xf>
    <xf numFmtId="226" fontId="20" fillId="0" borderId="0">
      <alignment vertical="center"/>
    </xf>
    <xf numFmtId="196" fontId="20" fillId="0" borderId="0" applyFont="0" applyFill="0" applyBorder="0" applyAlignment="0" applyProtection="0">
      <alignment vertical="center"/>
    </xf>
    <xf numFmtId="206" fontId="108" fillId="0" borderId="77">
      <alignment vertical="center"/>
    </xf>
    <xf numFmtId="3" fontId="107" fillId="0" borderId="77"/>
    <xf numFmtId="3" fontId="107" fillId="0" borderId="77"/>
    <xf numFmtId="227" fontId="28" fillId="0" borderId="0">
      <alignment vertical="center"/>
    </xf>
    <xf numFmtId="0" fontId="51" fillId="0" borderId="0">
      <alignment horizontal="center" vertical="center"/>
    </xf>
    <xf numFmtId="0" fontId="51" fillId="0" borderId="0">
      <alignment horizontal="center" vertical="center"/>
    </xf>
    <xf numFmtId="0" fontId="51" fillId="0" borderId="0">
      <alignment horizontal="center"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41" fontId="28" fillId="0" borderId="0">
      <alignment horizontal="center" vertical="center"/>
    </xf>
    <xf numFmtId="228" fontId="110" fillId="0" borderId="0">
      <alignment horizontal="center" vertical="center"/>
    </xf>
    <xf numFmtId="0" fontId="111" fillId="0" borderId="0"/>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2" fontId="109" fillId="0" borderId="20">
      <alignment horizontal="righ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12" fillId="19" borderId="0" applyNumberFormat="0" applyBorder="0" applyAlignment="0" applyProtection="0">
      <alignment vertical="center"/>
    </xf>
    <xf numFmtId="0" fontId="112" fillId="16" borderId="0" applyNumberFormat="0" applyBorder="0" applyAlignment="0" applyProtection="0">
      <alignment vertical="center"/>
    </xf>
    <xf numFmtId="0" fontId="112" fillId="17" borderId="0" applyNumberFormat="0" applyBorder="0" applyAlignment="0" applyProtection="0">
      <alignment vertical="center"/>
    </xf>
    <xf numFmtId="0" fontId="112" fillId="20" borderId="0" applyNumberFormat="0" applyBorder="0" applyAlignment="0" applyProtection="0">
      <alignment vertical="center"/>
    </xf>
    <xf numFmtId="0" fontId="112" fillId="21" borderId="0" applyNumberFormat="0" applyBorder="0" applyAlignment="0" applyProtection="0">
      <alignment vertical="center"/>
    </xf>
    <xf numFmtId="0" fontId="112" fillId="22" borderId="0" applyNumberFormat="0" applyBorder="0" applyAlignment="0" applyProtection="0">
      <alignment vertical="center"/>
    </xf>
    <xf numFmtId="0" fontId="20" fillId="0" borderId="0">
      <protection locked="0"/>
    </xf>
    <xf numFmtId="0" fontId="19" fillId="0" borderId="0">
      <alignment vertical="center"/>
    </xf>
    <xf numFmtId="0" fontId="119" fillId="0" borderId="0"/>
    <xf numFmtId="24" fontId="104" fillId="0" borderId="0" applyFont="0" applyFill="0" applyBorder="0" applyAlignment="0" applyProtection="0"/>
    <xf numFmtId="0" fontId="104" fillId="0" borderId="0" applyNumberFormat="0" applyFont="0" applyFill="0" applyBorder="0" applyAlignment="0" applyProtection="0"/>
    <xf numFmtId="0" fontId="104" fillId="0" borderId="0" applyNumberFormat="0" applyFont="0" applyFill="0" applyBorder="0" applyAlignment="0" applyProtection="0"/>
    <xf numFmtId="0" fontId="104" fillId="0" borderId="0" applyNumberFormat="0" applyFont="0" applyFill="0" applyBorder="0" applyAlignment="0" applyProtection="0"/>
    <xf numFmtId="0" fontId="104" fillId="0" borderId="0" applyNumberFormat="0" applyFont="0" applyFill="0" applyBorder="0" applyAlignment="0" applyProtection="0"/>
    <xf numFmtId="0" fontId="50"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xf numFmtId="0" fontId="50" fillId="0" borderId="0"/>
    <xf numFmtId="3" fontId="109" fillId="0" borderId="20">
      <alignment horizontal="right" vertical="center"/>
    </xf>
    <xf numFmtId="0" fontId="51" fillId="0" borderId="0">
      <alignment horizontal="center" vertical="center"/>
    </xf>
    <xf numFmtId="3" fontId="109" fillId="0" borderId="20">
      <alignment horizontal="right" vertical="center"/>
    </xf>
    <xf numFmtId="0" fontId="51" fillId="0" borderId="0">
      <alignment horizontal="center" vertical="center"/>
    </xf>
    <xf numFmtId="0" fontId="51" fillId="0" borderId="0">
      <alignment horizontal="center" vertical="center"/>
    </xf>
    <xf numFmtId="0" fontId="70" fillId="0" borderId="0"/>
    <xf numFmtId="0" fontId="51" fillId="0" borderId="0">
      <alignment horizontal="center" vertical="center"/>
    </xf>
    <xf numFmtId="0" fontId="51" fillId="0" borderId="0">
      <alignment horizontal="center" vertical="center"/>
    </xf>
    <xf numFmtId="41" fontId="28" fillId="0" borderId="0">
      <alignment horizontal="center" vertical="center"/>
    </xf>
    <xf numFmtId="41" fontId="28" fillId="0" borderId="0">
      <alignment horizontal="center" vertical="center"/>
    </xf>
    <xf numFmtId="41" fontId="28" fillId="0" borderId="0">
      <alignment horizontal="center" vertical="center"/>
    </xf>
    <xf numFmtId="41" fontId="28" fillId="0" borderId="0">
      <alignment horizontal="center" vertical="center"/>
    </xf>
    <xf numFmtId="41" fontId="28" fillId="0" borderId="0">
      <alignment horizontal="center" vertical="center"/>
    </xf>
    <xf numFmtId="0" fontId="70" fillId="0" borderId="0"/>
    <xf numFmtId="0" fontId="51" fillId="0" borderId="0">
      <alignment horizontal="center" vertical="center"/>
    </xf>
    <xf numFmtId="0" fontId="51" fillId="0" borderId="0">
      <alignment horizontal="center" vertical="center"/>
    </xf>
    <xf numFmtId="0" fontId="70" fillId="0" borderId="0"/>
    <xf numFmtId="0" fontId="45" fillId="0" borderId="0" applyNumberFormat="0" applyFill="0" applyBorder="0" applyAlignment="0" applyProtection="0"/>
    <xf numFmtId="244" fontId="20" fillId="0" borderId="0">
      <protection locked="0"/>
    </xf>
    <xf numFmtId="9" fontId="28" fillId="0" borderId="0">
      <protection locked="0"/>
    </xf>
    <xf numFmtId="244" fontId="20" fillId="0" borderId="0">
      <protection locked="0"/>
    </xf>
    <xf numFmtId="0" fontId="101" fillId="0" borderId="0"/>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37" fontId="35" fillId="0" borderId="0" applyFont="0" applyFill="0" applyBorder="0" applyAlignment="0" applyProtection="0"/>
    <xf numFmtId="37" fontId="35" fillId="0" borderId="0" applyFont="0" applyFill="0" applyBorder="0" applyAlignment="0" applyProtection="0"/>
    <xf numFmtId="244" fontId="20" fillId="0" borderId="0">
      <protection locked="0"/>
    </xf>
    <xf numFmtId="0" fontId="104" fillId="0" borderId="0"/>
    <xf numFmtId="244" fontId="20" fillId="0" borderId="0">
      <protection locked="0"/>
    </xf>
    <xf numFmtId="37" fontId="35" fillId="0" borderId="0" applyFont="0" applyFill="0" applyBorder="0" applyAlignment="0" applyProtection="0"/>
    <xf numFmtId="37" fontId="35" fillId="0" borderId="0" applyFont="0" applyFill="0" applyBorder="0" applyAlignment="0" applyProtection="0"/>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44" fontId="20" fillId="0" borderId="0">
      <protection locked="0"/>
    </xf>
    <xf numFmtId="41" fontId="101" fillId="0" borderId="0" applyFont="0" applyFill="0" applyBorder="0" applyAlignment="0" applyProtection="0"/>
    <xf numFmtId="40" fontId="104" fillId="0" borderId="0" applyFont="0" applyFill="0" applyBorder="0" applyAlignment="0" applyProtection="0"/>
    <xf numFmtId="0" fontId="122" fillId="0" borderId="0" applyNumberFormat="0" applyAlignment="0">
      <alignment horizontal="left"/>
    </xf>
    <xf numFmtId="0" fontId="101" fillId="0" borderId="0" applyFont="0" applyFill="0" applyBorder="0" applyAlignment="0" applyProtection="0"/>
    <xf numFmtId="41" fontId="45" fillId="0" borderId="0" applyFont="0" applyFill="0" applyBorder="0" applyAlignment="0" applyProtection="0"/>
    <xf numFmtId="0" fontId="123" fillId="0" borderId="0" applyNumberFormat="0" applyAlignment="0">
      <alignment horizontal="left"/>
    </xf>
    <xf numFmtId="0" fontId="48" fillId="0" borderId="0">
      <protection locked="0"/>
    </xf>
    <xf numFmtId="0" fontId="48" fillId="0" borderId="0">
      <protection locked="0"/>
    </xf>
    <xf numFmtId="0" fontId="124" fillId="0" borderId="0">
      <protection locked="0"/>
    </xf>
    <xf numFmtId="0" fontId="48" fillId="0" borderId="0">
      <protection locked="0"/>
    </xf>
    <xf numFmtId="0" fontId="48" fillId="0" borderId="0">
      <protection locked="0"/>
    </xf>
    <xf numFmtId="0" fontId="48" fillId="0" borderId="0">
      <protection locked="0"/>
    </xf>
    <xf numFmtId="0" fontId="124" fillId="0" borderId="0">
      <protection locked="0"/>
    </xf>
    <xf numFmtId="3" fontId="119" fillId="0" borderId="19">
      <alignment horizontal="right" vertical="center"/>
    </xf>
    <xf numFmtId="4" fontId="119" fillId="0" borderId="19">
      <alignment horizontal="right" vertical="center"/>
    </xf>
    <xf numFmtId="0" fontId="125" fillId="0" borderId="0">
      <alignment horizontal="left"/>
    </xf>
    <xf numFmtId="0" fontId="126" fillId="0" borderId="0" applyNumberFormat="0" applyFill="0" applyBorder="0" applyAlignment="0" applyProtection="0"/>
    <xf numFmtId="0" fontId="103" fillId="0" borderId="119"/>
    <xf numFmtId="180" fontId="51" fillId="0" borderId="0"/>
    <xf numFmtId="0" fontId="45" fillId="0" borderId="0"/>
    <xf numFmtId="30" fontId="127" fillId="0" borderId="0" applyNumberFormat="0" applyFill="0" applyBorder="0" applyAlignment="0" applyProtection="0">
      <alignment horizontal="left"/>
    </xf>
    <xf numFmtId="40" fontId="128" fillId="0" borderId="0" applyBorder="0">
      <alignment horizontal="right"/>
    </xf>
    <xf numFmtId="0" fontId="45" fillId="0" borderId="0" applyFont="0" applyFill="0" applyBorder="0" applyAlignment="0" applyProtection="0"/>
    <xf numFmtId="0" fontId="45" fillId="0" borderId="0" applyFont="0" applyFill="0" applyBorder="0" applyAlignment="0" applyProtection="0"/>
    <xf numFmtId="0" fontId="129" fillId="0" borderId="0">
      <protection locked="0"/>
    </xf>
    <xf numFmtId="0" fontId="20" fillId="0" borderId="0">
      <protection locked="0"/>
    </xf>
    <xf numFmtId="0" fontId="82" fillId="0" borderId="0" applyNumberFormat="0" applyFill="0" applyBorder="0" applyAlignment="0" applyProtection="0">
      <alignment vertical="top"/>
      <protection locked="0"/>
    </xf>
    <xf numFmtId="0" fontId="19" fillId="34" borderId="79" applyNumberFormat="0" applyFont="0" applyAlignment="0" applyProtection="0">
      <alignment vertical="center"/>
    </xf>
    <xf numFmtId="41" fontId="76" fillId="0" borderId="117" applyNumberFormat="0" applyFont="0" applyFill="0" applyBorder="0" applyProtection="0">
      <alignment horizontal="distributed" vertical="center"/>
    </xf>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9" fontId="8"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246" fontId="20" fillId="0" borderId="0" applyFont="0" applyFill="0" applyBorder="0" applyAlignment="0" applyProtection="0"/>
    <xf numFmtId="247" fontId="20" fillId="0" borderId="0" applyFont="0" applyFill="0" applyBorder="0" applyAlignment="0" applyProtection="0"/>
    <xf numFmtId="0" fontId="130" fillId="0" borderId="0"/>
    <xf numFmtId="0" fontId="28" fillId="0" borderId="0"/>
    <xf numFmtId="248" fontId="20" fillId="0" borderId="10" applyBorder="0"/>
    <xf numFmtId="246" fontId="20" fillId="0" borderId="0" applyNumberFormat="0" applyFont="0" applyFill="0" applyBorder="0" applyProtection="0">
      <alignment horizontal="centerContinuous" vertical="center"/>
    </xf>
    <xf numFmtId="38" fontId="108" fillId="0" borderId="0">
      <alignment vertical="center" wrapText="1"/>
    </xf>
    <xf numFmtId="3" fontId="131" fillId="0" borderId="0">
      <alignment vertical="center" wrapText="1"/>
    </xf>
    <xf numFmtId="3" fontId="132" fillId="0" borderId="0">
      <alignment vertical="center" wrapText="1"/>
    </xf>
    <xf numFmtId="1" fontId="28" fillId="0" borderId="0"/>
    <xf numFmtId="41" fontId="8" fillId="0" borderId="0" applyFont="0" applyFill="0" applyBorder="0" applyAlignment="0" applyProtection="0">
      <alignment vertical="center"/>
    </xf>
    <xf numFmtId="41" fontId="19" fillId="0" borderId="0" applyFont="0" applyFill="0" applyBorder="0" applyAlignment="0" applyProtection="0">
      <alignment vertical="center"/>
    </xf>
    <xf numFmtId="227" fontId="133" fillId="0" borderId="0" applyFont="0" applyFill="0" applyBorder="0" applyAlignment="0" applyProtection="0"/>
    <xf numFmtId="249" fontId="20" fillId="0" borderId="0" applyFont="0" applyFill="0" applyBorder="0" applyAlignment="0" applyProtection="0"/>
    <xf numFmtId="227" fontId="133" fillId="0" borderId="0" applyFont="0" applyFill="0" applyBorder="0" applyAlignment="0" applyProtection="0"/>
    <xf numFmtId="227" fontId="133" fillId="0" borderId="0" applyFont="0" applyFill="0" applyBorder="0" applyAlignment="0" applyProtection="0"/>
    <xf numFmtId="0" fontId="134" fillId="0" borderId="0"/>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41" fontId="20" fillId="0" borderId="0" applyFont="0" applyFill="0" applyBorder="0" applyAlignment="0" applyProtection="0"/>
    <xf numFmtId="38" fontId="76" fillId="0" borderId="0" applyFont="0" applyFill="0" applyBorder="0" applyAlignment="0" applyProtection="0">
      <alignment vertical="center"/>
    </xf>
    <xf numFmtId="250" fontId="20" fillId="0" borderId="0" applyFont="0" applyFill="0" applyBorder="0" applyAlignment="0" applyProtection="0">
      <alignment vertical="center"/>
    </xf>
    <xf numFmtId="40" fontId="20" fillId="0" borderId="0" applyFont="0" applyFill="0" applyBorder="0" applyAlignment="0" applyProtection="0">
      <alignment vertical="center"/>
    </xf>
    <xf numFmtId="182" fontId="108" fillId="0" borderId="43">
      <alignment horizontal="right"/>
    </xf>
    <xf numFmtId="182" fontId="108" fillId="0" borderId="43">
      <alignment horizontal="right"/>
    </xf>
    <xf numFmtId="182" fontId="108" fillId="0" borderId="43">
      <alignment horizontal="right"/>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42" fontId="20" fillId="0" borderId="0" applyFont="0" applyFill="0" applyBorder="0" applyAlignment="0" applyProtection="0">
      <alignment vertical="center"/>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5"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244" fontId="20" fillId="0" borderId="0">
      <protection locked="0"/>
    </xf>
    <xf numFmtId="0" fontId="27" fillId="0" borderId="0">
      <alignment vertical="center"/>
    </xf>
    <xf numFmtId="0" fontId="19" fillId="0" borderId="0">
      <alignment vertical="center"/>
    </xf>
    <xf numFmtId="0" fontId="19" fillId="0" borderId="0">
      <alignment vertical="center"/>
    </xf>
    <xf numFmtId="0" fontId="27" fillId="0" borderId="0">
      <alignment vertical="center"/>
    </xf>
    <xf numFmtId="0" fontId="19" fillId="0" borderId="0">
      <alignment vertical="center"/>
    </xf>
    <xf numFmtId="0" fontId="19" fillId="0" borderId="0">
      <alignment vertical="center"/>
    </xf>
    <xf numFmtId="0" fontId="8" fillId="0" borderId="0">
      <alignment vertical="center"/>
    </xf>
    <xf numFmtId="0" fontId="8" fillId="0" borderId="0">
      <alignment vertical="center"/>
    </xf>
    <xf numFmtId="0" fontId="28" fillId="0" borderId="15">
      <alignment vertical="center" wrapText="1"/>
    </xf>
    <xf numFmtId="0" fontId="135" fillId="0" borderId="0" applyNumberFormat="0" applyFill="0" applyBorder="0" applyAlignment="0" applyProtection="0">
      <alignment vertical="top"/>
      <protection locked="0"/>
    </xf>
    <xf numFmtId="206" fontId="28" fillId="0" borderId="83"/>
    <xf numFmtId="206" fontId="28" fillId="0" borderId="83"/>
    <xf numFmtId="0" fontId="7" fillId="0" borderId="0">
      <alignment vertical="center"/>
    </xf>
    <xf numFmtId="41" fontId="7"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176" fontId="21" fillId="0" borderId="103">
      <alignment horizontal="right" vertical="center"/>
    </xf>
    <xf numFmtId="0" fontId="44" fillId="27" borderId="103" applyNumberFormat="0" applyAlignment="0" applyProtection="0">
      <alignment vertical="center"/>
    </xf>
    <xf numFmtId="0" fontId="55" fillId="0" borderId="110">
      <alignment horizontal="left" vertical="center"/>
    </xf>
    <xf numFmtId="0" fontId="62" fillId="14" borderId="103" applyNumberFormat="0" applyAlignment="0" applyProtection="0">
      <alignment vertical="center"/>
    </xf>
    <xf numFmtId="10" fontId="22" fillId="29" borderId="117" applyNumberFormat="0" applyBorder="0" applyAlignment="0" applyProtection="0"/>
    <xf numFmtId="0" fontId="20" fillId="31" borderId="104" applyNumberFormat="0" applyFont="0" applyAlignment="0" applyProtection="0">
      <alignment vertical="center"/>
    </xf>
    <xf numFmtId="0" fontId="67" fillId="27" borderId="105" applyNumberFormat="0" applyAlignment="0" applyProtection="0">
      <alignment vertical="center"/>
    </xf>
    <xf numFmtId="0" fontId="59" fillId="0" borderId="106" applyNumberFormat="0" applyFill="0" applyAlignment="0" applyProtection="0">
      <alignment vertical="center"/>
    </xf>
    <xf numFmtId="208" fontId="51" fillId="0" borderId="117">
      <alignment horizontal="right" vertical="center" shrinkToFit="1"/>
    </xf>
    <xf numFmtId="1" fontId="51" fillId="0" borderId="117" applyFill="0" applyBorder="0">
      <alignment horizont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2" fillId="14" borderId="103" applyNumberFormat="0" applyAlignment="0" applyProtection="0">
      <alignment vertical="center"/>
    </xf>
    <xf numFmtId="0" fontId="44" fillId="27" borderId="103" applyNumberFormat="0" applyAlignment="0" applyProtection="0">
      <alignment vertical="center"/>
    </xf>
    <xf numFmtId="0" fontId="62" fillId="14" borderId="103" applyNumberFormat="0" applyAlignment="0" applyProtection="0">
      <alignment vertical="center"/>
    </xf>
    <xf numFmtId="0" fontId="44" fillId="27" borderId="103" applyNumberFormat="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9" fontId="6" fillId="0" borderId="0" applyFont="0" applyFill="0" applyBorder="0" applyAlignment="0" applyProtection="0">
      <alignment vertical="center"/>
    </xf>
    <xf numFmtId="176" fontId="21" fillId="0" borderId="103">
      <alignment horizontal="right" vertical="center"/>
    </xf>
    <xf numFmtId="0" fontId="44" fillId="27" borderId="103" applyNumberFormat="0" applyAlignment="0" applyProtection="0">
      <alignment vertical="center"/>
    </xf>
    <xf numFmtId="0" fontId="55" fillId="0" borderId="110">
      <alignment horizontal="left" vertical="center"/>
    </xf>
    <xf numFmtId="0" fontId="62" fillId="14" borderId="103" applyNumberFormat="0" applyAlignment="0" applyProtection="0">
      <alignment vertical="center"/>
    </xf>
    <xf numFmtId="10" fontId="22" fillId="29" borderId="117" applyNumberFormat="0" applyBorder="0" applyAlignment="0" applyProtection="0"/>
    <xf numFmtId="0" fontId="44" fillId="27" borderId="103" applyNumberFormat="0" applyAlignment="0" applyProtection="0">
      <alignment vertical="center"/>
    </xf>
    <xf numFmtId="0" fontId="20" fillId="31" borderId="104" applyNumberFormat="0" applyFont="0" applyAlignment="0" applyProtection="0">
      <alignment vertical="center"/>
    </xf>
    <xf numFmtId="0" fontId="67" fillId="27" borderId="105" applyNumberFormat="0" applyAlignment="0" applyProtection="0">
      <alignment vertical="center"/>
    </xf>
    <xf numFmtId="0" fontId="55" fillId="0" borderId="110">
      <alignment horizontal="left" vertical="center"/>
    </xf>
    <xf numFmtId="0" fontId="59" fillId="0" borderId="106" applyNumberFormat="0" applyFill="0" applyAlignment="0" applyProtection="0">
      <alignment vertical="center"/>
    </xf>
    <xf numFmtId="208" fontId="51" fillId="0" borderId="117">
      <alignment horizontal="right" vertical="center" shrinkToFit="1"/>
    </xf>
    <xf numFmtId="0" fontId="62" fillId="14" borderId="103" applyNumberFormat="0" applyAlignment="0" applyProtection="0">
      <alignment vertical="center"/>
    </xf>
    <xf numFmtId="10" fontId="22" fillId="29" borderId="117" applyNumberFormat="0" applyBorder="0" applyAlignment="0" applyProtection="0"/>
    <xf numFmtId="1" fontId="51" fillId="0" borderId="117" applyFill="0" applyBorder="0">
      <alignment horizontal="center"/>
    </xf>
    <xf numFmtId="0" fontId="20" fillId="31" borderId="104" applyNumberFormat="0" applyFont="0" applyAlignment="0" applyProtection="0">
      <alignment vertical="center"/>
    </xf>
    <xf numFmtId="0" fontId="67" fillId="27" borderId="105" applyNumberFormat="0" applyAlignment="0" applyProtection="0">
      <alignment vertical="center"/>
    </xf>
    <xf numFmtId="0" fontId="59" fillId="0" borderId="106" applyNumberFormat="0" applyFill="0" applyAlignment="0" applyProtection="0">
      <alignment vertical="center"/>
    </xf>
    <xf numFmtId="208" fontId="51" fillId="0" borderId="117">
      <alignment horizontal="right" vertical="center" shrinkToFit="1"/>
    </xf>
    <xf numFmtId="1" fontId="51" fillId="0" borderId="117" applyFill="0" applyBorder="0">
      <alignment horizontal="center"/>
    </xf>
    <xf numFmtId="1" fontId="51" fillId="0" borderId="117" applyFill="0" applyBorder="0">
      <alignment horizontal="center"/>
    </xf>
    <xf numFmtId="208" fontId="51" fillId="0" borderId="117">
      <alignment horizontal="right" vertical="center" shrinkToFit="1"/>
    </xf>
    <xf numFmtId="0" fontId="59" fillId="0" borderId="106" applyNumberFormat="0" applyFill="0" applyAlignment="0" applyProtection="0">
      <alignment vertical="center"/>
    </xf>
    <xf numFmtId="0" fontId="67" fillId="27" borderId="105" applyNumberFormat="0" applyAlignment="0" applyProtection="0">
      <alignment vertical="center"/>
    </xf>
    <xf numFmtId="0" fontId="20" fillId="31" borderId="104" applyNumberFormat="0" applyFont="0" applyAlignment="0" applyProtection="0">
      <alignment vertical="center"/>
    </xf>
    <xf numFmtId="10" fontId="22" fillId="29" borderId="117" applyNumberFormat="0" applyBorder="0" applyAlignment="0" applyProtection="0"/>
    <xf numFmtId="0" fontId="62" fillId="14" borderId="103" applyNumberFormat="0" applyAlignment="0" applyProtection="0">
      <alignment vertical="center"/>
    </xf>
    <xf numFmtId="0" fontId="55" fillId="0" borderId="80">
      <alignment horizontal="left" vertical="center"/>
    </xf>
    <xf numFmtId="0" fontId="44" fillId="27" borderId="103" applyNumberFormat="0" applyAlignment="0" applyProtection="0">
      <alignment vertical="center"/>
    </xf>
    <xf numFmtId="176" fontId="21" fillId="0" borderId="103">
      <alignment horizontal="righ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0" fontId="62" fillId="14" borderId="103" applyNumberFormat="0" applyAlignment="0" applyProtection="0">
      <alignment vertical="center"/>
    </xf>
    <xf numFmtId="0" fontId="44" fillId="27" borderId="103" applyNumberFormat="0" applyAlignment="0" applyProtection="0">
      <alignment vertical="center"/>
    </xf>
    <xf numFmtId="0" fontId="62" fillId="14" borderId="103" applyNumberFormat="0" applyAlignment="0" applyProtection="0">
      <alignment vertical="center"/>
    </xf>
    <xf numFmtId="0" fontId="44" fillId="27" borderId="103" applyNumberFormat="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9" fontId="6" fillId="0" borderId="0" applyFont="0" applyFill="0" applyBorder="0" applyAlignment="0" applyProtection="0">
      <alignment vertical="center"/>
    </xf>
    <xf numFmtId="0" fontId="62" fillId="14" borderId="103" applyNumberFormat="0" applyAlignment="0" applyProtection="0">
      <alignment vertical="center"/>
    </xf>
    <xf numFmtId="0" fontId="44" fillId="27" borderId="103" applyNumberFormat="0" applyAlignment="0" applyProtection="0">
      <alignment vertical="center"/>
    </xf>
    <xf numFmtId="0" fontId="62" fillId="14" borderId="103" applyNumberFormat="0" applyAlignment="0" applyProtection="0">
      <alignment vertical="center"/>
    </xf>
    <xf numFmtId="0" fontId="44" fillId="27" borderId="103" applyNumberFormat="0" applyAlignment="0" applyProtection="0">
      <alignment vertical="center"/>
    </xf>
    <xf numFmtId="176" fontId="21" fillId="0" borderId="103">
      <alignment horizontal="right" vertical="center"/>
    </xf>
    <xf numFmtId="0" fontId="6" fillId="0" borderId="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3" fontId="107" fillId="0" borderId="117"/>
    <xf numFmtId="206" fontId="108" fillId="0" borderId="117">
      <alignment vertical="center"/>
    </xf>
    <xf numFmtId="3" fontId="107" fillId="0" borderId="117"/>
    <xf numFmtId="3" fontId="107" fillId="0" borderId="117"/>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0" fontId="6" fillId="0" borderId="0">
      <alignment vertical="center"/>
    </xf>
    <xf numFmtId="0" fontId="6" fillId="0" borderId="0">
      <alignment vertical="center"/>
    </xf>
    <xf numFmtId="206" fontId="28" fillId="0" borderId="121"/>
    <xf numFmtId="206" fontId="28" fillId="0" borderId="121"/>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0" fontId="5" fillId="0" borderId="0">
      <alignment vertical="center"/>
    </xf>
    <xf numFmtId="41"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0" fontId="20" fillId="0" borderId="0"/>
    <xf numFmtId="41" fontId="20" fillId="0" borderId="0" applyFon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3" fontId="107" fillId="0" borderId="117"/>
    <xf numFmtId="3" fontId="107" fillId="0" borderId="117"/>
    <xf numFmtId="206" fontId="108" fillId="0" borderId="117">
      <alignment vertical="center"/>
    </xf>
    <xf numFmtId="206" fontId="108" fillId="0" borderId="117">
      <alignment vertical="center"/>
    </xf>
    <xf numFmtId="3" fontId="107" fillId="0" borderId="117"/>
    <xf numFmtId="3" fontId="107" fillId="0" borderId="117"/>
    <xf numFmtId="3" fontId="107" fillId="0" borderId="117"/>
    <xf numFmtId="3" fontId="107" fillId="0" borderId="117"/>
    <xf numFmtId="49" fontId="39" fillId="0" borderId="28" applyNumberFormat="0" applyAlignment="0" applyProtection="0">
      <alignment horizontal="left" wrapText="1"/>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86" fillId="27" borderId="103" applyNumberFormat="0" applyAlignment="0" applyProtection="0">
      <alignment vertical="center"/>
    </xf>
    <xf numFmtId="0" fontId="86" fillId="27" borderId="103" applyNumberFormat="0" applyAlignment="0" applyProtection="0">
      <alignment vertical="center"/>
    </xf>
    <xf numFmtId="0" fontId="86" fillId="27" borderId="103" applyNumberFormat="0" applyAlignment="0" applyProtection="0">
      <alignment vertical="center"/>
    </xf>
    <xf numFmtId="0" fontId="44" fillId="27" borderId="103" applyNumberFormat="0" applyAlignment="0" applyProtection="0">
      <alignment vertical="center"/>
    </xf>
    <xf numFmtId="0" fontId="44" fillId="27" borderId="103" applyNumberFormat="0" applyAlignment="0" applyProtection="0">
      <alignmen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55" fillId="0" borderId="110">
      <alignment horizontal="left" vertical="center"/>
    </xf>
    <xf numFmtId="0" fontId="92" fillId="0" borderId="34" applyNumberFormat="0" applyFill="0" applyAlignment="0" applyProtection="0">
      <alignment vertical="center"/>
    </xf>
    <xf numFmtId="0" fontId="58" fillId="0" borderId="34" applyNumberFormat="0" applyFill="0" applyAlignment="0" applyProtection="0">
      <alignment vertical="center"/>
    </xf>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10" fontId="22" fillId="29" borderId="117" applyNumberFormat="0" applyBorder="0" applyAlignment="0" applyProtection="0"/>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93" fillId="14" borderId="103" applyNumberFormat="0" applyAlignment="0" applyProtection="0">
      <alignment vertical="center"/>
    </xf>
    <xf numFmtId="0" fontId="93" fillId="14" borderId="103" applyNumberFormat="0" applyAlignment="0" applyProtection="0">
      <alignment vertical="center"/>
    </xf>
    <xf numFmtId="0" fontId="93"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62" fillId="14" borderId="103" applyNumberFormat="0" applyAlignment="0" applyProtection="0">
      <alignment vertical="center"/>
    </xf>
    <xf numFmtId="0" fontId="103" fillId="0" borderId="119"/>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83" fillId="31" borderId="104" applyNumberFormat="0" applyFont="0" applyAlignment="0" applyProtection="0">
      <alignment vertical="center"/>
    </xf>
    <xf numFmtId="0" fontId="83"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20" fillId="31" borderId="104" applyNumberFormat="0" applyFon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96" fillId="27" borderId="105" applyNumberFormat="0" applyAlignment="0" applyProtection="0">
      <alignment vertical="center"/>
    </xf>
    <xf numFmtId="0" fontId="96" fillId="27" borderId="105" applyNumberFormat="0" applyAlignment="0" applyProtection="0">
      <alignment vertical="center"/>
    </xf>
    <xf numFmtId="0" fontId="96"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67" fillId="27" borderId="105" applyNumberFormat="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98" fillId="0" borderId="106" applyNumberFormat="0" applyFill="0" applyAlignment="0" applyProtection="0">
      <alignment vertical="center"/>
    </xf>
    <xf numFmtId="0" fontId="98" fillId="0" borderId="106" applyNumberFormat="0" applyFill="0" applyAlignment="0" applyProtection="0">
      <alignment vertical="center"/>
    </xf>
    <xf numFmtId="0" fontId="98"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0" fontId="59" fillId="0" borderId="106" applyNumberFormat="0" applyFill="0" applyAlignment="0" applyProtection="0">
      <alignment vertical="center"/>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208" fontId="51" fillId="0" borderId="117">
      <alignment horizontal="right" vertical="center" shrinkToFit="1"/>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1" fontId="51" fillId="0" borderId="117" applyFill="0" applyBorder="0">
      <alignment horizontal="center"/>
    </xf>
    <xf numFmtId="41" fontId="76" fillId="0" borderId="117" applyNumberFormat="0" applyFont="0" applyFill="0" applyBorder="0" applyProtection="0">
      <alignment horizontal="distributed" vertical="center"/>
    </xf>
    <xf numFmtId="41" fontId="76" fillId="0" borderId="117" applyNumberFormat="0" applyFont="0" applyFill="0" applyBorder="0" applyProtection="0">
      <alignment horizontal="distributed" vertical="center"/>
    </xf>
    <xf numFmtId="41" fontId="76" fillId="0" borderId="117" applyNumberFormat="0" applyFont="0" applyFill="0" applyBorder="0" applyProtection="0">
      <alignment horizontal="distributed"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78"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176" fontId="21" fillId="0" borderId="103">
      <alignment horizontal="righ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41" fontId="20" fillId="0" borderId="0" applyFont="0" applyFill="0" applyBorder="0" applyAlignment="0" applyProtection="0">
      <alignment vertical="center"/>
    </xf>
    <xf numFmtId="0" fontId="20" fillId="0" borderId="0" applyNumberFormat="0" applyFill="0" applyBorder="0" applyAlignment="0" applyProtection="0"/>
    <xf numFmtId="0" fontId="140" fillId="0" borderId="0" applyNumberFormat="0" applyFill="0" applyBorder="0" applyAlignment="0" applyProtection="0"/>
    <xf numFmtId="0" fontId="70" fillId="0" borderId="0">
      <alignment vertical="center"/>
    </xf>
    <xf numFmtId="40" fontId="28" fillId="0" borderId="12"/>
    <xf numFmtId="0" fontId="141" fillId="0" borderId="0">
      <alignment vertical="center"/>
    </xf>
    <xf numFmtId="0" fontId="70" fillId="0" borderId="0">
      <alignment vertical="center"/>
    </xf>
    <xf numFmtId="252" fontId="28" fillId="0" borderId="9">
      <protection locked="0"/>
    </xf>
    <xf numFmtId="0" fontId="70" fillId="0" borderId="0"/>
    <xf numFmtId="0" fontId="142" fillId="0" borderId="0" applyNumberFormat="0" applyFill="0" applyBorder="0" applyAlignment="0" applyProtection="0">
      <alignment vertical="top"/>
      <protection locked="0"/>
    </xf>
    <xf numFmtId="0" fontId="28" fillId="0" borderId="0"/>
    <xf numFmtId="0" fontId="45" fillId="0" borderId="0"/>
    <xf numFmtId="0" fontId="45" fillId="0" borderId="0"/>
    <xf numFmtId="0" fontId="45" fillId="0" borderId="0"/>
    <xf numFmtId="0" fontId="28" fillId="0" borderId="0"/>
    <xf numFmtId="0" fontId="2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253"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45" fillId="0" borderId="0"/>
    <xf numFmtId="0" fontId="50" fillId="0" borderId="0" applyFont="0" applyFill="0" applyBorder="0" applyAlignment="0" applyProtection="0"/>
    <xf numFmtId="0" fontId="28" fillId="0" borderId="0"/>
    <xf numFmtId="253" fontId="20" fillId="0" borderId="0" applyFont="0" applyFill="0" applyBorder="0" applyAlignment="0" applyProtection="0"/>
    <xf numFmtId="252" fontId="20" fillId="0" borderId="0" applyFont="0" applyFill="0" applyBorder="0" applyAlignment="0" applyProtection="0"/>
    <xf numFmtId="0" fontId="20" fillId="0" borderId="0"/>
    <xf numFmtId="0" fontId="20" fillId="0" borderId="0"/>
    <xf numFmtId="0" fontId="20" fillId="0" borderId="0"/>
    <xf numFmtId="0" fontId="20" fillId="0" borderId="0"/>
    <xf numFmtId="253" fontId="28" fillId="0" borderId="0" applyFont="0" applyFill="0" applyBorder="0" applyAlignment="0" applyProtection="0"/>
    <xf numFmtId="252" fontId="20" fillId="0" borderId="0" applyFont="0" applyFill="0" applyBorder="0" applyAlignment="0" applyProtection="0"/>
    <xf numFmtId="0" fontId="20" fillId="0" borderId="0"/>
    <xf numFmtId="0" fontId="45" fillId="0" borderId="0"/>
    <xf numFmtId="0" fontId="45" fillId="0" borderId="0"/>
    <xf numFmtId="253" fontId="20" fillId="0" borderId="0" applyFont="0" applyFill="0" applyBorder="0" applyAlignment="0" applyProtection="0"/>
    <xf numFmtId="253" fontId="20" fillId="0" borderId="0" applyFont="0" applyFill="0" applyBorder="0" applyAlignment="0" applyProtection="0"/>
    <xf numFmtId="0" fontId="50" fillId="0" borderId="0" applyFont="0" applyFill="0" applyBorder="0" applyAlignment="0" applyProtection="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4" fillId="0" borderId="0"/>
    <xf numFmtId="253" fontId="2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143" fillId="0" borderId="0"/>
    <xf numFmtId="0" fontId="143" fillId="0" borderId="0"/>
    <xf numFmtId="253" fontId="20" fillId="0" borderId="0" applyFont="0" applyFill="0" applyBorder="0" applyAlignment="0" applyProtection="0"/>
    <xf numFmtId="0" fontId="45" fillId="0" borderId="0"/>
    <xf numFmtId="0" fontId="45" fillId="0" borderId="0"/>
    <xf numFmtId="253" fontId="28" fillId="0" borderId="0" applyFont="0" applyFill="0" applyBorder="0" applyAlignment="0" applyProtection="0"/>
    <xf numFmtId="252" fontId="20" fillId="0" borderId="0" applyFont="0" applyFill="0" applyBorder="0" applyAlignment="0" applyProtection="0"/>
    <xf numFmtId="253" fontId="20" fillId="0" borderId="0" applyFont="0" applyFill="0" applyBorder="0" applyAlignment="0" applyProtection="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3" fillId="0" borderId="0"/>
    <xf numFmtId="0" fontId="45" fillId="0" borderId="0"/>
    <xf numFmtId="0" fontId="5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43" fillId="0" borderId="0"/>
    <xf numFmtId="0" fontId="20" fillId="0" borderId="0"/>
    <xf numFmtId="0" fontId="20" fillId="0" borderId="0"/>
    <xf numFmtId="0" fontId="20" fillId="0" borderId="0"/>
    <xf numFmtId="253" fontId="20" fillId="0" borderId="0" applyFont="0" applyFill="0" applyBorder="0" applyAlignment="0" applyProtection="0"/>
    <xf numFmtId="0" fontId="20" fillId="0" borderId="0"/>
    <xf numFmtId="253" fontId="20" fillId="0" borderId="0" applyFont="0" applyFill="0" applyBorder="0" applyAlignment="0" applyProtection="0"/>
    <xf numFmtId="253" fontId="28" fillId="0" borderId="0" applyFont="0" applyFill="0" applyBorder="0" applyAlignment="0" applyProtection="0"/>
    <xf numFmtId="253" fontId="20" fillId="0" borderId="0" applyFont="0" applyFill="0" applyBorder="0" applyAlignment="0" applyProtection="0"/>
    <xf numFmtId="0" fontId="104" fillId="0" borderId="0"/>
    <xf numFmtId="0" fontId="28" fillId="0" borderId="0"/>
    <xf numFmtId="0" fontId="70" fillId="0" borderId="0">
      <alignment vertical="center"/>
    </xf>
    <xf numFmtId="0" fontId="70" fillId="0" borderId="0">
      <alignment vertical="center"/>
    </xf>
    <xf numFmtId="0" fontId="144" fillId="0" borderId="0"/>
    <xf numFmtId="0" fontId="145" fillId="0" borderId="0" applyFont="0" applyFill="0" applyBorder="0" applyAlignment="0" applyProtection="0"/>
    <xf numFmtId="0" fontId="145" fillId="0" borderId="0" applyFont="0" applyFill="0" applyBorder="0" applyAlignment="0" applyProtection="0"/>
    <xf numFmtId="0" fontId="146" fillId="0" borderId="0"/>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8" borderId="0" applyNumberFormat="0" applyBorder="0" applyAlignment="0" applyProtection="0">
      <alignment vertical="center"/>
    </xf>
    <xf numFmtId="0" fontId="112" fillId="19" borderId="0" applyNumberFormat="0" applyBorder="0" applyAlignment="0" applyProtection="0">
      <alignment vertical="center"/>
    </xf>
    <xf numFmtId="0" fontId="112" fillId="16" borderId="0" applyNumberFormat="0" applyBorder="0" applyAlignment="0" applyProtection="0">
      <alignment vertical="center"/>
    </xf>
    <xf numFmtId="0" fontId="112" fillId="17" borderId="0" applyNumberFormat="0" applyBorder="0" applyAlignment="0" applyProtection="0">
      <alignment vertical="center"/>
    </xf>
    <xf numFmtId="0" fontId="112" fillId="20" borderId="0" applyNumberFormat="0" applyBorder="0" applyAlignment="0" applyProtection="0">
      <alignment vertical="center"/>
    </xf>
    <xf numFmtId="0" fontId="112" fillId="21" borderId="0" applyNumberFormat="0" applyBorder="0" applyAlignment="0" applyProtection="0">
      <alignment vertical="center"/>
    </xf>
    <xf numFmtId="0" fontId="112" fillId="22" borderId="0" applyNumberFormat="0" applyBorder="0" applyAlignment="0" applyProtection="0">
      <alignment vertical="center"/>
    </xf>
    <xf numFmtId="14" fontId="45" fillId="0" borderId="0" applyBorder="0"/>
    <xf numFmtId="14" fontId="147" fillId="0" borderId="0"/>
    <xf numFmtId="0" fontId="76" fillId="0" borderId="0" applyNumberFormat="0" applyFont="0" applyBorder="0" applyAlignment="0">
      <alignment vertical="center"/>
    </xf>
    <xf numFmtId="0" fontId="20" fillId="0" borderId="0" applyFont="0" applyFill="0" applyBorder="0" applyAlignment="0" applyProtection="0"/>
    <xf numFmtId="0" fontId="20" fillId="0" borderId="0" applyFont="0" applyFill="0" applyBorder="0" applyAlignment="0" applyProtection="0"/>
    <xf numFmtId="206" fontId="34" fillId="0" borderId="0" applyFont="0" applyFill="0" applyBorder="0" applyAlignment="0" applyProtection="0"/>
    <xf numFmtId="201" fontId="34" fillId="0" borderId="0" applyFont="0" applyFill="0" applyBorder="0" applyAlignment="0" applyProtection="0"/>
    <xf numFmtId="0" fontId="149" fillId="0" borderId="0" applyNumberFormat="0" applyFill="0" applyBorder="0" applyAlignment="0" applyProtection="0"/>
    <xf numFmtId="0" fontId="43" fillId="0" borderId="0"/>
    <xf numFmtId="0" fontId="150" fillId="0" borderId="0"/>
    <xf numFmtId="0" fontId="151" fillId="0" borderId="0" applyNumberFormat="0" applyFill="0" applyBorder="0" applyAlignment="0" applyProtection="0">
      <alignment vertical="top"/>
      <protection locked="0"/>
    </xf>
    <xf numFmtId="0" fontId="152" fillId="4" borderId="0" applyNumberFormat="0">
      <alignment horizontal="center"/>
    </xf>
    <xf numFmtId="38" fontId="104" fillId="0" borderId="0" applyFont="0" applyFill="0" applyBorder="0" applyAlignment="0" applyProtection="0"/>
    <xf numFmtId="39" fontId="45" fillId="0" borderId="0" applyFill="0" applyBorder="0" applyAlignment="0" applyProtection="0"/>
    <xf numFmtId="39" fontId="45" fillId="0" borderId="0" applyFill="0" applyBorder="0" applyAlignment="0" applyProtection="0"/>
    <xf numFmtId="254" fontId="20" fillId="0" borderId="0"/>
    <xf numFmtId="255" fontId="70" fillId="0" borderId="0" applyFont="0" applyFill="0" applyBorder="0" applyAlignment="0" applyProtection="0"/>
    <xf numFmtId="0" fontId="104" fillId="0" borderId="0" applyFont="0" applyFill="0" applyBorder="0" applyAlignment="0" applyProtection="0"/>
    <xf numFmtId="25" fontId="45" fillId="0" borderId="0" applyFill="0" applyBorder="0" applyAlignment="0" applyProtection="0"/>
    <xf numFmtId="25" fontId="45" fillId="0" borderId="0" applyFill="0" applyBorder="0" applyAlignment="0" applyProtection="0"/>
    <xf numFmtId="256" fontId="139" fillId="0" borderId="117" applyFill="0" applyBorder="0" applyAlignment="0"/>
    <xf numFmtId="254" fontId="20" fillId="0" borderId="0"/>
    <xf numFmtId="257" fontId="45" fillId="0" borderId="0" applyBorder="0">
      <alignment horizontal="right"/>
    </xf>
    <xf numFmtId="257" fontId="45" fillId="0" borderId="0" applyBorder="0">
      <alignment horizontal="right"/>
    </xf>
    <xf numFmtId="39" fontId="147" fillId="0" borderId="0">
      <alignment horizontal="right"/>
    </xf>
    <xf numFmtId="258" fontId="20" fillId="0" borderId="0" applyFont="0" applyFill="0" applyBorder="0" applyAlignment="0" applyProtection="0"/>
    <xf numFmtId="259" fontId="20" fillId="0" borderId="0"/>
    <xf numFmtId="204" fontId="20" fillId="0" borderId="0" applyFont="0" applyFill="0" applyBorder="0" applyAlignment="0" applyProtection="0"/>
    <xf numFmtId="260" fontId="22" fillId="0" borderId="0">
      <alignment horizontal="left"/>
    </xf>
    <xf numFmtId="0" fontId="152" fillId="0" borderId="0" applyNumberFormat="0" applyFill="0"/>
    <xf numFmtId="0" fontId="153" fillId="0" borderId="0" applyNumberFormat="0" applyFill="0" applyBorder="0" applyAlignment="0" applyProtection="0"/>
    <xf numFmtId="0" fontId="55" fillId="0" borderId="0" applyNumberFormat="0" applyFill="0" applyBorder="0" applyAlignment="0" applyProtection="0"/>
    <xf numFmtId="0" fontId="154" fillId="0" borderId="110" applyNumberFormat="0">
      <alignment horizontal="right" wrapText="1"/>
    </xf>
    <xf numFmtId="41" fontId="45" fillId="0" borderId="0" applyFont="0" applyFill="0" applyBorder="0" applyAlignment="0" applyProtection="0"/>
    <xf numFmtId="43" fontId="45" fillId="0" borderId="0" applyFont="0" applyFill="0" applyBorder="0" applyAlignment="0" applyProtection="0"/>
    <xf numFmtId="251" fontId="155" fillId="0" borderId="0" applyFont="0" applyFill="0" applyBorder="0" applyAlignment="0" applyProtection="0"/>
    <xf numFmtId="250" fontId="155" fillId="0" borderId="0" applyFont="0" applyFill="0" applyBorder="0" applyAlignment="0" applyProtection="0"/>
    <xf numFmtId="261" fontId="28" fillId="0" borderId="0"/>
    <xf numFmtId="0" fontId="156" fillId="0" borderId="0" applyFont="0" applyFill="0" applyBorder="0" applyAlignment="0" applyProtection="0">
      <alignment horizontal="centerContinuous"/>
    </xf>
    <xf numFmtId="10" fontId="45" fillId="0" borderId="0" applyFill="0" applyBorder="0" applyAlignment="0" applyProtection="0"/>
    <xf numFmtId="10" fontId="45" fillId="0" borderId="0" applyFill="0" applyBorder="0" applyAlignment="0" applyProtection="0"/>
    <xf numFmtId="262" fontId="20" fillId="0" borderId="0" applyFont="0" applyFill="0" applyBorder="0" applyAlignment="0" applyProtection="0"/>
    <xf numFmtId="9" fontId="157" fillId="0" borderId="0" applyNumberFormat="0" applyFill="0" applyBorder="0" applyAlignment="0">
      <protection locked="0"/>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5" borderId="0" applyNumberFormat="0" applyBorder="0" applyAlignment="0" applyProtection="0">
      <alignment vertical="center"/>
    </xf>
    <xf numFmtId="0" fontId="112" fillId="20" borderId="0" applyNumberFormat="0" applyBorder="0" applyAlignment="0" applyProtection="0">
      <alignment vertical="center"/>
    </xf>
    <xf numFmtId="0" fontId="112" fillId="21" borderId="0" applyNumberFormat="0" applyBorder="0" applyAlignment="0" applyProtection="0">
      <alignment vertical="center"/>
    </xf>
    <xf numFmtId="0" fontId="112" fillId="26" borderId="0" applyNumberFormat="0" applyBorder="0" applyAlignment="0" applyProtection="0">
      <alignment vertical="center"/>
    </xf>
    <xf numFmtId="0" fontId="158" fillId="0" borderId="0" applyNumberFormat="0" applyFill="0" applyBorder="0" applyAlignment="0" applyProtection="0">
      <alignment vertical="center"/>
    </xf>
    <xf numFmtId="0" fontId="159" fillId="27" borderId="103" applyNumberFormat="0" applyAlignment="0" applyProtection="0">
      <alignment vertical="center"/>
    </xf>
    <xf numFmtId="0" fontId="160" fillId="0" borderId="0" applyFill="0" applyBorder="0" applyAlignment="0" applyProtection="0">
      <alignment horizontal="center" vertical="center"/>
    </xf>
    <xf numFmtId="0" fontId="161" fillId="0" borderId="0" applyNumberFormat="0" applyFill="0" applyBorder="0" applyAlignment="0" applyProtection="0">
      <alignment vertical="top"/>
      <protection locked="0"/>
    </xf>
    <xf numFmtId="0" fontId="162" fillId="10" borderId="0" applyNumberFormat="0" applyBorder="0" applyAlignment="0" applyProtection="0">
      <alignment vertical="center"/>
    </xf>
    <xf numFmtId="0" fontId="101" fillId="0" borderId="81" applyFill="0" applyBorder="0" applyProtection="0">
      <alignment horizontal="center" vertical="center"/>
    </xf>
    <xf numFmtId="263" fontId="163" fillId="0" borderId="0" applyFill="0" applyBorder="0" applyAlignment="0" applyProtection="0">
      <alignment vertical="center"/>
    </xf>
    <xf numFmtId="200" fontId="45" fillId="0" borderId="0" applyFont="0" applyFill="0" applyBorder="0" applyAlignment="0" applyProtection="0"/>
    <xf numFmtId="0" fontId="20" fillId="0" borderId="0" applyFont="0" applyFill="0" applyBorder="0" applyAlignment="0" applyProtection="0"/>
    <xf numFmtId="0" fontId="20" fillId="34" borderId="79" applyNumberFormat="0" applyFont="0" applyAlignment="0" applyProtection="0">
      <alignment vertical="center"/>
    </xf>
    <xf numFmtId="182" fontId="20" fillId="0" borderId="0" applyFont="0" applyFill="0" applyBorder="0" applyAlignment="0" applyProtection="0"/>
    <xf numFmtId="183" fontId="20" fillId="0" borderId="0" applyFont="0" applyFill="0" applyBorder="0" applyAlignment="0" applyProtection="0"/>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7" fillId="0" borderId="0" applyFont="0" applyFill="0" applyBorder="0" applyAlignment="0" applyProtection="0">
      <alignment vertical="center"/>
    </xf>
    <xf numFmtId="9" fontId="164" fillId="0" borderId="0" applyFont="0" applyFill="0" applyBorder="0" applyAlignment="0" applyProtection="0">
      <alignment vertical="center"/>
    </xf>
    <xf numFmtId="9" fontId="27" fillId="0" borderId="0" applyFont="0" applyFill="0" applyBorder="0" applyAlignment="0" applyProtection="0">
      <alignment vertical="center"/>
    </xf>
    <xf numFmtId="9" fontId="165" fillId="0" borderId="0" applyFont="0" applyFill="0" applyBorder="0" applyAlignment="0" applyProtection="0">
      <alignment vertical="center"/>
    </xf>
    <xf numFmtId="9" fontId="20" fillId="0" borderId="0" applyFill="0" applyBorder="0" applyProtection="0">
      <alignment vertical="center"/>
    </xf>
    <xf numFmtId="10" fontId="166" fillId="0" borderId="0" applyFill="0" applyBorder="0" applyAlignment="0" applyProtection="0">
      <alignment vertical="center"/>
    </xf>
    <xf numFmtId="0" fontId="167" fillId="30" borderId="0" applyNumberFormat="0" applyBorder="0" applyAlignment="0" applyProtection="0">
      <alignment vertical="center"/>
    </xf>
    <xf numFmtId="0" fontId="168" fillId="0" borderId="0" applyNumberFormat="0" applyFill="0" applyBorder="0" applyAlignment="0" applyProtection="0">
      <alignment vertical="center"/>
    </xf>
    <xf numFmtId="0" fontId="169" fillId="28" borderId="30" applyNumberFormat="0" applyAlignment="0" applyProtection="0">
      <alignment vertical="center"/>
    </xf>
    <xf numFmtId="41" fontId="101" fillId="0" borderId="15" applyFill="0" applyBorder="0" applyProtection="0">
      <alignment vertical="center"/>
    </xf>
    <xf numFmtId="264" fontId="101" fillId="0" borderId="0" applyFill="0" applyBorder="0" applyProtection="0">
      <alignment vertical="center"/>
    </xf>
    <xf numFmtId="41" fontId="3" fillId="0" borderId="0" applyFont="0" applyFill="0" applyBorder="0" applyAlignment="0" applyProtection="0">
      <alignment vertical="center"/>
    </xf>
    <xf numFmtId="41" fontId="20" fillId="0" borderId="0" applyFont="0" applyFill="0" applyBorder="0" applyAlignment="0" applyProtection="0"/>
    <xf numFmtId="41" fontId="27" fillId="0" borderId="0" applyFont="0" applyFill="0" applyBorder="0" applyAlignment="0" applyProtection="0">
      <alignment vertical="center"/>
    </xf>
    <xf numFmtId="41" fontId="3"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xf numFmtId="41" fontId="27"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20" fillId="0" borderId="0" applyFont="0" applyFill="0" applyBorder="0" applyAlignment="0" applyProtection="0"/>
    <xf numFmtId="0" fontId="20" fillId="0" borderId="0" applyFont="0" applyFill="0" applyBorder="0" applyAlignment="0" applyProtection="0"/>
    <xf numFmtId="0" fontId="20" fillId="0" borderId="0"/>
    <xf numFmtId="0" fontId="20" fillId="0" borderId="0"/>
    <xf numFmtId="0" fontId="20" fillId="0" borderId="0"/>
    <xf numFmtId="0" fontId="170" fillId="0" borderId="36" applyNumberFormat="0" applyFill="0" applyAlignment="0" applyProtection="0">
      <alignment vertical="center"/>
    </xf>
    <xf numFmtId="1" fontId="50" fillId="0" borderId="0" applyFont="0" applyFill="0" applyBorder="0" applyAlignment="0" applyProtection="0">
      <alignment vertical="center"/>
    </xf>
    <xf numFmtId="0" fontId="171" fillId="0" borderId="106" applyNumberFormat="0" applyFill="0" applyAlignment="0" applyProtection="0">
      <alignment vertical="center"/>
    </xf>
    <xf numFmtId="0" fontId="172" fillId="14" borderId="103" applyNumberFormat="0" applyAlignment="0" applyProtection="0">
      <alignment vertical="center"/>
    </xf>
    <xf numFmtId="4" fontId="173" fillId="0" borderId="0" applyFont="0" applyFill="0" applyBorder="0" applyAlignment="0" applyProtection="0"/>
    <xf numFmtId="4" fontId="173" fillId="0" borderId="0" applyFont="0" applyFill="0" applyBorder="0" applyAlignment="0" applyProtection="0"/>
    <xf numFmtId="0" fontId="174" fillId="0" borderId="32" applyNumberFormat="0" applyFill="0" applyAlignment="0" applyProtection="0">
      <alignment vertical="center"/>
    </xf>
    <xf numFmtId="0" fontId="175" fillId="0" borderId="33" applyNumberFormat="0" applyFill="0" applyAlignment="0" applyProtection="0">
      <alignment vertical="center"/>
    </xf>
    <xf numFmtId="0" fontId="176" fillId="0" borderId="34" applyNumberFormat="0" applyFill="0" applyAlignment="0" applyProtection="0">
      <alignment vertical="center"/>
    </xf>
    <xf numFmtId="0" fontId="176"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177" fillId="11" borderId="0" applyNumberFormat="0" applyBorder="0" applyAlignment="0" applyProtection="0">
      <alignment vertical="center"/>
    </xf>
    <xf numFmtId="0" fontId="178" fillId="27" borderId="105" applyNumberFormat="0" applyAlignment="0" applyProtection="0">
      <alignment vertical="center"/>
    </xf>
    <xf numFmtId="178" fontId="101" fillId="0" borderId="82" applyFill="0" applyBorder="0" applyProtection="0">
      <alignment vertical="center"/>
    </xf>
    <xf numFmtId="0" fontId="20" fillId="0" borderId="0"/>
    <xf numFmtId="0" fontId="3" fillId="0" borderId="0">
      <alignment vertical="center"/>
    </xf>
    <xf numFmtId="0" fontId="20" fillId="0" borderId="0">
      <alignment vertical="center"/>
    </xf>
    <xf numFmtId="0" fontId="70" fillId="0" borderId="0"/>
    <xf numFmtId="0" fontId="27" fillId="0" borderId="0">
      <alignment vertical="center"/>
    </xf>
    <xf numFmtId="0" fontId="27" fillId="0" borderId="0">
      <alignment vertical="center"/>
    </xf>
    <xf numFmtId="0" fontId="27" fillId="0" borderId="0">
      <alignment vertical="center"/>
    </xf>
    <xf numFmtId="0" fontId="3" fillId="0" borderId="0">
      <alignment vertical="center"/>
    </xf>
    <xf numFmtId="265" fontId="173" fillId="0" borderId="0" applyFont="0" applyFill="0" applyBorder="0" applyAlignment="0" applyProtection="0"/>
    <xf numFmtId="265" fontId="173" fillId="0" borderId="0" applyFont="0" applyFill="0" applyBorder="0" applyAlignment="0" applyProtection="0"/>
    <xf numFmtId="0" fontId="62" fillId="14" borderId="103" applyNumberFormat="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86" fillId="27" borderId="129" applyNumberFormat="0" applyAlignment="0" applyProtection="0">
      <alignment vertical="center"/>
    </xf>
    <xf numFmtId="0" fontId="93" fillId="14" borderId="129" applyNumberFormat="0" applyAlignment="0" applyProtection="0">
      <alignment vertical="center"/>
    </xf>
    <xf numFmtId="0" fontId="83" fillId="31" borderId="130" applyNumberFormat="0" applyFont="0" applyAlignment="0" applyProtection="0">
      <alignment vertical="center"/>
    </xf>
    <xf numFmtId="0" fontId="96" fillId="27" borderId="131" applyNumberFormat="0" applyAlignment="0" applyProtection="0">
      <alignment vertical="center"/>
    </xf>
    <xf numFmtId="0" fontId="98" fillId="0" borderId="132" applyNumberFormat="0" applyFill="0" applyAlignment="0" applyProtection="0">
      <alignment vertical="center"/>
    </xf>
    <xf numFmtId="0" fontId="2" fillId="0" borderId="0">
      <alignment vertical="center"/>
    </xf>
    <xf numFmtId="41" fontId="2" fillId="0" borderId="0" applyFont="0" applyFill="0" applyBorder="0" applyAlignment="0" applyProtection="0">
      <alignment vertical="center"/>
    </xf>
    <xf numFmtId="3" fontId="107" fillId="0" borderId="146"/>
    <xf numFmtId="3" fontId="107" fillId="0" borderId="146"/>
    <xf numFmtId="206" fontId="108" fillId="0" borderId="146">
      <alignment vertical="center"/>
    </xf>
    <xf numFmtId="3" fontId="107" fillId="0" borderId="146"/>
    <xf numFmtId="0" fontId="44" fillId="27" borderId="136" applyNumberFormat="0" applyAlignment="0" applyProtection="0">
      <alignment vertical="center"/>
    </xf>
    <xf numFmtId="0" fontId="62" fillId="14" borderId="136" applyNumberFormat="0" applyAlignment="0" applyProtection="0">
      <alignment vertical="center"/>
    </xf>
    <xf numFmtId="0" fontId="44" fillId="27" borderId="136" applyNumberFormat="0" applyAlignment="0" applyProtection="0">
      <alignment vertical="center"/>
    </xf>
    <xf numFmtId="0" fontId="62" fillId="14" borderId="136" applyNumberFormat="0" applyAlignment="0" applyProtection="0">
      <alignment vertical="center"/>
    </xf>
    <xf numFmtId="0" fontId="44" fillId="27" borderId="136" applyNumberFormat="0" applyAlignment="0" applyProtection="0">
      <alignment vertical="center"/>
    </xf>
    <xf numFmtId="0" fontId="62" fillId="14" borderId="136" applyNumberFormat="0" applyAlignment="0" applyProtection="0">
      <alignment vertical="center"/>
    </xf>
    <xf numFmtId="176" fontId="21" fillId="0" borderId="136">
      <alignment horizontal="right" vertical="center"/>
    </xf>
    <xf numFmtId="0" fontId="44" fillId="27" borderId="136" applyNumberFormat="0" applyAlignment="0" applyProtection="0">
      <alignment vertical="center"/>
    </xf>
    <xf numFmtId="0" fontId="62" fillId="14" borderId="136" applyNumberFormat="0" applyAlignment="0" applyProtection="0">
      <alignment vertical="center"/>
    </xf>
    <xf numFmtId="10" fontId="22" fillId="29" borderId="146" applyNumberFormat="0" applyBorder="0" applyAlignment="0" applyProtection="0"/>
    <xf numFmtId="0" fontId="20" fillId="31" borderId="137" applyNumberFormat="0" applyFont="0" applyAlignment="0" applyProtection="0">
      <alignment vertical="center"/>
    </xf>
    <xf numFmtId="0" fontId="67" fillId="27" borderId="138" applyNumberFormat="0" applyAlignment="0" applyProtection="0">
      <alignment vertical="center"/>
    </xf>
    <xf numFmtId="0" fontId="59" fillId="0" borderId="139" applyNumberFormat="0" applyFill="0" applyAlignment="0" applyProtection="0">
      <alignment vertical="center"/>
    </xf>
    <xf numFmtId="1" fontId="51" fillId="0" borderId="146" applyFill="0" applyBorder="0">
      <alignment horizontal="center"/>
    </xf>
    <xf numFmtId="1" fontId="51" fillId="0" borderId="146" applyFill="0" applyBorder="0">
      <alignment horizontal="center"/>
    </xf>
    <xf numFmtId="208" fontId="51" fillId="0" borderId="146">
      <alignment horizontal="right" vertical="center" shrinkToFit="1"/>
    </xf>
    <xf numFmtId="0" fontId="59" fillId="0" borderId="139" applyNumberFormat="0" applyFill="0" applyAlignment="0" applyProtection="0">
      <alignment vertical="center"/>
    </xf>
    <xf numFmtId="0" fontId="67" fillId="27" borderId="138" applyNumberFormat="0" applyAlignment="0" applyProtection="0">
      <alignment vertical="center"/>
    </xf>
    <xf numFmtId="0" fontId="20" fillId="31" borderId="137" applyNumberFormat="0" applyFont="0" applyAlignment="0" applyProtection="0">
      <alignment vertical="center"/>
    </xf>
    <xf numFmtId="1" fontId="51" fillId="0" borderId="146" applyFill="0" applyBorder="0">
      <alignment horizontal="center"/>
    </xf>
    <xf numFmtId="10" fontId="22" fillId="29" borderId="146" applyNumberFormat="0" applyBorder="0" applyAlignment="0" applyProtection="0"/>
    <xf numFmtId="0" fontId="62" fillId="14" borderId="136" applyNumberFormat="0" applyAlignment="0" applyProtection="0">
      <alignment vertical="center"/>
    </xf>
    <xf numFmtId="208" fontId="51" fillId="0" borderId="146">
      <alignment horizontal="right" vertical="center" shrinkToFit="1"/>
    </xf>
    <xf numFmtId="0" fontId="59" fillId="0" borderId="139" applyNumberFormat="0" applyFill="0" applyAlignment="0" applyProtection="0">
      <alignment vertical="center"/>
    </xf>
    <xf numFmtId="0" fontId="55" fillId="0" borderId="144">
      <alignment horizontal="left" vertical="center"/>
    </xf>
    <xf numFmtId="0" fontId="67" fillId="27" borderId="138" applyNumberFormat="0" applyAlignment="0" applyProtection="0">
      <alignment vertical="center"/>
    </xf>
    <xf numFmtId="0" fontId="20" fillId="31" borderId="137" applyNumberFormat="0" applyFont="0" applyAlignment="0" applyProtection="0">
      <alignment vertical="center"/>
    </xf>
    <xf numFmtId="0" fontId="44" fillId="27" borderId="136" applyNumberFormat="0" applyAlignment="0" applyProtection="0">
      <alignment vertical="center"/>
    </xf>
    <xf numFmtId="10" fontId="22" fillId="29" borderId="146" applyNumberFormat="0" applyBorder="0" applyAlignment="0" applyProtection="0"/>
    <xf numFmtId="0" fontId="62" fillId="14" borderId="136" applyNumberFormat="0" applyAlignment="0" applyProtection="0">
      <alignment vertical="center"/>
    </xf>
    <xf numFmtId="0" fontId="55" fillId="0" borderId="144">
      <alignment horizontal="left" vertical="center"/>
    </xf>
    <xf numFmtId="0" fontId="44" fillId="27" borderId="136" applyNumberFormat="0" applyAlignment="0" applyProtection="0">
      <alignment vertical="center"/>
    </xf>
    <xf numFmtId="176" fontId="21" fillId="0" borderId="136">
      <alignment horizontal="right" vertical="center"/>
    </xf>
    <xf numFmtId="1" fontId="51" fillId="0" borderId="146" applyFill="0" applyBorder="0">
      <alignment horizontal="center"/>
    </xf>
    <xf numFmtId="208" fontId="51" fillId="0" borderId="146">
      <alignment horizontal="right" vertical="center" shrinkToFit="1"/>
    </xf>
    <xf numFmtId="0" fontId="59" fillId="0" borderId="139" applyNumberFormat="0" applyFill="0" applyAlignment="0" applyProtection="0">
      <alignment vertical="center"/>
    </xf>
    <xf numFmtId="0" fontId="20" fillId="31" borderId="137" applyNumberFormat="0" applyFont="0" applyAlignment="0" applyProtection="0">
      <alignment vertical="center"/>
    </xf>
    <xf numFmtId="10" fontId="22" fillId="29" borderId="146" applyNumberFormat="0" applyBorder="0" applyAlignment="0" applyProtection="0"/>
    <xf numFmtId="0" fontId="62" fillId="14" borderId="136" applyNumberFormat="0" applyAlignment="0" applyProtection="0">
      <alignment vertical="center"/>
    </xf>
    <xf numFmtId="0" fontId="55" fillId="0" borderId="144">
      <alignment horizontal="left" vertical="center"/>
    </xf>
    <xf numFmtId="0" fontId="44" fillId="27" borderId="136" applyNumberFormat="0" applyAlignment="0" applyProtection="0">
      <alignment vertical="center"/>
    </xf>
    <xf numFmtId="176" fontId="21" fillId="0" borderId="136">
      <alignment horizontal="right" vertical="center"/>
    </xf>
    <xf numFmtId="41" fontId="76" fillId="0" borderId="146" applyNumberFormat="0" applyFont="0" applyFill="0" applyBorder="0" applyProtection="0">
      <alignment horizontal="distributed" vertical="center"/>
    </xf>
    <xf numFmtId="176" fontId="21" fillId="0" borderId="136">
      <alignment horizontal="right" vertical="center"/>
    </xf>
    <xf numFmtId="0" fontId="44" fillId="27" borderId="136" applyNumberFormat="0" applyAlignment="0" applyProtection="0">
      <alignment vertical="center"/>
    </xf>
    <xf numFmtId="0" fontId="62" fillId="14" borderId="136" applyNumberFormat="0" applyAlignment="0" applyProtection="0">
      <alignment vertical="center"/>
    </xf>
    <xf numFmtId="208" fontId="51" fillId="0" borderId="146">
      <alignment horizontal="right" vertical="center" shrinkToFit="1"/>
    </xf>
    <xf numFmtId="0" fontId="44" fillId="27" borderId="136" applyNumberFormat="0" applyAlignment="0" applyProtection="0">
      <alignment vertical="center"/>
    </xf>
    <xf numFmtId="0" fontId="62" fillId="14" borderId="136" applyNumberFormat="0" applyAlignment="0" applyProtection="0">
      <alignment vertical="center"/>
    </xf>
    <xf numFmtId="0" fontId="44" fillId="27" borderId="136" applyNumberFormat="0" applyAlignment="0" applyProtection="0">
      <alignment vertical="center"/>
    </xf>
    <xf numFmtId="0" fontId="62" fillId="14" borderId="136" applyNumberFormat="0" applyAlignment="0" applyProtection="0">
      <alignment vertical="center"/>
    </xf>
    <xf numFmtId="0" fontId="67" fillId="27" borderId="138" applyNumberFormat="0" applyAlignment="0" applyProtection="0">
      <alignment vertical="center"/>
    </xf>
    <xf numFmtId="41" fontId="76" fillId="0" borderId="134" applyNumberFormat="0" applyFont="0" applyFill="0" applyBorder="0" applyProtection="0">
      <alignment horizontal="distributed"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98" fillId="0" borderId="139" applyNumberFormat="0" applyFill="0" applyAlignment="0" applyProtection="0">
      <alignment vertical="center"/>
    </xf>
    <xf numFmtId="0" fontId="96" fillId="27" borderId="138" applyNumberFormat="0" applyAlignment="0" applyProtection="0">
      <alignment vertical="center"/>
    </xf>
    <xf numFmtId="0" fontId="83" fillId="31" borderId="137" applyNumberFormat="0" applyFont="0" applyAlignment="0" applyProtection="0">
      <alignment vertical="center"/>
    </xf>
    <xf numFmtId="0" fontId="93" fillId="14" borderId="136" applyNumberFormat="0" applyAlignment="0" applyProtection="0">
      <alignment vertical="center"/>
    </xf>
    <xf numFmtId="0" fontId="86" fillId="27" borderId="136"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176" fontId="21" fillId="0" borderId="129">
      <alignment horizontal="right" vertical="center"/>
    </xf>
    <xf numFmtId="0" fontId="44" fillId="27" borderId="129" applyNumberFormat="0" applyAlignment="0" applyProtection="0">
      <alignment vertical="center"/>
    </xf>
    <xf numFmtId="0" fontId="55" fillId="0" borderId="133">
      <alignment horizontal="left" vertical="center"/>
    </xf>
    <xf numFmtId="0" fontId="62" fillId="14" borderId="129" applyNumberFormat="0" applyAlignment="0" applyProtection="0">
      <alignment vertical="center"/>
    </xf>
    <xf numFmtId="10" fontId="22" fillId="29" borderId="134" applyNumberFormat="0" applyBorder="0" applyAlignment="0" applyProtection="0"/>
    <xf numFmtId="0" fontId="20" fillId="31" borderId="130" applyNumberFormat="0" applyFont="0" applyAlignment="0" applyProtection="0">
      <alignment vertical="center"/>
    </xf>
    <xf numFmtId="0" fontId="67" fillId="27" borderId="131" applyNumberFormat="0" applyAlignment="0" applyProtection="0">
      <alignment vertical="center"/>
    </xf>
    <xf numFmtId="0" fontId="59" fillId="0" borderId="132" applyNumberFormat="0" applyFill="0" applyAlignment="0" applyProtection="0">
      <alignment vertical="center"/>
    </xf>
    <xf numFmtId="208" fontId="51" fillId="0" borderId="134">
      <alignment horizontal="right" vertical="center" shrinkToFit="1"/>
    </xf>
    <xf numFmtId="1" fontId="51" fillId="0" borderId="134" applyFill="0" applyBorder="0">
      <alignment horizont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62" fillId="14" borderId="129" applyNumberFormat="0" applyAlignment="0" applyProtection="0">
      <alignment vertical="center"/>
    </xf>
    <xf numFmtId="0" fontId="44" fillId="27" borderId="129" applyNumberFormat="0" applyAlignment="0" applyProtection="0">
      <alignment vertical="center"/>
    </xf>
    <xf numFmtId="0" fontId="62" fillId="14" borderId="129" applyNumberFormat="0" applyAlignment="0" applyProtection="0">
      <alignment vertical="center"/>
    </xf>
    <xf numFmtId="0" fontId="44" fillId="27" borderId="129" applyNumberFormat="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176" fontId="21" fillId="0" borderId="129">
      <alignment horizontal="right" vertical="center"/>
    </xf>
    <xf numFmtId="0" fontId="44" fillId="27" borderId="129" applyNumberFormat="0" applyAlignment="0" applyProtection="0">
      <alignment vertical="center"/>
    </xf>
    <xf numFmtId="0" fontId="55" fillId="0" borderId="133">
      <alignment horizontal="left" vertical="center"/>
    </xf>
    <xf numFmtId="0" fontId="62" fillId="14" borderId="129" applyNumberFormat="0" applyAlignment="0" applyProtection="0">
      <alignment vertical="center"/>
    </xf>
    <xf numFmtId="10" fontId="22" fillId="29" borderId="134" applyNumberFormat="0" applyBorder="0" applyAlignment="0" applyProtection="0"/>
    <xf numFmtId="0" fontId="44" fillId="27" borderId="129" applyNumberFormat="0" applyAlignment="0" applyProtection="0">
      <alignment vertical="center"/>
    </xf>
    <xf numFmtId="0" fontId="20" fillId="31" borderId="130" applyNumberFormat="0" applyFont="0" applyAlignment="0" applyProtection="0">
      <alignment vertical="center"/>
    </xf>
    <xf numFmtId="0" fontId="67" fillId="27" borderId="131" applyNumberFormat="0" applyAlignment="0" applyProtection="0">
      <alignment vertical="center"/>
    </xf>
    <xf numFmtId="0" fontId="55" fillId="0" borderId="133">
      <alignment horizontal="left" vertical="center"/>
    </xf>
    <xf numFmtId="0" fontId="59" fillId="0" borderId="132" applyNumberFormat="0" applyFill="0" applyAlignment="0" applyProtection="0">
      <alignment vertical="center"/>
    </xf>
    <xf numFmtId="208" fontId="51" fillId="0" borderId="134">
      <alignment horizontal="right" vertical="center" shrinkToFit="1"/>
    </xf>
    <xf numFmtId="0" fontId="62" fillId="14" borderId="129" applyNumberFormat="0" applyAlignment="0" applyProtection="0">
      <alignment vertical="center"/>
    </xf>
    <xf numFmtId="10" fontId="22" fillId="29" borderId="134" applyNumberFormat="0" applyBorder="0" applyAlignment="0" applyProtection="0"/>
    <xf numFmtId="1" fontId="51" fillId="0" borderId="134" applyFill="0" applyBorder="0">
      <alignment horizontal="center"/>
    </xf>
    <xf numFmtId="0" fontId="20" fillId="31" borderId="130" applyNumberFormat="0" applyFont="0" applyAlignment="0" applyProtection="0">
      <alignment vertical="center"/>
    </xf>
    <xf numFmtId="0" fontId="67" fillId="27" borderId="131" applyNumberFormat="0" applyAlignment="0" applyProtection="0">
      <alignment vertical="center"/>
    </xf>
    <xf numFmtId="0" fontId="59" fillId="0" borderId="132" applyNumberFormat="0" applyFill="0" applyAlignment="0" applyProtection="0">
      <alignment vertical="center"/>
    </xf>
    <xf numFmtId="208" fontId="51" fillId="0" borderId="134">
      <alignment horizontal="right" vertical="center" shrinkToFit="1"/>
    </xf>
    <xf numFmtId="1" fontId="51" fillId="0" borderId="134" applyFill="0" applyBorder="0">
      <alignment horizontal="center"/>
    </xf>
    <xf numFmtId="1" fontId="51" fillId="0" borderId="134" applyFill="0" applyBorder="0">
      <alignment horizontal="center"/>
    </xf>
    <xf numFmtId="208" fontId="51" fillId="0" borderId="134">
      <alignment horizontal="right" vertical="center" shrinkToFit="1"/>
    </xf>
    <xf numFmtId="0" fontId="59" fillId="0" borderId="132" applyNumberFormat="0" applyFill="0" applyAlignment="0" applyProtection="0">
      <alignment vertical="center"/>
    </xf>
    <xf numFmtId="0" fontId="67" fillId="27" borderId="131" applyNumberFormat="0" applyAlignment="0" applyProtection="0">
      <alignment vertical="center"/>
    </xf>
    <xf numFmtId="0" fontId="20" fillId="31" borderId="130" applyNumberFormat="0" applyFont="0" applyAlignment="0" applyProtection="0">
      <alignment vertical="center"/>
    </xf>
    <xf numFmtId="10" fontId="22" fillId="29" borderId="134" applyNumberFormat="0" applyBorder="0" applyAlignment="0" applyProtection="0"/>
    <xf numFmtId="0" fontId="62" fillId="14" borderId="129" applyNumberFormat="0" applyAlignment="0" applyProtection="0">
      <alignment vertical="center"/>
    </xf>
    <xf numFmtId="0" fontId="44" fillId="27" borderId="129" applyNumberFormat="0" applyAlignment="0" applyProtection="0">
      <alignment vertical="center"/>
    </xf>
    <xf numFmtId="176" fontId="21" fillId="0" borderId="129">
      <alignment horizontal="righ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62" fillId="14" borderId="129" applyNumberFormat="0" applyAlignment="0" applyProtection="0">
      <alignment vertical="center"/>
    </xf>
    <xf numFmtId="0" fontId="44" fillId="27" borderId="129" applyNumberFormat="0" applyAlignment="0" applyProtection="0">
      <alignment vertical="center"/>
    </xf>
    <xf numFmtId="0" fontId="62" fillId="14" borderId="129" applyNumberFormat="0" applyAlignment="0" applyProtection="0">
      <alignment vertical="center"/>
    </xf>
    <xf numFmtId="0" fontId="44" fillId="27" borderId="129" applyNumberFormat="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9" fontId="2" fillId="0" borderId="0" applyFont="0" applyFill="0" applyBorder="0" applyAlignment="0" applyProtection="0">
      <alignment vertical="center"/>
    </xf>
    <xf numFmtId="0" fontId="62" fillId="14" borderId="129" applyNumberFormat="0" applyAlignment="0" applyProtection="0">
      <alignment vertical="center"/>
    </xf>
    <xf numFmtId="0" fontId="44" fillId="27" borderId="129" applyNumberFormat="0" applyAlignment="0" applyProtection="0">
      <alignment vertical="center"/>
    </xf>
    <xf numFmtId="0" fontId="62" fillId="14" borderId="129" applyNumberFormat="0" applyAlignment="0" applyProtection="0">
      <alignment vertical="center"/>
    </xf>
    <xf numFmtId="0" fontId="44" fillId="27" borderId="129" applyNumberFormat="0" applyAlignment="0" applyProtection="0">
      <alignment vertical="center"/>
    </xf>
    <xf numFmtId="176" fontId="21" fillId="0" borderId="129">
      <alignment horizontal="right" vertical="center"/>
    </xf>
    <xf numFmtId="0" fontId="2" fillId="0" borderId="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3" fontId="107" fillId="0" borderId="134"/>
    <xf numFmtId="206" fontId="108" fillId="0" borderId="134">
      <alignment vertical="center"/>
    </xf>
    <xf numFmtId="3" fontId="107" fillId="0" borderId="134"/>
    <xf numFmtId="3" fontId="107" fillId="0" borderId="134"/>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206" fontId="28" fillId="0" borderId="135"/>
    <xf numFmtId="206" fontId="28" fillId="0" borderId="135"/>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62" fillId="14" borderId="103" applyNumberFormat="0" applyAlignment="0" applyProtection="0">
      <alignment vertical="center"/>
    </xf>
    <xf numFmtId="3" fontId="107" fillId="0" borderId="134"/>
    <xf numFmtId="3" fontId="107" fillId="0" borderId="134"/>
    <xf numFmtId="206" fontId="108" fillId="0" borderId="134">
      <alignment vertical="center"/>
    </xf>
    <xf numFmtId="206" fontId="108" fillId="0" borderId="134">
      <alignment vertical="center"/>
    </xf>
    <xf numFmtId="3" fontId="107" fillId="0" borderId="134"/>
    <xf numFmtId="3" fontId="107" fillId="0" borderId="134"/>
    <xf numFmtId="3" fontId="107" fillId="0" borderId="134"/>
    <xf numFmtId="3" fontId="107" fillId="0" borderId="134"/>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86" fillId="27" borderId="129" applyNumberFormat="0" applyAlignment="0" applyProtection="0">
      <alignment vertical="center"/>
    </xf>
    <xf numFmtId="0" fontId="86" fillId="27" borderId="129" applyNumberFormat="0" applyAlignment="0" applyProtection="0">
      <alignment vertical="center"/>
    </xf>
    <xf numFmtId="0" fontId="86" fillId="27" borderId="129" applyNumberFormat="0" applyAlignment="0" applyProtection="0">
      <alignment vertical="center"/>
    </xf>
    <xf numFmtId="0" fontId="44" fillId="27" borderId="129" applyNumberFormat="0" applyAlignment="0" applyProtection="0">
      <alignment vertical="center"/>
    </xf>
    <xf numFmtId="0" fontId="44" fillId="27" borderId="129" applyNumberFormat="0" applyAlignment="0" applyProtection="0">
      <alignmen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0" fontId="55" fillId="0" borderId="133">
      <alignment horizontal="left" vertical="center"/>
    </xf>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10" fontId="22" fillId="29" borderId="134" applyNumberFormat="0" applyBorder="0" applyAlignment="0" applyProtection="0"/>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93" fillId="14" borderId="129" applyNumberFormat="0" applyAlignment="0" applyProtection="0">
      <alignment vertical="center"/>
    </xf>
    <xf numFmtId="0" fontId="93" fillId="14" borderId="129" applyNumberFormat="0" applyAlignment="0" applyProtection="0">
      <alignment vertical="center"/>
    </xf>
    <xf numFmtId="0" fontId="93"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62" fillId="14" borderId="129" applyNumberForma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83" fillId="31" borderId="130" applyNumberFormat="0" applyFont="0" applyAlignment="0" applyProtection="0">
      <alignment vertical="center"/>
    </xf>
    <xf numFmtId="0" fontId="83"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20" fillId="31" borderId="130" applyNumberFormat="0" applyFon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96" fillId="27" borderId="131" applyNumberFormat="0" applyAlignment="0" applyProtection="0">
      <alignment vertical="center"/>
    </xf>
    <xf numFmtId="0" fontId="96" fillId="27" borderId="131" applyNumberFormat="0" applyAlignment="0" applyProtection="0">
      <alignment vertical="center"/>
    </xf>
    <xf numFmtId="0" fontId="96"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67" fillId="27" borderId="131" applyNumberFormat="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98" fillId="0" borderId="132" applyNumberFormat="0" applyFill="0" applyAlignment="0" applyProtection="0">
      <alignment vertical="center"/>
    </xf>
    <xf numFmtId="0" fontId="98" fillId="0" borderId="132" applyNumberFormat="0" applyFill="0" applyAlignment="0" applyProtection="0">
      <alignment vertical="center"/>
    </xf>
    <xf numFmtId="0" fontId="98"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0" fontId="59" fillId="0" borderId="132" applyNumberFormat="0" applyFill="0" applyAlignment="0" applyProtection="0">
      <alignment vertical="center"/>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208" fontId="51" fillId="0" borderId="134">
      <alignment horizontal="right" vertical="center" shrinkToFit="1"/>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1" fontId="51" fillId="0" borderId="134" applyFill="0" applyBorder="0">
      <alignment horizontal="center"/>
    </xf>
    <xf numFmtId="41" fontId="76" fillId="0" borderId="134" applyNumberFormat="0" applyFont="0" applyFill="0" applyBorder="0" applyProtection="0">
      <alignment horizontal="distributed" vertical="center"/>
    </xf>
    <xf numFmtId="41" fontId="76" fillId="0" borderId="134" applyNumberFormat="0" applyFont="0" applyFill="0" applyBorder="0" applyProtection="0">
      <alignment horizontal="distributed" vertical="center"/>
    </xf>
    <xf numFmtId="41" fontId="76" fillId="0" borderId="134" applyNumberFormat="0" applyFont="0" applyFill="0" applyBorder="0" applyProtection="0">
      <alignment horizontal="distributed"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176" fontId="21" fillId="0" borderId="129">
      <alignment horizontal="righ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 fontId="107" fillId="0" borderId="146"/>
    <xf numFmtId="3" fontId="107" fillId="0" borderId="146"/>
    <xf numFmtId="206" fontId="108" fillId="0" borderId="146">
      <alignment vertical="center"/>
    </xf>
    <xf numFmtId="206" fontId="108" fillId="0" borderId="146">
      <alignment vertical="center"/>
    </xf>
    <xf numFmtId="3" fontId="107" fillId="0" borderId="146"/>
    <xf numFmtId="3" fontId="107" fillId="0" borderId="146"/>
    <xf numFmtId="3" fontId="107" fillId="0" borderId="146"/>
    <xf numFmtId="3" fontId="107" fillId="0" borderId="146"/>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86" fillId="27" borderId="136" applyNumberFormat="0" applyAlignment="0" applyProtection="0">
      <alignment vertical="center"/>
    </xf>
    <xf numFmtId="0" fontId="86" fillId="27" borderId="136" applyNumberFormat="0" applyAlignment="0" applyProtection="0">
      <alignment vertical="center"/>
    </xf>
    <xf numFmtId="0" fontId="86" fillId="27" borderId="136" applyNumberFormat="0" applyAlignment="0" applyProtection="0">
      <alignment vertical="center"/>
    </xf>
    <xf numFmtId="0" fontId="44" fillId="27" borderId="136" applyNumberFormat="0" applyAlignment="0" applyProtection="0">
      <alignment vertical="center"/>
    </xf>
    <xf numFmtId="0" fontId="44" fillId="27" borderId="136" applyNumberFormat="0" applyAlignment="0" applyProtection="0">
      <alignmen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0" fontId="55" fillId="0" borderId="144">
      <alignment horizontal="left" vertical="center"/>
    </xf>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10" fontId="22" fillId="29" borderId="146" applyNumberFormat="0" applyBorder="0" applyAlignment="0" applyProtection="0"/>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93" fillId="14" borderId="136" applyNumberFormat="0" applyAlignment="0" applyProtection="0">
      <alignment vertical="center"/>
    </xf>
    <xf numFmtId="0" fontId="93" fillId="14" borderId="136" applyNumberFormat="0" applyAlignment="0" applyProtection="0">
      <alignment vertical="center"/>
    </xf>
    <xf numFmtId="0" fontId="93"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62" fillId="14" borderId="136" applyNumberForma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83" fillId="31" borderId="137" applyNumberFormat="0" applyFont="0" applyAlignment="0" applyProtection="0">
      <alignment vertical="center"/>
    </xf>
    <xf numFmtId="0" fontId="83"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96" fillId="27" borderId="138" applyNumberFormat="0" applyAlignment="0" applyProtection="0">
      <alignment vertical="center"/>
    </xf>
    <xf numFmtId="0" fontId="96" fillId="27" borderId="138" applyNumberFormat="0" applyAlignment="0" applyProtection="0">
      <alignment vertical="center"/>
    </xf>
    <xf numFmtId="0" fontId="96"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67" fillId="27" borderId="138" applyNumberFormat="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98" fillId="0" borderId="139" applyNumberFormat="0" applyFill="0" applyAlignment="0" applyProtection="0">
      <alignment vertical="center"/>
    </xf>
    <xf numFmtId="0" fontId="98" fillId="0" borderId="139" applyNumberFormat="0" applyFill="0" applyAlignment="0" applyProtection="0">
      <alignment vertical="center"/>
    </xf>
    <xf numFmtId="0" fontId="98"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0" fontId="59" fillId="0" borderId="139" applyNumberFormat="0" applyFill="0" applyAlignment="0" applyProtection="0">
      <alignment vertical="center"/>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208" fontId="51" fillId="0" borderId="146">
      <alignment horizontal="right" vertical="center" shrinkToFit="1"/>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1" fontId="51" fillId="0" borderId="146" applyFill="0" applyBorder="0">
      <alignment horizontal="center"/>
    </xf>
    <xf numFmtId="41" fontId="76" fillId="0" borderId="146" applyNumberFormat="0" applyFont="0" applyFill="0" applyBorder="0" applyProtection="0">
      <alignment horizontal="distributed" vertical="center"/>
    </xf>
    <xf numFmtId="41" fontId="76" fillId="0" borderId="146" applyNumberFormat="0" applyFont="0" applyFill="0" applyBorder="0" applyProtection="0">
      <alignment horizontal="distributed" vertical="center"/>
    </xf>
    <xf numFmtId="41" fontId="76" fillId="0" borderId="146" applyNumberFormat="0" applyFont="0" applyFill="0" applyBorder="0" applyProtection="0">
      <alignment horizontal="distributed"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176" fontId="21" fillId="0" borderId="136">
      <alignment horizontal="right" vertical="center"/>
    </xf>
    <xf numFmtId="0" fontId="20" fillId="0" borderId="0"/>
    <xf numFmtId="0"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alignment vertical="center"/>
    </xf>
    <xf numFmtId="9" fontId="19"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19" fillId="0" borderId="0" applyFont="0" applyFill="0" applyBorder="0" applyAlignment="0" applyProtection="0">
      <alignment vertical="center"/>
    </xf>
    <xf numFmtId="41" fontId="27" fillId="0" borderId="0" applyFont="0" applyFill="0" applyBorder="0" applyAlignment="0" applyProtection="0">
      <alignment vertical="center"/>
    </xf>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1" fillId="0" borderId="0">
      <alignment vertical="center"/>
    </xf>
    <xf numFmtId="41" fontId="1" fillId="0" borderId="0" applyFont="0" applyFill="0" applyBorder="0" applyAlignment="0" applyProtection="0">
      <alignment vertical="center"/>
    </xf>
    <xf numFmtId="41" fontId="20" fillId="0" borderId="0" applyFont="0" applyFill="0" applyBorder="0" applyAlignment="0" applyProtection="0"/>
    <xf numFmtId="0" fontId="101" fillId="0" borderId="0" applyFont="0" applyFill="0" applyBorder="0" applyAlignment="0" applyProtection="0"/>
    <xf numFmtId="0" fontId="35" fillId="0" borderId="0" applyFont="0" applyFill="0" applyBorder="0" applyAlignment="0" applyProtection="0"/>
    <xf numFmtId="0" fontId="45" fillId="0" borderId="0"/>
    <xf numFmtId="0" fontId="35" fillId="0" borderId="0" applyFont="0" applyFill="0" applyBorder="0" applyAlignment="0" applyProtection="0"/>
    <xf numFmtId="0" fontId="100" fillId="0" borderId="0">
      <protection locked="0"/>
    </xf>
    <xf numFmtId="0" fontId="20" fillId="0" borderId="0" applyFill="0" applyBorder="0" applyProtection="0"/>
    <xf numFmtId="0" fontId="45" fillId="0" borderId="0"/>
    <xf numFmtId="38" fontId="104" fillId="0" borderId="0" applyFont="0" applyFill="0" applyBorder="0" applyAlignment="0" applyProtection="0"/>
    <xf numFmtId="0" fontId="45" fillId="0" borderId="0"/>
    <xf numFmtId="0" fontId="45" fillId="0" borderId="0"/>
    <xf numFmtId="0" fontId="10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70" fontId="100" fillId="0" borderId="0">
      <protection locked="0"/>
    </xf>
    <xf numFmtId="0" fontId="10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0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0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70" fontId="100" fillId="0" borderId="0">
      <protection locked="0"/>
    </xf>
    <xf numFmtId="0" fontId="100" fillId="0" borderId="0">
      <protection locked="0"/>
    </xf>
    <xf numFmtId="272"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72" fontId="20" fillId="0" borderId="0">
      <protection locked="0"/>
    </xf>
    <xf numFmtId="272"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72" fontId="20" fillId="0" borderId="0">
      <protection locked="0"/>
    </xf>
    <xf numFmtId="272" fontId="20" fillId="0" borderId="0">
      <protection locked="0"/>
    </xf>
    <xf numFmtId="272"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0" fontId="10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100" fillId="0" borderId="0">
      <protection locked="0"/>
    </xf>
    <xf numFmtId="196" fontId="20" fillId="0" borderId="0">
      <protection locked="0"/>
    </xf>
    <xf numFmtId="196" fontId="20" fillId="0" borderId="0">
      <protection locked="0"/>
    </xf>
    <xf numFmtId="196" fontId="20" fillId="0" borderId="0">
      <protection locked="0"/>
    </xf>
    <xf numFmtId="0" fontId="100" fillId="0" borderId="0">
      <protection locked="0"/>
    </xf>
    <xf numFmtId="0" fontId="100" fillId="0" borderId="0">
      <protection locked="0"/>
    </xf>
    <xf numFmtId="0" fontId="100" fillId="0" borderId="0">
      <protection locked="0"/>
    </xf>
    <xf numFmtId="196" fontId="20" fillId="0" borderId="0">
      <protection locked="0"/>
    </xf>
    <xf numFmtId="196" fontId="20" fillId="0" borderId="0">
      <protection locked="0"/>
    </xf>
    <xf numFmtId="196" fontId="20" fillId="0" borderId="0">
      <protection locked="0"/>
    </xf>
    <xf numFmtId="0" fontId="100" fillId="0" borderId="0">
      <protection locked="0"/>
    </xf>
    <xf numFmtId="0" fontId="10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0"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0" fontId="100" fillId="0" borderId="0">
      <protection locked="0"/>
    </xf>
    <xf numFmtId="0" fontId="100" fillId="0" borderId="0">
      <protection locked="0"/>
    </xf>
    <xf numFmtId="270" fontId="100" fillId="0" borderId="0">
      <protection locked="0"/>
    </xf>
    <xf numFmtId="0" fontId="45" fillId="0" borderId="0"/>
    <xf numFmtId="0" fontId="104" fillId="0" borderId="185">
      <alignment horizontal="center"/>
    </xf>
    <xf numFmtId="0" fontId="104" fillId="0" borderId="185">
      <alignment horizontal="center"/>
    </xf>
    <xf numFmtId="0" fontId="156" fillId="0" borderId="0"/>
    <xf numFmtId="9" fontId="101" fillId="3" borderId="0" applyBorder="0">
      <alignment vertical="center"/>
    </xf>
    <xf numFmtId="178" fontId="101" fillId="3" borderId="0" applyBorder="0">
      <alignment vertical="center"/>
    </xf>
    <xf numFmtId="273" fontId="181" fillId="0" borderId="146" applyFill="0" applyBorder="0" applyProtection="0">
      <alignment horizontal="right" vertical="center"/>
    </xf>
    <xf numFmtId="273" fontId="181" fillId="0" borderId="146" applyFill="0" applyBorder="0" applyProtection="0">
      <alignment horizontal="right" vertical="center"/>
    </xf>
    <xf numFmtId="273" fontId="181" fillId="0" borderId="146" applyFill="0" applyBorder="0" applyProtection="0">
      <alignment horizontal="right" vertical="center"/>
    </xf>
    <xf numFmtId="0" fontId="25" fillId="0" borderId="10" applyNumberFormat="0" applyFont="0" applyFill="0" applyAlignment="0">
      <alignment horizontal="center" vertical="center"/>
    </xf>
    <xf numFmtId="0" fontId="101" fillId="0" borderId="0" applyFont="0" applyFill="0" applyBorder="0" applyAlignment="0" applyProtection="0"/>
    <xf numFmtId="274" fontId="119" fillId="0" borderId="146">
      <alignment vertical="center"/>
    </xf>
    <xf numFmtId="274" fontId="119" fillId="0" borderId="146">
      <alignment vertical="center"/>
    </xf>
    <xf numFmtId="274" fontId="119" fillId="0" borderId="146">
      <alignment vertical="center"/>
    </xf>
    <xf numFmtId="270" fontId="182" fillId="64" borderId="186">
      <protection locked="0"/>
    </xf>
    <xf numFmtId="0" fontId="101" fillId="0" borderId="0" applyFont="0" applyFill="0" applyBorder="0" applyAlignment="0" applyProtection="0"/>
    <xf numFmtId="0" fontId="35" fillId="0" borderId="0" applyFont="0" applyFill="0" applyBorder="0" applyAlignment="0" applyProtection="0"/>
    <xf numFmtId="270" fontId="182" fillId="64" borderId="186">
      <protection locked="0"/>
    </xf>
    <xf numFmtId="0" fontId="20" fillId="0" borderId="0" applyFont="0" applyFill="0" applyBorder="0" applyAlignment="0" applyProtection="0"/>
    <xf numFmtId="0" fontId="28" fillId="0" borderId="0"/>
    <xf numFmtId="0" fontId="45" fillId="0" borderId="0" applyFont="0" applyFill="0" applyBorder="0" applyAlignment="0" applyProtection="0"/>
    <xf numFmtId="0" fontId="45" fillId="0" borderId="0" applyFont="0" applyFill="0" applyBorder="0" applyAlignment="0" applyProtection="0"/>
    <xf numFmtId="0" fontId="183" fillId="0" borderId="0" applyNumberFormat="0" applyFill="0" applyBorder="0" applyAlignment="0" applyProtection="0"/>
    <xf numFmtId="0" fontId="28" fillId="0" borderId="0" applyFont="0" applyFill="0" applyBorder="0" applyAlignment="0" applyProtection="0"/>
    <xf numFmtId="0" fontId="45" fillId="0" borderId="0" applyFont="0" applyFill="0" applyBorder="0" applyAlignment="0" applyProtection="0"/>
    <xf numFmtId="0" fontId="184"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0" fontId="101" fillId="0" borderId="0" applyFont="0" applyFill="0" applyBorder="0" applyAlignment="0" applyProtection="0"/>
    <xf numFmtId="0" fontId="185" fillId="0" borderId="0"/>
    <xf numFmtId="275" fontId="20" fillId="64" borderId="186">
      <protection locked="0"/>
    </xf>
    <xf numFmtId="0" fontId="35" fillId="0" borderId="0" applyFont="0" applyFill="0" applyBorder="0" applyAlignment="0" applyProtection="0"/>
    <xf numFmtId="0" fontId="35" fillId="0" borderId="0" applyFont="0" applyFill="0" applyBorder="0" applyAlignment="0" applyProtection="0"/>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275" fontId="20" fillId="64" borderId="186">
      <protection locked="0"/>
    </xf>
    <xf numFmtId="0" fontId="45" fillId="0" borderId="0" applyNumberFormat="0" applyFill="0" applyBorder="0" applyAlignment="0" applyProtection="0"/>
    <xf numFmtId="0" fontId="186" fillId="65" borderId="0"/>
    <xf numFmtId="0" fontId="35" fillId="0" borderId="0" applyFont="0" applyFill="0" applyBorder="0" applyAlignment="0" applyProtection="0"/>
    <xf numFmtId="206" fontId="45" fillId="0" borderId="0" applyFont="0" applyFill="0" applyBorder="0" applyAlignment="0" applyProtection="0"/>
    <xf numFmtId="38" fontId="104" fillId="0" borderId="0" applyFont="0" applyFill="0" applyBorder="0" applyAlignment="0" applyProtection="0"/>
    <xf numFmtId="0" fontId="104" fillId="0" borderId="0"/>
    <xf numFmtId="0" fontId="104" fillId="0" borderId="0"/>
    <xf numFmtId="0" fontId="20" fillId="0" borderId="0"/>
    <xf numFmtId="0" fontId="20" fillId="0" borderId="0"/>
    <xf numFmtId="0" fontId="20" fillId="0" borderId="0"/>
    <xf numFmtId="0" fontId="50" fillId="0" borderId="0" applyFont="0" applyFill="0" applyBorder="0" applyAlignment="0" applyProtection="0"/>
    <xf numFmtId="0" fontId="28" fillId="0" borderId="0"/>
    <xf numFmtId="0" fontId="45" fillId="0" borderId="0"/>
    <xf numFmtId="212" fontId="45" fillId="0" borderId="0" applyNumberFormat="0"/>
    <xf numFmtId="212" fontId="45" fillId="0" borderId="0" applyNumberFormat="0"/>
    <xf numFmtId="0" fontId="20" fillId="0" borderId="0" applyFont="0" applyFill="0" applyBorder="0" applyAlignment="0" applyProtection="0"/>
    <xf numFmtId="0" fontId="20" fillId="0" borderId="0" applyFont="0" applyFill="0" applyBorder="0" applyAlignment="0" applyProtection="0"/>
    <xf numFmtId="41" fontId="187" fillId="0" borderId="0" applyFont="0" applyFill="0" applyBorder="0" applyAlignment="0" applyProtection="0"/>
    <xf numFmtId="199" fontId="187" fillId="0" borderId="0" applyFont="0" applyFill="0" applyBorder="0" applyAlignment="0" applyProtection="0"/>
    <xf numFmtId="0" fontId="28" fillId="0" borderId="0"/>
    <xf numFmtId="41" fontId="18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45" fillId="0" borderId="0"/>
    <xf numFmtId="0" fontId="50" fillId="0" borderId="0"/>
    <xf numFmtId="0" fontId="45" fillId="0" borderId="0"/>
    <xf numFmtId="0" fontId="45" fillId="0" borderId="0"/>
    <xf numFmtId="0" fontId="50" fillId="0" borderId="0" applyFont="0" applyFill="0" applyBorder="0" applyAlignment="0" applyProtection="0"/>
    <xf numFmtId="0" fontId="50" fillId="0" borderId="0" applyFont="0" applyFill="0" applyBorder="0" applyAlignment="0" applyProtection="0"/>
    <xf numFmtId="0" fontId="45" fillId="0" borderId="0"/>
    <xf numFmtId="0" fontId="45" fillId="0" borderId="0"/>
    <xf numFmtId="0" fontId="45" fillId="0" borderId="0"/>
    <xf numFmtId="0" fontId="45" fillId="0" borderId="0"/>
    <xf numFmtId="0" fontId="104" fillId="0" borderId="0"/>
    <xf numFmtId="0" fontId="50" fillId="0" borderId="0" applyFont="0" applyFill="0" applyBorder="0" applyAlignment="0" applyProtection="0"/>
    <xf numFmtId="0" fontId="50" fillId="0" borderId="0" applyFont="0" applyFill="0" applyBorder="0" applyAlignment="0" applyProtection="0"/>
    <xf numFmtId="212" fontId="45" fillId="0" borderId="0" applyNumberFormat="0"/>
    <xf numFmtId="253" fontId="20" fillId="0" borderId="0" applyFont="0" applyFill="0" applyBorder="0" applyAlignment="0" applyProtection="0"/>
    <xf numFmtId="0" fontId="50" fillId="0" borderId="0" applyFont="0" applyFill="0" applyBorder="0" applyAlignment="0" applyProtection="0"/>
    <xf numFmtId="253" fontId="20" fillId="0" borderId="0" applyFont="0" applyFill="0" applyBorder="0" applyAlignment="0" applyProtection="0"/>
    <xf numFmtId="0" fontId="45" fillId="0" borderId="0"/>
    <xf numFmtId="0" fontId="50" fillId="0" borderId="0" applyFont="0" applyFill="0" applyBorder="0" applyAlignment="0" applyProtection="0"/>
    <xf numFmtId="0" fontId="45" fillId="0" borderId="0"/>
    <xf numFmtId="201" fontId="20" fillId="0" borderId="0" applyFont="0" applyFill="0" applyBorder="0" applyAlignment="0" applyProtection="0"/>
    <xf numFmtId="253" fontId="20" fillId="0" borderId="0" applyFont="0" applyFill="0" applyBorder="0" applyAlignment="0" applyProtection="0"/>
    <xf numFmtId="0" fontId="104" fillId="0" borderId="0"/>
    <xf numFmtId="0" fontId="10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199" fontId="18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0" fillId="0" borderId="0">
      <protection locked="0"/>
    </xf>
    <xf numFmtId="253" fontId="20" fillId="0" borderId="0" applyFont="0" applyFill="0" applyBorder="0" applyAlignment="0" applyProtection="0"/>
    <xf numFmtId="253" fontId="20" fillId="0" borderId="0" applyFont="0" applyFill="0" applyBorder="0" applyAlignment="0" applyProtection="0"/>
    <xf numFmtId="253" fontId="188" fillId="0" borderId="0" applyFont="0" applyFill="0" applyBorder="0" applyAlignment="0" applyProtection="0"/>
    <xf numFmtId="253" fontId="20" fillId="0" borderId="0" applyFont="0" applyFill="0" applyBorder="0" applyAlignment="0" applyProtection="0"/>
    <xf numFmtId="41" fontId="187" fillId="0" borderId="0" applyFont="0" applyFill="0" applyBorder="0" applyAlignment="0" applyProtection="0"/>
    <xf numFmtId="0" fontId="45" fillId="0" borderId="0"/>
    <xf numFmtId="253" fontId="20" fillId="0" borderId="0" applyFont="0" applyFill="0" applyBorder="0" applyAlignment="0" applyProtection="0"/>
    <xf numFmtId="0" fontId="20" fillId="0" borderId="0"/>
    <xf numFmtId="0" fontId="50" fillId="0" borderId="0" applyFont="0" applyFill="0" applyBorder="0" applyAlignment="0" applyProtection="0"/>
    <xf numFmtId="0" fontId="50" fillId="0" borderId="0" applyFont="0" applyFill="0" applyBorder="0" applyAlignment="0" applyProtection="0"/>
    <xf numFmtId="0" fontId="20" fillId="0" borderId="0" applyFont="0" applyFill="0" applyBorder="0" applyAlignment="0" applyProtection="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20" fillId="0" borderId="0"/>
    <xf numFmtId="0" fontId="20" fillId="0" borderId="0"/>
    <xf numFmtId="0" fontId="20" fillId="0" borderId="0"/>
    <xf numFmtId="0" fontId="50" fillId="0" borderId="0" applyFont="0" applyFill="0" applyBorder="0" applyAlignment="0" applyProtection="0"/>
    <xf numFmtId="253" fontId="20" fillId="0" borderId="0" applyFont="0" applyFill="0" applyBorder="0" applyAlignment="0" applyProtection="0"/>
    <xf numFmtId="41" fontId="187" fillId="0" borderId="0" applyFont="0" applyFill="0" applyBorder="0" applyAlignment="0" applyProtection="0"/>
    <xf numFmtId="0" fontId="104" fillId="0" borderId="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270" fontId="100" fillId="0" borderId="0">
      <protection locked="0"/>
    </xf>
    <xf numFmtId="253" fontId="188" fillId="0" borderId="0" applyFont="0" applyFill="0" applyBorder="0" applyAlignment="0" applyProtection="0"/>
    <xf numFmtId="0" fontId="45" fillId="0" borderId="0"/>
    <xf numFmtId="41" fontId="187" fillId="0" borderId="0" applyFont="0" applyFill="0" applyBorder="0" applyAlignment="0" applyProtection="0"/>
    <xf numFmtId="41" fontId="18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20" fillId="0" borderId="0" applyFont="0" applyFill="0" applyBorder="0" applyAlignment="0" applyProtection="0"/>
    <xf numFmtId="42" fontId="20" fillId="0" borderId="0" applyFont="0" applyFill="0" applyBorder="0" applyAlignment="0" applyProtection="0"/>
    <xf numFmtId="276" fontId="20" fillId="0" borderId="0" applyFont="0" applyFill="0" applyBorder="0" applyAlignment="0" applyProtection="0"/>
    <xf numFmtId="42" fontId="20" fillId="0" borderId="0" applyFont="0" applyFill="0" applyBorder="0" applyAlignment="0" applyProtection="0"/>
    <xf numFmtId="276" fontId="20" fillId="0" borderId="0" applyFont="0" applyFill="0" applyBorder="0" applyAlignment="0" applyProtection="0"/>
    <xf numFmtId="0" fontId="156" fillId="0" borderId="0"/>
    <xf numFmtId="0" fontId="45" fillId="0" borderId="0"/>
    <xf numFmtId="41" fontId="18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70" fontId="100" fillId="0" borderId="0">
      <protection locked="0"/>
    </xf>
    <xf numFmtId="270" fontId="100" fillId="0" borderId="0">
      <protection locked="0"/>
    </xf>
    <xf numFmtId="0" fontId="50" fillId="0" borderId="0" applyFont="0" applyFill="0" applyBorder="0" applyAlignment="0" applyProtection="0"/>
    <xf numFmtId="270" fontId="100" fillId="0" borderId="0">
      <protection locked="0"/>
    </xf>
    <xf numFmtId="270" fontId="100" fillId="0" borderId="0">
      <protection locked="0"/>
    </xf>
    <xf numFmtId="270" fontId="100" fillId="0" borderId="0">
      <protection locked="0"/>
    </xf>
    <xf numFmtId="0" fontId="100" fillId="0" borderId="0">
      <protection locked="0"/>
    </xf>
    <xf numFmtId="0" fontId="50" fillId="0" borderId="0" applyFont="0" applyFill="0" applyBorder="0" applyAlignment="0" applyProtection="0"/>
    <xf numFmtId="270" fontId="100" fillId="0" borderId="0">
      <protection locked="0"/>
    </xf>
    <xf numFmtId="270" fontId="100" fillId="0" borderId="0">
      <protection locked="0"/>
    </xf>
    <xf numFmtId="270" fontId="100" fillId="0" borderId="0">
      <protection locked="0"/>
    </xf>
    <xf numFmtId="0" fontId="50" fillId="0" borderId="0" applyFont="0" applyFill="0" applyBorder="0" applyAlignment="0" applyProtection="0"/>
    <xf numFmtId="0" fontId="104" fillId="0" borderId="0"/>
    <xf numFmtId="0" fontId="104" fillId="0" borderId="0"/>
    <xf numFmtId="0" fontId="28" fillId="0" borderId="0"/>
    <xf numFmtId="0" fontId="28" fillId="0" borderId="0" applyFont="0" applyFill="0" applyBorder="0" applyAlignment="0" applyProtection="0"/>
    <xf numFmtId="0" fontId="20"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applyFont="0" applyFill="0" applyBorder="0" applyAlignment="0" applyProtection="0"/>
    <xf numFmtId="0" fontId="50"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277" fontId="20" fillId="0" borderId="0" applyFont="0" applyFill="0" applyBorder="0" applyAlignment="0" applyProtection="0"/>
    <xf numFmtId="278" fontId="20" fillId="0" borderId="0" applyFont="0" applyFill="0" applyBorder="0" applyAlignment="0" applyProtection="0"/>
    <xf numFmtId="279" fontId="20" fillId="0" borderId="0" applyFont="0" applyFill="0" applyBorder="0" applyAlignment="0" applyProtection="0"/>
    <xf numFmtId="280" fontId="20" fillId="0" borderId="0" applyFont="0" applyFill="0" applyBorder="0" applyAlignment="0" applyProtection="0"/>
    <xf numFmtId="281" fontId="20" fillId="0" borderId="0" applyFont="0" applyFill="0" applyBorder="0" applyAlignment="0" applyProtection="0"/>
    <xf numFmtId="0" fontId="28" fillId="0" borderId="0" applyFont="0" applyFill="0" applyBorder="0" applyAlignment="0" applyProtection="0"/>
    <xf numFmtId="0" fontId="156" fillId="0" borderId="0"/>
    <xf numFmtId="0" fontId="20" fillId="0" borderId="0"/>
    <xf numFmtId="0" fontId="20" fillId="0" borderId="0"/>
    <xf numFmtId="0" fontId="20" fillId="0" borderId="0"/>
    <xf numFmtId="0" fontId="20" fillId="0" borderId="0"/>
    <xf numFmtId="0" fontId="104" fillId="0" borderId="0" applyFont="0" applyFill="0" applyBorder="0" applyAlignment="0" applyProtection="0"/>
    <xf numFmtId="0" fontId="156" fillId="0" borderId="0"/>
    <xf numFmtId="0" fontId="45" fillId="0" borderId="0" applyFont="0" applyFill="0" applyBorder="0" applyAlignment="0" applyProtection="0"/>
    <xf numFmtId="282" fontId="28" fillId="0" borderId="0" applyFont="0" applyFill="0" applyBorder="0" applyAlignment="0" applyProtection="0"/>
    <xf numFmtId="0" fontId="28" fillId="0" borderId="0"/>
    <xf numFmtId="0" fontId="45" fillId="0" borderId="0"/>
    <xf numFmtId="0" fontId="45" fillId="0" borderId="0"/>
    <xf numFmtId="0" fontId="45" fillId="0" borderId="0"/>
    <xf numFmtId="0" fontId="45" fillId="0" borderId="0"/>
    <xf numFmtId="0" fontId="50"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28" fillId="0" borderId="0" applyFont="0" applyFill="0" applyBorder="0" applyAlignment="0" applyProtection="0"/>
    <xf numFmtId="0" fontId="20" fillId="0" borderId="0"/>
    <xf numFmtId="0" fontId="20" fillId="0" borderId="0"/>
    <xf numFmtId="0" fontId="50" fillId="0" borderId="0" applyFont="0" applyFill="0" applyBorder="0" applyAlignment="0" applyProtection="0"/>
    <xf numFmtId="41" fontId="187" fillId="0" borderId="0" applyFont="0" applyFill="0" applyBorder="0" applyAlignment="0" applyProtection="0"/>
    <xf numFmtId="0" fontId="28" fillId="0" borderId="0" applyFont="0" applyFill="0" applyBorder="0" applyAlignment="0" applyProtection="0"/>
    <xf numFmtId="0" fontId="50" fillId="0" borderId="0" applyFont="0" applyFill="0" applyBorder="0" applyAlignment="0" applyProtection="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0" fillId="0" borderId="0">
      <protection locked="0"/>
    </xf>
    <xf numFmtId="0" fontId="45" fillId="0" borderId="0"/>
    <xf numFmtId="0" fontId="28" fillId="0" borderId="0" applyFont="0" applyFill="0" applyBorder="0" applyAlignment="0" applyProtection="0"/>
    <xf numFmtId="0" fontId="104" fillId="0" borderId="0"/>
    <xf numFmtId="270" fontId="100" fillId="0" borderId="0">
      <protection locked="0"/>
    </xf>
    <xf numFmtId="0" fontId="45" fillId="0" borderId="0"/>
    <xf numFmtId="41" fontId="187" fillId="0" borderId="0" applyFont="0" applyFill="0" applyBorder="0" applyAlignment="0" applyProtection="0"/>
    <xf numFmtId="270" fontId="100" fillId="0" borderId="0">
      <protection locked="0"/>
    </xf>
    <xf numFmtId="0" fontId="45" fillId="0" borderId="0"/>
    <xf numFmtId="0" fontId="45" fillId="0" borderId="0"/>
    <xf numFmtId="0" fontId="45" fillId="0" borderId="0"/>
    <xf numFmtId="0" fontId="104" fillId="0" borderId="0"/>
    <xf numFmtId="0" fontId="20" fillId="0" borderId="0"/>
    <xf numFmtId="42" fontId="35" fillId="0" borderId="0" applyFont="0" applyFill="0" applyBorder="0" applyAlignment="0" applyProtection="0"/>
    <xf numFmtId="253" fontId="35" fillId="0" borderId="0" applyFont="0" applyFill="0" applyBorder="0" applyAlignment="0" applyProtection="0"/>
    <xf numFmtId="0" fontId="45" fillId="0" borderId="0"/>
    <xf numFmtId="0" fontId="184" fillId="0" borderId="0" applyFont="0" applyFill="0" applyBorder="0" applyAlignment="0" applyProtection="0"/>
    <xf numFmtId="0" fontId="20" fillId="0" borderId="0"/>
    <xf numFmtId="0" fontId="20" fillId="0" borderId="0"/>
    <xf numFmtId="253" fontId="2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143" fillId="0" borderId="0"/>
    <xf numFmtId="41" fontId="187" fillId="0" borderId="0" applyFont="0" applyFill="0" applyBorder="0" applyAlignment="0" applyProtection="0"/>
    <xf numFmtId="0" fontId="28" fillId="0" borderId="0" applyFont="0" applyFill="0" applyBorder="0" applyAlignment="0" applyProtection="0"/>
    <xf numFmtId="0" fontId="143" fillId="0" borderId="0"/>
    <xf numFmtId="253" fontId="35" fillId="0" borderId="0" applyFont="0" applyFill="0" applyBorder="0" applyAlignment="0" applyProtection="0"/>
    <xf numFmtId="42" fontId="189" fillId="0" borderId="0" applyFont="0" applyFill="0" applyBorder="0" applyAlignment="0" applyProtection="0"/>
    <xf numFmtId="0" fontId="45" fillId="0" borderId="0"/>
    <xf numFmtId="0" fontId="45" fillId="0" borderId="0"/>
    <xf numFmtId="0" fontId="45" fillId="0" borderId="0"/>
    <xf numFmtId="0" fontId="45" fillId="0" borderId="0"/>
    <xf numFmtId="0" fontId="50" fillId="0" borderId="0" applyFont="0" applyFill="0" applyBorder="0" applyAlignment="0" applyProtection="0"/>
    <xf numFmtId="0" fontId="45" fillId="0" borderId="0"/>
    <xf numFmtId="0" fontId="104" fillId="0" borderId="0"/>
    <xf numFmtId="0" fontId="45" fillId="0" borderId="0"/>
    <xf numFmtId="0" fontId="156" fillId="0" borderId="0"/>
    <xf numFmtId="0" fontId="28" fillId="0" borderId="0" applyFont="0" applyFill="0" applyBorder="0" applyAlignment="0" applyProtection="0"/>
    <xf numFmtId="0" fontId="50" fillId="0" borderId="0" applyFont="0" applyFill="0" applyBorder="0" applyAlignment="0" applyProtection="0"/>
    <xf numFmtId="0"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50" fillId="0" borderId="0" applyFont="0" applyFill="0" applyBorder="0" applyAlignment="0" applyProtection="0"/>
    <xf numFmtId="0" fontId="50" fillId="0" borderId="0" applyFont="0" applyFill="0" applyBorder="0" applyAlignment="0" applyProtection="0"/>
    <xf numFmtId="0" fontId="45" fillId="0" borderId="0"/>
    <xf numFmtId="0" fontId="45" fillId="0" borderId="0"/>
    <xf numFmtId="270" fontId="100" fillId="0" borderId="0">
      <protection locked="0"/>
    </xf>
    <xf numFmtId="253" fontId="20" fillId="0" borderId="0" applyFont="0" applyFill="0" applyBorder="0" applyAlignment="0" applyProtection="0"/>
    <xf numFmtId="0" fontId="50" fillId="0" borderId="0" applyFont="0" applyFill="0" applyBorder="0" applyAlignment="0" applyProtection="0"/>
    <xf numFmtId="0" fontId="45" fillId="0" borderId="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104" fillId="0" borderId="0"/>
    <xf numFmtId="0" fontId="104" fillId="0" borderId="0"/>
    <xf numFmtId="0" fontId="28" fillId="0" borderId="0" applyFont="0" applyFill="0" applyBorder="0" applyAlignment="0" applyProtection="0"/>
    <xf numFmtId="0" fontId="50" fillId="0" borderId="0"/>
    <xf numFmtId="270" fontId="100" fillId="0" borderId="0">
      <protection locked="0"/>
    </xf>
    <xf numFmtId="0" fontId="50" fillId="0" borderId="0"/>
    <xf numFmtId="0" fontId="45" fillId="0" borderId="0"/>
    <xf numFmtId="0" fontId="45" fillId="0" borderId="0"/>
    <xf numFmtId="0" fontId="45" fillId="0" borderId="0"/>
    <xf numFmtId="0" fontId="45" fillId="0" borderId="0"/>
    <xf numFmtId="41" fontId="187" fillId="0" borderId="0" applyFont="0" applyFill="0" applyBorder="0" applyAlignment="0" applyProtection="0"/>
    <xf numFmtId="0" fontId="50" fillId="0" borderId="0" applyFont="0" applyFill="0" applyBorder="0" applyAlignment="0" applyProtection="0"/>
    <xf numFmtId="0" fontId="45" fillId="0" borderId="0"/>
    <xf numFmtId="0" fontId="45" fillId="0" borderId="0"/>
    <xf numFmtId="0" fontId="45" fillId="0" borderId="0"/>
    <xf numFmtId="0" fontId="50" fillId="0" borderId="0" applyFont="0" applyFill="0" applyBorder="0" applyAlignment="0" applyProtection="0"/>
    <xf numFmtId="0" fontId="2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104" fillId="0" borderId="0"/>
    <xf numFmtId="0" fontId="104" fillId="0" borderId="0"/>
    <xf numFmtId="41" fontId="187" fillId="0" borderId="0" applyFont="0" applyFill="0" applyBorder="0" applyAlignment="0" applyProtection="0"/>
    <xf numFmtId="41" fontId="187" fillId="0" borderId="0" applyFont="0" applyFill="0" applyBorder="0" applyAlignment="0" applyProtection="0"/>
    <xf numFmtId="0" fontId="50" fillId="0" borderId="0" applyFont="0" applyFill="0" applyBorder="0" applyAlignment="0" applyProtection="0"/>
    <xf numFmtId="270" fontId="100" fillId="0" borderId="0">
      <protection locked="0"/>
    </xf>
    <xf numFmtId="0" fontId="104" fillId="0" borderId="0"/>
    <xf numFmtId="0" fontId="104" fillId="0" borderId="0"/>
    <xf numFmtId="0" fontId="45" fillId="0" borderId="0"/>
    <xf numFmtId="0" fontId="45" fillId="0" borderId="0"/>
    <xf numFmtId="41" fontId="187" fillId="0" borderId="0" applyFont="0" applyFill="0" applyBorder="0" applyAlignment="0" applyProtection="0"/>
    <xf numFmtId="0" fontId="104" fillId="0" borderId="0"/>
    <xf numFmtId="0" fontId="45" fillId="0" borderId="0"/>
    <xf numFmtId="0" fontId="50" fillId="0" borderId="0"/>
    <xf numFmtId="0" fontId="45" fillId="0" borderId="0" applyFont="0" applyFill="0" applyBorder="0" applyAlignment="0" applyProtection="0"/>
    <xf numFmtId="0" fontId="100" fillId="0" borderId="0">
      <protection locked="0"/>
    </xf>
    <xf numFmtId="0" fontId="20" fillId="0" borderId="0"/>
    <xf numFmtId="0" fontId="20" fillId="0" borderId="0"/>
    <xf numFmtId="41" fontId="18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0" fillId="0" borderId="0" applyFont="0" applyFill="0" applyBorder="0" applyAlignment="0" applyProtection="0"/>
    <xf numFmtId="0" fontId="50" fillId="0" borderId="0" applyFont="0" applyFill="0" applyBorder="0" applyAlignment="0" applyProtection="0"/>
    <xf numFmtId="0" fontId="45" fillId="0" borderId="0"/>
    <xf numFmtId="0" fontId="45" fillId="0" borderId="0"/>
    <xf numFmtId="41" fontId="187" fillId="0" borderId="0" applyFont="0" applyFill="0" applyBorder="0" applyAlignment="0" applyProtection="0"/>
    <xf numFmtId="271" fontId="20" fillId="0" borderId="0">
      <protection locked="0"/>
    </xf>
    <xf numFmtId="271" fontId="20" fillId="0" borderId="0">
      <protection locked="0"/>
    </xf>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104" fillId="0" borderId="0"/>
    <xf numFmtId="0" fontId="2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45" fillId="0" borderId="0"/>
    <xf numFmtId="270" fontId="100" fillId="0" borderId="0">
      <protection locked="0"/>
    </xf>
    <xf numFmtId="0" fontId="50" fillId="0" borderId="0" applyFont="0" applyFill="0" applyBorder="0" applyAlignment="0" applyProtection="0"/>
    <xf numFmtId="0" fontId="100" fillId="0" borderId="0">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0" fontId="104" fillId="0" borderId="0" applyFont="0" applyFill="0" applyBorder="0" applyAlignment="0" applyProtection="0"/>
    <xf numFmtId="0"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40" fontId="104" fillId="0" borderId="0" applyFont="0" applyFill="0" applyBorder="0" applyAlignment="0" applyProtection="0"/>
    <xf numFmtId="0"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40" fontId="104" fillId="0" borderId="0" applyFont="0" applyFill="0" applyBorder="0" applyAlignment="0" applyProtection="0"/>
    <xf numFmtId="0"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40" fontId="104"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72" fontId="20" fillId="0" borderId="0">
      <protection locked="0"/>
    </xf>
    <xf numFmtId="272" fontId="20" fillId="0" borderId="0">
      <protection locked="0"/>
    </xf>
    <xf numFmtId="0" fontId="45" fillId="0" borderId="0"/>
    <xf numFmtId="0" fontId="45" fillId="0" borderId="0"/>
    <xf numFmtId="0" fontId="50" fillId="0" borderId="0" applyFont="0" applyFill="0" applyBorder="0" applyAlignment="0" applyProtection="0"/>
    <xf numFmtId="0" fontId="45" fillId="0" borderId="0"/>
    <xf numFmtId="0" fontId="50" fillId="0" borderId="0" applyFont="0" applyFill="0" applyBorder="0" applyAlignment="0" applyProtection="0"/>
    <xf numFmtId="0" fontId="45" fillId="0" borderId="0"/>
    <xf numFmtId="0" fontId="45" fillId="0" borderId="0"/>
    <xf numFmtId="0" fontId="20" fillId="0" borderId="0"/>
    <xf numFmtId="0" fontId="20" fillId="0" borderId="0"/>
    <xf numFmtId="0" fontId="20" fillId="0" borderId="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0" fontId="50" fillId="0" borderId="0" applyFont="0" applyFill="0" applyBorder="0" applyAlignment="0" applyProtection="0"/>
    <xf numFmtId="42" fontId="189" fillId="0" borderId="0" applyFont="0" applyFill="0" applyBorder="0" applyAlignment="0" applyProtection="0"/>
    <xf numFmtId="0" fontId="45" fillId="0" borderId="0"/>
    <xf numFmtId="253" fontId="35" fillId="0" borderId="0" applyFont="0" applyFill="0" applyBorder="0" applyAlignment="0" applyProtection="0"/>
    <xf numFmtId="253" fontId="20" fillId="0" borderId="0" applyFont="0" applyFill="0" applyBorder="0" applyAlignment="0" applyProtection="0"/>
    <xf numFmtId="0" fontId="45" fillId="0" borderId="0"/>
    <xf numFmtId="0" fontId="45" fillId="0" borderId="0"/>
    <xf numFmtId="0" fontId="104" fillId="0" borderId="0"/>
    <xf numFmtId="0" fontId="156" fillId="0" borderId="0"/>
    <xf numFmtId="42" fontId="20" fillId="0" borderId="0" applyFont="0" applyFill="0" applyBorder="0" applyAlignment="0" applyProtection="0"/>
    <xf numFmtId="276" fontId="20" fillId="0" borderId="0" applyFont="0" applyFill="0" applyBorder="0" applyAlignment="0" applyProtection="0"/>
    <xf numFmtId="0" fontId="190" fillId="0" borderId="0" applyProtection="0"/>
    <xf numFmtId="0" fontId="45" fillId="0" borderId="0"/>
    <xf numFmtId="0" fontId="50" fillId="0" borderId="0" applyFont="0" applyFill="0" applyBorder="0" applyAlignment="0" applyProtection="0"/>
    <xf numFmtId="0" fontId="50" fillId="0" borderId="0" applyFont="0" applyFill="0" applyBorder="0" applyAlignment="0" applyProtection="0"/>
    <xf numFmtId="0" fontId="104" fillId="0" borderId="0"/>
    <xf numFmtId="253" fontId="20" fillId="0" borderId="0" applyFont="0" applyFill="0" applyBorder="0" applyAlignment="0" applyProtection="0"/>
    <xf numFmtId="41" fontId="187" fillId="0" borderId="0" applyFont="0" applyFill="0" applyBorder="0" applyAlignment="0" applyProtection="0"/>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0" fontId="100" fillId="0" borderId="0">
      <protection locked="0"/>
    </xf>
    <xf numFmtId="0" fontId="45" fillId="0" borderId="0"/>
    <xf numFmtId="0" fontId="45" fillId="0" borderId="0"/>
    <xf numFmtId="270" fontId="100" fillId="0" borderId="0">
      <protection locked="0"/>
    </xf>
    <xf numFmtId="270" fontId="100" fillId="0" borderId="0">
      <protection locked="0"/>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82" fontId="28"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0" fontId="50" fillId="0" borderId="0"/>
    <xf numFmtId="0" fontId="45" fillId="0" borderId="0"/>
    <xf numFmtId="0" fontId="104" fillId="0" borderId="0"/>
    <xf numFmtId="0" fontId="45" fillId="0" borderId="0"/>
    <xf numFmtId="0" fontId="45" fillId="0" borderId="0"/>
    <xf numFmtId="0" fontId="50" fillId="0" borderId="0"/>
    <xf numFmtId="41" fontId="18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41" fontId="18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0" fillId="0" borderId="0"/>
    <xf numFmtId="0" fontId="45" fillId="0" borderId="0"/>
    <xf numFmtId="0" fontId="28"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0" fontId="28" fillId="0" borderId="0" applyFont="0" applyFill="0" applyBorder="0" applyAlignment="0" applyProtection="0"/>
    <xf numFmtId="41" fontId="187"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43" fillId="0" borderId="0"/>
    <xf numFmtId="0" fontId="45" fillId="0" borderId="0"/>
    <xf numFmtId="0" fontId="45" fillId="0" borderId="0"/>
    <xf numFmtId="253" fontId="20" fillId="0" borderId="0" applyFont="0" applyFill="0" applyBorder="0" applyAlignment="0" applyProtection="0"/>
    <xf numFmtId="0" fontId="45" fillId="0" borderId="0"/>
    <xf numFmtId="0" fontId="45" fillId="0" borderId="0"/>
    <xf numFmtId="0" fontId="45" fillId="0" borderId="0"/>
    <xf numFmtId="0" fontId="45" fillId="0" borderId="0"/>
    <xf numFmtId="0" fontId="5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45" fillId="0" borderId="0"/>
    <xf numFmtId="0" fontId="45" fillId="0" borderId="0"/>
    <xf numFmtId="0" fontId="28" fillId="0" borderId="0" applyFont="0" applyFill="0" applyBorder="0" applyAlignment="0" applyProtection="0"/>
    <xf numFmtId="41" fontId="187" fillId="0" borderId="0" applyFont="0" applyFill="0" applyBorder="0" applyAlignment="0" applyProtection="0"/>
    <xf numFmtId="0" fontId="190" fillId="0" borderId="0" applyProtection="0"/>
    <xf numFmtId="0" fontId="156" fillId="0" borderId="0"/>
    <xf numFmtId="0" fontId="104" fillId="0" borderId="0"/>
    <xf numFmtId="0" fontId="45" fillId="0" borderId="0"/>
    <xf numFmtId="0" fontId="45" fillId="0" borderId="0"/>
    <xf numFmtId="0" fontId="45" fillId="0" borderId="0"/>
    <xf numFmtId="0" fontId="104" fillId="0" borderId="0"/>
    <xf numFmtId="0" fontId="104" fillId="0" borderId="0"/>
    <xf numFmtId="0" fontId="20" fillId="0" borderId="0"/>
    <xf numFmtId="0" fontId="50" fillId="0" borderId="0" applyFont="0" applyFill="0" applyBorder="0" applyAlignment="0" applyProtection="0"/>
    <xf numFmtId="0" fontId="45" fillId="0" borderId="0"/>
    <xf numFmtId="0" fontId="156" fillId="0" borderId="0"/>
    <xf numFmtId="0" fontId="45" fillId="0" borderId="0"/>
    <xf numFmtId="0" fontId="45" fillId="0" borderId="0"/>
    <xf numFmtId="0" fontId="104" fillId="0" borderId="0"/>
    <xf numFmtId="41" fontId="187" fillId="0" borderId="0" applyFont="0" applyFill="0" applyBorder="0" applyAlignment="0" applyProtection="0"/>
    <xf numFmtId="0" fontId="45" fillId="0" borderId="0"/>
    <xf numFmtId="0" fontId="50"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253" fontId="20" fillId="0" borderId="0" applyFont="0" applyFill="0" applyBorder="0" applyAlignment="0" applyProtection="0"/>
    <xf numFmtId="0" fontId="45" fillId="0" borderId="0"/>
    <xf numFmtId="253" fontId="35" fillId="0" borderId="0" applyFont="0" applyFill="0" applyBorder="0" applyAlignment="0" applyProtection="0"/>
    <xf numFmtId="42" fontId="35"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45" fillId="0" borderId="0"/>
    <xf numFmtId="0" fontId="45" fillId="0" borderId="0"/>
    <xf numFmtId="0" fontId="50" fillId="0" borderId="0" applyFont="0" applyFill="0" applyBorder="0" applyAlignment="0" applyProtection="0"/>
    <xf numFmtId="0" fontId="50" fillId="0" borderId="0"/>
    <xf numFmtId="0" fontId="50" fillId="0" borderId="0" applyFont="0" applyFill="0" applyBorder="0" applyAlignment="0" applyProtection="0"/>
    <xf numFmtId="0" fontId="45" fillId="0" borderId="0"/>
    <xf numFmtId="0" fontId="143" fillId="0" borderId="0"/>
    <xf numFmtId="0" fontId="50" fillId="0" borderId="0" applyFont="0" applyFill="0" applyBorder="0" applyAlignment="0" applyProtection="0"/>
    <xf numFmtId="0" fontId="45" fillId="0" borderId="0"/>
    <xf numFmtId="0" fontId="50" fillId="0" borderId="0" applyFont="0" applyFill="0" applyBorder="0" applyAlignment="0" applyProtection="0"/>
    <xf numFmtId="0" fontId="50" fillId="0" borderId="0" applyFont="0" applyFill="0" applyBorder="0" applyAlignment="0" applyProtection="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143" fillId="0" borderId="0"/>
    <xf numFmtId="0" fontId="20" fillId="0" borderId="0"/>
    <xf numFmtId="0" fontId="20" fillId="0" borderId="0"/>
    <xf numFmtId="0" fontId="20" fillId="0" borderId="0"/>
    <xf numFmtId="0" fontId="20" fillId="0" borderId="0"/>
    <xf numFmtId="0" fontId="20" fillId="0" borderId="0"/>
    <xf numFmtId="0" fontId="20" fillId="0" borderId="0"/>
    <xf numFmtId="41" fontId="187" fillId="0" borderId="0" applyFont="0" applyFill="0" applyBorder="0" applyAlignment="0" applyProtection="0"/>
    <xf numFmtId="0" fontId="45"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0" fillId="0" borderId="0"/>
    <xf numFmtId="196" fontId="20" fillId="0" borderId="0">
      <protection locked="0"/>
    </xf>
    <xf numFmtId="196" fontId="20" fillId="0" borderId="0">
      <protection locked="0"/>
    </xf>
    <xf numFmtId="0" fontId="45" fillId="0" borderId="0"/>
    <xf numFmtId="0" fontId="104" fillId="0" borderId="0"/>
    <xf numFmtId="0" fontId="45" fillId="0" borderId="0"/>
    <xf numFmtId="0" fontId="50" fillId="0" borderId="0" applyFont="0" applyFill="0" applyBorder="0" applyAlignment="0" applyProtection="0"/>
    <xf numFmtId="0" fontId="20" fillId="0" borderId="0"/>
    <xf numFmtId="0" fontId="20" fillId="0" borderId="0"/>
    <xf numFmtId="0" fontId="50" fillId="0" borderId="0" applyFont="0" applyFill="0" applyBorder="0" applyAlignment="0" applyProtection="0"/>
    <xf numFmtId="0" fontId="45" fillId="0" borderId="0"/>
    <xf numFmtId="270" fontId="100" fillId="0" borderId="0">
      <protection locked="0"/>
    </xf>
    <xf numFmtId="0" fontId="50" fillId="0" borderId="0" applyFont="0" applyFill="0" applyBorder="0" applyAlignment="0" applyProtection="0"/>
    <xf numFmtId="0" fontId="143" fillId="0" borderId="0"/>
    <xf numFmtId="0" fontId="45" fillId="0" borderId="0"/>
    <xf numFmtId="41" fontId="187" fillId="0" borderId="0" applyFont="0" applyFill="0" applyBorder="0" applyAlignment="0" applyProtection="0"/>
    <xf numFmtId="41" fontId="187" fillId="0" borderId="0" applyFont="0" applyFill="0" applyBorder="0" applyAlignment="0" applyProtection="0"/>
    <xf numFmtId="41" fontId="187" fillId="0" borderId="0" applyFont="0" applyFill="0" applyBorder="0" applyAlignment="0" applyProtection="0"/>
    <xf numFmtId="0" fontId="50" fillId="0" borderId="0" applyFont="0" applyFill="0" applyBorder="0" applyAlignment="0" applyProtection="0"/>
    <xf numFmtId="0" fontId="20" fillId="0" borderId="0" applyFont="0" applyFill="0" applyBorder="0" applyAlignment="0" applyProtection="0"/>
    <xf numFmtId="0" fontId="143" fillId="0" borderId="0"/>
    <xf numFmtId="270" fontId="100" fillId="0" borderId="0">
      <protection locked="0"/>
    </xf>
    <xf numFmtId="196" fontId="20" fillId="0" borderId="0">
      <protection locked="0"/>
    </xf>
    <xf numFmtId="196"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0" fontId="100" fillId="0" borderId="0">
      <protection locked="0"/>
    </xf>
    <xf numFmtId="270" fontId="100" fillId="0" borderId="0">
      <protection locked="0"/>
    </xf>
    <xf numFmtId="270" fontId="100" fillId="0" borderId="0">
      <protection locked="0"/>
    </xf>
    <xf numFmtId="270" fontId="100" fillId="0" borderId="0">
      <protection locked="0"/>
    </xf>
    <xf numFmtId="270" fontId="100" fillId="0" borderId="0">
      <protection locked="0"/>
    </xf>
    <xf numFmtId="270" fontId="100" fillId="0" borderId="0">
      <protection locked="0"/>
    </xf>
    <xf numFmtId="283" fontId="30" fillId="0" borderId="0" applyFont="0" applyFill="0" applyBorder="0" applyAlignment="0" applyProtection="0"/>
    <xf numFmtId="284" fontId="30" fillId="0" borderId="0" applyFont="0" applyFill="0" applyBorder="0" applyAlignment="0" applyProtection="0"/>
    <xf numFmtId="0" fontId="28" fillId="0" borderId="0" applyFont="0" applyFill="0" applyBorder="0" applyAlignment="0" applyProtection="0"/>
    <xf numFmtId="0" fontId="70" fillId="0" borderId="0"/>
    <xf numFmtId="285" fontId="156" fillId="0" borderId="0"/>
    <xf numFmtId="270" fontId="48" fillId="0" borderId="0">
      <protection locked="0"/>
    </xf>
    <xf numFmtId="0" fontId="53" fillId="0" borderId="0" applyNumberFormat="0" applyFill="0" applyBorder="0" applyAlignment="0" applyProtection="0">
      <alignment vertical="top"/>
      <protection locked="0"/>
    </xf>
    <xf numFmtId="0" fontId="35" fillId="0" borderId="0" applyFont="0" applyFill="0" applyBorder="0" applyAlignment="0" applyProtection="0"/>
    <xf numFmtId="270" fontId="191" fillId="0" borderId="0">
      <protection locked="0"/>
    </xf>
    <xf numFmtId="40" fontId="192" fillId="0" borderId="0" applyFont="0" applyFill="0" applyBorder="0" applyAlignment="0" applyProtection="0"/>
    <xf numFmtId="270" fontId="191" fillId="0" borderId="0">
      <protection locked="0"/>
    </xf>
    <xf numFmtId="0" fontId="193" fillId="0" borderId="0"/>
    <xf numFmtId="206" fontId="28" fillId="0" borderId="0" applyFont="0" applyFill="0" applyBorder="0" applyAlignment="0" applyProtection="0"/>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0">
      <alignment horizontal="center" vertical="center"/>
    </xf>
    <xf numFmtId="1" fontId="119" fillId="0" borderId="10">
      <alignment horizontal="center" vertical="center"/>
    </xf>
    <xf numFmtId="1" fontId="119" fillId="0" borderId="10">
      <alignment horizontal="center" vertical="center"/>
    </xf>
    <xf numFmtId="1" fontId="119" fillId="0" borderId="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206" fontId="108" fillId="0" borderId="146">
      <alignment vertical="center"/>
    </xf>
    <xf numFmtId="206" fontId="108" fillId="0" borderId="146">
      <alignment vertical="center"/>
    </xf>
    <xf numFmtId="206" fontId="108" fillId="0" borderId="146">
      <alignment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1" fontId="119" fillId="0" borderId="10">
      <alignment horizontal="center"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12"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6" fontId="20" fillId="0" borderId="0">
      <alignment vertical="center"/>
    </xf>
    <xf numFmtId="287" fontId="194" fillId="0" borderId="0">
      <alignmen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3" fontId="109" fillId="0" borderId="20">
      <alignment horizontal="right" vertical="center"/>
    </xf>
    <xf numFmtId="287" fontId="194" fillId="0" borderId="0">
      <alignment vertical="center"/>
    </xf>
    <xf numFmtId="0" fontId="70" fillId="0" borderId="0"/>
    <xf numFmtId="288" fontId="119" fillId="0" borderId="143" applyBorder="0">
      <alignment vertical="center" wrapText="1"/>
    </xf>
    <xf numFmtId="288" fontId="119" fillId="0" borderId="143" applyBorder="0">
      <alignment vertical="center" wrapText="1"/>
    </xf>
    <xf numFmtId="289" fontId="76" fillId="0" borderId="0">
      <alignment vertical="center"/>
    </xf>
    <xf numFmtId="0" fontId="20" fillId="0" borderId="0"/>
    <xf numFmtId="0" fontId="28" fillId="0" borderId="0"/>
    <xf numFmtId="0" fontId="105" fillId="0" borderId="0">
      <protection locked="0"/>
    </xf>
    <xf numFmtId="270" fontId="191" fillId="0" borderId="0">
      <protection locked="0"/>
    </xf>
    <xf numFmtId="9" fontId="35" fillId="0" borderId="0" applyFont="0" applyFill="0" applyBorder="0" applyAlignment="0" applyProtection="0"/>
    <xf numFmtId="0" fontId="28" fillId="0" borderId="0"/>
    <xf numFmtId="0" fontId="28" fillId="0" borderId="21">
      <alignment horizontal="center"/>
    </xf>
    <xf numFmtId="0" fontId="77" fillId="9" borderId="0" applyNumberFormat="0" applyBorder="0" applyAlignment="0" applyProtection="0"/>
    <xf numFmtId="0" fontId="77" fillId="9" borderId="0" applyNumberFormat="0" applyBorder="0" applyAlignment="0" applyProtection="0"/>
    <xf numFmtId="0" fontId="77" fillId="10" borderId="0" applyNumberFormat="0" applyBorder="0" applyAlignment="0" applyProtection="0"/>
    <xf numFmtId="0" fontId="77" fillId="10" borderId="0" applyNumberFormat="0" applyBorder="0" applyAlignment="0" applyProtection="0"/>
    <xf numFmtId="0" fontId="77" fillId="11" borderId="0" applyNumberFormat="0" applyBorder="0" applyAlignment="0" applyProtection="0"/>
    <xf numFmtId="0" fontId="77" fillId="11"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3" borderId="0" applyNumberFormat="0" applyBorder="0" applyAlignment="0" applyProtection="0"/>
    <xf numFmtId="0" fontId="77" fillId="13"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27" fillId="41" borderId="0" applyNumberFormat="0" applyBorder="0" applyAlignment="0" applyProtection="0">
      <alignment vertical="center"/>
    </xf>
    <xf numFmtId="0" fontId="19" fillId="9" borderId="0" applyNumberFormat="0" applyBorder="0" applyAlignment="0" applyProtection="0">
      <alignment vertical="center"/>
    </xf>
    <xf numFmtId="0" fontId="27" fillId="41" borderId="0" applyNumberFormat="0" applyBorder="0" applyAlignment="0" applyProtection="0">
      <alignment vertical="center"/>
    </xf>
    <xf numFmtId="0" fontId="27" fillId="41" borderId="0" applyNumberFormat="0" applyBorder="0" applyAlignment="0" applyProtection="0">
      <alignment vertical="center"/>
    </xf>
    <xf numFmtId="0" fontId="27" fillId="45" borderId="0" applyNumberFormat="0" applyBorder="0" applyAlignment="0" applyProtection="0">
      <alignment vertical="center"/>
    </xf>
    <xf numFmtId="0" fontId="19" fillId="10" borderId="0" applyNumberFormat="0" applyBorder="0" applyAlignment="0" applyProtection="0">
      <alignment vertical="center"/>
    </xf>
    <xf numFmtId="0" fontId="27" fillId="45" borderId="0" applyNumberFormat="0" applyBorder="0" applyAlignment="0" applyProtection="0">
      <alignment vertical="center"/>
    </xf>
    <xf numFmtId="0" fontId="27" fillId="45" borderId="0" applyNumberFormat="0" applyBorder="0" applyAlignment="0" applyProtection="0">
      <alignment vertical="center"/>
    </xf>
    <xf numFmtId="0" fontId="27" fillId="49" borderId="0" applyNumberFormat="0" applyBorder="0" applyAlignment="0" applyProtection="0">
      <alignment vertical="center"/>
    </xf>
    <xf numFmtId="0" fontId="19" fillId="11" borderId="0" applyNumberFormat="0" applyBorder="0" applyAlignment="0" applyProtection="0">
      <alignment vertical="center"/>
    </xf>
    <xf numFmtId="0" fontId="27" fillId="49" borderId="0" applyNumberFormat="0" applyBorder="0" applyAlignment="0" applyProtection="0">
      <alignment vertical="center"/>
    </xf>
    <xf numFmtId="0" fontId="27" fillId="49" borderId="0" applyNumberFormat="0" applyBorder="0" applyAlignment="0" applyProtection="0">
      <alignment vertical="center"/>
    </xf>
    <xf numFmtId="0" fontId="27" fillId="53" borderId="0" applyNumberFormat="0" applyBorder="0" applyAlignment="0" applyProtection="0">
      <alignment vertical="center"/>
    </xf>
    <xf numFmtId="0" fontId="19" fillId="12" borderId="0" applyNumberFormat="0" applyBorder="0" applyAlignment="0" applyProtection="0">
      <alignment vertical="center"/>
    </xf>
    <xf numFmtId="0" fontId="27" fillId="53" borderId="0" applyNumberFormat="0" applyBorder="0" applyAlignment="0" applyProtection="0">
      <alignment vertical="center"/>
    </xf>
    <xf numFmtId="0" fontId="27" fillId="53" borderId="0" applyNumberFormat="0" applyBorder="0" applyAlignment="0" applyProtection="0">
      <alignment vertical="center"/>
    </xf>
    <xf numFmtId="0" fontId="27" fillId="57" borderId="0" applyNumberFormat="0" applyBorder="0" applyAlignment="0" applyProtection="0">
      <alignment vertical="center"/>
    </xf>
    <xf numFmtId="0" fontId="19" fillId="13" borderId="0" applyNumberFormat="0" applyBorder="0" applyAlignment="0" applyProtection="0">
      <alignment vertical="center"/>
    </xf>
    <xf numFmtId="0" fontId="27" fillId="57" borderId="0" applyNumberFormat="0" applyBorder="0" applyAlignment="0" applyProtection="0">
      <alignment vertical="center"/>
    </xf>
    <xf numFmtId="0" fontId="27" fillId="57" borderId="0" applyNumberFormat="0" applyBorder="0" applyAlignment="0" applyProtection="0">
      <alignment vertical="center"/>
    </xf>
    <xf numFmtId="0" fontId="27" fillId="61" borderId="0" applyNumberFormat="0" applyBorder="0" applyAlignment="0" applyProtection="0">
      <alignment vertical="center"/>
    </xf>
    <xf numFmtId="0" fontId="19" fillId="14" borderId="0" applyNumberFormat="0" applyBorder="0" applyAlignment="0" applyProtection="0">
      <alignment vertical="center"/>
    </xf>
    <xf numFmtId="0" fontId="27" fillId="61" borderId="0" applyNumberFormat="0" applyBorder="0" applyAlignment="0" applyProtection="0">
      <alignment vertical="center"/>
    </xf>
    <xf numFmtId="0" fontId="27" fillId="61" borderId="0" applyNumberFormat="0" applyBorder="0" applyAlignment="0" applyProtection="0">
      <alignment vertical="center"/>
    </xf>
    <xf numFmtId="289" fontId="76" fillId="0" borderId="0">
      <alignment vertical="center"/>
    </xf>
    <xf numFmtId="0" fontId="28" fillId="0" borderId="0"/>
    <xf numFmtId="0" fontId="77" fillId="15" borderId="0" applyNumberFormat="0" applyBorder="0" applyAlignment="0" applyProtection="0"/>
    <xf numFmtId="0" fontId="77" fillId="15" borderId="0" applyNumberFormat="0" applyBorder="0" applyAlignment="0" applyProtection="0"/>
    <xf numFmtId="0" fontId="77" fillId="16" borderId="0" applyNumberFormat="0" applyBorder="0" applyAlignment="0" applyProtection="0"/>
    <xf numFmtId="0" fontId="77" fillId="16" borderId="0" applyNumberFormat="0" applyBorder="0" applyAlignment="0" applyProtection="0"/>
    <xf numFmtId="0" fontId="77" fillId="17" borderId="0" applyNumberFormat="0" applyBorder="0" applyAlignment="0" applyProtection="0"/>
    <xf numFmtId="0" fontId="77" fillId="17" borderId="0" applyNumberFormat="0" applyBorder="0" applyAlignment="0" applyProtection="0"/>
    <xf numFmtId="0" fontId="77" fillId="12" borderId="0" applyNumberFormat="0" applyBorder="0" applyAlignment="0" applyProtection="0"/>
    <xf numFmtId="0" fontId="77" fillId="12" borderId="0" applyNumberFormat="0" applyBorder="0" applyAlignment="0" applyProtection="0"/>
    <xf numFmtId="0" fontId="77" fillId="15" borderId="0" applyNumberFormat="0" applyBorder="0" applyAlignment="0" applyProtection="0"/>
    <xf numFmtId="0" fontId="77" fillId="15" borderId="0" applyNumberFormat="0" applyBorder="0" applyAlignment="0" applyProtection="0"/>
    <xf numFmtId="0" fontId="77" fillId="18" borderId="0" applyNumberFormat="0" applyBorder="0" applyAlignment="0" applyProtection="0"/>
    <xf numFmtId="0" fontId="77" fillId="18" borderId="0" applyNumberFormat="0" applyBorder="0" applyAlignment="0" applyProtection="0"/>
    <xf numFmtId="0" fontId="27" fillId="42" borderId="0" applyNumberFormat="0" applyBorder="0" applyAlignment="0" applyProtection="0">
      <alignment vertical="center"/>
    </xf>
    <xf numFmtId="0" fontId="19" fillId="15" borderId="0" applyNumberFormat="0" applyBorder="0" applyAlignment="0" applyProtection="0">
      <alignment vertical="center"/>
    </xf>
    <xf numFmtId="0" fontId="27" fillId="42" borderId="0" applyNumberFormat="0" applyBorder="0" applyAlignment="0" applyProtection="0">
      <alignment vertical="center"/>
    </xf>
    <xf numFmtId="0" fontId="27" fillId="42" borderId="0" applyNumberFormat="0" applyBorder="0" applyAlignment="0" applyProtection="0">
      <alignment vertical="center"/>
    </xf>
    <xf numFmtId="0" fontId="27" fillId="46" borderId="0" applyNumberFormat="0" applyBorder="0" applyAlignment="0" applyProtection="0">
      <alignment vertical="center"/>
    </xf>
    <xf numFmtId="0" fontId="19" fillId="16" borderId="0" applyNumberFormat="0" applyBorder="0" applyAlignment="0" applyProtection="0">
      <alignment vertical="center"/>
    </xf>
    <xf numFmtId="0" fontId="27" fillId="46" borderId="0" applyNumberFormat="0" applyBorder="0" applyAlignment="0" applyProtection="0">
      <alignment vertical="center"/>
    </xf>
    <xf numFmtId="0" fontId="27" fillId="46" borderId="0" applyNumberFormat="0" applyBorder="0" applyAlignment="0" applyProtection="0">
      <alignment vertical="center"/>
    </xf>
    <xf numFmtId="0" fontId="27" fillId="50" borderId="0" applyNumberFormat="0" applyBorder="0" applyAlignment="0" applyProtection="0">
      <alignment vertical="center"/>
    </xf>
    <xf numFmtId="0" fontId="19" fillId="17" borderId="0" applyNumberFormat="0" applyBorder="0" applyAlignment="0" applyProtection="0">
      <alignment vertical="center"/>
    </xf>
    <xf numFmtId="0" fontId="27" fillId="50" borderId="0" applyNumberFormat="0" applyBorder="0" applyAlignment="0" applyProtection="0">
      <alignment vertical="center"/>
    </xf>
    <xf numFmtId="0" fontId="27" fillId="50" borderId="0" applyNumberFormat="0" applyBorder="0" applyAlignment="0" applyProtection="0">
      <alignment vertical="center"/>
    </xf>
    <xf numFmtId="0" fontId="27" fillId="54" borderId="0" applyNumberFormat="0" applyBorder="0" applyAlignment="0" applyProtection="0">
      <alignment vertical="center"/>
    </xf>
    <xf numFmtId="0" fontId="19" fillId="12" borderId="0" applyNumberFormat="0" applyBorder="0" applyAlignment="0" applyProtection="0">
      <alignment vertical="center"/>
    </xf>
    <xf numFmtId="0" fontId="27" fillId="54" borderId="0" applyNumberFormat="0" applyBorder="0" applyAlignment="0" applyProtection="0">
      <alignment vertical="center"/>
    </xf>
    <xf numFmtId="0" fontId="27" fillId="54" borderId="0" applyNumberFormat="0" applyBorder="0" applyAlignment="0" applyProtection="0">
      <alignment vertical="center"/>
    </xf>
    <xf numFmtId="0" fontId="27" fillId="58" borderId="0" applyNumberFormat="0" applyBorder="0" applyAlignment="0" applyProtection="0">
      <alignment vertical="center"/>
    </xf>
    <xf numFmtId="0" fontId="19" fillId="15" borderId="0" applyNumberFormat="0" applyBorder="0" applyAlignment="0" applyProtection="0">
      <alignment vertical="center"/>
    </xf>
    <xf numFmtId="0" fontId="27" fillId="58" borderId="0" applyNumberFormat="0" applyBorder="0" applyAlignment="0" applyProtection="0">
      <alignment vertical="center"/>
    </xf>
    <xf numFmtId="0" fontId="27" fillId="58" borderId="0" applyNumberFormat="0" applyBorder="0" applyAlignment="0" applyProtection="0">
      <alignment vertical="center"/>
    </xf>
    <xf numFmtId="0" fontId="27" fillId="62" borderId="0" applyNumberFormat="0" applyBorder="0" applyAlignment="0" applyProtection="0">
      <alignment vertical="center"/>
    </xf>
    <xf numFmtId="0" fontId="19" fillId="18" borderId="0" applyNumberFormat="0" applyBorder="0" applyAlignment="0" applyProtection="0">
      <alignment vertical="center"/>
    </xf>
    <xf numFmtId="0" fontId="27" fillId="62" borderId="0" applyNumberFormat="0" applyBorder="0" applyAlignment="0" applyProtection="0">
      <alignment vertical="center"/>
    </xf>
    <xf numFmtId="0" fontId="27" fillId="62" borderId="0" applyNumberFormat="0" applyBorder="0" applyAlignment="0" applyProtection="0">
      <alignment vertical="center"/>
    </xf>
    <xf numFmtId="0" fontId="195" fillId="19" borderId="0" applyNumberFormat="0" applyBorder="0" applyAlignment="0" applyProtection="0"/>
    <xf numFmtId="0" fontId="195" fillId="19" borderId="0" applyNumberFormat="0" applyBorder="0" applyAlignment="0" applyProtection="0"/>
    <xf numFmtId="0" fontId="195" fillId="16" borderId="0" applyNumberFormat="0" applyBorder="0" applyAlignment="0" applyProtection="0"/>
    <xf numFmtId="0" fontId="195" fillId="16" borderId="0" applyNumberFormat="0" applyBorder="0" applyAlignment="0" applyProtection="0"/>
    <xf numFmtId="0" fontId="195" fillId="17" borderId="0" applyNumberFormat="0" applyBorder="0" applyAlignment="0" applyProtection="0"/>
    <xf numFmtId="0" fontId="195" fillId="17"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5" fillId="22" borderId="0" applyNumberFormat="0" applyBorder="0" applyAlignment="0" applyProtection="0"/>
    <xf numFmtId="0" fontId="195" fillId="22" borderId="0" applyNumberFormat="0" applyBorder="0" applyAlignment="0" applyProtection="0"/>
    <xf numFmtId="0" fontId="196" fillId="43" borderId="0" applyNumberFormat="0" applyBorder="0" applyAlignment="0" applyProtection="0">
      <alignment vertical="center"/>
    </xf>
    <xf numFmtId="0" fontId="112" fillId="19" borderId="0" applyNumberFormat="0" applyBorder="0" applyAlignment="0" applyProtection="0">
      <alignment vertical="center"/>
    </xf>
    <xf numFmtId="0" fontId="196" fillId="43" borderId="0" applyNumberFormat="0" applyBorder="0" applyAlignment="0" applyProtection="0">
      <alignment vertical="center"/>
    </xf>
    <xf numFmtId="0" fontId="196" fillId="43" borderId="0" applyNumberFormat="0" applyBorder="0" applyAlignment="0" applyProtection="0">
      <alignment vertical="center"/>
    </xf>
    <xf numFmtId="0" fontId="196" fillId="47" borderId="0" applyNumberFormat="0" applyBorder="0" applyAlignment="0" applyProtection="0">
      <alignment vertical="center"/>
    </xf>
    <xf numFmtId="0" fontId="112" fillId="16" borderId="0" applyNumberFormat="0" applyBorder="0" applyAlignment="0" applyProtection="0">
      <alignment vertical="center"/>
    </xf>
    <xf numFmtId="0" fontId="196" fillId="47" borderId="0" applyNumberFormat="0" applyBorder="0" applyAlignment="0" applyProtection="0">
      <alignment vertical="center"/>
    </xf>
    <xf numFmtId="0" fontId="196" fillId="47" borderId="0" applyNumberFormat="0" applyBorder="0" applyAlignment="0" applyProtection="0">
      <alignment vertical="center"/>
    </xf>
    <xf numFmtId="0" fontId="196" fillId="51" borderId="0" applyNumberFormat="0" applyBorder="0" applyAlignment="0" applyProtection="0">
      <alignment vertical="center"/>
    </xf>
    <xf numFmtId="0" fontId="112" fillId="17" borderId="0" applyNumberFormat="0" applyBorder="0" applyAlignment="0" applyProtection="0">
      <alignment vertical="center"/>
    </xf>
    <xf numFmtId="0" fontId="196" fillId="51" borderId="0" applyNumberFormat="0" applyBorder="0" applyAlignment="0" applyProtection="0">
      <alignment vertical="center"/>
    </xf>
    <xf numFmtId="0" fontId="196" fillId="51" borderId="0" applyNumberFormat="0" applyBorder="0" applyAlignment="0" applyProtection="0">
      <alignment vertical="center"/>
    </xf>
    <xf numFmtId="0" fontId="196" fillId="55" borderId="0" applyNumberFormat="0" applyBorder="0" applyAlignment="0" applyProtection="0">
      <alignment vertical="center"/>
    </xf>
    <xf numFmtId="0" fontId="112" fillId="20" borderId="0" applyNumberFormat="0" applyBorder="0" applyAlignment="0" applyProtection="0">
      <alignment vertical="center"/>
    </xf>
    <xf numFmtId="0" fontId="196" fillId="55" borderId="0" applyNumberFormat="0" applyBorder="0" applyAlignment="0" applyProtection="0">
      <alignment vertical="center"/>
    </xf>
    <xf numFmtId="0" fontId="196" fillId="55" borderId="0" applyNumberFormat="0" applyBorder="0" applyAlignment="0" applyProtection="0">
      <alignment vertical="center"/>
    </xf>
    <xf numFmtId="0" fontId="196" fillId="59" borderId="0" applyNumberFormat="0" applyBorder="0" applyAlignment="0" applyProtection="0">
      <alignment vertical="center"/>
    </xf>
    <xf numFmtId="0" fontId="112" fillId="21" borderId="0" applyNumberFormat="0" applyBorder="0" applyAlignment="0" applyProtection="0">
      <alignment vertical="center"/>
    </xf>
    <xf numFmtId="0" fontId="196" fillId="59" borderId="0" applyNumberFormat="0" applyBorder="0" applyAlignment="0" applyProtection="0">
      <alignment vertical="center"/>
    </xf>
    <xf numFmtId="0" fontId="196" fillId="59" borderId="0" applyNumberFormat="0" applyBorder="0" applyAlignment="0" applyProtection="0">
      <alignment vertical="center"/>
    </xf>
    <xf numFmtId="0" fontId="196" fillId="63" borderId="0" applyNumberFormat="0" applyBorder="0" applyAlignment="0" applyProtection="0">
      <alignment vertical="center"/>
    </xf>
    <xf numFmtId="0" fontId="112" fillId="22" borderId="0" applyNumberFormat="0" applyBorder="0" applyAlignment="0" applyProtection="0">
      <alignment vertical="center"/>
    </xf>
    <xf numFmtId="0" fontId="196" fillId="63" borderId="0" applyNumberFormat="0" applyBorder="0" applyAlignment="0" applyProtection="0">
      <alignment vertical="center"/>
    </xf>
    <xf numFmtId="0" fontId="196" fillId="63" borderId="0" applyNumberFormat="0" applyBorder="0" applyAlignment="0" applyProtection="0">
      <alignment vertical="center"/>
    </xf>
    <xf numFmtId="0" fontId="20" fillId="0" borderId="0"/>
    <xf numFmtId="0" fontId="28" fillId="0" borderId="0"/>
    <xf numFmtId="9" fontId="45"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206" fontId="45" fillId="0" borderId="0" applyFont="0" applyFill="0" applyBorder="0" applyAlignment="0" applyProtection="0"/>
    <xf numFmtId="0" fontId="35" fillId="0" borderId="0" applyFont="0" applyFill="0" applyBorder="0" applyAlignment="0" applyProtection="0"/>
    <xf numFmtId="196" fontId="20" fillId="0" borderId="0">
      <protection locked="0"/>
    </xf>
    <xf numFmtId="196"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0" fontId="100" fillId="0" borderId="0">
      <protection locked="0"/>
    </xf>
    <xf numFmtId="206" fontId="197" fillId="0" borderId="0" applyFont="0" applyFill="0" applyBorder="0" applyAlignment="0" applyProtection="0"/>
    <xf numFmtId="201" fontId="197" fillId="0" borderId="0" applyFont="0" applyFill="0" applyBorder="0" applyAlignment="0" applyProtection="0"/>
    <xf numFmtId="270" fontId="100" fillId="0" borderId="0">
      <protection locked="0"/>
    </xf>
    <xf numFmtId="270" fontId="100" fillId="0" borderId="0">
      <protection locked="0"/>
    </xf>
    <xf numFmtId="270" fontId="100" fillId="0" borderId="0">
      <protection locked="0"/>
    </xf>
    <xf numFmtId="270" fontId="100" fillId="0" borderId="0">
      <protection locked="0"/>
    </xf>
    <xf numFmtId="270" fontId="100" fillId="0" borderId="0">
      <protection locked="0"/>
    </xf>
    <xf numFmtId="0" fontId="33" fillId="0" borderId="0" applyFont="0" applyFill="0" applyBorder="0" applyAlignment="0" applyProtection="0"/>
    <xf numFmtId="0" fontId="198" fillId="0" borderId="0" applyFont="0" applyFill="0" applyBorder="0" applyAlignment="0" applyProtection="0"/>
    <xf numFmtId="201" fontId="33" fillId="0" borderId="0" applyFont="0" applyFill="0" applyBorder="0" applyAlignment="0" applyProtection="0"/>
    <xf numFmtId="0" fontId="198" fillId="0" borderId="0" applyFont="0" applyFill="0" applyBorder="0" applyAlignment="0" applyProtection="0"/>
    <xf numFmtId="270" fontId="100" fillId="0" borderId="0">
      <protection locked="0"/>
    </xf>
    <xf numFmtId="270" fontId="100" fillId="0" borderId="0">
      <protection locked="0"/>
    </xf>
    <xf numFmtId="270" fontId="100" fillId="0" borderId="0">
      <protection locked="0"/>
    </xf>
    <xf numFmtId="270" fontId="100" fillId="0" borderId="0">
      <protection locked="0"/>
    </xf>
    <xf numFmtId="270" fontId="100" fillId="0" borderId="0">
      <protection locked="0"/>
    </xf>
    <xf numFmtId="270" fontId="100" fillId="0" borderId="0">
      <protection locked="0"/>
    </xf>
    <xf numFmtId="270" fontId="48" fillId="0" borderId="0">
      <protection locked="0"/>
    </xf>
    <xf numFmtId="270" fontId="48" fillId="0" borderId="0">
      <protection locked="0"/>
    </xf>
    <xf numFmtId="3" fontId="119" fillId="0" borderId="0"/>
    <xf numFmtId="0" fontId="199" fillId="66" borderId="0" applyNumberFormat="0" applyBorder="0" applyAlignment="0" applyProtection="0"/>
    <xf numFmtId="0" fontId="199" fillId="67" borderId="0" applyNumberFormat="0" applyBorder="0" applyAlignment="0" applyProtection="0"/>
    <xf numFmtId="0" fontId="200" fillId="68" borderId="0" applyNumberFormat="0" applyBorder="0" applyAlignment="0" applyProtection="0"/>
    <xf numFmtId="0" fontId="200" fillId="69" borderId="0" applyNumberFormat="0" applyBorder="0" applyAlignment="0" applyProtection="0"/>
    <xf numFmtId="0" fontId="112" fillId="23" borderId="0" applyNumberFormat="0" applyBorder="0" applyAlignment="0" applyProtection="0">
      <alignment vertical="center"/>
    </xf>
    <xf numFmtId="0" fontId="195" fillId="23" borderId="0" applyNumberFormat="0" applyBorder="0" applyAlignment="0" applyProtection="0"/>
    <xf numFmtId="0" fontId="195" fillId="23" borderId="0" applyNumberFormat="0" applyBorder="0" applyAlignment="0" applyProtection="0"/>
    <xf numFmtId="0" fontId="195" fillId="23" borderId="0" applyNumberFormat="0" applyBorder="0" applyAlignment="0" applyProtection="0"/>
    <xf numFmtId="0" fontId="199" fillId="66" borderId="0" applyNumberFormat="0" applyBorder="0" applyAlignment="0" applyProtection="0"/>
    <xf numFmtId="0" fontId="199" fillId="70" borderId="0" applyNumberFormat="0" applyBorder="0" applyAlignment="0" applyProtection="0"/>
    <xf numFmtId="0" fontId="200" fillId="71" borderId="0" applyNumberFormat="0" applyBorder="0" applyAlignment="0" applyProtection="0"/>
    <xf numFmtId="0" fontId="200" fillId="72" borderId="0" applyNumberFormat="0" applyBorder="0" applyAlignment="0" applyProtection="0"/>
    <xf numFmtId="0" fontId="112" fillId="24" borderId="0" applyNumberFormat="0" applyBorder="0" applyAlignment="0" applyProtection="0">
      <alignment vertical="center"/>
    </xf>
    <xf numFmtId="0" fontId="195" fillId="24" borderId="0" applyNumberFormat="0" applyBorder="0" applyAlignment="0" applyProtection="0"/>
    <xf numFmtId="0" fontId="195" fillId="24" borderId="0" applyNumberFormat="0" applyBorder="0" applyAlignment="0" applyProtection="0"/>
    <xf numFmtId="0" fontId="195" fillId="24" borderId="0" applyNumberFormat="0" applyBorder="0" applyAlignment="0" applyProtection="0"/>
    <xf numFmtId="0" fontId="199" fillId="66" borderId="0" applyNumberFormat="0" applyBorder="0" applyAlignment="0" applyProtection="0"/>
    <xf numFmtId="0" fontId="199" fillId="66" borderId="0" applyNumberFormat="0" applyBorder="0" applyAlignment="0" applyProtection="0"/>
    <xf numFmtId="0" fontId="200" fillId="70" borderId="0" applyNumberFormat="0" applyBorder="0" applyAlignment="0" applyProtection="0"/>
    <xf numFmtId="0" fontId="200" fillId="71" borderId="0" applyNumberFormat="0" applyBorder="0" applyAlignment="0" applyProtection="0"/>
    <xf numFmtId="0" fontId="112" fillId="25" borderId="0" applyNumberFormat="0" applyBorder="0" applyAlignment="0" applyProtection="0">
      <alignment vertical="center"/>
    </xf>
    <xf numFmtId="0" fontId="195" fillId="25" borderId="0" applyNumberFormat="0" applyBorder="0" applyAlignment="0" applyProtection="0"/>
    <xf numFmtId="0" fontId="195" fillId="25" borderId="0" applyNumberFormat="0" applyBorder="0" applyAlignment="0" applyProtection="0"/>
    <xf numFmtId="0" fontId="195" fillId="25" borderId="0" applyNumberFormat="0" applyBorder="0" applyAlignment="0" applyProtection="0"/>
    <xf numFmtId="0" fontId="199" fillId="66" borderId="0" applyNumberFormat="0" applyBorder="0" applyAlignment="0" applyProtection="0"/>
    <xf numFmtId="0" fontId="199" fillId="70" borderId="0" applyNumberFormat="0" applyBorder="0" applyAlignment="0" applyProtection="0"/>
    <xf numFmtId="0" fontId="200" fillId="70" borderId="0" applyNumberFormat="0" applyBorder="0" applyAlignment="0" applyProtection="0"/>
    <xf numFmtId="0" fontId="200" fillId="69" borderId="0" applyNumberFormat="0" applyBorder="0" applyAlignment="0" applyProtection="0"/>
    <xf numFmtId="0" fontId="112" fillId="20" borderId="0" applyNumberFormat="0" applyBorder="0" applyAlignment="0" applyProtection="0">
      <alignment vertical="center"/>
    </xf>
    <xf numFmtId="0" fontId="195" fillId="20" borderId="0" applyNumberFormat="0" applyBorder="0" applyAlignment="0" applyProtection="0"/>
    <xf numFmtId="0" fontId="195" fillId="20" borderId="0" applyNumberFormat="0" applyBorder="0" applyAlignment="0" applyProtection="0"/>
    <xf numFmtId="0" fontId="195" fillId="20" borderId="0" applyNumberFormat="0" applyBorder="0" applyAlignment="0" applyProtection="0"/>
    <xf numFmtId="0" fontId="199" fillId="66" borderId="0" applyNumberFormat="0" applyBorder="0" applyAlignment="0" applyProtection="0"/>
    <xf numFmtId="0" fontId="199" fillId="66" borderId="0" applyNumberFormat="0" applyBorder="0" applyAlignment="0" applyProtection="0"/>
    <xf numFmtId="0" fontId="200" fillId="68" borderId="0" applyNumberFormat="0" applyBorder="0" applyAlignment="0" applyProtection="0"/>
    <xf numFmtId="0" fontId="200" fillId="73" borderId="0" applyNumberFormat="0" applyBorder="0" applyAlignment="0" applyProtection="0"/>
    <xf numFmtId="0" fontId="112" fillId="21" borderId="0" applyNumberFormat="0" applyBorder="0" applyAlignment="0" applyProtection="0">
      <alignment vertical="center"/>
    </xf>
    <xf numFmtId="0" fontId="195" fillId="21" borderId="0" applyNumberFormat="0" applyBorder="0" applyAlignment="0" applyProtection="0"/>
    <xf numFmtId="0" fontId="195" fillId="21" borderId="0" applyNumberFormat="0" applyBorder="0" applyAlignment="0" applyProtection="0"/>
    <xf numFmtId="0" fontId="195" fillId="21" borderId="0" applyNumberFormat="0" applyBorder="0" applyAlignment="0" applyProtection="0"/>
    <xf numFmtId="0" fontId="199" fillId="74" borderId="0" applyNumberFormat="0" applyBorder="0" applyAlignment="0" applyProtection="0"/>
    <xf numFmtId="0" fontId="199" fillId="74" borderId="0" applyNumberFormat="0" applyBorder="0" applyAlignment="0" applyProtection="0"/>
    <xf numFmtId="0" fontId="200" fillId="75" borderId="0" applyNumberFormat="0" applyBorder="0" applyAlignment="0" applyProtection="0"/>
    <xf numFmtId="0" fontId="200" fillId="76" borderId="0" applyNumberFormat="0" applyBorder="0" applyAlignment="0" applyProtection="0"/>
    <xf numFmtId="0" fontId="112" fillId="26" borderId="0" applyNumberFormat="0" applyBorder="0" applyAlignment="0" applyProtection="0">
      <alignment vertical="center"/>
    </xf>
    <xf numFmtId="0" fontId="195" fillId="26" borderId="0" applyNumberFormat="0" applyBorder="0" applyAlignment="0" applyProtection="0"/>
    <xf numFmtId="0" fontId="195" fillId="26" borderId="0" applyNumberFormat="0" applyBorder="0" applyAlignment="0" applyProtection="0"/>
    <xf numFmtId="0" fontId="195" fillId="26" borderId="0" applyNumberFormat="0" applyBorder="0" applyAlignment="0" applyProtection="0"/>
    <xf numFmtId="0" fontId="22" fillId="0" borderId="0" applyNumberFormat="0" applyAlignment="0"/>
    <xf numFmtId="213" fontId="28" fillId="77" borderId="187">
      <alignment horizontal="center" vertical="center"/>
    </xf>
    <xf numFmtId="0" fontId="105" fillId="0" borderId="0">
      <protection locked="0"/>
    </xf>
    <xf numFmtId="196" fontId="20" fillId="0" borderId="0">
      <protection locked="0"/>
    </xf>
    <xf numFmtId="196" fontId="20" fillId="0" borderId="0">
      <protection locked="0"/>
    </xf>
    <xf numFmtId="196" fontId="20" fillId="0" borderId="0">
      <protection locked="0"/>
    </xf>
    <xf numFmtId="196" fontId="20" fillId="0" borderId="0">
      <protection locked="0"/>
    </xf>
    <xf numFmtId="271" fontId="20" fillId="0" borderId="0">
      <protection locked="0"/>
    </xf>
    <xf numFmtId="271"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0" fontId="100" fillId="0" borderId="0">
      <protection locked="0"/>
    </xf>
    <xf numFmtId="270" fontId="191" fillId="0" borderId="0">
      <protection locked="0"/>
    </xf>
    <xf numFmtId="0" fontId="105" fillId="0" borderId="0">
      <protection locked="0"/>
    </xf>
    <xf numFmtId="270" fontId="191" fillId="0" borderId="0">
      <protection locked="0"/>
    </xf>
    <xf numFmtId="0" fontId="201" fillId="0" borderId="0" applyFont="0" applyFill="0" applyBorder="0" applyAlignment="0" applyProtection="0"/>
    <xf numFmtId="0" fontId="202" fillId="0" borderId="0" applyFont="0" applyFill="0" applyBorder="0" applyAlignment="0" applyProtection="0"/>
    <xf numFmtId="0" fontId="121" fillId="0" borderId="0" applyFont="0" applyFill="0" applyBorder="0" applyAlignment="0" applyProtection="0"/>
    <xf numFmtId="290" fontId="34" fillId="0" borderId="0" applyFont="0" applyFill="0" applyBorder="0" applyAlignment="0" applyProtection="0"/>
    <xf numFmtId="42" fontId="189" fillId="0" borderId="0" applyFont="0" applyFill="0" applyBorder="0" applyAlignment="0" applyProtection="0"/>
    <xf numFmtId="0" fontId="35" fillId="0" borderId="0" applyFont="0" applyFill="0" applyBorder="0" applyAlignment="0" applyProtection="0"/>
    <xf numFmtId="0" fontId="102" fillId="0" borderId="0" applyFont="0" applyFill="0" applyBorder="0" applyAlignment="0" applyProtection="0"/>
    <xf numFmtId="0" fontId="20" fillId="0" borderId="0" applyFont="0" applyFill="0" applyBorder="0" applyAlignment="0" applyProtection="0"/>
    <xf numFmtId="0" fontId="105" fillId="0" borderId="0">
      <protection locked="0"/>
    </xf>
    <xf numFmtId="42" fontId="121" fillId="0" borderId="0" applyFont="0" applyFill="0" applyBorder="0" applyAlignment="0" applyProtection="0"/>
    <xf numFmtId="0" fontId="202" fillId="0" borderId="0" applyFont="0" applyFill="0" applyBorder="0" applyAlignment="0" applyProtection="0"/>
    <xf numFmtId="0" fontId="35" fillId="0" borderId="0" applyFont="0" applyFill="0" applyBorder="0" applyAlignment="0" applyProtection="0"/>
    <xf numFmtId="0" fontId="202" fillId="0" borderId="0" applyFont="0" applyFill="0" applyBorder="0" applyAlignment="0" applyProtection="0"/>
    <xf numFmtId="0" fontId="34" fillId="0" borderId="0" applyFont="0" applyFill="0" applyBorder="0" applyAlignment="0" applyProtection="0"/>
    <xf numFmtId="0" fontId="203" fillId="0" borderId="0" applyFont="0" applyFill="0" applyBorder="0" applyAlignment="0" applyProtection="0"/>
    <xf numFmtId="0" fontId="204" fillId="0" borderId="0" applyFont="0" applyFill="0" applyBorder="0" applyAlignment="0" applyProtection="0"/>
    <xf numFmtId="208" fontId="50" fillId="0" borderId="0" applyFont="0" applyFill="0" applyBorder="0" applyAlignment="0" applyProtection="0"/>
    <xf numFmtId="0" fontId="102" fillId="0" borderId="0" applyFont="0" applyFill="0" applyBorder="0" applyAlignment="0" applyProtection="0"/>
    <xf numFmtId="291" fontId="189" fillId="0" borderId="0" applyFont="0" applyFill="0" applyBorder="0" applyAlignment="0" applyProtection="0"/>
    <xf numFmtId="0" fontId="202" fillId="0" borderId="0" applyFont="0" applyFill="0" applyBorder="0" applyAlignment="0" applyProtection="0"/>
    <xf numFmtId="0" fontId="102" fillId="0" borderId="0" applyFont="0" applyFill="0" applyBorder="0" applyAlignment="0" applyProtection="0"/>
    <xf numFmtId="0" fontId="206" fillId="0" borderId="0" applyFont="0" applyFill="0" applyBorder="0" applyAlignment="0" applyProtection="0"/>
    <xf numFmtId="293" fontId="45" fillId="0" borderId="0" applyFont="0" applyFill="0" applyBorder="0" applyAlignment="0" applyProtection="0"/>
    <xf numFmtId="293" fontId="45" fillId="0" borderId="0" applyFont="0" applyFill="0" applyBorder="0" applyAlignment="0" applyProtection="0"/>
    <xf numFmtId="253" fontId="34" fillId="0" borderId="0" applyFont="0" applyFill="0" applyBorder="0" applyAlignment="0" applyProtection="0"/>
    <xf numFmtId="0" fontId="35" fillId="0" borderId="0" applyFont="0" applyFill="0" applyBorder="0" applyAlignment="0" applyProtection="0"/>
    <xf numFmtId="0" fontId="48" fillId="0" borderId="0">
      <protection locked="0"/>
    </xf>
    <xf numFmtId="0" fontId="35" fillId="0" borderId="0" applyFont="0" applyFill="0" applyBorder="0" applyAlignment="0" applyProtection="0"/>
    <xf numFmtId="0" fontId="202" fillId="0" borderId="0" applyFont="0" applyFill="0" applyBorder="0" applyAlignment="0" applyProtection="0"/>
    <xf numFmtId="0" fontId="43" fillId="0" borderId="0" applyFont="0" applyFill="0" applyBorder="0" applyAlignment="0" applyProtection="0"/>
    <xf numFmtId="294" fontId="34" fillId="0" borderId="0" applyFont="0" applyFill="0" applyBorder="0" applyAlignment="0" applyProtection="0"/>
    <xf numFmtId="44" fontId="189" fillId="0" borderId="0" applyFont="0" applyFill="0" applyBorder="0" applyAlignment="0" applyProtection="0"/>
    <xf numFmtId="0" fontId="35" fillId="0" borderId="0" applyFont="0" applyFill="0" applyBorder="0" applyAlignment="0" applyProtection="0"/>
    <xf numFmtId="0" fontId="102" fillId="0" borderId="0" applyFont="0" applyFill="0" applyBorder="0" applyAlignment="0" applyProtection="0"/>
    <xf numFmtId="0" fontId="35" fillId="0" borderId="0" applyFont="0" applyFill="0" applyBorder="0" applyAlignment="0" applyProtection="0"/>
    <xf numFmtId="0" fontId="105" fillId="0" borderId="0">
      <protection locked="0"/>
    </xf>
    <xf numFmtId="196" fontId="20" fillId="0" borderId="0">
      <protection locked="0"/>
    </xf>
    <xf numFmtId="0" fontId="34" fillId="0" borderId="0" applyFont="0" applyFill="0" applyBorder="0" applyAlignment="0" applyProtection="0"/>
    <xf numFmtId="44" fontId="121" fillId="0" borderId="0" applyFont="0" applyFill="0" applyBorder="0" applyAlignment="0" applyProtection="0"/>
    <xf numFmtId="0" fontId="202" fillId="0" borderId="0" applyFont="0" applyFill="0" applyBorder="0" applyAlignment="0" applyProtection="0"/>
    <xf numFmtId="0" fontId="35" fillId="0" borderId="0" applyFont="0" applyFill="0" applyBorder="0" applyAlignment="0" applyProtection="0"/>
    <xf numFmtId="0" fontId="202" fillId="0" borderId="0" applyFont="0" applyFill="0" applyBorder="0" applyAlignment="0" applyProtection="0"/>
    <xf numFmtId="0" fontId="34" fillId="0" borderId="0" applyFont="0" applyFill="0" applyBorder="0" applyAlignment="0" applyProtection="0"/>
    <xf numFmtId="0" fontId="203" fillId="0" borderId="0" applyFont="0" applyFill="0" applyBorder="0" applyAlignment="0" applyProtection="0"/>
    <xf numFmtId="0" fontId="204" fillId="0" borderId="0" applyFont="0" applyFill="0" applyBorder="0" applyAlignment="0" applyProtection="0"/>
    <xf numFmtId="0" fontId="203" fillId="0" borderId="0" applyFont="0" applyFill="0" applyBorder="0" applyAlignment="0" applyProtection="0"/>
    <xf numFmtId="0" fontId="102" fillId="0" borderId="0" applyFont="0" applyFill="0" applyBorder="0" applyAlignment="0" applyProtection="0"/>
    <xf numFmtId="295" fontId="189" fillId="0" borderId="0" applyFont="0" applyFill="0" applyBorder="0" applyAlignment="0" applyProtection="0"/>
    <xf numFmtId="0" fontId="202" fillId="0" borderId="0" applyFont="0" applyFill="0" applyBorder="0" applyAlignment="0" applyProtection="0"/>
    <xf numFmtId="0" fontId="102" fillId="0" borderId="0" applyFont="0" applyFill="0" applyBorder="0" applyAlignment="0" applyProtection="0"/>
    <xf numFmtId="296" fontId="108" fillId="0" borderId="0" applyFont="0" applyFill="0" applyBorder="0" applyAlignment="0" applyProtection="0"/>
    <xf numFmtId="297" fontId="45" fillId="0" borderId="0" applyFont="0" applyFill="0" applyBorder="0" applyAlignment="0" applyProtection="0"/>
    <xf numFmtId="297" fontId="45" fillId="0" borderId="0" applyFont="0" applyFill="0" applyBorder="0" applyAlignment="0" applyProtection="0"/>
    <xf numFmtId="252" fontId="34" fillId="0" borderId="0" applyFont="0" applyFill="0" applyBorder="0" applyAlignment="0" applyProtection="0"/>
    <xf numFmtId="0" fontId="35" fillId="0" borderId="0" applyFont="0" applyFill="0" applyBorder="0" applyAlignment="0" applyProtection="0"/>
    <xf numFmtId="0" fontId="48" fillId="0" borderId="0">
      <protection locked="0"/>
    </xf>
    <xf numFmtId="0" fontId="198" fillId="0" borderId="0" applyFont="0" applyFill="0" applyBorder="0" applyAlignment="0" applyProtection="0"/>
    <xf numFmtId="0" fontId="198" fillId="0" borderId="0" applyFont="0" applyFill="0" applyBorder="0" applyAlignment="0" applyProtection="0"/>
    <xf numFmtId="270" fontId="100" fillId="0" borderId="0">
      <protection locked="0"/>
    </xf>
    <xf numFmtId="270" fontId="100" fillId="0" borderId="0">
      <protection locked="0"/>
    </xf>
    <xf numFmtId="270" fontId="100" fillId="0" borderId="0">
      <protection locked="0"/>
    </xf>
    <xf numFmtId="270" fontId="100" fillId="0" borderId="0">
      <protection locked="0"/>
    </xf>
    <xf numFmtId="270" fontId="100" fillId="0" borderId="0">
      <protection locked="0"/>
    </xf>
    <xf numFmtId="253" fontId="197" fillId="0" borderId="0" applyFont="0" applyFill="0" applyBorder="0" applyAlignment="0" applyProtection="0"/>
    <xf numFmtId="252" fontId="197" fillId="0" borderId="0" applyFont="0" applyFill="0" applyBorder="0" applyAlignment="0" applyProtection="0"/>
    <xf numFmtId="0" fontId="207" fillId="0" borderId="0"/>
    <xf numFmtId="298" fontId="181" fillId="0" borderId="146" applyFont="0" applyFill="0" applyBorder="0">
      <alignment horizontal="right" vertical="center"/>
    </xf>
    <xf numFmtId="298" fontId="181" fillId="0" borderId="146" applyFont="0" applyFill="0" applyBorder="0">
      <alignment horizontal="right" vertical="center"/>
    </xf>
    <xf numFmtId="298" fontId="181" fillId="0" borderId="146" applyFont="0" applyFill="0" applyBorder="0">
      <alignment horizontal="right" vertical="center"/>
    </xf>
    <xf numFmtId="0" fontId="35" fillId="0" borderId="0"/>
    <xf numFmtId="0" fontId="45" fillId="0" borderId="0" applyAlignment="0">
      <alignment horizontal="left" wrapText="1"/>
    </xf>
    <xf numFmtId="0" fontId="45" fillId="0" borderId="0" applyNumberFormat="0" applyFill="0" applyBorder="0" applyAlignment="0" applyProtection="0"/>
    <xf numFmtId="0" fontId="101" fillId="0" borderId="0" applyNumberFormat="0" applyFill="0" applyBorder="0" applyAlignment="0" applyProtection="0"/>
    <xf numFmtId="0" fontId="105" fillId="0" borderId="0">
      <protection locked="0"/>
    </xf>
    <xf numFmtId="270" fontId="191" fillId="0" borderId="0">
      <protection locked="0"/>
    </xf>
    <xf numFmtId="0" fontId="105" fillId="0" borderId="0">
      <protection locked="0"/>
    </xf>
    <xf numFmtId="270" fontId="191" fillId="0" borderId="0">
      <protection locked="0"/>
    </xf>
    <xf numFmtId="0" fontId="201" fillId="0" borderId="0" applyFont="0" applyFill="0" applyBorder="0" applyAlignment="0" applyProtection="0"/>
    <xf numFmtId="206" fontId="42" fillId="0" borderId="0" applyFont="0" applyFill="0" applyBorder="0" applyAlignment="0" applyProtection="0"/>
    <xf numFmtId="0" fontId="43" fillId="0" borderId="0" applyFont="0" applyFill="0" applyBorder="0" applyAlignment="0" applyProtection="0"/>
    <xf numFmtId="299" fontId="34" fillId="0" borderId="0" applyFont="0" applyFill="0" applyBorder="0" applyAlignment="0" applyProtection="0"/>
    <xf numFmtId="0" fontId="35" fillId="0" borderId="0" applyFont="0" applyFill="0" applyBorder="0" applyAlignment="0" applyProtection="0"/>
    <xf numFmtId="0" fontId="105" fillId="0" borderId="0">
      <protection locked="0"/>
    </xf>
    <xf numFmtId="41" fontId="121" fillId="0" borderId="0" applyFont="0" applyFill="0" applyBorder="0" applyAlignment="0" applyProtection="0"/>
    <xf numFmtId="206" fontId="205" fillId="0" borderId="0" applyFont="0" applyFill="0" applyBorder="0" applyAlignment="0" applyProtection="0"/>
    <xf numFmtId="206" fontId="34"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300" fontId="34" fillId="0" borderId="0" applyFont="0" applyFill="0" applyBorder="0" applyAlignment="0" applyProtection="0"/>
    <xf numFmtId="43" fontId="189" fillId="0" borderId="0" applyFont="0" applyFill="0" applyBorder="0" applyAlignment="0" applyProtection="0"/>
    <xf numFmtId="0" fontId="35" fillId="0" borderId="0" applyFont="0" applyFill="0" applyBorder="0" applyAlignment="0" applyProtection="0"/>
    <xf numFmtId="0" fontId="206" fillId="0" borderId="0" applyFont="0" applyFill="0" applyBorder="0" applyAlignment="0" applyProtection="0"/>
    <xf numFmtId="0" fontId="35" fillId="0" borderId="0" applyFont="0" applyFill="0" applyBorder="0" applyAlignment="0" applyProtection="0"/>
    <xf numFmtId="0" fontId="105" fillId="0" borderId="0">
      <protection locked="0"/>
    </xf>
    <xf numFmtId="43" fontId="121" fillId="0" borderId="0" applyFont="0" applyFill="0" applyBorder="0" applyAlignment="0" applyProtection="0"/>
    <xf numFmtId="201" fontId="205" fillId="0" borderId="0" applyFont="0" applyFill="0" applyBorder="0" applyAlignment="0" applyProtection="0"/>
    <xf numFmtId="201" fontId="34" fillId="0" borderId="0" applyFont="0" applyFill="0" applyBorder="0" applyAlignment="0" applyProtection="0"/>
    <xf numFmtId="0" fontId="35" fillId="0" borderId="0" applyFont="0" applyFill="0" applyBorder="0" applyAlignment="0" applyProtection="0"/>
    <xf numFmtId="0" fontId="202" fillId="0" borderId="0" applyFont="0" applyFill="0" applyBorder="0" applyAlignment="0" applyProtection="0"/>
    <xf numFmtId="0" fontId="202" fillId="0" borderId="0" applyFont="0" applyFill="0" applyBorder="0" applyAlignment="0" applyProtection="0"/>
    <xf numFmtId="0" fontId="70" fillId="0" borderId="0" applyFont="0" applyFill="0" applyBorder="0" applyAlignment="0" applyProtection="0"/>
    <xf numFmtId="2" fontId="208" fillId="78" borderId="0">
      <alignment vertical="center"/>
    </xf>
    <xf numFmtId="0" fontId="209" fillId="79" borderId="0" applyNumberFormat="0" applyBorder="0" applyAlignment="0" applyProtection="0"/>
    <xf numFmtId="0" fontId="162" fillId="10" borderId="0" applyNumberFormat="0" applyBorder="0" applyAlignment="0" applyProtection="0">
      <alignment vertical="center"/>
    </xf>
    <xf numFmtId="0" fontId="210" fillId="10" borderId="0" applyNumberFormat="0" applyBorder="0" applyAlignment="0" applyProtection="0"/>
    <xf numFmtId="0" fontId="211" fillId="0" borderId="0" applyNumberFormat="0" applyFill="0" applyBorder="0" applyAlignment="0" applyProtection="0"/>
    <xf numFmtId="0" fontId="212" fillId="0" borderId="0" applyNumberFormat="0" applyFill="0" applyBorder="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3" fillId="0" borderId="9" applyNumberFormat="0" applyFill="0" applyAlignment="0" applyProtection="0"/>
    <xf numFmtId="0" fontId="214" fillId="0" borderId="119"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0" fontId="214" fillId="0" borderId="188" applyNumberFormat="0" applyFont="0" applyFill="0" applyAlignment="0" applyProtection="0"/>
    <xf numFmtId="198" fontId="38" fillId="0" borderId="0" applyAlignment="0" applyProtection="0"/>
    <xf numFmtId="301" fontId="38" fillId="0" borderId="0" applyAlignment="0" applyProtection="0"/>
    <xf numFmtId="178" fontId="22" fillId="0" borderId="0" applyFill="0" applyBorder="0" applyAlignment="0" applyProtection="0"/>
    <xf numFmtId="201" fontId="45" fillId="0" borderId="0" applyFont="0" applyFill="0" applyBorder="0" applyAlignment="0" applyProtection="0"/>
    <xf numFmtId="302" fontId="45" fillId="0" borderId="0" applyFont="0" applyFill="0" applyBorder="0" applyAlignment="0" applyProtection="0"/>
    <xf numFmtId="303" fontId="30" fillId="0" borderId="0" applyFont="0" applyFill="0" applyBorder="0" applyAlignment="0" applyProtection="0"/>
    <xf numFmtId="0" fontId="30" fillId="0" borderId="0" applyFont="0" applyFill="0" applyBorder="0" applyAlignment="0" applyProtection="0"/>
    <xf numFmtId="196" fontId="20" fillId="0" borderId="0">
      <protection locked="0"/>
    </xf>
    <xf numFmtId="196"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0" fontId="48" fillId="0" borderId="0">
      <protection locked="0"/>
    </xf>
    <xf numFmtId="0" fontId="33" fillId="0" borderId="0"/>
    <xf numFmtId="0" fontId="41" fillId="0" borderId="0"/>
    <xf numFmtId="0" fontId="33" fillId="0" borderId="0">
      <alignment vertical="center"/>
    </xf>
    <xf numFmtId="270" fontId="100" fillId="0" borderId="0">
      <protection locked="0"/>
    </xf>
    <xf numFmtId="0" fontId="215" fillId="0" borderId="0"/>
    <xf numFmtId="0" fontId="105" fillId="0" borderId="0">
      <protection locked="0"/>
    </xf>
    <xf numFmtId="270" fontId="191" fillId="0" borderId="0">
      <protection locked="0"/>
    </xf>
    <xf numFmtId="0" fontId="35" fillId="0" borderId="0"/>
    <xf numFmtId="0" fontId="34" fillId="0" borderId="0"/>
    <xf numFmtId="0" fontId="102" fillId="0" borderId="0"/>
    <xf numFmtId="0" fontId="203" fillId="0" borderId="0"/>
    <xf numFmtId="0" fontId="203" fillId="0" borderId="0"/>
    <xf numFmtId="0" fontId="45" fillId="0" borderId="0"/>
    <xf numFmtId="0" fontId="203" fillId="0" borderId="0"/>
    <xf numFmtId="0" fontId="102" fillId="0" borderId="0"/>
    <xf numFmtId="0" fontId="43" fillId="0" borderId="0"/>
    <xf numFmtId="0" fontId="102" fillId="0" borderId="0"/>
    <xf numFmtId="0" fontId="35" fillId="0" borderId="0"/>
    <xf numFmtId="0" fontId="35" fillId="0" borderId="0"/>
    <xf numFmtId="0" fontId="216" fillId="0" borderId="0"/>
    <xf numFmtId="0" fontId="217" fillId="0" borderId="0"/>
    <xf numFmtId="37" fontId="34" fillId="0" borderId="0"/>
    <xf numFmtId="37" fontId="121" fillId="0" borderId="0"/>
    <xf numFmtId="0" fontId="34" fillId="0" borderId="0"/>
    <xf numFmtId="0" fontId="121" fillId="0" borderId="0"/>
    <xf numFmtId="0" fontId="102" fillId="0" borderId="0"/>
    <xf numFmtId="0" fontId="41" fillId="0" borderId="0" applyNumberFormat="0"/>
    <xf numFmtId="0" fontId="42" fillId="0" borderId="0"/>
    <xf numFmtId="0" fontId="43" fillId="0" borderId="0"/>
    <xf numFmtId="0" fontId="205" fillId="0" borderId="0"/>
    <xf numFmtId="0" fontId="184" fillId="0" borderId="0"/>
    <xf numFmtId="0" fontId="34" fillId="0" borderId="0"/>
    <xf numFmtId="0" fontId="35" fillId="0" borderId="0"/>
    <xf numFmtId="0" fontId="121" fillId="0" borderId="0"/>
    <xf numFmtId="0" fontId="102" fillId="0" borderId="0"/>
    <xf numFmtId="0" fontId="218" fillId="0" borderId="0"/>
    <xf numFmtId="0" fontId="201" fillId="0" borderId="0"/>
    <xf numFmtId="0" fontId="34" fillId="0" borderId="0"/>
    <xf numFmtId="0" fontId="121" fillId="0" borderId="0"/>
    <xf numFmtId="0" fontId="102" fillId="0" borderId="0"/>
    <xf numFmtId="0" fontId="219" fillId="0" borderId="0"/>
    <xf numFmtId="0" fontId="206" fillId="0" borderId="0"/>
    <xf numFmtId="37" fontId="35" fillId="0" borderId="0"/>
    <xf numFmtId="0" fontId="45" fillId="0" borderId="0"/>
    <xf numFmtId="0" fontId="35" fillId="0" borderId="0"/>
    <xf numFmtId="0" fontId="34" fillId="0" borderId="0"/>
    <xf numFmtId="0" fontId="201" fillId="0" borderId="0"/>
    <xf numFmtId="0" fontId="206" fillId="0" borderId="0"/>
    <xf numFmtId="0" fontId="201" fillId="0" borderId="0"/>
    <xf numFmtId="0" fontId="220" fillId="0" borderId="0"/>
    <xf numFmtId="0" fontId="148" fillId="0" borderId="0"/>
    <xf numFmtId="0" fontId="102" fillId="0" borderId="0"/>
    <xf numFmtId="0" fontId="184" fillId="0" borderId="0"/>
    <xf numFmtId="0" fontId="206" fillId="0" borderId="0"/>
    <xf numFmtId="0" fontId="35" fillId="0" borderId="0"/>
    <xf numFmtId="0" fontId="34" fillId="0" borderId="0"/>
    <xf numFmtId="0" fontId="45" fillId="0" borderId="0"/>
    <xf numFmtId="0" fontId="221" fillId="0" borderId="0"/>
    <xf numFmtId="0" fontId="102" fillId="0" borderId="0"/>
    <xf numFmtId="0" fontId="121" fillId="0" borderId="0"/>
    <xf numFmtId="0" fontId="45" fillId="0" borderId="0"/>
    <xf numFmtId="0" fontId="45" fillId="0" borderId="0"/>
    <xf numFmtId="0" fontId="20" fillId="0" borderId="0" applyFill="0" applyBorder="0" applyAlignment="0"/>
    <xf numFmtId="304" fontId="45" fillId="0" borderId="0" applyFill="0" applyBorder="0" applyAlignment="0"/>
    <xf numFmtId="0" fontId="119" fillId="0" borderId="0" applyFill="0" applyBorder="0" applyAlignment="0"/>
    <xf numFmtId="305" fontId="45" fillId="0" borderId="0" applyFill="0" applyBorder="0" applyAlignment="0"/>
    <xf numFmtId="178" fontId="45" fillId="0" borderId="0" applyFill="0" applyBorder="0" applyAlignment="0"/>
    <xf numFmtId="253" fontId="101" fillId="0" borderId="0" applyFill="0" applyBorder="0" applyAlignment="0"/>
    <xf numFmtId="0" fontId="101" fillId="0" borderId="0" applyFill="0" applyBorder="0" applyAlignment="0"/>
    <xf numFmtId="306" fontId="45" fillId="0" borderId="0" applyFill="0" applyBorder="0" applyAlignment="0"/>
    <xf numFmtId="307" fontId="45" fillId="0" borderId="0" applyFill="0" applyBorder="0" applyAlignment="0"/>
    <xf numFmtId="0" fontId="45" fillId="0" borderId="0" applyFill="0" applyBorder="0" applyAlignment="0"/>
    <xf numFmtId="0" fontId="45" fillId="0" borderId="0" applyFill="0" applyBorder="0" applyAlignment="0"/>
    <xf numFmtId="308" fontId="45" fillId="0" borderId="0" applyFill="0" applyBorder="0" applyAlignment="0"/>
    <xf numFmtId="305" fontId="45" fillId="0" borderId="0" applyFill="0" applyBorder="0" applyAlignment="0"/>
    <xf numFmtId="0" fontId="45" fillId="0" borderId="0"/>
    <xf numFmtId="0" fontId="45" fillId="0" borderId="0" applyBorder="0"/>
    <xf numFmtId="2" fontId="45" fillId="0" borderId="0"/>
    <xf numFmtId="309" fontId="45" fillId="0" borderId="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2" fillId="80" borderId="136" applyNumberFormat="0" applyAlignment="0" applyProtection="0"/>
    <xf numFmtId="0" fontId="223" fillId="0" borderId="0" applyNumberFormat="0" applyFont="0" applyBorder="0" applyAlignment="0">
      <alignment horizontal="left"/>
    </xf>
    <xf numFmtId="310" fontId="45" fillId="0" borderId="0" applyFill="0" applyBorder="0" applyProtection="0"/>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3" fontId="104" fillId="0" borderId="146"/>
    <xf numFmtId="1" fontId="224" fillId="0" borderId="0"/>
    <xf numFmtId="9" fontId="104" fillId="0" borderId="0"/>
    <xf numFmtId="3" fontId="104" fillId="0" borderId="0"/>
    <xf numFmtId="311" fontId="225" fillId="0" borderId="0"/>
    <xf numFmtId="0" fontId="226" fillId="71" borderId="30" applyNumberFormat="0" applyAlignment="0" applyProtection="0"/>
    <xf numFmtId="0" fontId="227" fillId="28" borderId="30" applyNumberFormat="0" applyAlignment="0" applyProtection="0"/>
    <xf numFmtId="0" fontId="228" fillId="0" borderId="0"/>
    <xf numFmtId="312" fontId="229" fillId="0" borderId="146" applyFont="0" applyFill="0" applyBorder="0">
      <alignment horizontal="right" vertical="center"/>
    </xf>
    <xf numFmtId="312" fontId="229" fillId="0" borderId="146" applyFont="0" applyFill="0" applyBorder="0">
      <alignment horizontal="right" vertical="center"/>
    </xf>
    <xf numFmtId="312" fontId="229" fillId="0" borderId="146" applyFont="0" applyFill="0" applyBorder="0">
      <alignment horizontal="right" vertical="center"/>
    </xf>
    <xf numFmtId="313" fontId="181" fillId="0" borderId="146" applyFill="0" applyBorder="0" applyProtection="0">
      <alignment horizontal="right" vertical="center"/>
    </xf>
    <xf numFmtId="313" fontId="181" fillId="0" borderId="146" applyFill="0" applyBorder="0" applyProtection="0">
      <alignment horizontal="right" vertical="center"/>
    </xf>
    <xf numFmtId="313" fontId="181" fillId="0" borderId="146" applyFill="0" applyBorder="0" applyProtection="0">
      <alignment horizontal="right" vertical="center"/>
    </xf>
    <xf numFmtId="0" fontId="230" fillId="29" borderId="185">
      <alignment horizontal="center" wrapText="1"/>
    </xf>
    <xf numFmtId="0" fontId="230" fillId="29" borderId="185">
      <alignment horizontal="center" wrapText="1"/>
    </xf>
    <xf numFmtId="0" fontId="231" fillId="81" borderId="146" applyNumberFormat="0" applyBorder="0" applyProtection="0">
      <alignment horizontal="center" vertical="center" wrapText="1"/>
    </xf>
    <xf numFmtId="0" fontId="46" fillId="82" borderId="0">
      <alignment horizontal="left"/>
    </xf>
    <xf numFmtId="0" fontId="232" fillId="82" borderId="0">
      <alignment horizontal="right"/>
    </xf>
    <xf numFmtId="0" fontId="233" fillId="65" borderId="0">
      <alignment horizontal="center"/>
    </xf>
    <xf numFmtId="0" fontId="232" fillId="82" borderId="0">
      <alignment horizontal="right"/>
    </xf>
    <xf numFmtId="0" fontId="234" fillId="65" borderId="0">
      <alignment horizontal="left"/>
    </xf>
    <xf numFmtId="206" fontId="235" fillId="0" borderId="0" applyFont="0" applyFill="0" applyBorder="0" applyAlignment="0" applyProtection="0"/>
    <xf numFmtId="37" fontId="66" fillId="0" borderId="0"/>
    <xf numFmtId="37" fontId="66" fillId="0" borderId="0"/>
    <xf numFmtId="37" fontId="66" fillId="0" borderId="0"/>
    <xf numFmtId="37" fontId="66" fillId="0" borderId="0"/>
    <xf numFmtId="37" fontId="66" fillId="0" borderId="0"/>
    <xf numFmtId="37" fontId="66" fillId="0" borderId="0"/>
    <xf numFmtId="37" fontId="66" fillId="0" borderId="0"/>
    <xf numFmtId="41" fontId="236" fillId="0" borderId="0" applyFont="0" applyFill="0" applyBorder="0" applyAlignment="0" applyProtection="0">
      <alignment vertical="center"/>
    </xf>
    <xf numFmtId="0" fontId="237" fillId="0" borderId="0" applyFont="0" applyFill="0" applyBorder="0" applyAlignment="0" applyProtection="0"/>
    <xf numFmtId="41" fontId="1" fillId="0" borderId="0" applyFont="0" applyFill="0" applyBorder="0" applyAlignment="0" applyProtection="0">
      <alignment vertical="center"/>
    </xf>
    <xf numFmtId="307"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314" fontId="214" fillId="0" borderId="0" applyFont="0" applyFill="0" applyBorder="0" applyAlignment="0" applyProtection="0"/>
    <xf numFmtId="40" fontId="238" fillId="0" borderId="0" applyFont="0" applyFill="0" applyBorder="0" applyAlignment="0" applyProtection="0">
      <alignment horizontal="center"/>
    </xf>
    <xf numFmtId="315" fontId="238" fillId="0" borderId="0" applyFont="0" applyFill="0" applyBorder="0" applyAlignment="0" applyProtection="0">
      <alignment horizontal="center"/>
    </xf>
    <xf numFmtId="316" fontId="239" fillId="0" borderId="0" applyFont="0" applyFill="0" applyBorder="0" applyAlignment="0" applyProtection="0">
      <alignment horizontal="right"/>
    </xf>
    <xf numFmtId="0" fontId="239" fillId="0" borderId="0" applyFont="0" applyFill="0" applyBorder="0" applyAlignment="0" applyProtection="0">
      <alignment horizontal="right"/>
    </xf>
    <xf numFmtId="0" fontId="28" fillId="0" borderId="0"/>
    <xf numFmtId="0" fontId="45" fillId="0" borderId="0" applyFont="0" applyFill="0" applyBorder="0" applyAlignment="0" applyProtection="0"/>
    <xf numFmtId="0" fontId="28" fillId="0" borderId="0" applyFont="0" applyFill="0" applyBorder="0" applyAlignment="0" applyProtection="0"/>
    <xf numFmtId="317" fontId="214" fillId="0" borderId="0" applyFont="0" applyFill="0" applyBorder="0" applyAlignment="0" applyProtection="0">
      <protection locked="0"/>
    </xf>
    <xf numFmtId="317" fontId="214" fillId="0" borderId="0" applyFont="0" applyFill="0" applyBorder="0" applyAlignment="0" applyProtection="0">
      <protection locked="0"/>
    </xf>
    <xf numFmtId="0" fontId="214" fillId="0" borderId="0" applyFont="0" applyFill="0" applyBorder="0" applyAlignment="0" applyProtection="0">
      <protection locked="0"/>
    </xf>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318" fontId="212" fillId="0" borderId="146"/>
    <xf numFmtId="0" fontId="237" fillId="0" borderId="0" applyFont="0" applyFill="0" applyBorder="0" applyAlignment="0" applyProtection="0"/>
    <xf numFmtId="42" fontId="27" fillId="0" borderId="0" applyFont="0" applyFill="0" applyBorder="0" applyAlignment="0" applyProtection="0">
      <alignment vertical="center"/>
    </xf>
    <xf numFmtId="0" fontId="45" fillId="0" borderId="0"/>
    <xf numFmtId="305" fontId="45" fillId="0" borderId="0" applyFont="0" applyFill="0" applyBorder="0" applyAlignment="0" applyProtection="0"/>
    <xf numFmtId="0" fontId="28" fillId="0" borderId="0"/>
    <xf numFmtId="0" fontId="20" fillId="0" borderId="0"/>
    <xf numFmtId="0" fontId="240" fillId="0" borderId="0"/>
    <xf numFmtId="0" fontId="45" fillId="0" borderId="0" applyFont="0" applyFill="0" applyBorder="0" applyAlignment="0" applyProtection="0"/>
    <xf numFmtId="200" fontId="45" fillId="0" borderId="0" applyFont="0" applyFill="0" applyBorder="0" applyAlignment="0" applyProtection="0"/>
    <xf numFmtId="0" fontId="28" fillId="0" borderId="0"/>
    <xf numFmtId="9" fontId="241" fillId="3" borderId="10">
      <alignment horizontal="center"/>
    </xf>
    <xf numFmtId="9" fontId="241" fillId="3" borderId="142">
      <alignment horizontal="center"/>
    </xf>
    <xf numFmtId="206" fontId="45" fillId="0" borderId="0" applyFont="0" applyFill="0" applyBorder="0" applyAlignment="0" applyProtection="0"/>
    <xf numFmtId="0" fontId="242" fillId="0" borderId="0">
      <alignment horizontal="left"/>
    </xf>
    <xf numFmtId="319" fontId="45" fillId="0" borderId="0" applyFont="0" applyFill="0" applyBorder="0" applyAlignment="0" applyProtection="0"/>
    <xf numFmtId="320" fontId="45" fillId="0" borderId="0" applyFont="0" applyFill="0" applyBorder="0" applyAlignment="0" applyProtection="0"/>
    <xf numFmtId="321" fontId="187" fillId="0" borderId="0" applyFill="0" applyBorder="0">
      <alignment horizontal="right" vertical="top"/>
    </xf>
    <xf numFmtId="2" fontId="45" fillId="0" borderId="0" applyFont="0" applyFill="0" applyBorder="0" applyAlignment="0" applyProtection="0"/>
    <xf numFmtId="322" fontId="48" fillId="0" borderId="0">
      <protection locked="0"/>
    </xf>
    <xf numFmtId="38" fontId="22" fillId="4" borderId="0" applyNumberFormat="0" applyBorder="0" applyAlignment="0" applyProtection="0"/>
    <xf numFmtId="38" fontId="22" fillId="2" borderId="0" applyNumberFormat="0" applyBorder="0" applyAlignment="0" applyProtection="0"/>
    <xf numFmtId="0" fontId="243" fillId="0" borderId="0"/>
    <xf numFmtId="205" fontId="31" fillId="0" borderId="0">
      <alignment horizontal="left"/>
    </xf>
    <xf numFmtId="0" fontId="72" fillId="0" borderId="0">
      <protection locked="0"/>
    </xf>
    <xf numFmtId="323" fontId="28" fillId="0" borderId="0">
      <protection locked="0"/>
    </xf>
    <xf numFmtId="0" fontId="59" fillId="0" borderId="0"/>
    <xf numFmtId="0" fontId="72" fillId="0" borderId="0">
      <protection locked="0"/>
    </xf>
    <xf numFmtId="0" fontId="244" fillId="0" borderId="189" applyNumberFormat="0" applyFill="0" applyAlignment="0" applyProtection="0"/>
    <xf numFmtId="38" fontId="245" fillId="0" borderId="0"/>
    <xf numFmtId="38" fontId="246" fillId="0" borderId="0"/>
    <xf numFmtId="38" fontId="247" fillId="0" borderId="0"/>
    <xf numFmtId="38" fontId="248" fillId="0" borderId="0"/>
    <xf numFmtId="0" fontId="163" fillId="0" borderId="0"/>
    <xf numFmtId="0" fontId="163" fillId="0" borderId="0"/>
    <xf numFmtId="0" fontId="101" fillId="2" borderId="0" applyFill="0" applyBorder="0">
      <alignment wrapText="1"/>
    </xf>
    <xf numFmtId="0" fontId="156" fillId="0" borderId="0" applyNumberFormat="0" applyFont="0" applyFill="0" applyBorder="0" applyProtection="0">
      <alignment horizontal="left" vertical="center"/>
    </xf>
    <xf numFmtId="38" fontId="156" fillId="0" borderId="0"/>
    <xf numFmtId="38" fontId="231" fillId="1" borderId="9"/>
    <xf numFmtId="0" fontId="156" fillId="0" borderId="0"/>
    <xf numFmtId="180" fontId="51" fillId="0" borderId="0"/>
    <xf numFmtId="0" fontId="28" fillId="0" borderId="0"/>
    <xf numFmtId="0" fontId="27" fillId="0" borderId="0">
      <alignment vertical="center"/>
    </xf>
    <xf numFmtId="0" fontId="249" fillId="0" borderId="0" applyFont="0" applyFill="0" applyBorder="0" applyAlignment="0" applyProtection="0">
      <alignment horizontal="centerContinuous"/>
    </xf>
    <xf numFmtId="0" fontId="156" fillId="0" borderId="0" applyFont="0" applyFill="0" applyBorder="0" applyAlignment="0" applyProtection="0">
      <alignment horizontal="centerContinuous"/>
    </xf>
    <xf numFmtId="324" fontId="28" fillId="0" borderId="0" applyFont="0" applyFill="0" applyBorder="0" applyAlignment="0" applyProtection="0">
      <alignment horizontal="centerContinuous"/>
    </xf>
    <xf numFmtId="0" fontId="101" fillId="3" borderId="142" applyBorder="0">
      <alignment horizontal="right" vertical="center"/>
    </xf>
    <xf numFmtId="194" fontId="101" fillId="3" borderId="0">
      <alignment vertical="center"/>
    </xf>
    <xf numFmtId="228" fontId="101" fillId="3" borderId="0"/>
    <xf numFmtId="0" fontId="45" fillId="0" borderId="0" applyFont="0" applyFill="0" applyBorder="0" applyAlignment="0" applyProtection="0"/>
    <xf numFmtId="0" fontId="45" fillId="0" borderId="0" applyFont="0" applyFill="0" applyBorder="0" applyAlignment="0" applyProtection="0"/>
    <xf numFmtId="0" fontId="45" fillId="0" borderId="0"/>
    <xf numFmtId="178" fontId="101" fillId="2" borderId="0"/>
    <xf numFmtId="0" fontId="101" fillId="0" borderId="0" applyFill="0" applyBorder="0">
      <alignment vertical="center"/>
    </xf>
    <xf numFmtId="194" fontId="101" fillId="2" borderId="0"/>
    <xf numFmtId="2" fontId="101" fillId="2" borderId="0" applyBorder="0"/>
    <xf numFmtId="325" fontId="28" fillId="0" borderId="0">
      <protection locked="0"/>
    </xf>
    <xf numFmtId="10" fontId="45" fillId="0" borderId="0"/>
    <xf numFmtId="326" fontId="45" fillId="0" borderId="0"/>
    <xf numFmtId="30" fontId="127" fillId="0" borderId="0" applyNumberFormat="0" applyFill="0" applyBorder="0" applyAlignment="0" applyProtection="0">
      <alignment horizontal="left"/>
    </xf>
    <xf numFmtId="327" fontId="45" fillId="0" borderId="0" applyNumberFormat="0" applyFill="0" applyBorder="0" applyAlignment="0" applyProtection="0">
      <alignment horizontal="left"/>
    </xf>
    <xf numFmtId="30" fontId="127" fillId="0" borderId="0" applyNumberFormat="0" applyFill="0" applyBorder="0" applyAlignment="0" applyProtection="0">
      <alignment horizontal="left"/>
    </xf>
    <xf numFmtId="38" fontId="104" fillId="0" borderId="0" applyFont="0" applyFill="0" applyBorder="0" applyAlignment="0" applyProtection="0"/>
    <xf numFmtId="4" fontId="31" fillId="83" borderId="190" applyNumberFormat="0" applyProtection="0">
      <alignment horizontal="left" vertical="center" indent="1"/>
    </xf>
    <xf numFmtId="0" fontId="61" fillId="0" borderId="0"/>
    <xf numFmtId="0" fontId="250" fillId="0" borderId="0"/>
    <xf numFmtId="328" fontId="251" fillId="0" borderId="0" applyNumberFormat="0" applyFill="0" applyBorder="0" applyAlignment="0" applyProtection="0"/>
    <xf numFmtId="328" fontId="252" fillId="84" borderId="0" applyNumberFormat="0" applyFont="0" applyBorder="0" applyAlignment="0" applyProtection="0"/>
    <xf numFmtId="0" fontId="252" fillId="0" borderId="0" applyFill="0" applyBorder="0" applyProtection="0"/>
    <xf numFmtId="328" fontId="252" fillId="85" borderId="0" applyNumberFormat="0" applyFont="0" applyBorder="0" applyAlignment="0" applyProtection="0"/>
    <xf numFmtId="329" fontId="252" fillId="0" borderId="0" applyFill="0" applyBorder="0" applyAlignment="0" applyProtection="0"/>
    <xf numFmtId="0" fontId="253" fillId="0" borderId="0" applyNumberFormat="0" applyAlignment="0" applyProtection="0"/>
    <xf numFmtId="0" fontId="251" fillId="0" borderId="191" applyFill="0" applyProtection="0">
      <alignment horizontal="right" wrapText="1"/>
    </xf>
    <xf numFmtId="0" fontId="251" fillId="0" borderId="0" applyFill="0" applyProtection="0">
      <alignment wrapText="1"/>
    </xf>
    <xf numFmtId="328" fontId="254" fillId="0" borderId="192" applyNumberFormat="0" applyFill="0" applyAlignment="0" applyProtection="0"/>
    <xf numFmtId="0" fontId="255" fillId="0" borderId="0" applyAlignment="0" applyProtection="0"/>
    <xf numFmtId="0" fontId="254" fillId="0" borderId="193" applyNumberFormat="0" applyFill="0" applyAlignment="0" applyProtection="0"/>
    <xf numFmtId="0" fontId="45" fillId="0" borderId="0"/>
    <xf numFmtId="0" fontId="256" fillId="0" borderId="0">
      <alignment horizontal="center" vertical="center"/>
    </xf>
    <xf numFmtId="0" fontId="257" fillId="0" borderId="194" applyBorder="0"/>
    <xf numFmtId="0" fontId="103" fillId="0" borderId="0"/>
    <xf numFmtId="0" fontId="152" fillId="3" borderId="5">
      <alignment horizontal="left" vertical="center"/>
    </xf>
    <xf numFmtId="0" fontId="101" fillId="0" borderId="5" applyFill="0" applyBorder="0">
      <alignment horizontal="center" vertical="center"/>
    </xf>
    <xf numFmtId="0" fontId="101" fillId="0" borderId="5" applyFill="0" applyBorder="0">
      <alignment horizontal="center" vertical="center"/>
    </xf>
    <xf numFmtId="37" fontId="22" fillId="3" borderId="0" applyNumberFormat="0" applyBorder="0" applyAlignment="0" applyProtection="0"/>
    <xf numFmtId="37" fontId="22" fillId="0" borderId="0"/>
    <xf numFmtId="0" fontId="258" fillId="0" borderId="0" applyNumberFormat="0" applyFont="0" applyFill="0" applyBorder="0" applyProtection="0">
      <alignment horizontal="center" vertical="center" wrapText="1"/>
    </xf>
    <xf numFmtId="49" fontId="119" fillId="0" borderId="146">
      <alignment horizontal="center" vertical="center"/>
    </xf>
    <xf numFmtId="49" fontId="119" fillId="0" borderId="146">
      <alignment horizontal="center" vertical="center"/>
    </xf>
    <xf numFmtId="49" fontId="119" fillId="0" borderId="146">
      <alignment horizontal="center" vertical="center"/>
    </xf>
    <xf numFmtId="0" fontId="196" fillId="32" borderId="0" applyNumberFormat="0" applyBorder="0" applyAlignment="0" applyProtection="0">
      <alignment vertical="center"/>
    </xf>
    <xf numFmtId="0" fontId="112" fillId="23" borderId="0" applyNumberFormat="0" applyBorder="0" applyAlignment="0" applyProtection="0">
      <alignment vertical="center"/>
    </xf>
    <xf numFmtId="0" fontId="112" fillId="23" borderId="0" applyNumberFormat="0" applyBorder="0" applyAlignment="0" applyProtection="0">
      <alignment vertical="center"/>
    </xf>
    <xf numFmtId="0" fontId="196" fillId="32" borderId="0" applyNumberFormat="0" applyBorder="0" applyAlignment="0" applyProtection="0">
      <alignment vertical="center"/>
    </xf>
    <xf numFmtId="0" fontId="196" fillId="32" borderId="0" applyNumberFormat="0" applyBorder="0" applyAlignment="0" applyProtection="0">
      <alignment vertical="center"/>
    </xf>
    <xf numFmtId="0" fontId="196" fillId="44" borderId="0" applyNumberFormat="0" applyBorder="0" applyAlignment="0" applyProtection="0">
      <alignment vertical="center"/>
    </xf>
    <xf numFmtId="0" fontId="112" fillId="24" borderId="0" applyNumberFormat="0" applyBorder="0" applyAlignment="0" applyProtection="0">
      <alignment vertical="center"/>
    </xf>
    <xf numFmtId="0" fontId="112" fillId="24" borderId="0" applyNumberFormat="0" applyBorder="0" applyAlignment="0" applyProtection="0">
      <alignment vertical="center"/>
    </xf>
    <xf numFmtId="0" fontId="196" fillId="44" borderId="0" applyNumberFormat="0" applyBorder="0" applyAlignment="0" applyProtection="0">
      <alignment vertical="center"/>
    </xf>
    <xf numFmtId="0" fontId="196" fillId="44" borderId="0" applyNumberFormat="0" applyBorder="0" applyAlignment="0" applyProtection="0">
      <alignment vertical="center"/>
    </xf>
    <xf numFmtId="0" fontId="196" fillId="48" borderId="0" applyNumberFormat="0" applyBorder="0" applyAlignment="0" applyProtection="0">
      <alignment vertical="center"/>
    </xf>
    <xf numFmtId="0" fontId="112" fillId="25" borderId="0" applyNumberFormat="0" applyBorder="0" applyAlignment="0" applyProtection="0">
      <alignment vertical="center"/>
    </xf>
    <xf numFmtId="0" fontId="112" fillId="25" borderId="0" applyNumberFormat="0" applyBorder="0" applyAlignment="0" applyProtection="0">
      <alignment vertical="center"/>
    </xf>
    <xf numFmtId="0" fontId="196" fillId="48" borderId="0" applyNumberFormat="0" applyBorder="0" applyAlignment="0" applyProtection="0">
      <alignment vertical="center"/>
    </xf>
    <xf numFmtId="0" fontId="196" fillId="48" borderId="0" applyNumberFormat="0" applyBorder="0" applyAlignment="0" applyProtection="0">
      <alignment vertical="center"/>
    </xf>
    <xf numFmtId="0" fontId="196" fillId="52" borderId="0" applyNumberFormat="0" applyBorder="0" applyAlignment="0" applyProtection="0">
      <alignment vertical="center"/>
    </xf>
    <xf numFmtId="0" fontId="112" fillId="20" borderId="0" applyNumberFormat="0" applyBorder="0" applyAlignment="0" applyProtection="0">
      <alignment vertical="center"/>
    </xf>
    <xf numFmtId="0" fontId="112" fillId="20" borderId="0" applyNumberFormat="0" applyBorder="0" applyAlignment="0" applyProtection="0">
      <alignment vertical="center"/>
    </xf>
    <xf numFmtId="0" fontId="196" fillId="52" borderId="0" applyNumberFormat="0" applyBorder="0" applyAlignment="0" applyProtection="0">
      <alignment vertical="center"/>
    </xf>
    <xf numFmtId="0" fontId="196" fillId="52" borderId="0" applyNumberFormat="0" applyBorder="0" applyAlignment="0" applyProtection="0">
      <alignment vertical="center"/>
    </xf>
    <xf numFmtId="0" fontId="196" fillId="56" borderId="0" applyNumberFormat="0" applyBorder="0" applyAlignment="0" applyProtection="0">
      <alignment vertical="center"/>
    </xf>
    <xf numFmtId="0" fontId="112" fillId="21" borderId="0" applyNumberFormat="0" applyBorder="0" applyAlignment="0" applyProtection="0">
      <alignment vertical="center"/>
    </xf>
    <xf numFmtId="0" fontId="112" fillId="21" borderId="0" applyNumberFormat="0" applyBorder="0" applyAlignment="0" applyProtection="0">
      <alignment vertical="center"/>
    </xf>
    <xf numFmtId="0" fontId="196" fillId="56" borderId="0" applyNumberFormat="0" applyBorder="0" applyAlignment="0" applyProtection="0">
      <alignment vertical="center"/>
    </xf>
    <xf numFmtId="0" fontId="196" fillId="56" borderId="0" applyNumberFormat="0" applyBorder="0" applyAlignment="0" applyProtection="0">
      <alignment vertical="center"/>
    </xf>
    <xf numFmtId="0" fontId="196" fillId="60" borderId="0" applyNumberFormat="0" applyBorder="0" applyAlignment="0" applyProtection="0">
      <alignment vertical="center"/>
    </xf>
    <xf numFmtId="0" fontId="112" fillId="26" borderId="0" applyNumberFormat="0" applyBorder="0" applyAlignment="0" applyProtection="0">
      <alignment vertical="center"/>
    </xf>
    <xf numFmtId="0" fontId="112" fillId="26" borderId="0" applyNumberFormat="0" applyBorder="0" applyAlignment="0" applyProtection="0">
      <alignment vertical="center"/>
    </xf>
    <xf numFmtId="0" fontId="196" fillId="60" borderId="0" applyNumberFormat="0" applyBorder="0" applyAlignment="0" applyProtection="0">
      <alignment vertical="center"/>
    </xf>
    <xf numFmtId="0" fontId="196" fillId="60" borderId="0" applyNumberFormat="0" applyBorder="0" applyAlignment="0" applyProtection="0">
      <alignment vertical="center"/>
    </xf>
    <xf numFmtId="330" fontId="119" fillId="0" borderId="146">
      <alignment vertical="center"/>
    </xf>
    <xf numFmtId="330" fontId="119" fillId="0" borderId="146">
      <alignment vertical="center"/>
    </xf>
    <xf numFmtId="330" fontId="119" fillId="0" borderId="146">
      <alignment vertical="center"/>
    </xf>
    <xf numFmtId="331" fontId="119" fillId="0" borderId="146">
      <alignment vertical="center"/>
    </xf>
    <xf numFmtId="331" fontId="119" fillId="0" borderId="146">
      <alignment vertical="center"/>
    </xf>
    <xf numFmtId="331" fontId="119" fillId="0" borderId="146">
      <alignment vertical="center"/>
    </xf>
    <xf numFmtId="331" fontId="119" fillId="0" borderId="146">
      <alignment vertical="center"/>
    </xf>
    <xf numFmtId="331" fontId="119" fillId="0" borderId="146">
      <alignment vertical="center"/>
    </xf>
    <xf numFmtId="331" fontId="119" fillId="0" borderId="146">
      <alignment vertical="center"/>
    </xf>
    <xf numFmtId="332" fontId="119" fillId="0" borderId="146">
      <alignment vertical="center"/>
    </xf>
    <xf numFmtId="332" fontId="119" fillId="0" borderId="146">
      <alignment vertical="center"/>
    </xf>
    <xf numFmtId="332" fontId="119" fillId="0" borderId="146">
      <alignment vertical="center"/>
    </xf>
    <xf numFmtId="0" fontId="70" fillId="0" borderId="0"/>
    <xf numFmtId="3" fontId="194" fillId="0" borderId="147" applyFill="0" applyBorder="0" applyAlignment="0" applyProtection="0">
      <alignment horizontal="centerContinuous" vertical="center"/>
    </xf>
    <xf numFmtId="3" fontId="194" fillId="0" borderId="147" applyFill="0" applyBorder="0" applyAlignment="0" applyProtection="0">
      <alignment horizontal="centerContinuous" vertical="center"/>
    </xf>
    <xf numFmtId="30" fontId="259" fillId="0" borderId="0">
      <alignment horizontal="center"/>
    </xf>
    <xf numFmtId="14" fontId="259" fillId="0" borderId="0">
      <alignment horizontal="center"/>
    </xf>
    <xf numFmtId="0" fontId="260"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261" fillId="39" borderId="78"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261" fillId="39" borderId="78" applyNumberFormat="0" applyAlignment="0" applyProtection="0">
      <alignment vertical="center"/>
    </xf>
    <xf numFmtId="0" fontId="261" fillId="39" borderId="78"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0" fontId="159" fillId="27" borderId="136" applyNumberFormat="0" applyAlignment="0" applyProtection="0">
      <alignment vertical="center"/>
    </xf>
    <xf numFmtId="3" fontId="108" fillId="0" borderId="0">
      <alignment horizontal="left" wrapText="1"/>
    </xf>
    <xf numFmtId="2" fontId="75" fillId="0" borderId="0" applyFont="0" applyFill="0" applyBorder="0" applyAlignment="0" applyProtection="0"/>
    <xf numFmtId="0" fontId="262" fillId="0" borderId="0" applyNumberFormat="0" applyFill="0" applyBorder="0" applyAlignment="0" applyProtection="0"/>
    <xf numFmtId="0" fontId="263" fillId="0" borderId="0" applyNumberFormat="0" applyFill="0" applyBorder="0" applyAlignment="0" applyProtection="0"/>
    <xf numFmtId="0" fontId="134" fillId="0" borderId="0"/>
    <xf numFmtId="0" fontId="76" fillId="0" borderId="0">
      <alignment vertical="center"/>
    </xf>
    <xf numFmtId="333" fontId="108" fillId="0" borderId="0">
      <alignment horizontal="right"/>
    </xf>
    <xf numFmtId="37" fontId="107" fillId="0" borderId="18">
      <alignment horizontal="center" vertical="center"/>
    </xf>
    <xf numFmtId="37" fontId="107" fillId="0" borderId="20" applyAlignment="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4" fillId="0" borderId="0"/>
    <xf numFmtId="0" fontId="50" fillId="0" borderId="0">
      <alignment vertical="center"/>
    </xf>
    <xf numFmtId="0" fontId="101" fillId="0" borderId="0" applyFont="0" applyFill="0" applyBorder="0" applyAlignment="0" applyProtection="0"/>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334" fontId="265" fillId="0" borderId="146">
      <alignment horizontal="right" vertical="center"/>
    </xf>
    <xf numFmtId="334"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265" fillId="0" borderId="146">
      <alignment horizontal="right" vertical="center"/>
    </xf>
    <xf numFmtId="0" fontId="101" fillId="0" borderId="0" applyFont="0" applyFill="0" applyBorder="0" applyAlignment="0" applyProtection="0"/>
    <xf numFmtId="0" fontId="266" fillId="37" borderId="0" applyNumberFormat="0" applyBorder="0" applyAlignment="0" applyProtection="0">
      <alignment vertical="center"/>
    </xf>
    <xf numFmtId="0" fontId="162" fillId="10" borderId="0" applyNumberFormat="0" applyBorder="0" applyAlignment="0" applyProtection="0">
      <alignment vertical="center"/>
    </xf>
    <xf numFmtId="0" fontId="162" fillId="10" borderId="0" applyNumberFormat="0" applyBorder="0" applyAlignment="0" applyProtection="0">
      <alignment vertical="center"/>
    </xf>
    <xf numFmtId="0" fontId="266" fillId="37" borderId="0" applyNumberFormat="0" applyBorder="0" applyAlignment="0" applyProtection="0">
      <alignment vertical="center"/>
    </xf>
    <xf numFmtId="0" fontId="266" fillId="37" borderId="0" applyNumberFormat="0" applyBorder="0" applyAlignment="0" applyProtection="0">
      <alignment vertical="center"/>
    </xf>
    <xf numFmtId="3" fontId="108" fillId="0" borderId="0">
      <alignment horizontal="left"/>
    </xf>
    <xf numFmtId="0" fontId="75" fillId="0" borderId="0" applyFont="0" applyFill="0" applyBorder="0" applyAlignment="0" applyProtection="0"/>
    <xf numFmtId="0" fontId="48" fillId="0" borderId="0">
      <protection locked="0"/>
    </xf>
    <xf numFmtId="335" fontId="267" fillId="0" borderId="24" applyBorder="0">
      <alignment horizontal="center" vertical="center" shrinkToFit="1"/>
    </xf>
    <xf numFmtId="296" fontId="267" fillId="0" borderId="24" applyFill="0" applyBorder="0">
      <alignment horizontal="center" vertical="center" shrinkToFit="1"/>
    </xf>
    <xf numFmtId="335" fontId="28" fillId="0" borderId="0" applyFont="0" applyFill="0" applyBorder="0" applyAlignment="0" applyProtection="0">
      <alignment vertical="center"/>
    </xf>
    <xf numFmtId="0" fontId="149" fillId="0" borderId="9">
      <alignment vertical="center"/>
    </xf>
    <xf numFmtId="0" fontId="48" fillId="0" borderId="0">
      <protection locked="0"/>
    </xf>
    <xf numFmtId="0" fontId="75" fillId="0" borderId="0" applyFont="0" applyFill="0" applyBorder="0" applyAlignment="0" applyProtection="0"/>
    <xf numFmtId="40" fontId="189" fillId="0" borderId="0" applyFont="0" applyFill="0" applyBorder="0" applyAlignment="0" applyProtection="0"/>
    <xf numFmtId="38" fontId="189" fillId="0" borderId="0" applyFont="0" applyFill="0" applyBorder="0" applyAlignment="0" applyProtection="0"/>
    <xf numFmtId="206" fontId="50" fillId="0" borderId="19">
      <alignment vertical="center"/>
    </xf>
    <xf numFmtId="0" fontId="28" fillId="0" borderId="0"/>
    <xf numFmtId="0" fontId="268" fillId="0" borderId="146">
      <alignment horizontal="centerContinuous" vertical="center"/>
    </xf>
    <xf numFmtId="336" fontId="119" fillId="0" borderId="0">
      <alignment vertical="center"/>
    </xf>
    <xf numFmtId="336" fontId="119" fillId="0" borderId="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7" fillId="34" borderId="79"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7" fillId="34" borderId="79" applyNumberFormat="0" applyFont="0" applyAlignment="0" applyProtection="0">
      <alignment vertical="center"/>
    </xf>
    <xf numFmtId="0" fontId="27" fillId="34" borderId="79"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20" fillId="31" borderId="137" applyNumberFormat="0" applyFont="0" applyAlignment="0" applyProtection="0">
      <alignment vertical="center"/>
    </xf>
    <xf numFmtId="0" fontId="189" fillId="0" borderId="0" applyFont="0" applyFill="0" applyBorder="0" applyAlignment="0" applyProtection="0"/>
    <xf numFmtId="0" fontId="189" fillId="0" borderId="0" applyFont="0" applyFill="0" applyBorder="0" applyAlignment="0" applyProtection="0"/>
    <xf numFmtId="0" fontId="267" fillId="0" borderId="15" applyBorder="0">
      <alignment horizontal="center" vertical="center" wrapText="1" shrinkToFit="1"/>
    </xf>
    <xf numFmtId="39" fontId="181" fillId="0" borderId="146" applyFont="0" applyFill="0" applyBorder="0">
      <alignment horizontal="right" vertical="center"/>
    </xf>
    <xf numFmtId="39" fontId="181" fillId="0" borderId="146" applyFont="0" applyFill="0" applyBorder="0">
      <alignment horizontal="right" vertical="center"/>
    </xf>
    <xf numFmtId="39" fontId="181" fillId="0" borderId="146" applyFont="0" applyFill="0" applyBorder="0">
      <alignment horizontal="right" vertical="center"/>
    </xf>
    <xf numFmtId="0" fontId="28" fillId="0" borderId="0"/>
    <xf numFmtId="196" fontId="20" fillId="0" borderId="0">
      <protection locked="0"/>
    </xf>
    <xf numFmtId="196"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97" fontId="28" fillId="0" borderId="0" applyFont="0" applyFill="0" applyBorder="0" applyProtection="0">
      <alignment horizontal="center" vertical="center"/>
    </xf>
    <xf numFmtId="337" fontId="28" fillId="0" borderId="0" applyFont="0" applyFill="0" applyBorder="0" applyProtection="0">
      <alignment horizontal="center" vertical="center"/>
    </xf>
    <xf numFmtId="9" fontId="269" fillId="0" borderId="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20"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9" fillId="0" borderId="0" applyFont="0" applyFill="0" applyBorder="0" applyAlignment="0" applyProtection="0">
      <alignment vertical="center"/>
    </xf>
    <xf numFmtId="9" fontId="1" fillId="0" borderId="0" applyFont="0" applyFill="0" applyBorder="0" applyAlignment="0" applyProtection="0">
      <alignment vertical="center"/>
    </xf>
    <xf numFmtId="9" fontId="19" fillId="0" borderId="0" applyFont="0" applyFill="0" applyBorder="0" applyAlignment="0" applyProtection="0">
      <alignment vertical="center"/>
    </xf>
    <xf numFmtId="9" fontId="27"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20" fillId="0" borderId="0" applyFont="0" applyFill="0" applyBorder="0" applyAlignment="0" applyProtection="0"/>
    <xf numFmtId="9" fontId="270" fillId="0" borderId="0" applyFont="0" applyFill="0" applyBorder="0" applyAlignment="0" applyProtection="0">
      <alignment vertical="center"/>
    </xf>
    <xf numFmtId="9" fontId="20" fillId="0" borderId="0" applyFont="0" applyFill="0" applyBorder="0" applyAlignment="0" applyProtection="0"/>
    <xf numFmtId="9" fontId="28" fillId="0" borderId="0" applyFont="0" applyFill="0" applyBorder="0" applyAlignment="0" applyProtection="0"/>
    <xf numFmtId="9" fontId="267" fillId="0" borderId="0" applyFont="0" applyFill="0" applyBorder="0" applyAlignment="0" applyProtection="0"/>
    <xf numFmtId="9" fontId="271" fillId="0" borderId="0" applyFont="0" applyFill="0" applyBorder="0" applyAlignment="0" applyProtection="0">
      <alignment vertical="center"/>
    </xf>
    <xf numFmtId="9" fontId="20" fillId="0" borderId="0" applyFont="0" applyFill="0" applyBorder="0" applyAlignment="0" applyProtection="0"/>
    <xf numFmtId="9" fontId="19" fillId="0" borderId="0" applyFont="0" applyFill="0" applyBorder="0" applyAlignment="0" applyProtection="0">
      <alignment vertical="center"/>
    </xf>
    <xf numFmtId="9" fontId="1"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267" fillId="0" borderId="0" applyFont="0" applyFill="0" applyBorder="0" applyAlignment="0" applyProtection="0"/>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1" fillId="0" borderId="0" applyFont="0" applyFill="0" applyBorder="0" applyAlignment="0" applyProtection="0">
      <alignment vertical="center"/>
    </xf>
    <xf numFmtId="9" fontId="45" fillId="0" borderId="0" applyFont="0" applyFill="0" applyBorder="0" applyAlignment="0" applyProtection="0"/>
    <xf numFmtId="9" fontId="1"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72" fillId="0" borderId="0" applyFont="0" applyFill="0" applyBorder="0" applyAlignment="0" applyProtection="0">
      <alignment vertical="center"/>
    </xf>
    <xf numFmtId="9" fontId="272" fillId="0" borderId="0" applyFont="0" applyFill="0" applyBorder="0" applyAlignment="0" applyProtection="0">
      <alignment vertical="center"/>
    </xf>
    <xf numFmtId="9" fontId="20" fillId="0" borderId="0" applyFont="0" applyFill="0" applyBorder="0" applyAlignment="0" applyProtection="0">
      <alignment vertical="center"/>
    </xf>
    <xf numFmtId="9" fontId="272" fillId="0" borderId="0" applyFont="0" applyFill="0" applyBorder="0" applyAlignment="0" applyProtection="0">
      <alignment vertical="center"/>
    </xf>
    <xf numFmtId="9" fontId="1" fillId="0" borderId="0" applyFont="0" applyFill="0" applyBorder="0" applyAlignment="0" applyProtection="0">
      <alignment vertical="center"/>
    </xf>
    <xf numFmtId="9" fontId="77" fillId="0" borderId="0" applyFont="0" applyFill="0" applyBorder="0" applyAlignment="0" applyProtection="0">
      <alignment vertical="center"/>
    </xf>
    <xf numFmtId="9" fontId="19" fillId="0" borderId="0" applyFont="0" applyFill="0" applyBorder="0" applyAlignment="0" applyProtection="0"/>
    <xf numFmtId="9" fontId="19" fillId="0" borderId="0" applyFont="0" applyFill="0" applyBorder="0" applyAlignment="0" applyProtection="0">
      <alignment vertical="center"/>
    </xf>
    <xf numFmtId="9" fontId="20" fillId="0" borderId="0" applyFont="0" applyFill="0" applyBorder="0" applyAlignment="0" applyProtection="0"/>
    <xf numFmtId="9" fontId="1" fillId="0" borderId="0" applyFont="0" applyFill="0" applyBorder="0" applyAlignment="0" applyProtection="0">
      <alignment vertical="center"/>
    </xf>
    <xf numFmtId="9" fontId="20" fillId="0" borderId="0" applyFont="0" applyFill="0" applyBorder="0" applyAlignment="0" applyProtection="0"/>
    <xf numFmtId="9" fontId="1" fillId="0" borderId="0" applyFont="0" applyFill="0" applyBorder="0" applyAlignment="0" applyProtection="0">
      <alignment vertical="center"/>
    </xf>
    <xf numFmtId="9" fontId="20" fillId="0" borderId="0" applyFont="0" applyFill="0" applyBorder="0" applyAlignment="0" applyProtection="0">
      <alignment vertical="center"/>
    </xf>
    <xf numFmtId="9" fontId="273" fillId="0" borderId="0" applyFont="0" applyFill="0" applyBorder="0" applyAlignment="0" applyProtection="0">
      <alignment vertical="center"/>
    </xf>
    <xf numFmtId="9" fontId="274"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9" fontId="1" fillId="0" borderId="0" applyFont="0" applyFill="0" applyBorder="0" applyAlignment="0" applyProtection="0">
      <alignment vertical="center"/>
    </xf>
    <xf numFmtId="10" fontId="30" fillId="0" borderId="142"/>
    <xf numFmtId="10" fontId="30" fillId="0" borderId="142"/>
    <xf numFmtId="10" fontId="30" fillId="0" borderId="142"/>
    <xf numFmtId="10" fontId="30" fillId="0" borderId="142"/>
    <xf numFmtId="10" fontId="267" fillId="0" borderId="195" applyBorder="0">
      <alignment horizontal="center" vertical="center" shrinkToFit="1"/>
    </xf>
    <xf numFmtId="178" fontId="20" fillId="0" borderId="2" applyFill="0" applyBorder="0" applyProtection="0">
      <alignment vertical="center"/>
      <protection locked="0"/>
    </xf>
    <xf numFmtId="10" fontId="30" fillId="0" borderId="0"/>
    <xf numFmtId="0" fontId="35" fillId="0" borderId="0" applyFont="0" applyFill="0" applyBorder="0" applyAlignment="0" applyProtection="0"/>
    <xf numFmtId="0" fontId="28" fillId="0" borderId="196"/>
    <xf numFmtId="0" fontId="275" fillId="38" borderId="0" applyNumberFormat="0" applyBorder="0" applyAlignment="0" applyProtection="0">
      <alignment vertical="center"/>
    </xf>
    <xf numFmtId="0" fontId="167" fillId="30" borderId="0" applyNumberFormat="0" applyBorder="0" applyAlignment="0" applyProtection="0">
      <alignment vertical="center"/>
    </xf>
    <xf numFmtId="0" fontId="167" fillId="30" borderId="0" applyNumberFormat="0" applyBorder="0" applyAlignment="0" applyProtection="0">
      <alignment vertical="center"/>
    </xf>
    <xf numFmtId="0" fontId="275" fillId="38" borderId="0" applyNumberFormat="0" applyBorder="0" applyAlignment="0" applyProtection="0">
      <alignment vertical="center"/>
    </xf>
    <xf numFmtId="0" fontId="275" fillId="38" borderId="0" applyNumberFormat="0" applyBorder="0" applyAlignment="0" applyProtection="0">
      <alignment vertical="center"/>
    </xf>
    <xf numFmtId="3" fontId="119" fillId="0" borderId="11">
      <alignment vertical="center"/>
    </xf>
    <xf numFmtId="270" fontId="182" fillId="64" borderId="186">
      <protection locked="0"/>
    </xf>
    <xf numFmtId="275" fontId="20" fillId="64" borderId="186">
      <protection locked="0"/>
    </xf>
    <xf numFmtId="275" fontId="20" fillId="64" borderId="186">
      <protection locked="0"/>
    </xf>
    <xf numFmtId="0" fontId="20" fillId="0" borderId="146" applyFont="0" applyBorder="0" applyAlignment="0">
      <alignment horizontal="center" vertical="center"/>
    </xf>
    <xf numFmtId="0" fontId="20" fillId="0" borderId="146" applyFont="0" applyBorder="0" applyAlignment="0">
      <alignment horizontal="center" vertical="center"/>
    </xf>
    <xf numFmtId="0" fontId="20" fillId="0" borderId="146" applyFont="0" applyBorder="0" applyAlignment="0">
      <alignment horizontal="center" vertical="center"/>
    </xf>
    <xf numFmtId="338" fontId="28" fillId="0" borderId="12" applyFont="0" applyFill="0" applyAlignment="0" applyProtection="0">
      <alignment horizontal="center" vertical="center"/>
    </xf>
    <xf numFmtId="0" fontId="28" fillId="0" borderId="0"/>
    <xf numFmtId="0" fontId="276" fillId="0" borderId="0"/>
    <xf numFmtId="0" fontId="276" fillId="0" borderId="0"/>
    <xf numFmtId="206" fontId="277" fillId="0" borderId="7">
      <alignment vertical="center"/>
    </xf>
    <xf numFmtId="292" fontId="20" fillId="0" borderId="0"/>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86" borderId="146" applyNumberFormat="0">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339" fontId="20" fillId="0" borderId="146">
      <alignment vertical="center"/>
    </xf>
    <xf numFmtId="0" fontId="20" fillId="0" borderId="0"/>
    <xf numFmtId="0" fontId="20" fillId="0" borderId="0" applyFont="0" applyFill="0" applyBorder="0" applyAlignment="0" applyProtection="0"/>
    <xf numFmtId="0" fontId="20" fillId="0" borderId="0" applyFont="0" applyFill="0" applyBorder="0" applyAlignment="0" applyProtection="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7" fontId="119" fillId="0" borderId="197" applyAlignment="0"/>
    <xf numFmtId="340" fontId="51" fillId="0" borderId="142" applyNumberFormat="0" applyBorder="0" applyAlignment="0"/>
    <xf numFmtId="340" fontId="51" fillId="0" borderId="142" applyNumberFormat="0" applyBorder="0" applyAlignment="0"/>
    <xf numFmtId="0" fontId="27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278" fillId="0" borderId="0" applyNumberFormat="0" applyFill="0" applyBorder="0" applyAlignment="0" applyProtection="0">
      <alignment vertical="center"/>
    </xf>
    <xf numFmtId="0" fontId="278" fillId="0" borderId="0" applyNumberFormat="0" applyFill="0" applyBorder="0" applyAlignment="0" applyProtection="0">
      <alignment vertical="center"/>
    </xf>
    <xf numFmtId="0" fontId="279" fillId="40" borderId="183" applyNumberFormat="0" applyAlignment="0" applyProtection="0">
      <alignment vertical="center"/>
    </xf>
    <xf numFmtId="0" fontId="169" fillId="28" borderId="30" applyNumberFormat="0" applyAlignment="0" applyProtection="0">
      <alignment vertical="center"/>
    </xf>
    <xf numFmtId="0" fontId="169" fillId="28" borderId="30" applyNumberFormat="0" applyAlignment="0" applyProtection="0">
      <alignment vertical="center"/>
    </xf>
    <xf numFmtId="0" fontId="279" fillId="40" borderId="183" applyNumberFormat="0" applyAlignment="0" applyProtection="0">
      <alignment vertical="center"/>
    </xf>
    <xf numFmtId="0" fontId="279" fillId="40" borderId="183" applyNumberFormat="0" applyAlignment="0" applyProtection="0">
      <alignment vertical="center"/>
    </xf>
    <xf numFmtId="253" fontId="20" fillId="0" borderId="0" applyFont="0" applyFill="0" applyBorder="0" applyAlignment="0" applyProtection="0"/>
    <xf numFmtId="0" fontId="50" fillId="0" borderId="0" applyProtection="0">
      <alignment horizontal="center" vertical="top"/>
    </xf>
    <xf numFmtId="341" fontId="280" fillId="0" borderId="0">
      <alignment vertical="center"/>
    </xf>
    <xf numFmtId="206" fontId="21" fillId="0" borderId="7">
      <alignment vertical="center"/>
    </xf>
    <xf numFmtId="274" fontId="120" fillId="0" borderId="7" applyFont="0" applyAlignment="0" applyProtection="0">
      <alignment vertical="center"/>
    </xf>
    <xf numFmtId="41" fontId="101" fillId="0" borderId="15" applyFill="0" applyBorder="0" applyProtection="0">
      <alignment vertical="center"/>
    </xf>
    <xf numFmtId="0" fontId="281" fillId="0" borderId="0">
      <alignment vertical="center"/>
    </xf>
    <xf numFmtId="342" fontId="282" fillId="0" borderId="0">
      <alignment vertical="center"/>
    </xf>
    <xf numFmtId="194" fontId="20" fillId="0" borderId="0">
      <alignment vertical="center"/>
    </xf>
    <xf numFmtId="0" fontId="101" fillId="0" borderId="0" applyFill="0" applyBorder="0" applyProtection="0">
      <alignment vertical="center"/>
    </xf>
    <xf numFmtId="343" fontId="267" fillId="0" borderId="15" applyFont="0" applyFill="0" applyBorder="0">
      <alignment horizontal="center"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9"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19"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19" fillId="0" borderId="0" applyFont="0" applyFill="0" applyBorder="0" applyAlignment="0" applyProtection="0">
      <alignment vertical="center"/>
    </xf>
    <xf numFmtId="41" fontId="27" fillId="0" borderId="0" applyFont="0" applyFill="0" applyBorder="0" applyAlignment="0" applyProtection="0">
      <alignment vertical="center"/>
    </xf>
    <xf numFmtId="41" fontId="283" fillId="0" borderId="0" applyFont="0" applyFill="0" applyBorder="0" applyAlignment="0" applyProtection="0">
      <alignment vertical="center"/>
    </xf>
    <xf numFmtId="41" fontId="20" fillId="0" borderId="0" applyFont="0" applyFill="0" applyBorder="0" applyAlignment="0" applyProtection="0">
      <alignment vertical="center"/>
    </xf>
    <xf numFmtId="41" fontId="272" fillId="0" borderId="0" applyFont="0" applyFill="0" applyBorder="0" applyAlignment="0" applyProtection="0">
      <alignment vertical="center"/>
    </xf>
    <xf numFmtId="199" fontId="19" fillId="0" borderId="0" applyFont="0" applyFill="0" applyBorder="0" applyAlignment="0" applyProtection="0">
      <alignment vertical="center"/>
    </xf>
    <xf numFmtId="199" fontId="19"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9" fillId="0" borderId="0" applyFont="0" applyFill="0" applyBorder="0" applyAlignment="0" applyProtection="0">
      <alignment vertical="center"/>
    </xf>
    <xf numFmtId="199" fontId="19"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199" fontId="19"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206" fontId="28"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344" fontId="38"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0" fontId="77"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345" fontId="45" fillId="0" borderId="0" applyFont="0" applyFill="0" applyBorder="0" applyAlignment="0" applyProtection="0"/>
    <xf numFmtId="41" fontId="20" fillId="0" borderId="0" applyFont="0" applyFill="0" applyBorder="0" applyAlignment="0" applyProtection="0">
      <alignment vertical="center"/>
    </xf>
    <xf numFmtId="345" fontId="45" fillId="0" borderId="0" applyFont="0" applyFill="0" applyBorder="0" applyAlignment="0" applyProtection="0"/>
    <xf numFmtId="41" fontId="20" fillId="0" borderId="0" applyFont="0" applyFill="0" applyBorder="0" applyAlignment="0" applyProtection="0">
      <alignment vertical="center"/>
    </xf>
    <xf numFmtId="41" fontId="19"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7" fillId="0" borderId="0" applyFont="0" applyFill="0" applyBorder="0" applyAlignment="0" applyProtection="0">
      <alignment vertical="center"/>
    </xf>
    <xf numFmtId="41" fontId="1" fillId="0" borderId="0" applyFont="0" applyFill="0" applyBorder="0" applyAlignment="0" applyProtection="0">
      <alignment vertical="center"/>
    </xf>
    <xf numFmtId="199" fontId="45"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70" fillId="0" borderId="0" applyFont="0" applyFill="0" applyBorder="0" applyAlignment="0" applyProtection="0">
      <alignment vertical="center"/>
    </xf>
    <xf numFmtId="41" fontId="20" fillId="0" borderId="0" applyFont="0" applyFill="0" applyBorder="0" applyAlignment="0" applyProtection="0">
      <alignment vertical="center"/>
    </xf>
    <xf numFmtId="346" fontId="45" fillId="0" borderId="0" applyFont="0" applyFill="0" applyBorder="0" applyAlignment="0" applyProtection="0"/>
    <xf numFmtId="41" fontId="272" fillId="0" borderId="0" applyFont="0" applyFill="0" applyBorder="0" applyAlignment="0" applyProtection="0">
      <alignment vertical="center"/>
    </xf>
    <xf numFmtId="41" fontId="272" fillId="0" borderId="0" applyFont="0" applyFill="0" applyBorder="0" applyAlignment="0" applyProtection="0">
      <alignment vertical="center"/>
    </xf>
    <xf numFmtId="41" fontId="272" fillId="0" borderId="0" applyFont="0" applyFill="0" applyBorder="0" applyAlignment="0" applyProtection="0">
      <alignment vertical="center"/>
    </xf>
    <xf numFmtId="41" fontId="20" fillId="0" borderId="0" applyFont="0" applyFill="0" applyBorder="0" applyAlignment="0" applyProtection="0"/>
    <xf numFmtId="199" fontId="45" fillId="0" borderId="0" applyFont="0" applyFill="0" applyBorder="0" applyAlignment="0" applyProtection="0"/>
    <xf numFmtId="41" fontId="284" fillId="0" borderId="0" applyFont="0" applyFill="0" applyBorder="0" applyAlignment="0" applyProtection="0">
      <alignment vertical="center"/>
    </xf>
    <xf numFmtId="41" fontId="284" fillId="0" borderId="0" applyFont="0" applyFill="0" applyBorder="0" applyAlignment="0" applyProtection="0">
      <alignment vertical="center"/>
    </xf>
    <xf numFmtId="199" fontId="45"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1" fillId="0" borderId="0" applyFont="0" applyFill="0" applyBorder="0" applyAlignment="0" applyProtection="0">
      <alignment vertical="center"/>
    </xf>
    <xf numFmtId="41" fontId="274" fillId="0" borderId="0" applyFont="0" applyFill="0" applyBorder="0" applyAlignment="0" applyProtection="0">
      <alignment vertical="center"/>
    </xf>
    <xf numFmtId="38" fontId="104" fillId="0" borderId="0" applyFont="0" applyFill="0" applyBorder="0" applyAlignment="0" applyProtection="0"/>
    <xf numFmtId="41" fontId="1" fillId="0" borderId="0" applyFont="0" applyFill="0" applyBorder="0" applyAlignment="0" applyProtection="0">
      <alignment vertical="center"/>
    </xf>
    <xf numFmtId="41" fontId="285" fillId="0" borderId="0" applyFont="0" applyFill="0" applyBorder="0" applyAlignment="0" applyProtection="0">
      <alignment vertical="center"/>
    </xf>
    <xf numFmtId="41" fontId="274" fillId="0" borderId="0" applyFont="0" applyFill="0" applyBorder="0" applyAlignment="0" applyProtection="0">
      <alignment vertical="center"/>
    </xf>
    <xf numFmtId="41" fontId="283" fillId="0" borderId="0" applyFont="0" applyFill="0" applyBorder="0" applyAlignment="0" applyProtection="0">
      <alignment vertical="center"/>
    </xf>
    <xf numFmtId="41" fontId="283" fillId="0" borderId="0" applyFont="0" applyFill="0" applyBorder="0" applyAlignment="0" applyProtection="0">
      <alignment vertical="center"/>
    </xf>
    <xf numFmtId="41" fontId="20"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4"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346" fontId="45"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9" fillId="0" borderId="0" applyFont="0" applyFill="0" applyBorder="0" applyAlignment="0" applyProtection="0">
      <alignment vertical="center"/>
    </xf>
    <xf numFmtId="41" fontId="1"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199"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19" fillId="0" borderId="0" applyFont="0" applyFill="0" applyBorder="0" applyAlignment="0" applyProtection="0">
      <alignment vertical="center"/>
    </xf>
    <xf numFmtId="41" fontId="271"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19" fillId="0" borderId="0" applyFont="0" applyFill="0" applyBorder="0" applyAlignment="0" applyProtection="0">
      <alignment vertical="center"/>
    </xf>
    <xf numFmtId="199" fontId="1" fillId="0" borderId="0" applyFont="0" applyFill="0" applyBorder="0" applyAlignment="0" applyProtection="0">
      <alignment vertical="center"/>
    </xf>
    <xf numFmtId="41" fontId="20" fillId="0" borderId="0" applyFont="0" applyFill="0" applyBorder="0" applyAlignment="0" applyProtection="0">
      <alignment vertical="center"/>
    </xf>
    <xf numFmtId="41" fontId="283" fillId="0" borderId="0" applyFont="0" applyFill="0" applyBorder="0" applyAlignment="0" applyProtection="0">
      <alignment vertical="center"/>
    </xf>
    <xf numFmtId="41" fontId="28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8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83"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86" fillId="0" borderId="0" applyFont="0" applyFill="0" applyBorder="0" applyAlignment="0" applyProtection="0">
      <alignment vertical="center"/>
    </xf>
    <xf numFmtId="41" fontId="273"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199" fontId="19"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1"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1" fillId="0" borderId="0" applyFont="0" applyFill="0" applyBorder="0" applyAlignment="0" applyProtection="0">
      <alignment vertical="center"/>
    </xf>
    <xf numFmtId="41" fontId="20" fillId="0" borderId="0" applyFont="0" applyFill="0" applyBorder="0" applyAlignment="0" applyProtection="0"/>
    <xf numFmtId="41" fontId="1"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alignment vertical="center"/>
    </xf>
    <xf numFmtId="41" fontId="252"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9"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3" fontId="2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0" fontId="104" fillId="0" borderId="0" applyFont="0" applyFill="0" applyBorder="0" applyAlignment="0" applyProtection="0"/>
    <xf numFmtId="0" fontId="45" fillId="0" borderId="0" applyFont="0" applyFill="0" applyBorder="0" applyAlignment="0" applyProtection="0"/>
    <xf numFmtId="40" fontId="104" fillId="0" borderId="0" applyFont="0" applyFill="0" applyBorder="0" applyAlignment="0" applyProtection="0"/>
    <xf numFmtId="40" fontId="104"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40" fontId="104"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40" fontId="104" fillId="0" borderId="0" applyFont="0" applyFill="0" applyBorder="0" applyAlignment="0" applyProtection="0"/>
    <xf numFmtId="40" fontId="104"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28"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0" fontId="35"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pplyFont="0" applyFill="0" applyBorder="0" applyAlignment="0" applyProtection="0"/>
    <xf numFmtId="0" fontId="28"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101" fillId="0" borderId="0" applyFont="0" applyFill="0" applyBorder="0" applyAlignment="0" applyProtection="0"/>
    <xf numFmtId="0" fontId="45" fillId="0" borderId="0"/>
    <xf numFmtId="0" fontId="287"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28" fillId="0" borderId="0" applyFont="0" applyFill="0" applyBorder="0" applyAlignment="0" applyProtection="0"/>
    <xf numFmtId="0" fontId="28" fillId="0" borderId="0"/>
    <xf numFmtId="0" fontId="45" fillId="0" borderId="0"/>
    <xf numFmtId="40" fontId="104"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40" fontId="104" fillId="0" borderId="0" applyFont="0" applyFill="0" applyBorder="0" applyAlignment="0" applyProtection="0"/>
    <xf numFmtId="0" fontId="45" fillId="0" borderId="0" applyFont="0" applyFill="0" applyBorder="0" applyAlignment="0" applyProtection="0"/>
    <xf numFmtId="0" fontId="288" fillId="0" borderId="144" applyFill="0" applyBorder="0">
      <alignment horizontal="left" vertical="center"/>
    </xf>
    <xf numFmtId="0" fontId="288" fillId="0" borderId="144" applyFill="0" applyBorder="0">
      <alignment horizontal="left" vertical="center"/>
    </xf>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347" fontId="119" fillId="0" borderId="5"/>
    <xf numFmtId="347" fontId="119" fillId="0" borderId="5"/>
    <xf numFmtId="0" fontId="119" fillId="0" borderId="5"/>
    <xf numFmtId="0" fontId="119"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348" fontId="20" fillId="0" borderId="5"/>
    <xf numFmtId="348" fontId="20" fillId="0" borderId="5"/>
    <xf numFmtId="348" fontId="20" fillId="0" borderId="5"/>
    <xf numFmtId="348" fontId="20" fillId="0" borderId="5"/>
    <xf numFmtId="0" fontId="20" fillId="0" borderId="5"/>
    <xf numFmtId="0" fontId="20" fillId="0" borderId="5"/>
    <xf numFmtId="348" fontId="20" fillId="0" borderId="5"/>
    <xf numFmtId="348" fontId="20" fillId="0" borderId="5"/>
    <xf numFmtId="0" fontId="20" fillId="0" borderId="5"/>
    <xf numFmtId="0" fontId="20" fillId="0" borderId="5"/>
    <xf numFmtId="348" fontId="20" fillId="0" borderId="5"/>
    <xf numFmtId="348" fontId="20" fillId="0" borderId="5"/>
    <xf numFmtId="0" fontId="20" fillId="0" borderId="5"/>
    <xf numFmtId="0" fontId="20" fillId="0" borderId="5"/>
    <xf numFmtId="348" fontId="20" fillId="0" borderId="5"/>
    <xf numFmtId="348" fontId="20" fillId="0" borderId="5"/>
    <xf numFmtId="0" fontId="20" fillId="0" borderId="5"/>
    <xf numFmtId="0" fontId="20" fillId="0" borderId="5"/>
    <xf numFmtId="0" fontId="20" fillId="0" borderId="5"/>
    <xf numFmtId="0" fontId="20" fillId="0" borderId="5"/>
    <xf numFmtId="348" fontId="20" fillId="0" borderId="5"/>
    <xf numFmtId="348" fontId="20" fillId="0" borderId="5"/>
    <xf numFmtId="0" fontId="20" fillId="0" borderId="5"/>
    <xf numFmtId="0" fontId="20" fillId="0" borderId="5"/>
    <xf numFmtId="348" fontId="20" fillId="0" borderId="5"/>
    <xf numFmtId="348" fontId="20" fillId="0" borderId="5"/>
    <xf numFmtId="0" fontId="20" fillId="0" borderId="5"/>
    <xf numFmtId="0" fontId="20" fillId="0" borderId="5"/>
    <xf numFmtId="348" fontId="20" fillId="0" borderId="5"/>
    <xf numFmtId="348"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1" fillId="0" borderId="0">
      <alignment vertical="center"/>
    </xf>
    <xf numFmtId="0" fontId="35" fillId="0" borderId="0" applyFont="0" applyFill="0" applyBorder="0" applyAlignment="0" applyProtection="0"/>
    <xf numFmtId="0" fontId="35" fillId="0" borderId="0" applyFont="0" applyFill="0" applyBorder="0" applyAlignment="0" applyProtection="0"/>
    <xf numFmtId="0" fontId="20" fillId="87" borderId="0" applyFont="0" applyBorder="0" applyAlignment="0" applyProtection="0">
      <alignment vertical="center"/>
    </xf>
    <xf numFmtId="0" fontId="289" fillId="0" borderId="182" applyNumberFormat="0" applyFill="0" applyAlignment="0" applyProtection="0">
      <alignment vertical="center"/>
    </xf>
    <xf numFmtId="0" fontId="170" fillId="0" borderId="36" applyNumberFormat="0" applyFill="0" applyAlignment="0" applyProtection="0">
      <alignment vertical="center"/>
    </xf>
    <xf numFmtId="0" fontId="170" fillId="0" borderId="36" applyNumberFormat="0" applyFill="0" applyAlignment="0" applyProtection="0">
      <alignment vertical="center"/>
    </xf>
    <xf numFmtId="0" fontId="289" fillId="0" borderId="182" applyNumberFormat="0" applyFill="0" applyAlignment="0" applyProtection="0">
      <alignment vertical="center"/>
    </xf>
    <xf numFmtId="0" fontId="289" fillId="0" borderId="182" applyNumberFormat="0" applyFill="0" applyAlignment="0" applyProtection="0">
      <alignment vertical="center"/>
    </xf>
    <xf numFmtId="349" fontId="290" fillId="0" borderId="0">
      <alignment vertical="center"/>
      <protection locked="0"/>
    </xf>
    <xf numFmtId="0" fontId="119" fillId="0" borderId="0"/>
    <xf numFmtId="0" fontId="119" fillId="0" borderId="9">
      <alignment vertical="center"/>
    </xf>
    <xf numFmtId="0" fontId="119" fillId="0" borderId="9">
      <alignment vertical="center"/>
    </xf>
    <xf numFmtId="350" fontId="20" fillId="0" borderId="146" applyBorder="0">
      <alignment vertical="center"/>
    </xf>
    <xf numFmtId="350" fontId="20" fillId="0" borderId="146" applyBorder="0">
      <alignment vertical="center"/>
    </xf>
    <xf numFmtId="350" fontId="20" fillId="0" borderId="146" applyBorder="0">
      <alignment vertical="center"/>
    </xf>
    <xf numFmtId="351" fontId="119" fillId="0" borderId="146" applyBorder="0">
      <alignment horizontal="left" vertical="center"/>
    </xf>
    <xf numFmtId="351" fontId="119" fillId="0" borderId="146" applyBorder="0">
      <alignment horizontal="left" vertical="center"/>
    </xf>
    <xf numFmtId="351" fontId="119" fillId="0" borderId="146" applyBorder="0">
      <alignment horizontal="lef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291" fillId="0" borderId="184"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291" fillId="0" borderId="184" applyNumberFormat="0" applyFill="0" applyAlignment="0" applyProtection="0">
      <alignment vertical="center"/>
    </xf>
    <xf numFmtId="0" fontId="291" fillId="0" borderId="184"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0" fontId="171" fillId="0" borderId="198" applyNumberFormat="0" applyFill="0" applyAlignment="0" applyProtection="0">
      <alignment vertical="center"/>
    </xf>
    <xf numFmtId="286" fontId="181" fillId="3" borderId="146">
      <alignment horizontal="right" vertical="center"/>
    </xf>
    <xf numFmtId="286" fontId="181" fillId="3" borderId="146">
      <alignment horizontal="right" vertical="center"/>
    </xf>
    <xf numFmtId="286" fontId="181" fillId="3" borderId="146">
      <alignment horizontal="right" vertical="center"/>
    </xf>
    <xf numFmtId="352" fontId="28" fillId="0" borderId="0" applyFont="0" applyFill="0" applyBorder="0" applyAlignment="0" applyProtection="0"/>
    <xf numFmtId="292" fontId="45" fillId="0" borderId="0" applyFont="0" applyFill="0" applyBorder="0" applyAlignment="0" applyProtection="0"/>
    <xf numFmtId="0" fontId="292" fillId="0" borderId="0">
      <alignment horizontal="center" vertical="center"/>
    </xf>
    <xf numFmtId="0" fontId="25" fillId="0" borderId="146" applyNumberFormat="0" applyAlignment="0">
      <alignment horizontal="center" vertical="center"/>
    </xf>
    <xf numFmtId="0" fontId="25" fillId="0" borderId="146" applyNumberFormat="0" applyAlignment="0">
      <alignment horizontal="center" vertical="center"/>
    </xf>
    <xf numFmtId="0" fontId="25" fillId="0" borderId="146" applyNumberFormat="0" applyAlignment="0">
      <alignment horizontal="center" vertical="center"/>
    </xf>
    <xf numFmtId="0" fontId="30" fillId="0" borderId="0"/>
    <xf numFmtId="225" fontId="28" fillId="0" borderId="0" applyFill="0" applyBorder="0" applyAlignment="0" applyProtection="0"/>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353" fontId="119" fillId="0" borderId="146">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353" fontId="119" fillId="0" borderId="146">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293" fillId="33" borderId="78"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353" fontId="119" fillId="0" borderId="146">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353" fontId="119" fillId="0" borderId="146">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353" fontId="119" fillId="0" borderId="146">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293" fillId="33" borderId="78" applyNumberFormat="0" applyAlignment="0" applyProtection="0">
      <alignment vertical="center"/>
    </xf>
    <xf numFmtId="0" fontId="293" fillId="33" borderId="78"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0" fontId="172" fillId="14" borderId="199" applyNumberFormat="0" applyAlignment="0" applyProtection="0">
      <alignment vertical="center"/>
    </xf>
    <xf numFmtId="3" fontId="75" fillId="0" borderId="0" applyFont="0" applyFill="0" applyBorder="0" applyAlignment="0" applyProtection="0"/>
    <xf numFmtId="0" fontId="174" fillId="0" borderId="32" applyNumberFormat="0" applyFill="0" applyProtection="0">
      <alignment vertical="center"/>
    </xf>
    <xf numFmtId="0" fontId="294" fillId="0" borderId="178" applyNumberFormat="0" applyFill="0" applyAlignment="0" applyProtection="0">
      <alignment vertical="center"/>
    </xf>
    <xf numFmtId="0" fontId="174" fillId="0" borderId="32" applyNumberFormat="0" applyFill="0" applyAlignment="0" applyProtection="0">
      <alignment vertical="center"/>
    </xf>
    <xf numFmtId="0" fontId="174" fillId="0" borderId="32" applyNumberFormat="0" applyFill="0" applyAlignment="0" applyProtection="0">
      <alignment vertical="center"/>
    </xf>
    <xf numFmtId="0" fontId="294" fillId="0" borderId="178" applyNumberFormat="0" applyFill="0" applyAlignment="0" applyProtection="0">
      <alignment vertical="center"/>
    </xf>
    <xf numFmtId="0" fontId="294" fillId="0" borderId="178" applyNumberFormat="0" applyFill="0" applyAlignment="0" applyProtection="0">
      <alignment vertical="center"/>
    </xf>
    <xf numFmtId="0" fontId="28" fillId="0" borderId="0">
      <alignment vertical="center"/>
    </xf>
    <xf numFmtId="0" fontId="295" fillId="0" borderId="0">
      <alignment horizontal="centerContinuous" vertical="center"/>
    </xf>
    <xf numFmtId="0" fontId="68" fillId="0" borderId="0" applyNumberFormat="0" applyFill="0" applyBorder="0" applyAlignment="0" applyProtection="0">
      <alignment vertical="center"/>
    </xf>
    <xf numFmtId="0" fontId="296" fillId="0" borderId="179" applyNumberFormat="0" applyFill="0" applyAlignment="0" applyProtection="0">
      <alignment vertical="center"/>
    </xf>
    <xf numFmtId="0" fontId="175" fillId="0" borderId="33" applyNumberFormat="0" applyFill="0" applyAlignment="0" applyProtection="0">
      <alignment vertical="center"/>
    </xf>
    <xf numFmtId="0" fontId="297" fillId="0" borderId="0">
      <alignment vertical="center"/>
    </xf>
    <xf numFmtId="0" fontId="175" fillId="0" borderId="33" applyNumberFormat="0" applyFill="0" applyAlignment="0" applyProtection="0">
      <alignment vertical="center"/>
    </xf>
    <xf numFmtId="0" fontId="175" fillId="0" borderId="33" applyNumberFormat="0" applyFill="0" applyAlignment="0" applyProtection="0">
      <alignment vertical="center"/>
    </xf>
    <xf numFmtId="0" fontId="296" fillId="0" borderId="179" applyNumberFormat="0" applyFill="0" applyAlignment="0" applyProtection="0">
      <alignment vertical="center"/>
    </xf>
    <xf numFmtId="0" fontId="296" fillId="0" borderId="179" applyNumberFormat="0" applyFill="0" applyAlignment="0" applyProtection="0">
      <alignment vertical="center"/>
    </xf>
    <xf numFmtId="0" fontId="298" fillId="0" borderId="180" applyNumberFormat="0" applyFill="0" applyAlignment="0" applyProtection="0">
      <alignment vertical="center"/>
    </xf>
    <xf numFmtId="0" fontId="176" fillId="0" borderId="34" applyNumberFormat="0" applyFill="0" applyAlignment="0" applyProtection="0">
      <alignment vertical="center"/>
    </xf>
    <xf numFmtId="0" fontId="176" fillId="0" borderId="34" applyNumberFormat="0" applyFill="0" applyAlignment="0" applyProtection="0">
      <alignment vertical="center"/>
    </xf>
    <xf numFmtId="0" fontId="298" fillId="0" borderId="180" applyNumberFormat="0" applyFill="0" applyAlignment="0" applyProtection="0">
      <alignment vertical="center"/>
    </xf>
    <xf numFmtId="0" fontId="298" fillId="0" borderId="180" applyNumberFormat="0" applyFill="0" applyAlignment="0" applyProtection="0">
      <alignment vertical="center"/>
    </xf>
    <xf numFmtId="0" fontId="298"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8" fillId="0" borderId="0" applyNumberFormat="0" applyFill="0" applyBorder="0" applyAlignment="0" applyProtection="0">
      <alignment vertical="center"/>
    </xf>
    <xf numFmtId="0" fontId="29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299" fillId="0" borderId="0" applyNumberFormat="0" applyFill="0" applyBorder="0" applyAlignment="0" applyProtection="0">
      <alignment vertical="center"/>
    </xf>
    <xf numFmtId="0" fontId="299" fillId="0" borderId="0" applyNumberFormat="0" applyFill="0" applyBorder="0" applyAlignment="0" applyProtection="0">
      <alignment vertical="center"/>
    </xf>
    <xf numFmtId="0" fontId="300" fillId="0" borderId="0">
      <alignment vertical="center"/>
      <protection locked="0"/>
    </xf>
    <xf numFmtId="0" fontId="301" fillId="0" borderId="0">
      <alignment vertical="center"/>
      <protection locked="0"/>
    </xf>
    <xf numFmtId="0" fontId="302" fillId="0" borderId="0">
      <alignment vertical="center"/>
      <protection locked="0"/>
    </xf>
    <xf numFmtId="0" fontId="28" fillId="0" borderId="146">
      <alignment horizontal="distributed" vertical="center" justifyLastLine="1"/>
    </xf>
    <xf numFmtId="0" fontId="28" fillId="0" borderId="146">
      <alignment horizontal="distributed" vertical="center" justifyLastLine="1"/>
    </xf>
    <xf numFmtId="0" fontId="28" fillId="0" borderId="146">
      <alignment horizontal="distributed" vertical="center" justifyLastLine="1"/>
    </xf>
    <xf numFmtId="0" fontId="28" fillId="0" borderId="10">
      <alignment horizontal="distributed" vertical="top" justifyLastLine="1"/>
    </xf>
    <xf numFmtId="0" fontId="28" fillId="0" borderId="142">
      <alignment horizontal="distributed" justifyLastLine="1"/>
    </xf>
    <xf numFmtId="0" fontId="28" fillId="0" borderId="142">
      <alignment horizontal="distributed" justifyLastLine="1"/>
    </xf>
    <xf numFmtId="206" fontId="303" fillId="0" borderId="0">
      <alignment vertical="center"/>
    </xf>
    <xf numFmtId="354" fontId="45" fillId="0" borderId="0" applyFill="0" applyBorder="0" applyProtection="0">
      <alignment vertical="center"/>
    </xf>
    <xf numFmtId="0" fontId="304" fillId="36" borderId="0" applyNumberFormat="0" applyBorder="0" applyAlignment="0" applyProtection="0">
      <alignment vertical="center"/>
    </xf>
    <xf numFmtId="0" fontId="177" fillId="11" borderId="0" applyNumberFormat="0" applyBorder="0" applyAlignment="0" applyProtection="0">
      <alignment vertical="center"/>
    </xf>
    <xf numFmtId="0" fontId="177" fillId="11" borderId="0" applyNumberFormat="0" applyBorder="0" applyAlignment="0" applyProtection="0">
      <alignment vertical="center"/>
    </xf>
    <xf numFmtId="0" fontId="304" fillId="36" borderId="0" applyNumberFormat="0" applyBorder="0" applyAlignment="0" applyProtection="0">
      <alignment vertical="center"/>
    </xf>
    <xf numFmtId="0" fontId="304" fillId="36" borderId="0" applyNumberFormat="0" applyBorder="0" applyAlignment="0" applyProtection="0">
      <alignment vertical="center"/>
    </xf>
    <xf numFmtId="0" fontId="70" fillId="0" borderId="0" applyFont="0" applyFill="0" applyBorder="0" applyAlignment="0" applyProtection="0"/>
    <xf numFmtId="1" fontId="305" fillId="2" borderId="0" applyNumberFormat="0" applyFont="0" applyFill="0" applyBorder="0" applyAlignment="0">
      <alignment vertical="center"/>
    </xf>
    <xf numFmtId="41" fontId="30" fillId="0" borderId="0" applyFont="0" applyFill="0" applyBorder="0" applyAlignment="0" applyProtection="0"/>
    <xf numFmtId="43" fontId="30" fillId="0" borderId="0" applyFont="0" applyFill="0" applyBorder="0" applyAlignment="0" applyProtection="0"/>
    <xf numFmtId="43" fontId="20" fillId="0" borderId="0" applyFont="0" applyFill="0" applyBorder="0" applyAlignment="0" applyProtection="0"/>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306" fillId="39" borderId="181"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306" fillId="39" borderId="181" applyNumberFormat="0" applyAlignment="0" applyProtection="0">
      <alignment vertical="center"/>
    </xf>
    <xf numFmtId="0" fontId="306" fillId="39" borderId="181"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0" fontId="178" fillId="27" borderId="200" applyNumberFormat="0" applyAlignment="0" applyProtection="0">
      <alignment vertical="center"/>
    </xf>
    <xf numFmtId="196" fontId="20" fillId="0" borderId="0">
      <protection locked="0"/>
    </xf>
    <xf numFmtId="196"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0" fontId="28" fillId="0" borderId="0" applyFont="0" applyFill="0" applyBorder="0" applyAlignment="0" applyProtection="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355" fontId="28" fillId="0" borderId="0" applyFont="0" applyFill="0" applyBorder="0" applyProtection="0">
      <alignment vertical="center"/>
    </xf>
    <xf numFmtId="38" fontId="76" fillId="0" borderId="0" applyFont="0" applyFill="0" applyBorder="0" applyProtection="0">
      <alignment vertical="center"/>
    </xf>
    <xf numFmtId="356" fontId="70" fillId="0" borderId="146">
      <alignment vertical="center"/>
    </xf>
    <xf numFmtId="356" fontId="70" fillId="0" borderId="146">
      <alignment vertical="center"/>
    </xf>
    <xf numFmtId="356" fontId="70" fillId="0" borderId="146">
      <alignment vertical="center"/>
    </xf>
    <xf numFmtId="206" fontId="28" fillId="0" borderId="0" applyFont="0" applyFill="0" applyBorder="0" applyAlignment="0" applyProtection="0"/>
    <xf numFmtId="0" fontId="28" fillId="0" borderId="0" applyFont="0" applyFill="0" applyBorder="0" applyAlignment="0" applyProtection="0"/>
    <xf numFmtId="199" fontId="45" fillId="0" borderId="0" applyFont="0" applyFill="0" applyBorder="0" applyAlignment="0" applyProtection="0"/>
    <xf numFmtId="206" fontId="28" fillId="0" borderId="0" applyFont="0" applyFill="0" applyBorder="0" applyAlignment="0" applyProtection="0"/>
    <xf numFmtId="206" fontId="28" fillId="0" borderId="0" applyNumberFormat="0" applyFont="0" applyFill="0" applyBorder="0" applyProtection="0">
      <alignment vertical="center"/>
    </xf>
    <xf numFmtId="251" fontId="20" fillId="0" borderId="146"/>
    <xf numFmtId="211" fontId="20" fillId="2" borderId="0" applyFill="0" applyBorder="0" applyProtection="0">
      <alignment horizontal="right"/>
    </xf>
    <xf numFmtId="357" fontId="28" fillId="2" borderId="0" applyFill="0" applyBorder="0" applyProtection="0">
      <alignment horizontal="right"/>
    </xf>
    <xf numFmtId="341" fontId="188" fillId="0" borderId="0" applyFont="0" applyFill="0" applyBorder="0" applyAlignment="0" applyProtection="0"/>
    <xf numFmtId="201" fontId="70" fillId="0" borderId="0" applyFont="0" applyFill="0" applyBorder="0" applyAlignment="0" applyProtection="0"/>
    <xf numFmtId="358" fontId="104" fillId="0" borderId="0" applyFont="0" applyFill="0" applyBorder="0" applyAlignment="0" applyProtection="0"/>
    <xf numFmtId="359" fontId="104" fillId="0" borderId="0" applyFont="0" applyFill="0" applyBorder="0" applyAlignment="0" applyProtection="0"/>
    <xf numFmtId="275" fontId="188" fillId="0" borderId="146">
      <alignment vertical="center"/>
    </xf>
    <xf numFmtId="275" fontId="188" fillId="0" borderId="146">
      <alignment vertical="center"/>
    </xf>
    <xf numFmtId="275" fontId="188" fillId="0" borderId="146">
      <alignment vertical="center"/>
    </xf>
    <xf numFmtId="360" fontId="104" fillId="0" borderId="0" applyFont="0" applyFill="0" applyBorder="0" applyAlignment="0" applyProtection="0"/>
    <xf numFmtId="0" fontId="28" fillId="0" borderId="0" applyFont="0" applyFill="0" applyBorder="0" applyAlignment="0" applyProtection="0"/>
    <xf numFmtId="206" fontId="28" fillId="0" borderId="0" applyFont="0" applyFill="0" applyBorder="0" applyAlignment="0" applyProtection="0"/>
    <xf numFmtId="0" fontId="267" fillId="0" borderId="15" applyNumberFormat="0" applyFont="0" applyFill="0" applyAlignment="0" applyProtection="0">
      <alignment vertical="center"/>
    </xf>
    <xf numFmtId="196" fontId="20" fillId="0" borderId="0">
      <protection locked="0"/>
    </xf>
    <xf numFmtId="196"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42" fontId="1" fillId="0" borderId="0" applyFont="0" applyFill="0" applyBorder="0" applyAlignment="0" applyProtection="0">
      <alignment vertical="center"/>
    </xf>
    <xf numFmtId="361" fontId="20" fillId="0" borderId="0" applyFont="0" applyFill="0" applyBorder="0" applyAlignment="0" applyProtection="0">
      <alignment vertical="center"/>
    </xf>
    <xf numFmtId="0" fontId="104" fillId="0" borderId="0" applyFont="0" applyFill="0" applyBorder="0" applyAlignment="0" applyProtection="0"/>
    <xf numFmtId="362" fontId="28" fillId="0" borderId="0"/>
    <xf numFmtId="0" fontId="28" fillId="0" borderId="0"/>
    <xf numFmtId="363" fontId="307" fillId="0" borderId="0" applyFont="0" applyFill="0" applyBorder="0" applyAlignment="0" applyProtection="0"/>
    <xf numFmtId="0" fontId="302" fillId="88" borderId="201"/>
    <xf numFmtId="364" fontId="28" fillId="0" borderId="0" applyFont="0" applyFill="0" applyBorder="0" applyProtection="0">
      <alignment vertical="center"/>
    </xf>
    <xf numFmtId="212" fontId="20" fillId="0" borderId="0">
      <protection locked="0"/>
    </xf>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365" fontId="119" fillId="0" borderId="5"/>
    <xf numFmtId="365" fontId="119"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366" fontId="20" fillId="0" borderId="5"/>
    <xf numFmtId="366" fontId="20" fillId="0" borderId="5"/>
    <xf numFmtId="366" fontId="20" fillId="0" borderId="5"/>
    <xf numFmtId="366" fontId="20" fillId="0" borderId="5"/>
    <xf numFmtId="0" fontId="20" fillId="0" borderId="5"/>
    <xf numFmtId="0" fontId="20" fillId="0" borderId="5"/>
    <xf numFmtId="366" fontId="20" fillId="0" borderId="5"/>
    <xf numFmtId="366" fontId="20" fillId="0" borderId="5"/>
    <xf numFmtId="0" fontId="20" fillId="0" borderId="5"/>
    <xf numFmtId="0" fontId="20" fillId="0" borderId="5"/>
    <xf numFmtId="366" fontId="20" fillId="0" borderId="5"/>
    <xf numFmtId="366" fontId="20" fillId="0" borderId="5"/>
    <xf numFmtId="0" fontId="20" fillId="0" borderId="5"/>
    <xf numFmtId="0" fontId="20" fillId="0" borderId="5"/>
    <xf numFmtId="366" fontId="20" fillId="0" borderId="5"/>
    <xf numFmtId="366" fontId="20" fillId="0" borderId="5"/>
    <xf numFmtId="0" fontId="20" fillId="0" borderId="5"/>
    <xf numFmtId="0" fontId="20" fillId="0" borderId="5"/>
    <xf numFmtId="0" fontId="20" fillId="0" borderId="5"/>
    <xf numFmtId="0" fontId="20" fillId="0" borderId="5"/>
    <xf numFmtId="366" fontId="20" fillId="0" borderId="5"/>
    <xf numFmtId="366" fontId="20" fillId="0" borderId="5"/>
    <xf numFmtId="0" fontId="20" fillId="0" borderId="5"/>
    <xf numFmtId="0" fontId="20" fillId="0" borderId="5"/>
    <xf numFmtId="366" fontId="20" fillId="0" borderId="5"/>
    <xf numFmtId="366" fontId="20" fillId="0" borderId="5"/>
    <xf numFmtId="0" fontId="20" fillId="0" borderId="5"/>
    <xf numFmtId="0" fontId="20" fillId="0" borderId="5"/>
    <xf numFmtId="366" fontId="20" fillId="0" borderId="5"/>
    <xf numFmtId="366"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0" fillId="0" borderId="5"/>
    <xf numFmtId="0" fontId="21" fillId="0" borderId="15">
      <alignment horizontal="center" vertical="center"/>
    </xf>
    <xf numFmtId="0" fontId="21" fillId="0" borderId="15">
      <alignment horizontal="left" vertical="center"/>
    </xf>
    <xf numFmtId="0" fontId="21" fillId="0" borderId="15">
      <alignment vertical="center" textRotation="255"/>
    </xf>
    <xf numFmtId="196" fontId="20" fillId="0" borderId="0">
      <protection locked="0"/>
    </xf>
    <xf numFmtId="196" fontId="20" fillId="0" borderId="0">
      <protection locked="0"/>
    </xf>
    <xf numFmtId="271" fontId="20" fillId="0" borderId="0">
      <protection locked="0"/>
    </xf>
    <xf numFmtId="271"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272" fontId="20" fillId="0" borderId="0">
      <protection locked="0"/>
    </xf>
    <xf numFmtId="0" fontId="107" fillId="0" borderId="142">
      <alignment horizontal="distributed" justifyLastLine="1"/>
    </xf>
    <xf numFmtId="0" fontId="107" fillId="0" borderId="142">
      <alignment horizontal="distributed" justifyLastLine="1"/>
    </xf>
    <xf numFmtId="0" fontId="107" fillId="0" borderId="202">
      <alignment horizontal="distributed" vertical="center" justifyLastLine="1"/>
    </xf>
    <xf numFmtId="0" fontId="107" fillId="0" borderId="202">
      <alignment horizontal="distributed" vertical="center" justifyLastLine="1"/>
    </xf>
    <xf numFmtId="0" fontId="107" fillId="0" borderId="203">
      <alignment horizontal="distributed" vertical="top" justifyLastLine="1"/>
    </xf>
    <xf numFmtId="0" fontId="308" fillId="89" borderId="146">
      <alignment horizontal="center" vertical="center"/>
    </xf>
    <xf numFmtId="0" fontId="308" fillId="89" borderId="146">
      <alignment horizontal="center" vertical="center"/>
    </xf>
    <xf numFmtId="0" fontId="308" fillId="89" borderId="146">
      <alignment horizontal="center"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9" fillId="0" borderId="0">
      <alignment vertical="center"/>
    </xf>
    <xf numFmtId="0" fontId="2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9" fillId="0" borderId="0">
      <alignment vertical="center"/>
    </xf>
    <xf numFmtId="0" fontId="2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7" fillId="0" borderId="0">
      <alignment vertical="center"/>
    </xf>
    <xf numFmtId="0" fontId="19" fillId="0" borderId="0">
      <alignment vertical="center"/>
    </xf>
    <xf numFmtId="0" fontId="27" fillId="0" borderId="0">
      <alignment vertical="center"/>
    </xf>
    <xf numFmtId="0" fontId="27" fillId="0" borderId="0">
      <alignment vertical="center"/>
    </xf>
    <xf numFmtId="0" fontId="19" fillId="0" borderId="0">
      <alignment vertical="center"/>
    </xf>
    <xf numFmtId="0" fontId="27" fillId="0" borderId="0">
      <alignment vertical="center"/>
    </xf>
    <xf numFmtId="0" fontId="283" fillId="0" borderId="0">
      <alignment vertical="center"/>
    </xf>
    <xf numFmtId="0" fontId="283" fillId="0" borderId="0">
      <alignment vertical="center"/>
    </xf>
    <xf numFmtId="0" fontId="283" fillId="0" borderId="0">
      <alignment vertical="center"/>
    </xf>
    <xf numFmtId="0" fontId="283"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20" fillId="0" borderId="0"/>
    <xf numFmtId="0" fontId="50" fillId="0" borderId="0">
      <alignment vertical="center"/>
    </xf>
    <xf numFmtId="0" fontId="50" fillId="0" borderId="0">
      <alignment vertical="center"/>
    </xf>
    <xf numFmtId="0" fontId="20" fillId="0" borderId="0">
      <alignment vertical="center"/>
    </xf>
    <xf numFmtId="0" fontId="20" fillId="0" borderId="0"/>
    <xf numFmtId="0" fontId="270" fillId="0" borderId="0">
      <alignment vertical="center"/>
    </xf>
    <xf numFmtId="0" fontId="20" fillId="0" borderId="0"/>
    <xf numFmtId="0" fontId="19" fillId="0" borderId="0">
      <alignment vertical="center"/>
    </xf>
    <xf numFmtId="0" fontId="272"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1" fillId="0" borderId="0">
      <alignment vertical="center"/>
    </xf>
    <xf numFmtId="0" fontId="1" fillId="0" borderId="0">
      <alignment vertical="center"/>
    </xf>
    <xf numFmtId="0" fontId="1" fillId="0" borderId="0">
      <alignment vertical="center"/>
    </xf>
    <xf numFmtId="0" fontId="50" fillId="0" borderId="0">
      <alignment vertical="center"/>
    </xf>
    <xf numFmtId="0" fontId="1"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1" fillId="0" borderId="0">
      <alignment vertical="center"/>
    </xf>
    <xf numFmtId="0" fontId="1"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20" fillId="0" borderId="0">
      <alignment vertical="center"/>
    </xf>
    <xf numFmtId="0" fontId="20" fillId="0" borderId="0"/>
    <xf numFmtId="0" fontId="20" fillId="0" borderId="0"/>
    <xf numFmtId="0" fontId="20" fillId="0" borderId="0"/>
    <xf numFmtId="0" fontId="28" fillId="0" borderId="0"/>
    <xf numFmtId="346" fontId="156" fillId="0" borderId="0" applyFill="0" applyBorder="0" applyProtection="0">
      <alignment vertical="top"/>
    </xf>
    <xf numFmtId="0" fontId="1" fillId="0" borderId="0">
      <alignment vertical="center"/>
    </xf>
    <xf numFmtId="0" fontId="50" fillId="0" borderId="0">
      <alignment vertical="center"/>
    </xf>
    <xf numFmtId="0" fontId="269" fillId="0" borderId="0">
      <alignment vertical="center"/>
    </xf>
    <xf numFmtId="0" fontId="50" fillId="0" borderId="0">
      <alignment vertical="center"/>
    </xf>
    <xf numFmtId="0" fontId="50" fillId="0" borderId="0">
      <alignment vertical="center"/>
    </xf>
    <xf numFmtId="0" fontId="5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20" fillId="0" borderId="0"/>
    <xf numFmtId="0" fontId="1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367" fontId="45" fillId="0" borderId="0"/>
    <xf numFmtId="0" fontId="1"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alignment vertical="center"/>
    </xf>
    <xf numFmtId="0" fontId="20" fillId="0" borderId="0"/>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309" fillId="0" borderId="0">
      <alignment vertical="center"/>
    </xf>
    <xf numFmtId="0" fontId="19" fillId="0" borderId="0">
      <alignment vertical="center"/>
    </xf>
    <xf numFmtId="0" fontId="27" fillId="0" borderId="0">
      <alignment vertical="center"/>
    </xf>
    <xf numFmtId="0" fontId="19" fillId="0" borderId="0">
      <alignment vertical="center"/>
    </xf>
    <xf numFmtId="0" fontId="27" fillId="0" borderId="0">
      <alignment vertical="center"/>
    </xf>
    <xf numFmtId="0" fontId="284" fillId="0" borderId="0">
      <alignment vertical="center"/>
    </xf>
    <xf numFmtId="0" fontId="284" fillId="0" borderId="0">
      <alignment vertical="center"/>
    </xf>
    <xf numFmtId="0" fontId="310" fillId="0" borderId="0">
      <alignment vertical="center"/>
    </xf>
    <xf numFmtId="0" fontId="310" fillId="0" borderId="0">
      <alignment vertical="center"/>
    </xf>
    <xf numFmtId="0" fontId="310" fillId="0" borderId="0">
      <alignment vertical="center"/>
    </xf>
    <xf numFmtId="0" fontId="310" fillId="0" borderId="0">
      <alignment vertical="center"/>
    </xf>
    <xf numFmtId="0" fontId="265" fillId="0" borderId="0">
      <alignment horizontal="left" wrapText="1"/>
    </xf>
    <xf numFmtId="0" fontId="20" fillId="0" borderId="0"/>
    <xf numFmtId="0" fontId="1" fillId="0" borderId="0">
      <alignment vertical="center"/>
    </xf>
    <xf numFmtId="0" fontId="1" fillId="0" borderId="0">
      <alignment vertical="center"/>
    </xf>
    <xf numFmtId="0" fontId="1" fillId="0" borderId="0">
      <alignment vertical="center"/>
    </xf>
    <xf numFmtId="0" fontId="283" fillId="0" borderId="0">
      <alignment vertical="center"/>
    </xf>
    <xf numFmtId="0" fontId="274" fillId="0" borderId="0">
      <alignment vertical="center"/>
    </xf>
    <xf numFmtId="0" fontId="283" fillId="0" borderId="0">
      <alignment vertical="center"/>
    </xf>
    <xf numFmtId="0" fontId="283" fillId="0" borderId="0">
      <alignment vertical="center"/>
    </xf>
    <xf numFmtId="0" fontId="1" fillId="0" borderId="0">
      <alignment vertical="center"/>
    </xf>
    <xf numFmtId="0" fontId="274" fillId="0" borderId="0">
      <alignment vertical="center"/>
    </xf>
    <xf numFmtId="0" fontId="283" fillId="0" borderId="0">
      <alignment vertical="center"/>
    </xf>
    <xf numFmtId="0" fontId="283" fillId="0" borderId="0">
      <alignment vertical="center"/>
    </xf>
    <xf numFmtId="0" fontId="1" fillId="0" borderId="0">
      <alignment vertical="center"/>
    </xf>
    <xf numFmtId="0" fontId="283" fillId="0" borderId="0">
      <alignment vertical="center"/>
    </xf>
    <xf numFmtId="0" fontId="283" fillId="0" borderId="0">
      <alignment vertical="center"/>
    </xf>
    <xf numFmtId="0" fontId="283" fillId="0" borderId="0">
      <alignment vertical="center"/>
    </xf>
    <xf numFmtId="0" fontId="283" fillId="0" borderId="0">
      <alignment vertical="center"/>
    </xf>
    <xf numFmtId="0" fontId="283" fillId="0" borderId="0">
      <alignment vertical="center"/>
    </xf>
    <xf numFmtId="0" fontId="20" fillId="0" borderId="0">
      <alignment vertical="center"/>
    </xf>
    <xf numFmtId="0" fontId="1" fillId="0" borderId="0">
      <alignment vertical="center"/>
    </xf>
    <xf numFmtId="0" fontId="1" fillId="0" borderId="0">
      <alignment vertical="center"/>
    </xf>
    <xf numFmtId="0" fontId="20" fillId="0" borderId="0"/>
    <xf numFmtId="0" fontId="1" fillId="0" borderId="0">
      <alignment vertical="center"/>
    </xf>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11"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83" fillId="0" borderId="0">
      <alignment vertical="center"/>
    </xf>
    <xf numFmtId="0" fontId="19" fillId="0" borderId="0">
      <alignment vertical="center"/>
    </xf>
    <xf numFmtId="0" fontId="27" fillId="0" borderId="0">
      <alignment vertical="center"/>
    </xf>
    <xf numFmtId="0" fontId="273" fillId="0" borderId="0">
      <alignment vertical="center"/>
    </xf>
    <xf numFmtId="0" fontId="309" fillId="0" borderId="0"/>
    <xf numFmtId="0" fontId="283" fillId="0" borderId="0">
      <alignment vertical="center"/>
    </xf>
    <xf numFmtId="0" fontId="283" fillId="0" borderId="0">
      <alignment vertical="center"/>
    </xf>
    <xf numFmtId="0" fontId="283" fillId="0" borderId="0">
      <alignment vertical="center"/>
    </xf>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74"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alignment vertical="center"/>
    </xf>
    <xf numFmtId="0" fontId="1" fillId="0" borderId="0">
      <alignment vertical="center"/>
    </xf>
    <xf numFmtId="0" fontId="1" fillId="0" borderId="0">
      <alignment vertical="center"/>
    </xf>
    <xf numFmtId="0" fontId="45" fillId="0" borderId="0"/>
    <xf numFmtId="0" fontId="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0" fillId="0" borderId="0">
      <alignment vertical="center"/>
    </xf>
    <xf numFmtId="0" fontId="20" fillId="0" borderId="0">
      <alignment vertical="center"/>
    </xf>
    <xf numFmtId="0" fontId="312" fillId="0" borderId="0">
      <alignment vertical="center"/>
    </xf>
    <xf numFmtId="0" fontId="27" fillId="0" borderId="0">
      <alignment vertical="center"/>
    </xf>
    <xf numFmtId="0" fontId="20" fillId="0" borderId="0"/>
    <xf numFmtId="0" fontId="20" fillId="0" borderId="0"/>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xf numFmtId="0" fontId="274" fillId="0" borderId="0">
      <alignment vertical="center"/>
    </xf>
    <xf numFmtId="0" fontId="20" fillId="0" borderId="0">
      <alignment vertical="center"/>
    </xf>
    <xf numFmtId="0" fontId="283" fillId="0" borderId="0">
      <alignment vertical="center"/>
    </xf>
    <xf numFmtId="0" fontId="274" fillId="0" borderId="0">
      <alignment vertical="center"/>
    </xf>
    <xf numFmtId="0" fontId="20" fillId="0" borderId="0">
      <alignment vertical="center"/>
    </xf>
    <xf numFmtId="0" fontId="283" fillId="0" borderId="0">
      <alignment vertical="center"/>
    </xf>
    <xf numFmtId="0" fontId="274"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74" fillId="0" borderId="0">
      <alignment vertical="center"/>
    </xf>
    <xf numFmtId="0" fontId="20" fillId="0" borderId="0">
      <alignment vertical="center"/>
    </xf>
    <xf numFmtId="0" fontId="20" fillId="0" borderId="0"/>
    <xf numFmtId="0" fontId="274" fillId="0" borderId="0">
      <alignment vertical="center"/>
    </xf>
    <xf numFmtId="0" fontId="20" fillId="0" borderId="0">
      <alignment vertical="center"/>
    </xf>
    <xf numFmtId="0" fontId="274" fillId="0" borderId="0">
      <alignment vertical="center"/>
    </xf>
    <xf numFmtId="0" fontId="20" fillId="0" borderId="0">
      <alignment vertical="center"/>
    </xf>
    <xf numFmtId="367" fontId="45" fillId="0" borderId="0"/>
    <xf numFmtId="0" fontId="20" fillId="0" borderId="0">
      <alignment vertical="center"/>
    </xf>
    <xf numFmtId="346" fontId="156" fillId="0" borderId="0" applyFill="0" applyBorder="0" applyProtection="0">
      <alignment vertical="top"/>
    </xf>
    <xf numFmtId="0" fontId="20" fillId="0" borderId="0">
      <alignment vertical="center"/>
    </xf>
    <xf numFmtId="0" fontId="286" fillId="0" borderId="0">
      <alignment vertical="center"/>
    </xf>
    <xf numFmtId="0" fontId="20" fillId="0" borderId="0">
      <alignment vertical="center"/>
    </xf>
    <xf numFmtId="0" fontId="20" fillId="0" borderId="0">
      <alignment vertical="center"/>
    </xf>
    <xf numFmtId="0" fontId="20" fillId="0" borderId="0">
      <alignment vertical="center"/>
    </xf>
    <xf numFmtId="0" fontId="1" fillId="0" borderId="0">
      <alignment vertical="center"/>
    </xf>
    <xf numFmtId="0" fontId="20" fillId="0" borderId="0">
      <alignment vertical="center"/>
    </xf>
    <xf numFmtId="0" fontId="313" fillId="0" borderId="0">
      <alignment vertical="center"/>
    </xf>
    <xf numFmtId="0" fontId="20" fillId="0" borderId="0">
      <alignment vertical="center"/>
    </xf>
    <xf numFmtId="0" fontId="314" fillId="0" borderId="0">
      <alignment horizontal="center" vertical="center"/>
    </xf>
    <xf numFmtId="0" fontId="20" fillId="0" borderId="0">
      <alignment vertical="center"/>
    </xf>
    <xf numFmtId="0" fontId="20" fillId="0" borderId="0">
      <alignment vertical="center"/>
    </xf>
    <xf numFmtId="0" fontId="20" fillId="0" borderId="0">
      <alignment vertical="center"/>
    </xf>
    <xf numFmtId="0" fontId="272" fillId="0" borderId="0">
      <alignment vertical="center"/>
    </xf>
    <xf numFmtId="0" fontId="20" fillId="0" borderId="0">
      <alignment vertical="center"/>
    </xf>
    <xf numFmtId="0" fontId="20" fillId="0" borderId="0">
      <alignment vertical="center"/>
    </xf>
    <xf numFmtId="0" fontId="27" fillId="0" borderId="0">
      <alignment vertical="center"/>
    </xf>
    <xf numFmtId="0" fontId="20" fillId="0" borderId="0">
      <alignment vertical="center"/>
    </xf>
    <xf numFmtId="0" fontId="27" fillId="0" borderId="0">
      <alignment vertical="center"/>
    </xf>
    <xf numFmtId="0" fontId="20" fillId="0" borderId="0">
      <alignment vertical="center"/>
    </xf>
    <xf numFmtId="0" fontId="27" fillId="0" borderId="0">
      <alignment vertical="center"/>
    </xf>
    <xf numFmtId="0" fontId="20" fillId="0" borderId="0">
      <alignment vertical="center"/>
    </xf>
    <xf numFmtId="0" fontId="20" fillId="0" borderId="0">
      <alignment vertical="center"/>
    </xf>
    <xf numFmtId="0" fontId="2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5"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9" fillId="0" borderId="0">
      <alignment vertical="center"/>
    </xf>
    <xf numFmtId="0" fontId="2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9" fillId="0" borderId="0">
      <alignment vertical="center"/>
    </xf>
    <xf numFmtId="0" fontId="2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9" fillId="0" borderId="0">
      <alignment vertical="center"/>
    </xf>
    <xf numFmtId="0" fontId="27" fillId="0" borderId="0">
      <alignment vertical="center"/>
    </xf>
    <xf numFmtId="0" fontId="20" fillId="0" borderId="0">
      <alignment vertical="center"/>
    </xf>
    <xf numFmtId="0" fontId="20" fillId="0" borderId="0">
      <alignment vertical="center"/>
    </xf>
    <xf numFmtId="0" fontId="19" fillId="0" borderId="0">
      <alignment vertical="center"/>
    </xf>
    <xf numFmtId="0" fontId="27"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285" fontId="163" fillId="0" borderId="0"/>
    <xf numFmtId="0" fontId="20" fillId="0" borderId="146" applyNumberFormat="0" applyFill="0" applyProtection="0">
      <alignment vertical="center"/>
    </xf>
    <xf numFmtId="0" fontId="20" fillId="0" borderId="146" applyNumberFormat="0" applyFill="0" applyProtection="0">
      <alignment vertical="center"/>
    </xf>
    <xf numFmtId="0" fontId="20" fillId="0" borderId="146" applyNumberFormat="0" applyFill="0" applyProtection="0">
      <alignment vertical="center"/>
    </xf>
    <xf numFmtId="0" fontId="28" fillId="0" borderId="0"/>
    <xf numFmtId="14" fontId="187" fillId="0" borderId="0" applyFont="0" applyFill="0" applyBorder="0" applyAlignment="0" applyProtection="0"/>
    <xf numFmtId="179" fontId="28" fillId="0" borderId="0" applyFont="0" applyFill="0" applyBorder="0" applyAlignment="0" applyProtection="0"/>
    <xf numFmtId="0" fontId="28" fillId="0" borderId="0"/>
    <xf numFmtId="0" fontId="47" fillId="0" borderId="0" applyNumberFormat="0" applyFill="0" applyBorder="0" applyAlignment="0" applyProtection="0">
      <alignment vertical="top"/>
      <protection locked="0"/>
    </xf>
    <xf numFmtId="0" fontId="315" fillId="0" borderId="0" applyNumberFormat="0" applyFill="0" applyBorder="0" applyAlignment="0" applyProtection="0">
      <alignment vertical="top"/>
      <protection locked="0"/>
    </xf>
    <xf numFmtId="0" fontId="316" fillId="0" borderId="0" applyNumberFormat="0" applyFill="0" applyBorder="0" applyAlignment="0" applyProtection="0">
      <alignment vertical="top"/>
      <protection locked="0"/>
    </xf>
    <xf numFmtId="0" fontId="317" fillId="0" borderId="0" applyNumberFormat="0" applyFill="0" applyBorder="0" applyAlignment="0" applyProtection="0">
      <alignment vertical="top"/>
      <protection locked="0"/>
    </xf>
    <xf numFmtId="0" fontId="318" fillId="0" borderId="0" applyNumberFormat="0" applyFill="0" applyBorder="0" applyAlignment="0" applyProtection="0">
      <alignment vertical="top"/>
      <protection locked="0"/>
    </xf>
    <xf numFmtId="0" fontId="48" fillId="0" borderId="40">
      <protection locked="0"/>
    </xf>
    <xf numFmtId="0" fontId="75" fillId="0" borderId="40" applyNumberFormat="0" applyFont="0" applyFill="0" applyAlignment="0" applyProtection="0"/>
    <xf numFmtId="0" fontId="45" fillId="0" borderId="0" applyFont="0" applyFill="0" applyBorder="0" applyAlignment="0" applyProtection="0"/>
    <xf numFmtId="0" fontId="319" fillId="0" borderId="0" applyFont="0" applyFill="0" applyBorder="0" applyAlignment="0" applyProtection="0"/>
    <xf numFmtId="0" fontId="30" fillId="0" borderId="0" applyFont="0" applyFill="0" applyBorder="0" applyAlignment="0" applyProtection="0"/>
    <xf numFmtId="0" fontId="265" fillId="0" borderId="204" applyNumberFormat="0" applyFont="0" applyFill="0" applyProtection="0">
      <alignment horizontal="center" vertical="center" wrapText="1"/>
    </xf>
    <xf numFmtId="0" fontId="265" fillId="0" borderId="204" applyNumberFormat="0" applyFont="0" applyFill="0" applyProtection="0">
      <alignment horizontal="center" vertical="center" wrapText="1"/>
    </xf>
    <xf numFmtId="0" fontId="140" fillId="0" borderId="0" applyNumberFormat="0" applyFill="0" applyBorder="0" applyAlignment="0" applyProtection="0"/>
    <xf numFmtId="3" fontId="107" fillId="0" borderId="146"/>
    <xf numFmtId="3" fontId="107" fillId="0" borderId="146"/>
    <xf numFmtId="3" fontId="107" fillId="0" borderId="146"/>
    <xf numFmtId="206" fontId="320" fillId="0" borderId="205" applyFont="0" applyFill="0" applyBorder="0" applyAlignment="0">
      <alignment vertical="center"/>
      <protection locked="0"/>
    </xf>
    <xf numFmtId="3" fontId="107" fillId="0" borderId="146"/>
    <xf numFmtId="3" fontId="107" fillId="0" borderId="146"/>
    <xf numFmtId="3" fontId="107" fillId="0" borderId="146"/>
    <xf numFmtId="3" fontId="107" fillId="0" borderId="146"/>
    <xf numFmtId="3" fontId="107" fillId="0" borderId="146"/>
    <xf numFmtId="3" fontId="107" fillId="0" borderId="146"/>
    <xf numFmtId="3" fontId="109" fillId="0" borderId="20">
      <alignment horizontal="righ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cellStyleXfs>
  <cellXfs count="948">
    <xf numFmtId="0" fontId="0" fillId="0" borderId="0" xfId="0">
      <alignment vertical="center"/>
    </xf>
    <xf numFmtId="183" fontId="136" fillId="0" borderId="42" xfId="10" applyNumberFormat="1" applyFont="1" applyBorder="1">
      <alignment vertical="center"/>
    </xf>
    <xf numFmtId="183" fontId="136" fillId="0" borderId="46" xfId="10" applyNumberFormat="1" applyFont="1" applyBorder="1" applyAlignment="1">
      <alignment vertical="center"/>
    </xf>
    <xf numFmtId="183" fontId="136" fillId="0" borderId="45" xfId="10" applyNumberFormat="1" applyFont="1" applyBorder="1">
      <alignment vertical="center"/>
    </xf>
    <xf numFmtId="183" fontId="136" fillId="0" borderId="48" xfId="10" applyNumberFormat="1" applyFont="1" applyBorder="1" applyAlignment="1">
      <alignment vertical="center"/>
    </xf>
    <xf numFmtId="183" fontId="136" fillId="0" borderId="107" xfId="10" applyNumberFormat="1" applyFont="1" applyFill="1" applyBorder="1" applyAlignment="1">
      <alignment horizontal="center" vertical="center"/>
    </xf>
    <xf numFmtId="183" fontId="136" fillId="0" borderId="110" xfId="10" applyNumberFormat="1" applyFont="1" applyFill="1" applyBorder="1" applyAlignment="1">
      <alignment horizontal="center" vertical="center"/>
    </xf>
    <xf numFmtId="177" fontId="136" fillId="0" borderId="108" xfId="6" applyNumberFormat="1" applyFont="1" applyFill="1" applyBorder="1" applyAlignment="1">
      <alignment horizontal="right" vertical="center"/>
    </xf>
    <xf numFmtId="183" fontId="136" fillId="0" borderId="108" xfId="10" applyNumberFormat="1" applyFont="1" applyFill="1" applyBorder="1">
      <alignment vertical="center"/>
    </xf>
    <xf numFmtId="43" fontId="136" fillId="0" borderId="110" xfId="10" applyNumberFormat="1" applyFont="1" applyFill="1" applyBorder="1" applyAlignment="1">
      <alignment horizontal="right" vertical="center"/>
    </xf>
    <xf numFmtId="183" fontId="136" fillId="0" borderId="110" xfId="10" applyNumberFormat="1" applyFont="1" applyFill="1" applyBorder="1" applyAlignment="1">
      <alignment vertical="center"/>
    </xf>
    <xf numFmtId="181" fontId="136" fillId="0" borderId="110" xfId="10" applyNumberFormat="1" applyFont="1" applyFill="1" applyBorder="1" applyAlignment="1">
      <alignment horizontal="center" vertical="center"/>
    </xf>
    <xf numFmtId="183" fontId="136" fillId="0" borderId="108" xfId="10" applyNumberFormat="1" applyFont="1" applyFill="1" applyBorder="1" applyAlignment="1">
      <alignment horizontal="center" vertical="center"/>
    </xf>
    <xf numFmtId="41" fontId="136" fillId="0" borderId="108" xfId="10" applyNumberFormat="1" applyFont="1" applyFill="1" applyBorder="1" applyAlignment="1">
      <alignment horizontal="center" vertical="center"/>
    </xf>
    <xf numFmtId="41" fontId="136" fillId="0" borderId="110" xfId="10" applyNumberFormat="1" applyFont="1" applyFill="1" applyBorder="1" applyAlignment="1">
      <alignment horizontal="center" vertical="center"/>
    </xf>
    <xf numFmtId="9" fontId="136" fillId="8" borderId="110" xfId="2" applyFont="1" applyFill="1" applyBorder="1" applyAlignment="1">
      <alignment vertical="center"/>
    </xf>
    <xf numFmtId="41" fontId="136" fillId="0" borderId="114" xfId="6" applyFont="1" applyFill="1" applyBorder="1" applyAlignment="1">
      <alignment vertical="center"/>
    </xf>
    <xf numFmtId="0" fontId="136" fillId="0" borderId="0" xfId="0" applyFont="1">
      <alignment vertical="center"/>
    </xf>
    <xf numFmtId="41" fontId="136" fillId="0" borderId="0" xfId="5" applyFont="1" applyBorder="1">
      <alignment vertical="center"/>
    </xf>
    <xf numFmtId="41" fontId="136" fillId="0" borderId="0" xfId="5" applyFont="1" applyBorder="1" applyAlignment="1">
      <alignment horizontal="center" vertical="center"/>
    </xf>
    <xf numFmtId="0" fontId="136" fillId="0" borderId="0" xfId="0" applyFont="1" applyAlignment="1">
      <alignment horizontal="center" vertical="center"/>
    </xf>
    <xf numFmtId="181" fontId="136" fillId="0" borderId="0" xfId="11" applyNumberFormat="1" applyFont="1" applyFill="1" applyBorder="1" applyAlignment="1">
      <alignment horizontal="center" vertical="center"/>
    </xf>
    <xf numFmtId="0" fontId="136" fillId="0" borderId="0" xfId="0" applyFont="1" applyBorder="1" applyAlignment="1">
      <alignment horizontal="center" vertical="center"/>
    </xf>
    <xf numFmtId="43" fontId="136" fillId="0" borderId="0" xfId="0" applyNumberFormat="1" applyFont="1">
      <alignment vertical="center"/>
    </xf>
    <xf numFmtId="9" fontId="136" fillId="0" borderId="0" xfId="12" applyFont="1" applyBorder="1" applyAlignment="1">
      <alignment vertical="center"/>
    </xf>
    <xf numFmtId="0" fontId="136" fillId="0" borderId="0" xfId="0" applyFont="1" applyBorder="1" applyAlignment="1">
      <alignment vertical="center"/>
    </xf>
    <xf numFmtId="41" fontId="136" fillId="0" borderId="84" xfId="5" applyFont="1" applyFill="1" applyBorder="1" applyAlignment="1">
      <alignment horizontal="left" vertical="center"/>
    </xf>
    <xf numFmtId="41" fontId="136" fillId="0" borderId="84" xfId="597" applyNumberFormat="1" applyFont="1" applyFill="1" applyBorder="1" applyAlignment="1">
      <alignment horizontal="center" vertical="center"/>
    </xf>
    <xf numFmtId="9" fontId="137" fillId="0" borderId="86" xfId="12" applyFont="1" applyFill="1" applyBorder="1" applyAlignment="1">
      <alignment horizontal="right" vertical="center"/>
    </xf>
    <xf numFmtId="41" fontId="137" fillId="0" borderId="87" xfId="11" applyFont="1" applyFill="1" applyBorder="1" applyAlignment="1">
      <alignment vertical="center"/>
    </xf>
    <xf numFmtId="41" fontId="136" fillId="0" borderId="87" xfId="11" applyFont="1" applyFill="1" applyBorder="1" applyAlignment="1">
      <alignment vertical="center"/>
    </xf>
    <xf numFmtId="0" fontId="136" fillId="0" borderId="88" xfId="10" applyFont="1" applyFill="1" applyBorder="1" applyAlignment="1">
      <alignment vertical="center"/>
    </xf>
    <xf numFmtId="9" fontId="136" fillId="0" borderId="0" xfId="12" applyFont="1" applyFill="1" applyBorder="1" applyAlignment="1">
      <alignment horizontal="right" vertical="center"/>
    </xf>
    <xf numFmtId="41" fontId="136" fillId="0" borderId="89" xfId="11" applyFont="1" applyFill="1" applyBorder="1" applyAlignment="1">
      <alignment vertical="center"/>
    </xf>
    <xf numFmtId="0" fontId="136" fillId="0" borderId="0" xfId="10" applyFont="1" applyFill="1" applyBorder="1" applyAlignment="1">
      <alignment horizontal="right" vertical="center"/>
    </xf>
    <xf numFmtId="0" fontId="136" fillId="0" borderId="89" xfId="10" applyFont="1" applyFill="1" applyBorder="1" applyAlignment="1">
      <alignment vertical="center"/>
    </xf>
    <xf numFmtId="0" fontId="137" fillId="0" borderId="88" xfId="10" applyFont="1" applyFill="1" applyBorder="1" applyAlignment="1">
      <alignment vertical="center"/>
    </xf>
    <xf numFmtId="0" fontId="136" fillId="0" borderId="90" xfId="10" applyFont="1" applyFill="1" applyBorder="1" applyAlignment="1">
      <alignment vertical="center"/>
    </xf>
    <xf numFmtId="9" fontId="136" fillId="0" borderId="91" xfId="12" applyFont="1" applyFill="1" applyBorder="1" applyAlignment="1">
      <alignment horizontal="right" vertical="center"/>
    </xf>
    <xf numFmtId="41" fontId="136" fillId="0" borderId="92" xfId="11" applyFont="1" applyFill="1" applyBorder="1" applyAlignment="1">
      <alignment vertical="center"/>
    </xf>
    <xf numFmtId="9" fontId="136" fillId="0" borderId="86" xfId="12" applyFont="1" applyFill="1" applyBorder="1" applyAlignment="1">
      <alignment horizontal="right" vertical="center"/>
    </xf>
    <xf numFmtId="178" fontId="136" fillId="0" borderId="0" xfId="12" applyNumberFormat="1" applyFont="1" applyFill="1" applyBorder="1" applyAlignment="1">
      <alignment horizontal="right" vertical="center"/>
    </xf>
    <xf numFmtId="9" fontId="136" fillId="0" borderId="0" xfId="12" applyNumberFormat="1" applyFont="1" applyFill="1" applyBorder="1" applyAlignment="1">
      <alignment horizontal="right" vertical="center"/>
    </xf>
    <xf numFmtId="9" fontId="137" fillId="0" borderId="0" xfId="12" applyFont="1" applyFill="1" applyBorder="1" applyAlignment="1">
      <alignment horizontal="right" vertical="center"/>
    </xf>
    <xf numFmtId="41" fontId="137" fillId="0" borderId="89" xfId="11" applyFont="1" applyFill="1" applyBorder="1" applyAlignment="1">
      <alignment vertical="center"/>
    </xf>
    <xf numFmtId="0" fontId="136" fillId="0" borderId="0" xfId="0" applyFont="1" applyAlignment="1">
      <alignment vertical="center"/>
    </xf>
    <xf numFmtId="41" fontId="136" fillId="0" borderId="0" xfId="5" applyFont="1">
      <alignment vertical="center"/>
    </xf>
    <xf numFmtId="0" fontId="136" fillId="0" borderId="3" xfId="0" applyFont="1" applyFill="1" applyBorder="1" applyAlignment="1">
      <alignment horizontal="center" vertical="center"/>
    </xf>
    <xf numFmtId="184" fontId="136" fillId="0" borderId="24" xfId="6" applyNumberFormat="1" applyFont="1" applyFill="1" applyBorder="1" applyAlignment="1">
      <alignment vertical="center"/>
    </xf>
    <xf numFmtId="184" fontId="136" fillId="0" borderId="42" xfId="6" applyNumberFormat="1" applyFont="1" applyFill="1" applyBorder="1" applyAlignment="1">
      <alignment vertical="center"/>
    </xf>
    <xf numFmtId="184" fontId="136" fillId="0" borderId="46" xfId="6" applyNumberFormat="1" applyFont="1" applyFill="1" applyBorder="1" applyAlignment="1">
      <alignment vertical="center"/>
    </xf>
    <xf numFmtId="0" fontId="136" fillId="0" borderId="42" xfId="0" applyFont="1" applyFill="1" applyBorder="1" applyAlignment="1">
      <alignment horizontal="center" vertical="center"/>
    </xf>
    <xf numFmtId="0" fontId="136" fillId="0" borderId="45" xfId="0" applyFont="1" applyFill="1" applyBorder="1" applyAlignment="1">
      <alignment horizontal="center" vertical="center"/>
    </xf>
    <xf numFmtId="0" fontId="136" fillId="0" borderId="115" xfId="0" applyFont="1" applyFill="1" applyBorder="1" applyAlignment="1">
      <alignment horizontal="center" vertical="center"/>
    </xf>
    <xf numFmtId="195" fontId="136" fillId="0" borderId="24" xfId="6" applyNumberFormat="1" applyFont="1" applyFill="1" applyBorder="1" applyAlignment="1">
      <alignment vertical="center"/>
    </xf>
    <xf numFmtId="195" fontId="136" fillId="0" borderId="42" xfId="6" applyNumberFormat="1" applyFont="1" applyFill="1" applyBorder="1" applyAlignment="1">
      <alignment vertical="center"/>
    </xf>
    <xf numFmtId="195" fontId="136" fillId="0" borderId="46" xfId="6" applyNumberFormat="1" applyFont="1" applyFill="1" applyBorder="1" applyAlignment="1">
      <alignment vertical="center"/>
    </xf>
    <xf numFmtId="0" fontId="136" fillId="0" borderId="0" xfId="0" applyFont="1" applyFill="1">
      <alignment vertical="center"/>
    </xf>
    <xf numFmtId="0" fontId="136" fillId="0" borderId="0" xfId="0" applyFont="1" applyFill="1" applyBorder="1">
      <alignment vertical="center"/>
    </xf>
    <xf numFmtId="0" fontId="136" fillId="0" borderId="93" xfId="50" applyFont="1" applyFill="1" applyBorder="1" applyAlignment="1">
      <alignment horizontal="center" vertical="center"/>
    </xf>
    <xf numFmtId="0" fontId="136" fillId="0" borderId="122" xfId="50" applyFont="1" applyFill="1" applyBorder="1" applyAlignment="1">
      <alignment horizontal="center" vertical="center"/>
    </xf>
    <xf numFmtId="41" fontId="136" fillId="0" borderId="123" xfId="50" applyNumberFormat="1" applyFont="1" applyFill="1" applyBorder="1" applyAlignment="1">
      <alignment horizontal="center" vertical="center"/>
    </xf>
    <xf numFmtId="41" fontId="136" fillId="0" borderId="124" xfId="50" applyNumberFormat="1" applyFont="1" applyFill="1" applyBorder="1" applyAlignment="1">
      <alignment horizontal="center" vertical="center"/>
    </xf>
    <xf numFmtId="0" fontId="136" fillId="0" borderId="125" xfId="50" applyFont="1" applyFill="1" applyBorder="1" applyAlignment="1">
      <alignment horizontal="center" vertical="center"/>
    </xf>
    <xf numFmtId="178" fontId="136" fillId="0" borderId="98" xfId="2" applyNumberFormat="1" applyFont="1" applyFill="1" applyBorder="1" applyAlignment="1">
      <alignment horizontal="center" vertical="center"/>
    </xf>
    <xf numFmtId="41" fontId="136" fillId="0" borderId="99" xfId="50" applyNumberFormat="1" applyFont="1" applyFill="1" applyBorder="1" applyAlignment="1">
      <alignment horizontal="center" vertical="center"/>
    </xf>
    <xf numFmtId="178" fontId="136" fillId="0" borderId="97" xfId="2" applyNumberFormat="1" applyFont="1" applyFill="1" applyBorder="1" applyAlignment="1">
      <alignment horizontal="center" vertical="center"/>
    </xf>
    <xf numFmtId="178" fontId="136" fillId="0" borderId="94" xfId="50" applyNumberFormat="1" applyFont="1" applyFill="1" applyBorder="1" applyAlignment="1">
      <alignment horizontal="center" vertical="center"/>
    </xf>
    <xf numFmtId="41" fontId="136" fillId="0" borderId="95" xfId="50" applyNumberFormat="1" applyFont="1" applyFill="1" applyBorder="1" applyAlignment="1">
      <alignment horizontal="right" vertical="center"/>
    </xf>
    <xf numFmtId="41" fontId="136" fillId="0" borderId="95" xfId="50" applyNumberFormat="1" applyFont="1" applyFill="1" applyBorder="1" applyAlignment="1">
      <alignment horizontal="center" vertical="center"/>
    </xf>
    <xf numFmtId="178" fontId="136" fillId="0" borderId="96" xfId="50" applyNumberFormat="1" applyFont="1" applyFill="1" applyBorder="1" applyAlignment="1">
      <alignment horizontal="center" vertical="center"/>
    </xf>
    <xf numFmtId="41" fontId="136" fillId="0" borderId="0" xfId="5" applyFont="1" applyFill="1" applyBorder="1" applyAlignment="1">
      <alignment horizontal="center" vertical="center"/>
    </xf>
    <xf numFmtId="41" fontId="136" fillId="0" borderId="100" xfId="604" applyNumberFormat="1" applyFont="1" applyFill="1" applyBorder="1" applyAlignment="1">
      <alignment vertical="center"/>
    </xf>
    <xf numFmtId="41" fontId="136" fillId="0" borderId="100" xfId="603" applyNumberFormat="1" applyFont="1" applyFill="1" applyBorder="1" applyAlignment="1">
      <alignment vertical="center"/>
    </xf>
    <xf numFmtId="9" fontId="136" fillId="0" borderId="0" xfId="12" applyFont="1" applyFill="1" applyBorder="1" applyAlignment="1">
      <alignment vertical="center"/>
    </xf>
    <xf numFmtId="0" fontId="136" fillId="0" borderId="0" xfId="0" applyFont="1" applyFill="1" applyBorder="1" applyAlignment="1">
      <alignment vertical="center"/>
    </xf>
    <xf numFmtId="41" fontId="136" fillId="0" borderId="0" xfId="11" applyFont="1" applyFill="1" applyBorder="1" applyAlignment="1">
      <alignment vertical="center"/>
    </xf>
    <xf numFmtId="0" fontId="136" fillId="0" borderId="0" xfId="10" applyFont="1" applyFill="1" applyBorder="1" applyAlignment="1">
      <alignment vertical="center"/>
    </xf>
    <xf numFmtId="0" fontId="136" fillId="0" borderId="0" xfId="0" applyFont="1" applyFill="1" applyAlignment="1">
      <alignment vertical="center"/>
    </xf>
    <xf numFmtId="41" fontId="136" fillId="0" borderId="0" xfId="24" applyNumberFormat="1" applyFont="1" applyFill="1" applyBorder="1" applyAlignment="1">
      <alignment vertical="center"/>
    </xf>
    <xf numFmtId="9" fontId="136" fillId="0" borderId="0" xfId="24" applyNumberFormat="1" applyFont="1" applyFill="1" applyBorder="1" applyAlignment="1">
      <alignment horizontal="left" vertical="center"/>
    </xf>
    <xf numFmtId="0" fontId="136" fillId="0" borderId="0" xfId="24" applyFont="1" applyFill="1" applyBorder="1" applyAlignment="1">
      <alignment horizontal="right" vertical="center"/>
    </xf>
    <xf numFmtId="0" fontId="136" fillId="0" borderId="84" xfId="24" applyFont="1" applyFill="1" applyBorder="1" applyAlignment="1">
      <alignment horizontal="distributed" vertical="center"/>
    </xf>
    <xf numFmtId="9" fontId="137" fillId="0" borderId="84" xfId="24" applyNumberFormat="1" applyFont="1" applyFill="1" applyBorder="1" applyAlignment="1">
      <alignment horizontal="right" vertical="center"/>
    </xf>
    <xf numFmtId="41" fontId="136" fillId="0" borderId="84" xfId="24" applyNumberFormat="1" applyFont="1" applyFill="1" applyBorder="1" applyAlignment="1">
      <alignment vertical="center"/>
    </xf>
    <xf numFmtId="0" fontId="137" fillId="0" borderId="84" xfId="24" applyFont="1" applyFill="1" applyBorder="1" applyAlignment="1">
      <alignment horizontal="right" vertical="center"/>
    </xf>
    <xf numFmtId="9" fontId="136" fillId="0" borderId="84" xfId="24" applyNumberFormat="1" applyFont="1" applyFill="1" applyBorder="1" applyAlignment="1">
      <alignment horizontal="distributed" vertical="center"/>
    </xf>
    <xf numFmtId="9" fontId="136" fillId="0" borderId="84" xfId="24" applyNumberFormat="1" applyFont="1" applyFill="1" applyBorder="1" applyAlignment="1">
      <alignment horizontal="right" vertical="center"/>
    </xf>
    <xf numFmtId="218" fontId="136" fillId="0" borderId="84" xfId="24" applyNumberFormat="1" applyFont="1" applyFill="1" applyBorder="1" applyAlignment="1">
      <alignment horizontal="right" vertical="center"/>
    </xf>
    <xf numFmtId="0" fontId="136" fillId="0" borderId="84" xfId="24" applyFont="1" applyFill="1" applyBorder="1" applyAlignment="1">
      <alignment horizontal="right" vertical="center"/>
    </xf>
    <xf numFmtId="219" fontId="136" fillId="0" borderId="84" xfId="24" applyNumberFormat="1" applyFont="1" applyFill="1" applyBorder="1" applyAlignment="1">
      <alignment horizontal="right" vertical="center"/>
    </xf>
    <xf numFmtId="0" fontId="136" fillId="0" borderId="88" xfId="604" applyFont="1" applyFill="1" applyBorder="1" applyAlignment="1">
      <alignment horizontal="left" vertical="center"/>
    </xf>
    <xf numFmtId="0" fontId="136" fillId="0" borderId="0" xfId="604" applyFont="1" applyFill="1" applyBorder="1" applyAlignment="1">
      <alignment horizontal="left" vertical="center"/>
    </xf>
    <xf numFmtId="9" fontId="136" fillId="0" borderId="0" xfId="604" applyNumberFormat="1" applyFont="1" applyFill="1" applyBorder="1" applyAlignment="1">
      <alignment horizontal="center" vertical="center"/>
    </xf>
    <xf numFmtId="41" fontId="136" fillId="0" borderId="0" xfId="604" applyNumberFormat="1" applyFont="1" applyFill="1" applyBorder="1" applyAlignment="1">
      <alignment vertical="center"/>
    </xf>
    <xf numFmtId="9" fontId="136" fillId="0" borderId="88" xfId="604" applyNumberFormat="1" applyFont="1" applyFill="1" applyBorder="1" applyAlignment="1">
      <alignment horizontal="left" vertical="center"/>
    </xf>
    <xf numFmtId="0" fontId="136" fillId="0" borderId="90" xfId="604" applyFont="1" applyFill="1" applyBorder="1" applyAlignment="1">
      <alignment horizontal="left" vertical="center"/>
    </xf>
    <xf numFmtId="0" fontId="136" fillId="0" borderId="91" xfId="604" applyFont="1" applyFill="1" applyBorder="1" applyAlignment="1">
      <alignment horizontal="left" vertical="center"/>
    </xf>
    <xf numFmtId="9" fontId="136" fillId="0" borderId="91" xfId="604" applyNumberFormat="1" applyFont="1" applyFill="1" applyBorder="1" applyAlignment="1">
      <alignment horizontal="center" vertical="center"/>
    </xf>
    <xf numFmtId="41" fontId="136" fillId="0" borderId="91" xfId="604" applyNumberFormat="1" applyFont="1" applyFill="1" applyBorder="1" applyAlignment="1">
      <alignment vertical="center"/>
    </xf>
    <xf numFmtId="0" fontId="136" fillId="0" borderId="0" xfId="604" applyFont="1" applyFill="1" applyBorder="1" applyAlignment="1">
      <alignment vertical="center"/>
    </xf>
    <xf numFmtId="0" fontId="136" fillId="0" borderId="0" xfId="604" applyFont="1" applyFill="1" applyBorder="1" applyAlignment="1">
      <alignment horizontal="center" vertical="center"/>
    </xf>
    <xf numFmtId="0" fontId="136" fillId="0" borderId="0" xfId="604" applyFont="1" applyFill="1" applyBorder="1" applyAlignment="1">
      <alignment horizontal="right" vertical="center"/>
    </xf>
    <xf numFmtId="0" fontId="136" fillId="0" borderId="91" xfId="604" applyFont="1" applyFill="1" applyBorder="1" applyAlignment="1">
      <alignment vertical="center"/>
    </xf>
    <xf numFmtId="0" fontId="136" fillId="0" borderId="0" xfId="603" applyFont="1" applyFill="1" applyBorder="1" applyAlignment="1">
      <alignment horizontal="left" vertical="center"/>
    </xf>
    <xf numFmtId="9" fontId="136" fillId="0" borderId="0" xfId="603" applyNumberFormat="1" applyFont="1" applyFill="1" applyBorder="1" applyAlignment="1">
      <alignment horizontal="center" vertical="center"/>
    </xf>
    <xf numFmtId="41" fontId="136" fillId="0" borderId="0" xfId="603" applyNumberFormat="1" applyFont="1" applyFill="1" applyBorder="1" applyAlignment="1">
      <alignment vertical="center"/>
    </xf>
    <xf numFmtId="0" fontId="136" fillId="0" borderId="88" xfId="603" applyFont="1" applyFill="1" applyBorder="1" applyAlignment="1">
      <alignment horizontal="left" vertical="center"/>
    </xf>
    <xf numFmtId="0" fontId="136" fillId="0" borderId="89" xfId="603" applyFont="1" applyFill="1" applyBorder="1" applyAlignment="1">
      <alignment vertical="center"/>
    </xf>
    <xf numFmtId="9" fontId="136" fillId="0" borderId="88" xfId="603" applyNumberFormat="1" applyFont="1" applyFill="1" applyBorder="1" applyAlignment="1">
      <alignment horizontal="left" vertical="center"/>
    </xf>
    <xf numFmtId="41" fontId="136" fillId="0" borderId="89" xfId="603" applyNumberFormat="1" applyFont="1" applyFill="1" applyBorder="1" applyAlignment="1">
      <alignment vertical="center"/>
    </xf>
    <xf numFmtId="0" fontId="136" fillId="0" borderId="89" xfId="603" applyFont="1" applyFill="1" applyBorder="1" applyAlignment="1">
      <alignment horizontal="center" vertical="center"/>
    </xf>
    <xf numFmtId="0" fontId="136" fillId="0" borderId="89" xfId="603" applyFont="1" applyFill="1" applyBorder="1" applyAlignment="1">
      <alignment horizontal="right" vertical="center"/>
    </xf>
    <xf numFmtId="0" fontId="136" fillId="0" borderId="90" xfId="603" applyFont="1" applyFill="1" applyBorder="1" applyAlignment="1">
      <alignment horizontal="left" vertical="center"/>
    </xf>
    <xf numFmtId="0" fontId="136" fillId="0" borderId="91" xfId="603" applyFont="1" applyFill="1" applyBorder="1" applyAlignment="1">
      <alignment horizontal="left" vertical="center"/>
    </xf>
    <xf numFmtId="9" fontId="136" fillId="0" borderId="91" xfId="603" applyNumberFormat="1" applyFont="1" applyFill="1" applyBorder="1" applyAlignment="1">
      <alignment horizontal="center" vertical="center"/>
    </xf>
    <xf numFmtId="0" fontId="136" fillId="0" borderId="92" xfId="603" applyFont="1" applyFill="1" applyBorder="1" applyAlignment="1">
      <alignment vertical="center"/>
    </xf>
    <xf numFmtId="41" fontId="136" fillId="0" borderId="101" xfId="604" applyNumberFormat="1" applyFont="1" applyFill="1" applyBorder="1" applyAlignment="1">
      <alignment horizontal="center" vertical="center"/>
    </xf>
    <xf numFmtId="9" fontId="136" fillId="0" borderId="101" xfId="603" applyNumberFormat="1" applyFont="1" applyFill="1" applyBorder="1" applyAlignment="1">
      <alignment horizontal="center" vertical="center"/>
    </xf>
    <xf numFmtId="0" fontId="136" fillId="0" borderId="85" xfId="604" applyFont="1" applyFill="1" applyBorder="1" applyAlignment="1">
      <alignment vertical="center"/>
    </xf>
    <xf numFmtId="0" fontId="136" fillId="0" borderId="86" xfId="604" applyFont="1" applyFill="1" applyBorder="1" applyAlignment="1">
      <alignment horizontal="center" vertical="center"/>
    </xf>
    <xf numFmtId="9" fontId="136" fillId="0" borderId="86" xfId="604" applyNumberFormat="1" applyFont="1" applyFill="1" applyBorder="1" applyAlignment="1">
      <alignment horizontal="center" vertical="center"/>
    </xf>
    <xf numFmtId="188" fontId="136" fillId="0" borderId="86" xfId="604" applyNumberFormat="1" applyFont="1" applyFill="1" applyBorder="1" applyAlignment="1">
      <alignment vertical="center"/>
    </xf>
    <xf numFmtId="222" fontId="136" fillId="0" borderId="86" xfId="604" applyNumberFormat="1" applyFont="1" applyFill="1" applyBorder="1" applyAlignment="1">
      <alignment horizontal="center" vertical="center"/>
    </xf>
    <xf numFmtId="0" fontId="136" fillId="0" borderId="85" xfId="603" applyFont="1" applyFill="1" applyBorder="1" applyAlignment="1">
      <alignment vertical="center"/>
    </xf>
    <xf numFmtId="0" fontId="136" fillId="0" borderId="86" xfId="603" applyFont="1" applyFill="1" applyBorder="1" applyAlignment="1">
      <alignment horizontal="center" vertical="center"/>
    </xf>
    <xf numFmtId="9" fontId="136" fillId="0" borderId="86" xfId="603" applyNumberFormat="1" applyFont="1" applyFill="1" applyBorder="1" applyAlignment="1">
      <alignment horizontal="center" vertical="center"/>
    </xf>
    <xf numFmtId="41" fontId="136" fillId="0" borderId="86" xfId="603" applyNumberFormat="1" applyFont="1" applyFill="1" applyBorder="1" applyAlignment="1">
      <alignment vertical="center"/>
    </xf>
    <xf numFmtId="0" fontId="136" fillId="0" borderId="87" xfId="603" applyFont="1" applyFill="1" applyBorder="1" applyAlignment="1">
      <alignment vertical="center"/>
    </xf>
    <xf numFmtId="41" fontId="136" fillId="0" borderId="0" xfId="5" applyFont="1" applyFill="1" applyBorder="1" applyAlignment="1">
      <alignment vertical="center"/>
    </xf>
    <xf numFmtId="41" fontId="136" fillId="0" borderId="91" xfId="5" applyFont="1" applyFill="1" applyBorder="1" applyAlignment="1">
      <alignment vertical="center"/>
    </xf>
    <xf numFmtId="0" fontId="136" fillId="0" borderId="84" xfId="24" applyFont="1" applyFill="1" applyBorder="1" applyAlignment="1">
      <alignment horizontal="center" vertical="center"/>
    </xf>
    <xf numFmtId="0" fontId="179" fillId="0" borderId="0" xfId="0" applyFont="1" applyFill="1">
      <alignment vertical="center"/>
    </xf>
    <xf numFmtId="41" fontId="136" fillId="0" borderId="0" xfId="604" applyNumberFormat="1" applyFont="1" applyFill="1" applyBorder="1" applyAlignment="1">
      <alignment horizontal="center" vertical="center"/>
    </xf>
    <xf numFmtId="9" fontId="136" fillId="0" borderId="0" xfId="2" applyFont="1">
      <alignment vertical="center"/>
    </xf>
    <xf numFmtId="9" fontId="136" fillId="0" borderId="151" xfId="2" applyFont="1" applyFill="1" applyBorder="1" applyAlignment="1">
      <alignment horizontal="center" vertical="center"/>
    </xf>
    <xf numFmtId="0" fontId="136" fillId="0" borderId="152" xfId="24" applyFont="1" applyFill="1" applyBorder="1" applyAlignment="1">
      <alignment horizontal="center" vertical="center"/>
    </xf>
    <xf numFmtId="41" fontId="136" fillId="0" borderId="152" xfId="5" applyFont="1" applyFill="1" applyBorder="1" applyAlignment="1">
      <alignment horizontal="center" vertical="center"/>
    </xf>
    <xf numFmtId="0" fontId="136" fillId="0" borderId="159" xfId="24" applyFont="1" applyFill="1" applyBorder="1" applyAlignment="1">
      <alignment horizontal="left" vertical="center"/>
    </xf>
    <xf numFmtId="0" fontId="136" fillId="0" borderId="160" xfId="24" applyFont="1" applyFill="1" applyBorder="1" applyAlignment="1">
      <alignment horizontal="left" vertical="center"/>
    </xf>
    <xf numFmtId="41" fontId="136" fillId="0" borderId="156" xfId="5" applyFont="1" applyFill="1" applyBorder="1" applyAlignment="1">
      <alignment horizontal="center" vertical="center"/>
    </xf>
    <xf numFmtId="0" fontId="136" fillId="0" borderId="158" xfId="24" applyFont="1" applyFill="1" applyBorder="1" applyAlignment="1">
      <alignment horizontal="left" vertical="center"/>
    </xf>
    <xf numFmtId="41" fontId="136" fillId="0" borderId="155" xfId="5" applyFont="1" applyFill="1" applyBorder="1" applyAlignment="1">
      <alignment horizontal="center" vertical="center"/>
    </xf>
    <xf numFmtId="9" fontId="136" fillId="0" borderId="157" xfId="2" applyFont="1" applyFill="1" applyBorder="1" applyAlignment="1">
      <alignment horizontal="right" vertical="center"/>
    </xf>
    <xf numFmtId="0" fontId="136" fillId="0" borderId="153" xfId="5305" applyFont="1" applyFill="1" applyBorder="1" applyAlignment="1">
      <alignment horizontal="center" vertical="center"/>
    </xf>
    <xf numFmtId="266" fontId="136" fillId="0" borderId="163" xfId="5305" applyNumberFormat="1" applyFont="1" applyFill="1" applyBorder="1" applyAlignment="1">
      <alignment horizontal="center" vertical="center"/>
    </xf>
    <xf numFmtId="0" fontId="136" fillId="0" borderId="164" xfId="5305" applyFont="1" applyFill="1" applyBorder="1" applyAlignment="1">
      <alignment horizontal="center" vertical="center"/>
    </xf>
    <xf numFmtId="41" fontId="136" fillId="0" borderId="148" xfId="3224" applyFont="1" applyFill="1" applyBorder="1" applyAlignment="1">
      <alignment horizontal="center" vertical="center"/>
    </xf>
    <xf numFmtId="10" fontId="136" fillId="0" borderId="148" xfId="4366" applyNumberFormat="1" applyFont="1" applyFill="1" applyBorder="1" applyAlignment="1">
      <alignment horizontal="center" vertical="center"/>
    </xf>
    <xf numFmtId="266" fontId="136" fillId="0" borderId="154" xfId="5305" applyNumberFormat="1" applyFont="1" applyFill="1" applyBorder="1" applyAlignment="1">
      <alignment horizontal="center" vertical="center"/>
    </xf>
    <xf numFmtId="0" fontId="136" fillId="0" borderId="161" xfId="5305" applyFont="1" applyFill="1" applyBorder="1" applyAlignment="1">
      <alignment horizontal="center" vertical="center"/>
    </xf>
    <xf numFmtId="0" fontId="136" fillId="0" borderId="162" xfId="5305" applyFont="1" applyFill="1" applyBorder="1" applyAlignment="1">
      <alignment horizontal="center" vertical="center"/>
    </xf>
    <xf numFmtId="41" fontId="136" fillId="0" borderId="0" xfId="0" applyNumberFormat="1" applyFont="1">
      <alignment vertical="center"/>
    </xf>
    <xf numFmtId="267" fontId="136" fillId="0" borderId="171" xfId="0" applyNumberFormat="1" applyFont="1" applyFill="1" applyBorder="1" applyAlignment="1">
      <alignment horizontal="center" vertical="center"/>
    </xf>
    <xf numFmtId="41" fontId="136" fillId="0" borderId="167" xfId="0" applyNumberFormat="1" applyFont="1" applyFill="1" applyBorder="1" applyAlignment="1">
      <alignment vertical="center"/>
    </xf>
    <xf numFmtId="0" fontId="136" fillId="0" borderId="172" xfId="0" applyFont="1" applyFill="1" applyBorder="1" applyAlignment="1">
      <alignment horizontal="center" vertical="center"/>
    </xf>
    <xf numFmtId="10" fontId="136" fillId="0" borderId="172" xfId="0" applyNumberFormat="1" applyFont="1" applyFill="1" applyBorder="1" applyAlignment="1">
      <alignment horizontal="center" vertical="center"/>
    </xf>
    <xf numFmtId="0" fontId="136" fillId="0" borderId="176" xfId="5305" applyFont="1" applyFill="1" applyBorder="1" applyAlignment="1">
      <alignment horizontal="center" vertical="center"/>
    </xf>
    <xf numFmtId="10" fontId="136" fillId="0" borderId="165" xfId="4366" applyNumberFormat="1" applyFont="1" applyFill="1" applyBorder="1" applyAlignment="1">
      <alignment horizontal="center" vertical="center"/>
    </xf>
    <xf numFmtId="10" fontId="136" fillId="0" borderId="152" xfId="4366" applyNumberFormat="1" applyFont="1" applyFill="1" applyBorder="1" applyAlignment="1">
      <alignment horizontal="center" vertical="center"/>
    </xf>
    <xf numFmtId="178" fontId="136" fillId="0" borderId="163" xfId="2" applyNumberFormat="1" applyFont="1" applyFill="1" applyBorder="1" applyAlignment="1">
      <alignment horizontal="center" vertical="center"/>
    </xf>
    <xf numFmtId="178" fontId="136" fillId="0" borderId="148" xfId="4366" applyNumberFormat="1" applyFont="1" applyFill="1" applyBorder="1" applyAlignment="1">
      <alignment horizontal="center" vertical="center"/>
    </xf>
    <xf numFmtId="10" fontId="136" fillId="0" borderId="163" xfId="2" applyNumberFormat="1" applyFont="1" applyFill="1" applyBorder="1" applyAlignment="1">
      <alignment horizontal="center" vertical="center"/>
    </xf>
    <xf numFmtId="0" fontId="136" fillId="0" borderId="112" xfId="24" applyFont="1" applyFill="1" applyBorder="1" applyAlignment="1">
      <alignment horizontal="left" vertical="center"/>
    </xf>
    <xf numFmtId="41" fontId="136" fillId="0" borderId="127" xfId="5" applyFont="1" applyFill="1" applyBorder="1" applyAlignment="1">
      <alignment horizontal="center" vertical="center"/>
    </xf>
    <xf numFmtId="9" fontId="136" fillId="0" borderId="166" xfId="2" applyFont="1" applyFill="1" applyBorder="1" applyAlignment="1">
      <alignment horizontal="center" vertical="center"/>
    </xf>
    <xf numFmtId="41" fontId="136" fillId="0" borderId="177" xfId="5" applyFont="1" applyFill="1" applyBorder="1" applyAlignment="1">
      <alignment horizontal="center" vertical="center"/>
    </xf>
    <xf numFmtId="0" fontId="136" fillId="0" borderId="155" xfId="24" applyFont="1" applyFill="1" applyBorder="1" applyAlignment="1">
      <alignment horizontal="center" vertical="center"/>
    </xf>
    <xf numFmtId="0" fontId="136" fillId="0" borderId="156" xfId="24" applyFont="1" applyFill="1" applyBorder="1" applyAlignment="1">
      <alignment horizontal="center" vertical="center"/>
    </xf>
    <xf numFmtId="0" fontId="136" fillId="0" borderId="158" xfId="24" applyFont="1" applyFill="1" applyBorder="1" applyAlignment="1">
      <alignment horizontal="center" vertical="center"/>
    </xf>
    <xf numFmtId="43" fontId="136" fillId="0" borderId="113" xfId="5" applyNumberFormat="1" applyFont="1" applyFill="1" applyBorder="1" applyAlignment="1">
      <alignment vertical="center"/>
    </xf>
    <xf numFmtId="41" fontId="136" fillId="0" borderId="115" xfId="5" applyFont="1" applyFill="1" applyBorder="1" applyAlignment="1">
      <alignment vertical="center"/>
    </xf>
    <xf numFmtId="41" fontId="136" fillId="0" borderId="114" xfId="5" applyFont="1" applyFill="1" applyBorder="1" applyAlignment="1">
      <alignment horizontal="right" vertical="center"/>
    </xf>
    <xf numFmtId="41" fontId="136" fillId="0" borderId="152" xfId="5" applyFont="1" applyFill="1" applyBorder="1">
      <alignment vertical="center"/>
    </xf>
    <xf numFmtId="9" fontId="136" fillId="0" borderId="151" xfId="2" applyFont="1" applyFill="1" applyBorder="1">
      <alignment vertical="center"/>
    </xf>
    <xf numFmtId="0" fontId="136" fillId="0" borderId="152" xfId="0" applyFont="1" applyFill="1" applyBorder="1">
      <alignment vertical="center"/>
    </xf>
    <xf numFmtId="41" fontId="136" fillId="0" borderId="156" xfId="5" applyFont="1" applyFill="1" applyBorder="1">
      <alignment vertical="center"/>
    </xf>
    <xf numFmtId="41" fontId="136" fillId="0" borderId="0" xfId="5" applyFont="1" applyFill="1">
      <alignment vertical="center"/>
    </xf>
    <xf numFmtId="179" fontId="136" fillId="0" borderId="24" xfId="6" applyNumberFormat="1" applyFont="1" applyFill="1" applyBorder="1" applyAlignment="1">
      <alignment horizontal="left" vertical="center"/>
    </xf>
    <xf numFmtId="179" fontId="136" fillId="0" borderId="42" xfId="6" applyNumberFormat="1" applyFont="1" applyFill="1" applyBorder="1" applyAlignment="1">
      <alignment horizontal="left" vertical="center"/>
    </xf>
    <xf numFmtId="179" fontId="136" fillId="0" borderId="46" xfId="6" applyNumberFormat="1" applyFont="1" applyFill="1" applyBorder="1" applyAlignment="1">
      <alignment horizontal="left" vertical="center"/>
    </xf>
    <xf numFmtId="41" fontId="136" fillId="0" borderId="46" xfId="6" applyFont="1" applyFill="1" applyBorder="1" applyAlignment="1">
      <alignment vertical="center"/>
    </xf>
    <xf numFmtId="41" fontId="136" fillId="0" borderId="0" xfId="5" applyFont="1" applyFill="1" applyBorder="1">
      <alignment vertical="center"/>
    </xf>
    <xf numFmtId="0" fontId="321" fillId="0" borderId="0" xfId="0" applyFont="1" applyBorder="1">
      <alignment vertical="center"/>
    </xf>
    <xf numFmtId="41" fontId="136" fillId="0" borderId="0" xfId="11" applyFont="1" applyBorder="1" applyAlignment="1">
      <alignment vertical="center"/>
    </xf>
    <xf numFmtId="0" fontId="136" fillId="90" borderId="85" xfId="10" applyFont="1" applyFill="1" applyBorder="1" applyAlignment="1">
      <alignment horizontal="center" vertical="center"/>
    </xf>
    <xf numFmtId="0" fontId="136" fillId="0" borderId="86" xfId="10" applyFont="1" applyBorder="1" applyAlignment="1">
      <alignment vertical="center"/>
    </xf>
    <xf numFmtId="368" fontId="136" fillId="0" borderId="86" xfId="12" applyNumberFormat="1" applyFont="1" applyBorder="1" applyAlignment="1">
      <alignment horizontal="right" vertical="center"/>
    </xf>
    <xf numFmtId="9" fontId="136" fillId="0" borderId="87" xfId="12" applyFont="1" applyBorder="1" applyAlignment="1">
      <alignment horizontal="center" vertical="center"/>
    </xf>
    <xf numFmtId="0" fontId="136" fillId="90" borderId="88" xfId="10" applyFont="1" applyFill="1" applyBorder="1" applyAlignment="1">
      <alignment horizontal="center" vertical="center"/>
    </xf>
    <xf numFmtId="41" fontId="136" fillId="0" borderId="0" xfId="0" applyNumberFormat="1" applyFont="1" applyBorder="1" applyAlignment="1">
      <alignment vertical="center"/>
    </xf>
    <xf numFmtId="41" fontId="136" fillId="0" borderId="89" xfId="0" applyNumberFormat="1" applyFont="1" applyBorder="1" applyAlignment="1">
      <alignment vertical="center"/>
    </xf>
    <xf numFmtId="41" fontId="136" fillId="0" borderId="88" xfId="10" applyNumberFormat="1" applyFont="1" applyBorder="1" applyAlignment="1">
      <alignment horizontal="center" vertical="center"/>
    </xf>
    <xf numFmtId="41" fontId="136" fillId="0" borderId="89" xfId="11" applyFont="1" applyBorder="1" applyAlignment="1">
      <alignment vertical="center"/>
    </xf>
    <xf numFmtId="9" fontId="136" fillId="0" borderId="88" xfId="12" applyFont="1" applyBorder="1" applyAlignment="1">
      <alignment horizontal="center" vertical="center"/>
    </xf>
    <xf numFmtId="0" fontId="136" fillId="0" borderId="88" xfId="10" applyFont="1" applyBorder="1" applyAlignment="1">
      <alignment horizontal="center" vertical="center"/>
    </xf>
    <xf numFmtId="0" fontId="136" fillId="0" borderId="88" xfId="10" applyFont="1" applyBorder="1" applyAlignment="1">
      <alignment vertical="center"/>
    </xf>
    <xf numFmtId="178" fontId="136" fillId="0" borderId="0" xfId="0" applyNumberFormat="1" applyFont="1" applyBorder="1" applyAlignment="1">
      <alignment vertical="center"/>
    </xf>
    <xf numFmtId="178" fontId="136" fillId="0" borderId="89" xfId="0" applyNumberFormat="1" applyFont="1" applyBorder="1" applyAlignment="1">
      <alignment vertical="center"/>
    </xf>
    <xf numFmtId="9" fontId="136" fillId="0" borderId="88" xfId="12" applyFont="1" applyBorder="1" applyAlignment="1">
      <alignment vertical="center"/>
    </xf>
    <xf numFmtId="10" fontId="137" fillId="0" borderId="0" xfId="12" applyNumberFormat="1" applyFont="1" applyBorder="1" applyAlignment="1">
      <alignment horizontal="right" vertical="center"/>
    </xf>
    <xf numFmtId="10" fontId="137" fillId="0" borderId="89" xfId="12" applyNumberFormat="1" applyFont="1" applyBorder="1" applyAlignment="1">
      <alignment vertical="center"/>
    </xf>
    <xf numFmtId="9" fontId="136" fillId="0" borderId="90" xfId="12" applyFont="1" applyBorder="1" applyAlignment="1">
      <alignment vertical="center"/>
    </xf>
    <xf numFmtId="0" fontId="136" fillId="0" borderId="91" xfId="0" applyFont="1" applyBorder="1" applyAlignment="1">
      <alignment vertical="center"/>
    </xf>
    <xf numFmtId="41" fontId="136" fillId="0" borderId="91" xfId="11" applyFont="1" applyBorder="1" applyAlignment="1">
      <alignment vertical="center"/>
    </xf>
    <xf numFmtId="41" fontId="136" fillId="0" borderId="92" xfId="11" applyFont="1" applyBorder="1" applyAlignment="1">
      <alignment vertical="center"/>
    </xf>
    <xf numFmtId="0" fontId="322" fillId="0" borderId="0" xfId="0" applyFont="1" applyBorder="1" applyAlignment="1">
      <alignment vertical="center"/>
    </xf>
    <xf numFmtId="10" fontId="322" fillId="0" borderId="0" xfId="12" applyNumberFormat="1" applyFont="1" applyBorder="1" applyAlignment="1">
      <alignment horizontal="right" vertical="center"/>
    </xf>
    <xf numFmtId="10" fontId="136" fillId="0" borderId="0" xfId="0" applyNumberFormat="1" applyFont="1" applyFill="1" applyBorder="1">
      <alignment vertical="center"/>
    </xf>
    <xf numFmtId="9" fontId="136" fillId="0" borderId="172" xfId="0" applyNumberFormat="1" applyFont="1" applyFill="1" applyBorder="1" applyAlignment="1">
      <alignment horizontal="center" vertical="center"/>
    </xf>
    <xf numFmtId="242" fontId="136" fillId="0" borderId="102" xfId="6" applyNumberFormat="1" applyFont="1" applyFill="1" applyBorder="1" applyAlignment="1">
      <alignment horizontal="center" vertical="center"/>
    </xf>
    <xf numFmtId="0" fontId="136" fillId="0" borderId="171" xfId="0" applyFont="1" applyFill="1" applyBorder="1" applyAlignment="1">
      <alignment horizontal="center" vertical="center"/>
    </xf>
    <xf numFmtId="178" fontId="136" fillId="0" borderId="167" xfId="0" applyNumberFormat="1" applyFont="1" applyFill="1" applyBorder="1" applyAlignment="1">
      <alignment horizontal="center" vertical="center"/>
    </xf>
    <xf numFmtId="267" fontId="136" fillId="0" borderId="172" xfId="0" applyNumberFormat="1" applyFont="1" applyFill="1" applyBorder="1">
      <alignment vertical="center"/>
    </xf>
    <xf numFmtId="0" fontId="136" fillId="0" borderId="173" xfId="0" applyFont="1" applyFill="1" applyBorder="1" applyAlignment="1">
      <alignment horizontal="center" vertical="center"/>
    </xf>
    <xf numFmtId="178" fontId="136" fillId="0" borderId="174" xfId="0" applyNumberFormat="1" applyFont="1" applyFill="1" applyBorder="1" applyAlignment="1">
      <alignment horizontal="center" vertical="center"/>
    </xf>
    <xf numFmtId="41" fontId="136" fillId="0" borderId="175" xfId="5" applyFont="1" applyFill="1" applyBorder="1">
      <alignment vertical="center"/>
    </xf>
    <xf numFmtId="41" fontId="136" fillId="0" borderId="174" xfId="0" applyNumberFormat="1" applyFont="1" applyFill="1" applyBorder="1" applyAlignment="1">
      <alignment vertical="center"/>
    </xf>
    <xf numFmtId="10" fontId="136" fillId="0" borderId="175" xfId="0" applyNumberFormat="1" applyFont="1" applyFill="1" applyBorder="1" applyAlignment="1">
      <alignment horizontal="center" vertical="center"/>
    </xf>
    <xf numFmtId="191" fontId="136" fillId="0" borderId="215" xfId="6" applyNumberFormat="1" applyFont="1" applyFill="1" applyBorder="1" applyAlignment="1">
      <alignment horizontal="center" vertical="center"/>
    </xf>
    <xf numFmtId="242" fontId="136" fillId="0" borderId="209" xfId="6" applyNumberFormat="1" applyFont="1" applyFill="1" applyBorder="1" applyAlignment="1">
      <alignment horizontal="center" vertical="center"/>
    </xf>
    <xf numFmtId="191" fontId="136" fillId="0" borderId="217" xfId="6" applyNumberFormat="1" applyFont="1" applyFill="1" applyBorder="1" applyAlignment="1">
      <alignment horizontal="center" vertical="center"/>
    </xf>
    <xf numFmtId="242" fontId="136" fillId="0" borderId="219" xfId="6" applyNumberFormat="1" applyFont="1" applyFill="1" applyBorder="1" applyAlignment="1">
      <alignment horizontal="center" vertical="center"/>
    </xf>
    <xf numFmtId="10" fontId="136" fillId="8" borderId="210" xfId="6" applyNumberFormat="1" applyFont="1" applyFill="1" applyBorder="1" applyAlignment="1">
      <alignment vertical="center"/>
    </xf>
    <xf numFmtId="10" fontId="136" fillId="8" borderId="221" xfId="6" applyNumberFormat="1" applyFont="1" applyFill="1" applyBorder="1" applyAlignment="1">
      <alignment vertical="center"/>
    </xf>
    <xf numFmtId="41" fontId="136" fillId="0" borderId="159" xfId="24" applyNumberFormat="1" applyFont="1" applyFill="1" applyBorder="1" applyAlignment="1">
      <alignment horizontal="left" vertical="center"/>
    </xf>
    <xf numFmtId="0" fontId="136" fillId="0" borderId="236" xfId="24" applyFont="1" applyFill="1" applyBorder="1" applyAlignment="1">
      <alignment horizontal="left" vertical="center"/>
    </xf>
    <xf numFmtId="41" fontId="136" fillId="0" borderId="237" xfId="5" applyFont="1" applyFill="1" applyBorder="1" applyAlignment="1">
      <alignment horizontal="center" vertical="center"/>
    </xf>
    <xf numFmtId="9" fontId="136" fillId="0" borderId="164" xfId="2" applyFont="1" applyFill="1" applyBorder="1" applyAlignment="1">
      <alignment horizontal="center" vertical="center"/>
    </xf>
    <xf numFmtId="41" fontId="136" fillId="0" borderId="165" xfId="5" applyFont="1" applyFill="1" applyBorder="1" applyAlignment="1">
      <alignment horizontal="center" vertical="center"/>
    </xf>
    <xf numFmtId="41" fontId="136" fillId="0" borderId="165" xfId="5" applyFont="1" applyFill="1" applyBorder="1">
      <alignment vertical="center"/>
    </xf>
    <xf numFmtId="9" fontId="136" fillId="0" borderId="164" xfId="2" applyFont="1" applyFill="1" applyBorder="1">
      <alignment vertical="center"/>
    </xf>
    <xf numFmtId="0" fontId="136" fillId="0" borderId="165" xfId="0" applyFont="1" applyFill="1" applyBorder="1">
      <alignment vertical="center"/>
    </xf>
    <xf numFmtId="41" fontId="136" fillId="0" borderId="238" xfId="5" applyFont="1" applyFill="1" applyBorder="1">
      <alignment vertical="center"/>
    </xf>
    <xf numFmtId="177" fontId="136" fillId="0" borderId="0" xfId="5" applyNumberFormat="1" applyFont="1" applyFill="1" applyBorder="1" applyAlignment="1">
      <alignment horizontal="center" vertical="center"/>
    </xf>
    <xf numFmtId="9" fontId="136" fillId="0" borderId="88" xfId="10" applyNumberFormat="1" applyFont="1" applyFill="1" applyBorder="1" applyAlignment="1">
      <alignment vertical="center"/>
    </xf>
    <xf numFmtId="178" fontId="136" fillId="0" borderId="0" xfId="2" applyNumberFormat="1" applyFont="1" applyFill="1">
      <alignment vertical="center"/>
    </xf>
    <xf numFmtId="0" fontId="325" fillId="0" borderId="0" xfId="0" applyFont="1" applyFill="1">
      <alignment vertical="center"/>
    </xf>
    <xf numFmtId="183" fontId="136" fillId="2" borderId="24" xfId="10" applyNumberFormat="1" applyFont="1" applyFill="1" applyBorder="1" applyAlignment="1" applyProtection="1">
      <alignment horizontal="center" vertical="center"/>
    </xf>
    <xf numFmtId="0" fontId="136" fillId="2" borderId="46" xfId="9" applyFont="1" applyFill="1" applyBorder="1" applyAlignment="1">
      <alignment horizontal="center" vertical="center"/>
    </xf>
    <xf numFmtId="0" fontId="136" fillId="0" borderId="0" xfId="0" applyFont="1" applyFill="1" applyBorder="1" applyAlignment="1">
      <alignment horizontal="center" vertical="center"/>
    </xf>
    <xf numFmtId="0" fontId="136" fillId="0" borderId="168" xfId="0" applyFont="1" applyFill="1" applyBorder="1" applyAlignment="1">
      <alignment horizontal="center" vertical="center"/>
    </xf>
    <xf numFmtId="0" fontId="136" fillId="0" borderId="169" xfId="0" applyFont="1" applyFill="1" applyBorder="1" applyAlignment="1">
      <alignment horizontal="center" vertical="center"/>
    </xf>
    <xf numFmtId="0" fontId="136" fillId="0" borderId="170" xfId="0" applyFont="1" applyFill="1" applyBorder="1" applyAlignment="1">
      <alignment horizontal="center" vertical="center"/>
    </xf>
    <xf numFmtId="0" fontId="136" fillId="0" borderId="0" xfId="24" applyFont="1" applyFill="1" applyBorder="1" applyAlignment="1">
      <alignment vertical="center"/>
    </xf>
    <xf numFmtId="0" fontId="137" fillId="0" borderId="85" xfId="10" applyFont="1" applyFill="1" applyBorder="1" applyAlignment="1">
      <alignment vertical="center"/>
    </xf>
    <xf numFmtId="41" fontId="136" fillId="7" borderId="108" xfId="6" applyFont="1" applyFill="1" applyBorder="1" applyAlignment="1">
      <alignment horizontal="center" vertical="center"/>
    </xf>
    <xf numFmtId="41" fontId="136" fillId="7" borderId="108" xfId="6" applyFont="1" applyFill="1" applyBorder="1" applyAlignment="1">
      <alignment horizontal="left" vertical="center" indent="1"/>
    </xf>
    <xf numFmtId="41" fontId="136" fillId="7" borderId="111" xfId="6" applyFont="1" applyFill="1" applyBorder="1" applyAlignment="1">
      <alignment horizontal="left" vertical="center" indent="1"/>
    </xf>
    <xf numFmtId="41" fontId="136" fillId="0" borderId="24" xfId="6" applyFont="1" applyFill="1" applyBorder="1" applyAlignment="1">
      <alignment vertical="center"/>
    </xf>
    <xf numFmtId="41" fontId="136" fillId="0" borderId="42" xfId="6" applyFont="1" applyFill="1" applyBorder="1" applyAlignment="1">
      <alignment vertical="center"/>
    </xf>
    <xf numFmtId="41" fontId="136" fillId="0" borderId="152" xfId="0" applyNumberFormat="1" applyFont="1" applyFill="1" applyBorder="1">
      <alignment vertical="center"/>
    </xf>
    <xf numFmtId="41" fontId="136" fillId="0" borderId="113" xfId="6" applyFont="1" applyFill="1" applyBorder="1" applyAlignment="1">
      <alignment vertical="center"/>
    </xf>
    <xf numFmtId="41" fontId="136" fillId="0" borderId="115" xfId="6" applyFont="1" applyFill="1" applyBorder="1" applyAlignment="1">
      <alignment vertical="center"/>
    </xf>
    <xf numFmtId="369" fontId="136" fillId="0" borderId="212" xfId="6" applyNumberFormat="1" applyFont="1" applyFill="1" applyBorder="1" applyAlignment="1">
      <alignment horizontal="center" vertical="center"/>
    </xf>
    <xf numFmtId="0" fontId="136" fillId="0" borderId="208" xfId="0" applyFont="1" applyFill="1" applyBorder="1" applyAlignment="1">
      <alignment horizontal="center" vertical="center"/>
    </xf>
    <xf numFmtId="0" fontId="136" fillId="0" borderId="0" xfId="5305" applyFont="1" applyFill="1" applyBorder="1" applyAlignment="1">
      <alignment horizontal="center" vertical="center"/>
    </xf>
    <xf numFmtId="266" fontId="136" fillId="0" borderId="0" xfId="5305" applyNumberFormat="1" applyFont="1" applyFill="1" applyBorder="1" applyAlignment="1">
      <alignment horizontal="center" vertical="center"/>
    </xf>
    <xf numFmtId="178" fontId="136" fillId="0" borderId="0" xfId="2" applyNumberFormat="1" applyFont="1" applyFill="1" applyBorder="1" applyAlignment="1">
      <alignment horizontal="center" vertical="center"/>
    </xf>
    <xf numFmtId="0" fontId="136" fillId="0" borderId="55" xfId="0" applyFont="1" applyFill="1" applyBorder="1" applyAlignment="1">
      <alignment horizontal="center" vertical="center"/>
    </xf>
    <xf numFmtId="185" fontId="136" fillId="0" borderId="42" xfId="6" applyNumberFormat="1" applyFont="1" applyFill="1" applyBorder="1" applyAlignment="1">
      <alignment vertical="center"/>
    </xf>
    <xf numFmtId="185" fontId="136" fillId="0" borderId="42" xfId="9" applyNumberFormat="1" applyFont="1" applyFill="1" applyBorder="1" applyAlignment="1">
      <alignment vertical="center"/>
    </xf>
    <xf numFmtId="185" fontId="136" fillId="0" borderId="46" xfId="9" applyNumberFormat="1" applyFont="1" applyFill="1" applyBorder="1" applyAlignment="1">
      <alignment vertical="center"/>
    </xf>
    <xf numFmtId="9" fontId="136" fillId="0" borderId="153" xfId="2" applyFont="1" applyFill="1" applyBorder="1" applyAlignment="1">
      <alignment horizontal="right" vertical="center"/>
    </xf>
    <xf numFmtId="9" fontId="136" fillId="0" borderId="154" xfId="2" applyFont="1" applyFill="1" applyBorder="1" applyAlignment="1">
      <alignment horizontal="right" vertical="center"/>
    </xf>
    <xf numFmtId="41" fontId="136" fillId="0" borderId="47" xfId="6" applyFont="1" applyFill="1" applyBorder="1" applyAlignment="1">
      <alignment vertical="center"/>
    </xf>
    <xf numFmtId="41" fontId="136" fillId="0" borderId="45" xfId="6" applyFont="1" applyFill="1" applyBorder="1" applyAlignment="1">
      <alignment vertical="center"/>
    </xf>
    <xf numFmtId="41" fontId="136" fillId="0" borderId="48" xfId="6" applyFont="1" applyFill="1" applyBorder="1" applyAlignment="1">
      <alignment vertical="center"/>
    </xf>
    <xf numFmtId="41" fontId="136" fillId="0" borderId="55" xfId="6" applyFont="1" applyFill="1" applyBorder="1" applyAlignment="1">
      <alignment horizontal="left" vertical="center"/>
    </xf>
    <xf numFmtId="41" fontId="136" fillId="0" borderId="52" xfId="6" applyFont="1" applyFill="1" applyBorder="1" applyAlignment="1">
      <alignment horizontal="left" vertical="center"/>
    </xf>
    <xf numFmtId="41" fontId="136" fillId="6" borderId="45" xfId="6" applyFont="1" applyFill="1" applyBorder="1" applyAlignment="1">
      <alignment horizontal="right" vertical="center"/>
    </xf>
    <xf numFmtId="184" fontId="136" fillId="0" borderId="3" xfId="6" applyNumberFormat="1" applyFont="1" applyFill="1" applyBorder="1" applyAlignment="1">
      <alignment vertical="center"/>
    </xf>
    <xf numFmtId="184" fontId="136" fillId="0" borderId="4" xfId="6" applyNumberFormat="1" applyFont="1" applyFill="1" applyBorder="1" applyAlignment="1">
      <alignment vertical="center"/>
    </xf>
    <xf numFmtId="184" fontId="136" fillId="0" borderId="2" xfId="6" applyNumberFormat="1" applyFont="1" applyFill="1" applyBorder="1" applyAlignment="1">
      <alignment vertical="center"/>
    </xf>
    <xf numFmtId="184" fontId="136" fillId="0" borderId="13" xfId="6" applyNumberFormat="1" applyFont="1" applyFill="1" applyBorder="1" applyAlignment="1">
      <alignment vertical="center"/>
    </xf>
    <xf numFmtId="184" fontId="136" fillId="0" borderId="55" xfId="6" applyNumberFormat="1" applyFont="1" applyFill="1" applyBorder="1" applyAlignment="1">
      <alignment vertical="center"/>
    </xf>
    <xf numFmtId="184" fontId="136" fillId="0" borderId="52" xfId="6" applyNumberFormat="1" applyFont="1" applyFill="1" applyBorder="1" applyAlignment="1">
      <alignment vertical="center"/>
    </xf>
    <xf numFmtId="185" fontId="136" fillId="0" borderId="13" xfId="6" applyNumberFormat="1" applyFont="1" applyFill="1" applyBorder="1" applyAlignment="1">
      <alignment vertical="center"/>
    </xf>
    <xf numFmtId="185" fontId="136" fillId="0" borderId="55" xfId="6" applyNumberFormat="1" applyFont="1" applyFill="1" applyBorder="1" applyAlignment="1">
      <alignment vertical="center"/>
    </xf>
    <xf numFmtId="185" fontId="136" fillId="0" borderId="55" xfId="9" applyNumberFormat="1" applyFont="1" applyFill="1" applyBorder="1" applyAlignment="1">
      <alignment vertical="center"/>
    </xf>
    <xf numFmtId="185" fontId="136" fillId="0" borderId="52" xfId="9" applyNumberFormat="1" applyFont="1" applyFill="1" applyBorder="1" applyAlignment="1">
      <alignment vertical="center"/>
    </xf>
    <xf numFmtId="41" fontId="136" fillId="0" borderId="2" xfId="6" applyFont="1" applyFill="1" applyBorder="1" applyAlignment="1">
      <alignment vertical="center"/>
    </xf>
    <xf numFmtId="41" fontId="136" fillId="0" borderId="3" xfId="6" applyFont="1" applyFill="1" applyBorder="1" applyAlignment="1">
      <alignment vertical="center"/>
    </xf>
    <xf numFmtId="41" fontId="136" fillId="0" borderId="4" xfId="6" applyFont="1" applyFill="1" applyBorder="1" applyAlignment="1">
      <alignment vertical="center"/>
    </xf>
    <xf numFmtId="41" fontId="136" fillId="6" borderId="48" xfId="6" applyFont="1" applyFill="1" applyBorder="1" applyAlignment="1">
      <alignment vertical="center"/>
    </xf>
    <xf numFmtId="41" fontId="136" fillId="2" borderId="13" xfId="6" applyFont="1" applyFill="1" applyBorder="1" applyAlignment="1">
      <alignment vertical="center"/>
    </xf>
    <xf numFmtId="41" fontId="136" fillId="2" borderId="55" xfId="6" applyFont="1" applyFill="1" applyBorder="1" applyAlignment="1">
      <alignment vertical="center"/>
    </xf>
    <xf numFmtId="41" fontId="136" fillId="2" borderId="52" xfId="6" applyFont="1" applyFill="1" applyBorder="1" applyAlignment="1">
      <alignment vertical="center"/>
    </xf>
    <xf numFmtId="239" fontId="136" fillId="0" borderId="13" xfId="5" applyNumberFormat="1" applyFont="1" applyFill="1" applyBorder="1" applyAlignment="1">
      <alignment horizontal="center" vertical="center"/>
    </xf>
    <xf numFmtId="239" fontId="136" fillId="0" borderId="55" xfId="5" applyNumberFormat="1" applyFont="1" applyFill="1" applyBorder="1" applyAlignment="1">
      <alignment horizontal="center" vertical="center"/>
    </xf>
    <xf numFmtId="239" fontId="136" fillId="0" borderId="2" xfId="0" applyNumberFormat="1" applyFont="1" applyFill="1" applyBorder="1" applyAlignment="1">
      <alignment vertical="center"/>
    </xf>
    <xf numFmtId="239" fontId="136" fillId="0" borderId="3" xfId="0" applyNumberFormat="1" applyFont="1" applyFill="1" applyBorder="1" applyAlignment="1">
      <alignment vertical="center"/>
    </xf>
    <xf numFmtId="195" fontId="136" fillId="0" borderId="2" xfId="6" applyNumberFormat="1" applyFont="1" applyFill="1" applyBorder="1" applyAlignment="1">
      <alignment vertical="center"/>
    </xf>
    <xf numFmtId="195" fontId="136" fillId="0" borderId="3" xfId="6" applyNumberFormat="1" applyFont="1" applyFill="1" applyBorder="1" applyAlignment="1">
      <alignment vertical="center"/>
    </xf>
    <xf numFmtId="195" fontId="136" fillId="0" borderId="4" xfId="6" applyNumberFormat="1" applyFont="1" applyFill="1" applyBorder="1" applyAlignment="1">
      <alignment vertical="center"/>
    </xf>
    <xf numFmtId="185" fontId="136" fillId="0" borderId="52" xfId="6" applyNumberFormat="1" applyFont="1" applyFill="1" applyBorder="1" applyAlignment="1">
      <alignment vertical="center"/>
    </xf>
    <xf numFmtId="41" fontId="136" fillId="6" borderId="55" xfId="6" applyFont="1" applyFill="1" applyBorder="1" applyAlignment="1">
      <alignment horizontal="left" vertical="center"/>
    </xf>
    <xf numFmtId="41" fontId="136" fillId="6" borderId="52" xfId="6" applyFont="1" applyFill="1" applyBorder="1" applyAlignment="1">
      <alignment horizontal="left" vertical="center"/>
    </xf>
    <xf numFmtId="10" fontId="136" fillId="6" borderId="13" xfId="2" applyNumberFormat="1" applyFont="1" applyFill="1" applyBorder="1" applyAlignment="1">
      <alignment horizontal="left" vertical="center"/>
    </xf>
    <xf numFmtId="10" fontId="136" fillId="6" borderId="55" xfId="2" applyNumberFormat="1" applyFont="1" applyFill="1" applyBorder="1" applyAlignment="1">
      <alignment horizontal="left" vertical="center"/>
    </xf>
    <xf numFmtId="10" fontId="136" fillId="6" borderId="52" xfId="2" applyNumberFormat="1" applyFont="1" applyFill="1" applyBorder="1" applyAlignment="1">
      <alignment horizontal="left" vertical="center"/>
    </xf>
    <xf numFmtId="41" fontId="136" fillId="8" borderId="45" xfId="6" applyFont="1" applyFill="1" applyBorder="1" applyAlignment="1">
      <alignment horizontal="left" vertical="center"/>
    </xf>
    <xf numFmtId="41" fontId="136" fillId="8" borderId="221" xfId="6" applyFont="1" applyFill="1" applyBorder="1" applyAlignment="1">
      <alignment vertical="center"/>
    </xf>
    <xf numFmtId="41" fontId="136" fillId="8" borderId="222" xfId="6" applyFont="1" applyFill="1" applyBorder="1" applyAlignment="1">
      <alignment vertical="center"/>
    </xf>
    <xf numFmtId="41" fontId="136" fillId="0" borderId="211" xfId="6" applyFont="1" applyBorder="1" applyAlignment="1">
      <alignment horizontal="center" vertical="center" wrapText="1"/>
    </xf>
    <xf numFmtId="0" fontId="136" fillId="6" borderId="55" xfId="0" applyFont="1" applyFill="1" applyBorder="1">
      <alignment vertical="center"/>
    </xf>
    <xf numFmtId="234" fontId="136" fillId="6" borderId="45" xfId="0" applyNumberFormat="1" applyFont="1" applyFill="1" applyBorder="1" applyAlignment="1">
      <alignment horizontal="center" vertical="center"/>
    </xf>
    <xf numFmtId="0" fontId="136" fillId="6" borderId="45" xfId="0" applyFont="1" applyFill="1" applyBorder="1" applyAlignment="1">
      <alignment horizontal="center" vertical="center"/>
    </xf>
    <xf numFmtId="231" fontId="136" fillId="6" borderId="45" xfId="0" applyNumberFormat="1" applyFont="1" applyFill="1" applyBorder="1" applyAlignment="1">
      <alignment horizontal="center" vertical="center"/>
    </xf>
    <xf numFmtId="233" fontId="136" fillId="6" borderId="45" xfId="0" applyNumberFormat="1" applyFont="1" applyFill="1" applyBorder="1" applyAlignment="1">
      <alignment horizontal="center" vertical="center"/>
    </xf>
    <xf numFmtId="178" fontId="136" fillId="6" borderId="45" xfId="2" applyNumberFormat="1" applyFont="1" applyFill="1" applyBorder="1" applyAlignment="1">
      <alignment horizontal="center" vertical="center"/>
    </xf>
    <xf numFmtId="179" fontId="136" fillId="6" borderId="47" xfId="6" applyNumberFormat="1" applyFont="1" applyFill="1" applyBorder="1" applyAlignment="1">
      <alignment vertical="center"/>
    </xf>
    <xf numFmtId="179" fontId="136" fillId="6" borderId="45" xfId="6" applyNumberFormat="1" applyFont="1" applyFill="1" applyBorder="1" applyAlignment="1">
      <alignment vertical="center"/>
    </xf>
    <xf numFmtId="179" fontId="136" fillId="6" borderId="48" xfId="6" applyNumberFormat="1" applyFont="1" applyFill="1" applyBorder="1" applyAlignment="1">
      <alignment vertical="center"/>
    </xf>
    <xf numFmtId="10" fontId="136" fillId="6" borderId="45" xfId="2" applyNumberFormat="1" applyFont="1" applyFill="1" applyBorder="1" applyAlignment="1">
      <alignment vertical="center"/>
    </xf>
    <xf numFmtId="10" fontId="136" fillId="6" borderId="48" xfId="2" applyNumberFormat="1" applyFont="1" applyFill="1" applyBorder="1" applyAlignment="1">
      <alignment vertical="center"/>
    </xf>
    <xf numFmtId="195" fontId="136" fillId="6" borderId="47" xfId="6" applyNumberFormat="1" applyFont="1" applyFill="1" applyBorder="1" applyAlignment="1">
      <alignment vertical="center"/>
    </xf>
    <xf numFmtId="195" fontId="136" fillId="6" borderId="45" xfId="6" applyNumberFormat="1" applyFont="1" applyFill="1" applyBorder="1" applyAlignment="1">
      <alignment vertical="center"/>
    </xf>
    <xf numFmtId="195" fontId="136" fillId="6" borderId="48" xfId="6" applyNumberFormat="1" applyFont="1" applyFill="1" applyBorder="1" applyAlignment="1">
      <alignment vertical="center"/>
    </xf>
    <xf numFmtId="179" fontId="136" fillId="0" borderId="13" xfId="6" applyNumberFormat="1" applyFont="1" applyFill="1" applyBorder="1" applyAlignment="1">
      <alignment horizontal="left" vertical="center"/>
    </xf>
    <xf numFmtId="179" fontId="136" fillId="0" borderId="55" xfId="6" applyNumberFormat="1" applyFont="1" applyFill="1" applyBorder="1" applyAlignment="1">
      <alignment horizontal="left" vertical="center"/>
    </xf>
    <xf numFmtId="179" fontId="136" fillId="0" borderId="52" xfId="6" applyNumberFormat="1" applyFont="1" applyFill="1" applyBorder="1" applyAlignment="1">
      <alignment horizontal="left" vertical="center"/>
    </xf>
    <xf numFmtId="178" fontId="136" fillId="0" borderId="13" xfId="6" applyNumberFormat="1" applyFont="1" applyFill="1" applyBorder="1" applyAlignment="1">
      <alignment horizontal="center" vertical="center"/>
    </xf>
    <xf numFmtId="178" fontId="136" fillId="0" borderId="52" xfId="6" applyNumberFormat="1" applyFont="1" applyFill="1" applyBorder="1" applyAlignment="1">
      <alignment horizontal="center" vertical="center"/>
    </xf>
    <xf numFmtId="41" fontId="136" fillId="0" borderId="156" xfId="5" applyFont="1" applyFill="1" applyBorder="1" applyAlignment="1">
      <alignment horizontal="right" vertical="center"/>
    </xf>
    <xf numFmtId="41" fontId="136" fillId="0" borderId="0" xfId="5305" applyNumberFormat="1" applyFont="1" applyFill="1" applyBorder="1" applyAlignment="1">
      <alignment horizontal="center" vertical="center"/>
    </xf>
    <xf numFmtId="41" fontId="136" fillId="0" borderId="240" xfId="5" applyFont="1" applyFill="1" applyBorder="1" applyAlignment="1">
      <alignment horizontal="center" vertical="center"/>
    </xf>
    <xf numFmtId="9" fontId="136" fillId="0" borderId="241" xfId="2" applyFont="1" applyFill="1" applyBorder="1" applyAlignment="1">
      <alignment horizontal="center" vertical="center"/>
    </xf>
    <xf numFmtId="41" fontId="136" fillId="0" borderId="242" xfId="5" applyFont="1" applyFill="1" applyBorder="1" applyAlignment="1">
      <alignment horizontal="center" vertical="center"/>
    </xf>
    <xf numFmtId="9" fontId="136" fillId="0" borderId="243" xfId="2" applyFont="1" applyBorder="1">
      <alignment vertical="center"/>
    </xf>
    <xf numFmtId="178" fontId="136" fillId="0" borderId="149" xfId="2" applyNumberFormat="1" applyFont="1" applyFill="1" applyBorder="1" applyAlignment="1">
      <alignment horizontal="center" vertical="center"/>
    </xf>
    <xf numFmtId="178" fontId="136" fillId="0" borderId="239" xfId="2" applyNumberFormat="1" applyFont="1" applyFill="1" applyBorder="1" applyAlignment="1">
      <alignment horizontal="center" vertical="center"/>
    </xf>
    <xf numFmtId="178" fontId="136" fillId="0" borderId="244" xfId="5" applyNumberFormat="1" applyFont="1" applyBorder="1">
      <alignment vertical="center"/>
    </xf>
    <xf numFmtId="0" fontId="136" fillId="7" borderId="210" xfId="9" applyFont="1" applyFill="1" applyBorder="1" applyAlignment="1">
      <alignment horizontal="center" vertical="center"/>
    </xf>
    <xf numFmtId="0" fontId="136" fillId="7" borderId="221" xfId="9" applyFont="1" applyFill="1" applyBorder="1" applyAlignment="1">
      <alignment horizontal="center" vertical="center"/>
    </xf>
    <xf numFmtId="0" fontId="136" fillId="7" borderId="222" xfId="9" applyFont="1" applyFill="1" applyBorder="1" applyAlignment="1">
      <alignment horizontal="center" vertical="center"/>
    </xf>
    <xf numFmtId="0" fontId="136" fillId="35" borderId="210" xfId="0" applyFont="1" applyFill="1" applyBorder="1" applyAlignment="1">
      <alignment horizontal="center" vertical="center"/>
    </xf>
    <xf numFmtId="0" fontId="136" fillId="35" borderId="221" xfId="0" applyFont="1" applyFill="1" applyBorder="1" applyAlignment="1">
      <alignment horizontal="center" vertical="center"/>
    </xf>
    <xf numFmtId="0" fontId="136" fillId="35" borderId="222" xfId="0" applyFont="1" applyFill="1" applyBorder="1" applyAlignment="1">
      <alignment horizontal="center" vertical="center"/>
    </xf>
    <xf numFmtId="0" fontId="136" fillId="7" borderId="8" xfId="9" applyFont="1" applyFill="1" applyBorder="1" applyAlignment="1">
      <alignment horizontal="center" vertical="center"/>
    </xf>
    <xf numFmtId="0" fontId="136" fillId="7" borderId="9" xfId="9" applyFont="1" applyFill="1" applyBorder="1" applyAlignment="1">
      <alignment horizontal="center" vertical="center"/>
    </xf>
    <xf numFmtId="0" fontId="136" fillId="7" borderId="12" xfId="9" applyFont="1" applyFill="1" applyBorder="1" applyAlignment="1">
      <alignment horizontal="center" vertical="center"/>
    </xf>
    <xf numFmtId="41" fontId="327" fillId="8" borderId="8" xfId="6" applyFont="1" applyFill="1" applyBorder="1" applyAlignment="1">
      <alignment horizontal="center" vertical="center"/>
    </xf>
    <xf numFmtId="41" fontId="327" fillId="8" borderId="9" xfId="6" applyFont="1" applyFill="1" applyBorder="1" applyAlignment="1">
      <alignment horizontal="center" vertical="center"/>
    </xf>
    <xf numFmtId="41" fontId="136" fillId="8" borderId="9" xfId="6" applyFont="1" applyFill="1" applyBorder="1" applyAlignment="1">
      <alignment vertical="center"/>
    </xf>
    <xf numFmtId="41" fontId="136" fillId="8" borderId="12" xfId="6" applyFont="1" applyFill="1" applyBorder="1" applyAlignment="1">
      <alignment vertical="center"/>
    </xf>
    <xf numFmtId="233" fontId="136" fillId="0" borderId="55" xfId="0" applyNumberFormat="1" applyFont="1" applyFill="1" applyBorder="1" applyAlignment="1">
      <alignment horizontal="center" vertical="center"/>
    </xf>
    <xf numFmtId="231" fontId="136" fillId="0" borderId="42" xfId="0" applyNumberFormat="1" applyFont="1" applyFill="1" applyBorder="1" applyAlignment="1">
      <alignment horizontal="center" vertical="center"/>
    </xf>
    <xf numFmtId="41" fontId="136" fillId="0" borderId="24" xfId="6" applyFont="1" applyFill="1" applyBorder="1" applyAlignment="1">
      <alignment horizontal="left" vertical="center"/>
    </xf>
    <xf numFmtId="41" fontId="136" fillId="0" borderId="42" xfId="6" applyFont="1" applyFill="1" applyBorder="1" applyAlignment="1">
      <alignment horizontal="left" vertical="center"/>
    </xf>
    <xf numFmtId="41" fontId="136" fillId="0" borderId="46" xfId="6" applyFont="1" applyFill="1" applyBorder="1" applyAlignment="1">
      <alignment horizontal="left" vertical="center"/>
    </xf>
    <xf numFmtId="41" fontId="136" fillId="0" borderId="25" xfId="6" applyFont="1" applyFill="1" applyBorder="1" applyAlignment="1">
      <alignment horizontal="left" vertical="center"/>
    </xf>
    <xf numFmtId="41" fontId="136" fillId="0" borderId="113" xfId="6" applyFont="1" applyFill="1" applyBorder="1" applyAlignment="1">
      <alignment horizontal="left" vertical="center"/>
    </xf>
    <xf numFmtId="41" fontId="136" fillId="0" borderId="115" xfId="6" applyFont="1" applyFill="1" applyBorder="1" applyAlignment="1">
      <alignment horizontal="left" vertical="center"/>
    </xf>
    <xf numFmtId="41" fontId="136" fillId="0" borderId="118" xfId="6" applyFont="1" applyFill="1" applyBorder="1" applyAlignment="1">
      <alignment horizontal="left" vertical="center"/>
    </xf>
    <xf numFmtId="236" fontId="136" fillId="0" borderId="24" xfId="5" applyNumberFormat="1" applyFont="1" applyFill="1" applyBorder="1" applyAlignment="1">
      <alignment horizontal="center" vertical="center"/>
    </xf>
    <xf numFmtId="236" fontId="136" fillId="0" borderId="42" xfId="5" applyNumberFormat="1" applyFont="1" applyFill="1" applyBorder="1" applyAlignment="1">
      <alignment horizontal="center" vertical="center"/>
    </xf>
    <xf numFmtId="10" fontId="136" fillId="0" borderId="0" xfId="2" applyNumberFormat="1" applyFont="1" applyFill="1" applyBorder="1" applyAlignment="1">
      <alignment horizontal="center" vertical="center"/>
    </xf>
    <xf numFmtId="178" fontId="136" fillId="0" borderId="55" xfId="2" applyNumberFormat="1" applyFont="1" applyFill="1" applyBorder="1" applyAlignment="1">
      <alignment horizontal="center" vertical="center"/>
    </xf>
    <xf numFmtId="41" fontId="136" fillId="0" borderId="218" xfId="6" applyFont="1" applyFill="1" applyBorder="1" applyAlignment="1">
      <alignment horizontal="center" vertical="center"/>
    </xf>
    <xf numFmtId="41" fontId="136" fillId="8" borderId="110" xfId="6" applyFont="1" applyFill="1" applyBorder="1" applyAlignment="1">
      <alignment horizontal="center" vertical="center"/>
    </xf>
    <xf numFmtId="41" fontId="136" fillId="0" borderId="208" xfId="6" applyFont="1" applyFill="1" applyBorder="1" applyAlignment="1">
      <alignment horizontal="center" vertical="center"/>
    </xf>
    <xf numFmtId="41" fontId="136" fillId="0" borderId="149" xfId="5" applyFont="1" applyFill="1" applyBorder="1" applyAlignment="1">
      <alignment horizontal="center" vertical="center"/>
    </xf>
    <xf numFmtId="41" fontId="136" fillId="0" borderId="150" xfId="5" applyFont="1" applyFill="1" applyBorder="1" applyAlignment="1">
      <alignment horizontal="center" vertical="center"/>
    </xf>
    <xf numFmtId="178" fontId="136" fillId="0" borderId="24" xfId="6" applyNumberFormat="1" applyFont="1" applyFill="1" applyBorder="1" applyAlignment="1">
      <alignment horizontal="right" vertical="center"/>
    </xf>
    <xf numFmtId="178" fontId="136" fillId="0" borderId="46" xfId="6" applyNumberFormat="1" applyFont="1" applyFill="1" applyBorder="1" applyAlignment="1">
      <alignment horizontal="right" vertical="center"/>
    </xf>
    <xf numFmtId="41" fontId="136" fillId="8" borderId="208" xfId="6" applyFont="1" applyFill="1" applyBorder="1" applyAlignment="1">
      <alignment horizontal="center" vertical="center"/>
    </xf>
    <xf numFmtId="41" fontId="136" fillId="7" borderId="110" xfId="6" applyFont="1" applyFill="1" applyBorder="1" applyAlignment="1">
      <alignment horizontal="center" vertical="center"/>
    </xf>
    <xf numFmtId="10" fontId="136" fillId="0" borderId="42" xfId="2" applyNumberFormat="1" applyFont="1" applyFill="1" applyBorder="1" applyAlignment="1">
      <alignment horizontal="center" vertical="center"/>
    </xf>
    <xf numFmtId="10" fontId="136" fillId="0" borderId="46" xfId="2" applyNumberFormat="1" applyFont="1" applyFill="1" applyBorder="1" applyAlignment="1">
      <alignment horizontal="center" vertical="center"/>
    </xf>
    <xf numFmtId="10" fontId="136" fillId="0" borderId="84" xfId="2" applyNumberFormat="1" applyFont="1" applyFill="1" applyBorder="1" applyAlignment="1">
      <alignment horizontal="center" vertical="center"/>
    </xf>
    <xf numFmtId="234" fontId="136" fillId="0" borderId="13" xfId="0" applyNumberFormat="1" applyFont="1" applyFill="1" applyBorder="1" applyAlignment="1">
      <alignment horizontal="center" vertical="center"/>
    </xf>
    <xf numFmtId="234" fontId="136" fillId="0" borderId="55" xfId="0" applyNumberFormat="1" applyFont="1" applyFill="1" applyBorder="1" applyAlignment="1">
      <alignment horizontal="center" vertical="center"/>
    </xf>
    <xf numFmtId="231" fontId="136" fillId="0" borderId="55" xfId="0" applyNumberFormat="1" applyFont="1" applyFill="1" applyBorder="1" applyAlignment="1">
      <alignment horizontal="center" vertical="center"/>
    </xf>
    <xf numFmtId="10" fontId="136" fillId="0" borderId="55" xfId="2" applyNumberFormat="1" applyFont="1" applyFill="1" applyBorder="1" applyAlignment="1">
      <alignment horizontal="center" vertical="center"/>
    </xf>
    <xf numFmtId="10" fontId="136" fillId="0" borderId="52" xfId="2" applyNumberFormat="1" applyFont="1" applyFill="1" applyBorder="1" applyAlignment="1">
      <alignment horizontal="center" vertical="center"/>
    </xf>
    <xf numFmtId="237" fontId="136" fillId="0" borderId="42" xfId="0" applyNumberFormat="1" applyFont="1" applyFill="1" applyBorder="1" applyAlignment="1">
      <alignment horizontal="center" vertical="center"/>
    </xf>
    <xf numFmtId="41" fontId="136" fillId="6" borderId="45" xfId="6" applyFont="1" applyFill="1" applyBorder="1" applyAlignment="1">
      <alignment horizontal="left" vertical="center"/>
    </xf>
    <xf numFmtId="41" fontId="136" fillId="6" borderId="48" xfId="6" applyFont="1" applyFill="1" applyBorder="1" applyAlignment="1">
      <alignment horizontal="left" vertical="center"/>
    </xf>
    <xf numFmtId="9" fontId="136" fillId="0" borderId="84" xfId="597" applyNumberFormat="1" applyFont="1" applyFill="1" applyBorder="1" applyAlignment="1">
      <alignment horizontal="center" vertical="center"/>
    </xf>
    <xf numFmtId="239" fontId="136" fillId="0" borderId="24" xfId="5" applyNumberFormat="1" applyFont="1" applyFill="1" applyBorder="1" applyAlignment="1">
      <alignment horizontal="center" vertical="center"/>
    </xf>
    <xf numFmtId="239" fontId="136" fillId="0" borderId="42" xfId="5" applyNumberFormat="1" applyFont="1" applyFill="1" applyBorder="1" applyAlignment="1">
      <alignment horizontal="center" vertical="center"/>
    </xf>
    <xf numFmtId="10" fontId="136" fillId="2" borderId="3" xfId="2" applyNumberFormat="1" applyFont="1" applyFill="1" applyBorder="1" applyAlignment="1">
      <alignment horizontal="center" vertical="center"/>
    </xf>
    <xf numFmtId="41" fontId="136" fillId="8" borderId="45" xfId="6" applyFont="1" applyFill="1" applyBorder="1" applyAlignment="1">
      <alignment horizontal="center" vertical="center"/>
    </xf>
    <xf numFmtId="41" fontId="136" fillId="6" borderId="55" xfId="6" applyFont="1" applyFill="1" applyBorder="1" applyAlignment="1">
      <alignment horizontal="center" vertical="center"/>
    </xf>
    <xf numFmtId="41" fontId="136" fillId="6" borderId="52" xfId="6" applyFont="1" applyFill="1" applyBorder="1" applyAlignment="1">
      <alignment horizontal="center" vertical="center"/>
    </xf>
    <xf numFmtId="10" fontId="136" fillId="8" borderId="221" xfId="2" applyNumberFormat="1" applyFont="1" applyFill="1" applyBorder="1" applyAlignment="1">
      <alignment horizontal="right" vertical="center"/>
    </xf>
    <xf numFmtId="178" fontId="136" fillId="0" borderId="2" xfId="6" applyNumberFormat="1" applyFont="1" applyFill="1" applyBorder="1" applyAlignment="1">
      <alignment horizontal="right" vertical="center"/>
    </xf>
    <xf numFmtId="178" fontId="136" fillId="0" borderId="4" xfId="6" applyNumberFormat="1" applyFont="1" applyFill="1" applyBorder="1" applyAlignment="1">
      <alignment horizontal="right" vertical="center"/>
    </xf>
    <xf numFmtId="41" fontId="136" fillId="6" borderId="47" xfId="6" applyFont="1" applyFill="1" applyBorder="1" applyAlignment="1">
      <alignment vertical="center"/>
    </xf>
    <xf numFmtId="41" fontId="136" fillId="6" borderId="45" xfId="6" applyFont="1" applyFill="1" applyBorder="1" applyAlignment="1">
      <alignment vertical="center"/>
    </xf>
    <xf numFmtId="41" fontId="136" fillId="6" borderId="45" xfId="6" applyFont="1" applyFill="1" applyBorder="1" applyAlignment="1">
      <alignment horizontal="center" vertical="center"/>
    </xf>
    <xf numFmtId="188" fontId="137" fillId="8" borderId="117" xfId="6" applyNumberFormat="1" applyFont="1" applyFill="1" applyBorder="1" applyAlignment="1">
      <alignment horizontal="center" vertical="center"/>
    </xf>
    <xf numFmtId="41" fontId="136" fillId="0" borderId="59" xfId="6" applyFont="1" applyFill="1" applyBorder="1" applyAlignment="1">
      <alignment horizontal="center" vertical="center"/>
    </xf>
    <xf numFmtId="0" fontId="136" fillId="2" borderId="42" xfId="9" applyFont="1" applyFill="1" applyBorder="1" applyAlignment="1">
      <alignment horizontal="center" vertical="center"/>
    </xf>
    <xf numFmtId="41" fontId="136" fillId="0" borderId="114" xfId="6" applyFont="1" applyFill="1" applyBorder="1" applyAlignment="1">
      <alignment horizontal="left" vertical="center"/>
    </xf>
    <xf numFmtId="41" fontId="136" fillId="0" borderId="13" xfId="6" applyFont="1" applyFill="1" applyBorder="1" applyAlignment="1">
      <alignment horizontal="left" vertical="center"/>
    </xf>
    <xf numFmtId="183" fontId="136" fillId="0" borderId="55" xfId="10" applyNumberFormat="1" applyFont="1" applyBorder="1">
      <alignment vertical="center"/>
    </xf>
    <xf numFmtId="178" fontId="136" fillId="2" borderId="13" xfId="4" applyNumberFormat="1" applyFont="1" applyFill="1" applyBorder="1" applyAlignment="1" applyProtection="1">
      <alignment horizontal="right" vertical="center"/>
    </xf>
    <xf numFmtId="178" fontId="136" fillId="2" borderId="55" xfId="4" applyNumberFormat="1" applyFont="1" applyFill="1" applyBorder="1" applyAlignment="1" applyProtection="1">
      <alignment horizontal="right" vertical="center"/>
    </xf>
    <xf numFmtId="178" fontId="136" fillId="2" borderId="52" xfId="4" applyNumberFormat="1" applyFont="1" applyFill="1" applyBorder="1" applyAlignment="1" applyProtection="1">
      <alignment horizontal="right" vertical="center"/>
    </xf>
    <xf numFmtId="43" fontId="136" fillId="0" borderId="2" xfId="5" applyNumberFormat="1" applyFont="1" applyFill="1" applyBorder="1" applyAlignment="1">
      <alignment vertical="center"/>
    </xf>
    <xf numFmtId="41" fontId="136" fillId="0" borderId="3" xfId="5" applyFont="1" applyFill="1" applyBorder="1" applyAlignment="1">
      <alignment vertical="center"/>
    </xf>
    <xf numFmtId="41" fontId="136" fillId="0" borderId="4" xfId="5" applyFont="1" applyFill="1" applyBorder="1" applyAlignment="1">
      <alignment horizontal="right" vertical="center"/>
    </xf>
    <xf numFmtId="41" fontId="136" fillId="5" borderId="42" xfId="6" applyFont="1" applyFill="1" applyBorder="1" applyAlignment="1">
      <alignment horizontal="left" vertical="center"/>
    </xf>
    <xf numFmtId="41" fontId="136" fillId="5" borderId="24" xfId="6" applyFont="1" applyFill="1" applyBorder="1" applyAlignment="1">
      <alignment horizontal="left" vertical="center"/>
    </xf>
    <xf numFmtId="41" fontId="136" fillId="5" borderId="25" xfId="6" applyFont="1" applyFill="1" applyBorder="1" applyAlignment="1">
      <alignment horizontal="left" vertical="center"/>
    </xf>
    <xf numFmtId="41" fontId="136" fillId="5" borderId="46" xfId="6" applyFont="1" applyFill="1" applyBorder="1" applyAlignment="1">
      <alignment horizontal="left" vertical="center"/>
    </xf>
    <xf numFmtId="41" fontId="136" fillId="5" borderId="113" xfId="6" applyFont="1" applyFill="1" applyBorder="1" applyAlignment="1">
      <alignment horizontal="left" vertical="center"/>
    </xf>
    <xf numFmtId="41" fontId="136" fillId="5" borderId="115" xfId="6" applyFont="1" applyFill="1" applyBorder="1" applyAlignment="1">
      <alignment horizontal="left" vertical="center"/>
    </xf>
    <xf numFmtId="41" fontId="136" fillId="5" borderId="114" xfId="6" applyFont="1" applyFill="1" applyBorder="1" applyAlignment="1">
      <alignment horizontal="left" vertical="center"/>
    </xf>
    <xf numFmtId="41" fontId="136" fillId="5" borderId="47" xfId="6" applyFont="1" applyFill="1" applyBorder="1" applyAlignment="1">
      <alignment horizontal="left" vertical="center"/>
    </xf>
    <xf numFmtId="41" fontId="136" fillId="5" borderId="45" xfId="6" applyFont="1" applyFill="1" applyBorder="1" applyAlignment="1">
      <alignment horizontal="left" vertical="center"/>
    </xf>
    <xf numFmtId="41" fontId="136" fillId="5" borderId="48" xfId="6" applyFont="1" applyFill="1" applyBorder="1" applyAlignment="1">
      <alignment horizontal="left" vertical="center"/>
    </xf>
    <xf numFmtId="41" fontId="136" fillId="5" borderId="113" xfId="6" applyFont="1" applyFill="1" applyBorder="1" applyAlignment="1">
      <alignment vertical="center"/>
    </xf>
    <xf numFmtId="41" fontId="136" fillId="5" borderId="115" xfId="6" applyFont="1" applyFill="1" applyBorder="1" applyAlignment="1">
      <alignment vertical="center"/>
    </xf>
    <xf numFmtId="41" fontId="136" fillId="5" borderId="114" xfId="6" applyFont="1" applyFill="1" applyBorder="1" applyAlignment="1">
      <alignment vertical="center"/>
    </xf>
    <xf numFmtId="41" fontId="136" fillId="5" borderId="24" xfId="6" applyFont="1" applyFill="1" applyBorder="1" applyAlignment="1">
      <alignment vertical="center"/>
    </xf>
    <xf numFmtId="41" fontId="136" fillId="5" borderId="42" xfId="6" applyFont="1" applyFill="1" applyBorder="1" applyAlignment="1">
      <alignment vertical="center"/>
    </xf>
    <xf numFmtId="41" fontId="136" fillId="5" borderId="46" xfId="6" applyFont="1" applyFill="1" applyBorder="1" applyAlignment="1">
      <alignment vertical="center"/>
    </xf>
    <xf numFmtId="178" fontId="136" fillId="0" borderId="42" xfId="2" applyNumberFormat="1" applyFont="1" applyFill="1" applyBorder="1" applyAlignment="1">
      <alignment horizontal="center" vertical="center"/>
    </xf>
    <xf numFmtId="178" fontId="136" fillId="0" borderId="46" xfId="2" applyNumberFormat="1" applyFont="1" applyFill="1" applyBorder="1" applyAlignment="1">
      <alignment horizontal="center" vertical="center"/>
    </xf>
    <xf numFmtId="41" fontId="326" fillId="0" borderId="15" xfId="6" applyFont="1" applyFill="1" applyBorder="1" applyAlignment="1">
      <alignment horizontal="center" vertical="center"/>
    </xf>
    <xf numFmtId="41" fontId="326" fillId="0" borderId="23" xfId="6" applyFont="1" applyFill="1" applyBorder="1" applyAlignment="1">
      <alignment horizontal="center" vertical="center"/>
    </xf>
    <xf numFmtId="41" fontId="136" fillId="0" borderId="15" xfId="6" applyFont="1" applyFill="1" applyBorder="1" applyAlignment="1">
      <alignment horizontal="right" vertical="center"/>
    </xf>
    <xf numFmtId="41" fontId="136" fillId="0" borderId="23" xfId="6" applyFont="1" applyFill="1" applyBorder="1" applyAlignment="1">
      <alignment horizontal="right" vertical="center"/>
    </xf>
    <xf numFmtId="41" fontId="326" fillId="0" borderId="16" xfId="6" applyFont="1" applyFill="1" applyBorder="1" applyAlignment="1">
      <alignment horizontal="right" vertical="center"/>
    </xf>
    <xf numFmtId="41" fontId="326" fillId="0" borderId="17" xfId="6" applyFont="1" applyFill="1" applyBorder="1" applyAlignment="1">
      <alignment horizontal="right" vertical="center"/>
    </xf>
    <xf numFmtId="10" fontId="136" fillId="2" borderId="42" xfId="2" applyNumberFormat="1" applyFont="1" applyFill="1" applyBorder="1" applyAlignment="1">
      <alignment horizontal="center" vertical="center"/>
    </xf>
    <xf numFmtId="10" fontId="136" fillId="2" borderId="46" xfId="2" applyNumberFormat="1" applyFont="1" applyFill="1" applyBorder="1" applyAlignment="1">
      <alignment horizontal="center" vertical="center"/>
    </xf>
    <xf numFmtId="231" fontId="136" fillId="0" borderId="42" xfId="0" applyNumberFormat="1" applyFont="1" applyFill="1" applyBorder="1" applyAlignment="1">
      <alignment horizontal="center" vertical="center"/>
    </xf>
    <xf numFmtId="41" fontId="326" fillId="0" borderId="24" xfId="6" applyFont="1" applyFill="1" applyBorder="1" applyAlignment="1">
      <alignment horizontal="right" vertical="center"/>
    </xf>
    <xf numFmtId="41" fontId="326" fillId="0" borderId="42" xfId="6" applyFont="1" applyFill="1" applyBorder="1" applyAlignment="1">
      <alignment horizontal="right" vertical="center"/>
    </xf>
    <xf numFmtId="41" fontId="326" fillId="0" borderId="46" xfId="6" applyFont="1" applyFill="1" applyBorder="1" applyAlignment="1">
      <alignment horizontal="right" vertical="center"/>
    </xf>
    <xf numFmtId="41" fontId="136" fillId="0" borderId="24" xfId="6" applyFont="1" applyFill="1" applyBorder="1" applyAlignment="1">
      <alignment horizontal="right" vertical="center"/>
    </xf>
    <xf numFmtId="41" fontId="136" fillId="0" borderId="42" xfId="6" applyFont="1" applyFill="1" applyBorder="1" applyAlignment="1">
      <alignment horizontal="right" vertical="center"/>
    </xf>
    <xf numFmtId="41" fontId="136" fillId="0" borderId="46" xfId="6" applyFont="1" applyFill="1" applyBorder="1" applyAlignment="1">
      <alignment horizontal="right" vertical="center"/>
    </xf>
    <xf numFmtId="10" fontId="136" fillId="0" borderId="24" xfId="0" applyNumberFormat="1" applyFont="1" applyFill="1" applyBorder="1" applyAlignment="1">
      <alignment horizontal="center" vertical="center"/>
    </xf>
    <xf numFmtId="10" fontId="136" fillId="0" borderId="42" xfId="0" applyNumberFormat="1" applyFont="1" applyFill="1" applyBorder="1" applyAlignment="1">
      <alignment horizontal="center" vertical="center"/>
    </xf>
    <xf numFmtId="41" fontId="136" fillId="6" borderId="47" xfId="6" applyFont="1" applyFill="1" applyBorder="1" applyAlignment="1">
      <alignment horizontal="center" vertical="center"/>
    </xf>
    <xf numFmtId="41" fontId="136" fillId="6" borderId="45" xfId="6" applyFont="1" applyFill="1" applyBorder="1" applyAlignment="1">
      <alignment horizontal="center" vertical="center"/>
    </xf>
    <xf numFmtId="41" fontId="136" fillId="6" borderId="48" xfId="6" applyFont="1" applyFill="1" applyBorder="1" applyAlignment="1">
      <alignment horizontal="center" vertical="center"/>
    </xf>
    <xf numFmtId="41" fontId="136" fillId="0" borderId="16" xfId="6" applyFont="1" applyFill="1" applyBorder="1" applyAlignment="1">
      <alignment horizontal="center" vertical="center"/>
    </xf>
    <xf numFmtId="41" fontId="136" fillId="0" borderId="17" xfId="6" applyFont="1" applyFill="1" applyBorder="1" applyAlignment="1">
      <alignment horizontal="center" vertical="center"/>
    </xf>
    <xf numFmtId="41" fontId="136" fillId="6" borderId="13" xfId="6" applyFont="1" applyFill="1" applyBorder="1" applyAlignment="1">
      <alignment horizontal="center" vertical="center"/>
    </xf>
    <xf numFmtId="41" fontId="136" fillId="6" borderId="55" xfId="6" applyFont="1" applyFill="1" applyBorder="1" applyAlignment="1">
      <alignment horizontal="center" vertical="center"/>
    </xf>
    <xf numFmtId="41" fontId="136" fillId="6" borderId="52" xfId="6" applyFont="1" applyFill="1" applyBorder="1" applyAlignment="1">
      <alignment horizontal="center" vertical="center"/>
    </xf>
    <xf numFmtId="41" fontId="326" fillId="0" borderId="13" xfId="6" applyFont="1" applyFill="1" applyBorder="1" applyAlignment="1">
      <alignment horizontal="center" vertical="center"/>
    </xf>
    <xf numFmtId="41" fontId="326" fillId="0" borderId="55" xfId="6" applyFont="1" applyFill="1" applyBorder="1" applyAlignment="1">
      <alignment horizontal="center" vertical="center"/>
    </xf>
    <xf numFmtId="41" fontId="326" fillId="0" borderId="52" xfId="6" applyFont="1" applyFill="1" applyBorder="1" applyAlignment="1">
      <alignment horizontal="center" vertical="center"/>
    </xf>
    <xf numFmtId="41" fontId="326" fillId="0" borderId="81" xfId="6" applyFont="1" applyFill="1" applyBorder="1" applyAlignment="1">
      <alignment horizontal="center" vertical="center"/>
    </xf>
    <xf numFmtId="41" fontId="326" fillId="0" borderId="82" xfId="6" applyFont="1" applyFill="1" applyBorder="1" applyAlignment="1">
      <alignment horizontal="center" vertical="center"/>
    </xf>
    <xf numFmtId="9" fontId="136" fillId="0" borderId="24" xfId="2" applyFont="1" applyFill="1" applyBorder="1" applyAlignment="1">
      <alignment horizontal="center" vertical="center"/>
    </xf>
    <xf numFmtId="9" fontId="136" fillId="0" borderId="42" xfId="2" applyFont="1" applyFill="1" applyBorder="1" applyAlignment="1">
      <alignment horizontal="center" vertical="center"/>
    </xf>
    <xf numFmtId="233" fontId="136" fillId="0" borderId="3" xfId="0" applyNumberFormat="1" applyFont="1" applyFill="1" applyBorder="1" applyAlignment="1">
      <alignment horizontal="center" vertical="center"/>
    </xf>
    <xf numFmtId="233" fontId="136" fillId="0" borderId="42" xfId="0" applyNumberFormat="1" applyFont="1" applyFill="1" applyBorder="1" applyAlignment="1">
      <alignment horizontal="center" vertical="center"/>
    </xf>
    <xf numFmtId="41" fontId="136" fillId="0" borderId="24" xfId="5" applyFont="1" applyFill="1" applyBorder="1" applyAlignment="1">
      <alignment horizontal="center" vertical="center"/>
    </xf>
    <xf numFmtId="41" fontId="136" fillId="0" borderId="42" xfId="5" applyFont="1" applyFill="1" applyBorder="1" applyAlignment="1">
      <alignment horizontal="center" vertical="center"/>
    </xf>
    <xf numFmtId="41" fontId="136" fillId="0" borderId="46" xfId="5" applyFont="1" applyFill="1" applyBorder="1" applyAlignment="1">
      <alignment horizontal="center" vertical="center"/>
    </xf>
    <xf numFmtId="41" fontId="136" fillId="0" borderId="206" xfId="6" applyFont="1" applyBorder="1" applyAlignment="1">
      <alignment horizontal="center" vertical="center"/>
    </xf>
    <xf numFmtId="41" fontId="136" fillId="0" borderId="209" xfId="6" applyFont="1" applyBorder="1" applyAlignment="1">
      <alignment horizontal="center" vertical="center"/>
    </xf>
    <xf numFmtId="41" fontId="136" fillId="0" borderId="6" xfId="6" applyFont="1" applyBorder="1" applyAlignment="1">
      <alignment horizontal="center" vertical="center"/>
    </xf>
    <xf numFmtId="41" fontId="136" fillId="0" borderId="5" xfId="6" applyFont="1" applyBorder="1" applyAlignment="1">
      <alignment horizontal="center" vertical="center"/>
    </xf>
    <xf numFmtId="41" fontId="136" fillId="0" borderId="8" xfId="6" applyFont="1" applyBorder="1" applyAlignment="1">
      <alignment horizontal="center" vertical="center"/>
    </xf>
    <xf numFmtId="41" fontId="136" fillId="0" borderId="12" xfId="6" applyFont="1" applyBorder="1" applyAlignment="1">
      <alignment horizontal="center" vertical="center"/>
    </xf>
    <xf numFmtId="41" fontId="136" fillId="0" borderId="15" xfId="6" applyFont="1" applyFill="1" applyBorder="1" applyAlignment="1">
      <alignment horizontal="center" vertical="center"/>
    </xf>
    <xf numFmtId="41" fontId="136" fillId="0" borderId="23" xfId="6" applyFont="1" applyFill="1" applyBorder="1" applyAlignment="1">
      <alignment horizontal="center" vertical="center"/>
    </xf>
    <xf numFmtId="41" fontId="136" fillId="0" borderId="16" xfId="6" applyFont="1" applyFill="1" applyBorder="1" applyAlignment="1">
      <alignment horizontal="right" vertical="center"/>
    </xf>
    <xf numFmtId="41" fontId="136" fillId="0" borderId="17" xfId="6" applyFont="1" applyFill="1" applyBorder="1" applyAlignment="1">
      <alignment horizontal="right" vertical="center"/>
    </xf>
    <xf numFmtId="41" fontId="136" fillId="0" borderId="2" xfId="5" applyFont="1" applyFill="1" applyBorder="1" applyAlignment="1">
      <alignment horizontal="center" vertical="center"/>
    </xf>
    <xf numFmtId="41" fontId="136" fillId="0" borderId="3" xfId="5" applyFont="1" applyFill="1" applyBorder="1" applyAlignment="1">
      <alignment horizontal="center" vertical="center"/>
    </xf>
    <xf numFmtId="41" fontId="136" fillId="0" borderId="4" xfId="5" applyFont="1" applyFill="1" applyBorder="1" applyAlignment="1">
      <alignment horizontal="center" vertical="center"/>
    </xf>
    <xf numFmtId="41" fontId="136" fillId="0" borderId="24" xfId="6" applyFont="1" applyFill="1" applyBorder="1" applyAlignment="1">
      <alignment horizontal="left" vertical="center"/>
    </xf>
    <xf numFmtId="41" fontId="136" fillId="0" borderId="42" xfId="6" applyFont="1" applyFill="1" applyBorder="1" applyAlignment="1">
      <alignment horizontal="left" vertical="center"/>
    </xf>
    <xf numFmtId="41" fontId="136" fillId="0" borderId="46" xfId="6" applyFont="1" applyFill="1" applyBorder="1" applyAlignment="1">
      <alignment horizontal="left" vertical="center"/>
    </xf>
    <xf numFmtId="41" fontId="136" fillId="0" borderId="113" xfId="6" applyFont="1" applyFill="1" applyBorder="1" applyAlignment="1">
      <alignment horizontal="left" vertical="center"/>
    </xf>
    <xf numFmtId="41" fontId="136" fillId="0" borderId="115" xfId="6" applyFont="1" applyFill="1" applyBorder="1" applyAlignment="1">
      <alignment horizontal="left" vertical="center"/>
    </xf>
    <xf numFmtId="41" fontId="136" fillId="0" borderId="114" xfId="6" applyFont="1" applyFill="1" applyBorder="1" applyAlignment="1">
      <alignment horizontal="left" vertical="center"/>
    </xf>
    <xf numFmtId="41" fontId="136" fillId="6" borderId="47" xfId="5" applyFont="1" applyFill="1" applyBorder="1" applyAlignment="1">
      <alignment horizontal="center" vertical="center"/>
    </xf>
    <xf numFmtId="41" fontId="136" fillId="6" borderId="45" xfId="5" applyFont="1" applyFill="1" applyBorder="1" applyAlignment="1">
      <alignment horizontal="center" vertical="center"/>
    </xf>
    <xf numFmtId="41" fontId="136" fillId="6" borderId="48" xfId="5" applyFont="1" applyFill="1" applyBorder="1" applyAlignment="1">
      <alignment horizontal="center" vertical="center"/>
    </xf>
    <xf numFmtId="41" fontId="136" fillId="0" borderId="24" xfId="6" applyFont="1" applyFill="1" applyBorder="1" applyAlignment="1">
      <alignment horizontal="center" vertical="center"/>
    </xf>
    <xf numFmtId="41" fontId="136" fillId="0" borderId="42" xfId="6" applyFont="1" applyFill="1" applyBorder="1" applyAlignment="1">
      <alignment horizontal="center" vertical="center"/>
    </xf>
    <xf numFmtId="41" fontId="136" fillId="0" borderId="46" xfId="6" applyFont="1" applyFill="1" applyBorder="1" applyAlignment="1">
      <alignment horizontal="center" vertical="center"/>
    </xf>
    <xf numFmtId="41" fontId="136" fillId="0" borderId="25" xfId="6" applyFont="1" applyFill="1" applyBorder="1" applyAlignment="1">
      <alignment horizontal="left" vertical="center"/>
    </xf>
    <xf numFmtId="10" fontId="136" fillId="0" borderId="42" xfId="2" applyNumberFormat="1" applyFont="1" applyFill="1" applyBorder="1" applyAlignment="1">
      <alignment horizontal="center" vertical="center"/>
    </xf>
    <xf numFmtId="10" fontId="136" fillId="0" borderId="46" xfId="2" applyNumberFormat="1" applyFont="1" applyFill="1" applyBorder="1" applyAlignment="1">
      <alignment horizontal="center" vertical="center"/>
    </xf>
    <xf numFmtId="238" fontId="136" fillId="0" borderId="115" xfId="2" applyNumberFormat="1" applyFont="1" applyFill="1" applyBorder="1" applyAlignment="1">
      <alignment horizontal="center" vertical="center"/>
    </xf>
    <xf numFmtId="238" fontId="136" fillId="0" borderId="114" xfId="2" applyNumberFormat="1" applyFont="1" applyFill="1" applyBorder="1" applyAlignment="1">
      <alignment horizontal="center" vertical="center"/>
    </xf>
    <xf numFmtId="269" fontId="136" fillId="0" borderId="2" xfId="0" applyNumberFormat="1" applyFont="1" applyFill="1" applyBorder="1" applyAlignment="1">
      <alignment horizontal="center" vertical="center"/>
    </xf>
    <xf numFmtId="269" fontId="136" fillId="0" borderId="3" xfId="0" applyNumberFormat="1" applyFont="1" applyFill="1" applyBorder="1" applyAlignment="1">
      <alignment horizontal="center" vertical="center"/>
    </xf>
    <xf numFmtId="231" fontId="136" fillId="0" borderId="46" xfId="0" applyNumberFormat="1" applyFont="1" applyFill="1" applyBorder="1" applyAlignment="1">
      <alignment horizontal="center" vertical="center"/>
    </xf>
    <xf numFmtId="238" fontId="136" fillId="0" borderId="42" xfId="2" applyNumberFormat="1" applyFont="1" applyFill="1" applyBorder="1" applyAlignment="1">
      <alignment horizontal="center" vertical="center"/>
    </xf>
    <xf numFmtId="238" fontId="136" fillId="0" borderId="46" xfId="2" applyNumberFormat="1" applyFont="1" applyFill="1" applyBorder="1" applyAlignment="1">
      <alignment horizontal="center" vertical="center"/>
    </xf>
    <xf numFmtId="238" fontId="136" fillId="0" borderId="3" xfId="2" applyNumberFormat="1" applyFont="1" applyFill="1" applyBorder="1" applyAlignment="1">
      <alignment horizontal="center" vertical="center"/>
    </xf>
    <xf numFmtId="238" fontId="136" fillId="0" borderId="4" xfId="2" applyNumberFormat="1" applyFont="1" applyFill="1" applyBorder="1" applyAlignment="1">
      <alignment horizontal="center" vertical="center"/>
    </xf>
    <xf numFmtId="232" fontId="136" fillId="0" borderId="42" xfId="0" applyNumberFormat="1" applyFont="1" applyFill="1" applyBorder="1" applyAlignment="1">
      <alignment horizontal="center" vertical="center"/>
    </xf>
    <xf numFmtId="234" fontId="136" fillId="0" borderId="24" xfId="0" applyNumberFormat="1" applyFont="1" applyFill="1" applyBorder="1" applyAlignment="1">
      <alignment horizontal="center" vertical="center"/>
    </xf>
    <xf numFmtId="234" fontId="136" fillId="0" borderId="42" xfId="0" applyNumberFormat="1" applyFont="1" applyFill="1" applyBorder="1" applyAlignment="1">
      <alignment horizontal="center" vertical="center"/>
    </xf>
    <xf numFmtId="41" fontId="136" fillId="0" borderId="20" xfId="6" applyFont="1" applyFill="1" applyBorder="1" applyAlignment="1">
      <alignment horizontal="center" vertical="center"/>
    </xf>
    <xf numFmtId="41" fontId="136" fillId="0" borderId="22" xfId="6" applyFont="1" applyFill="1" applyBorder="1" applyAlignment="1">
      <alignment horizontal="center" vertical="center"/>
    </xf>
    <xf numFmtId="178" fontId="136" fillId="0" borderId="3" xfId="2" applyNumberFormat="1" applyFont="1" applyFill="1" applyBorder="1" applyAlignment="1">
      <alignment horizontal="center" vertical="center"/>
    </xf>
    <xf numFmtId="178" fontId="136" fillId="0" borderId="4" xfId="2" applyNumberFormat="1" applyFont="1" applyFill="1" applyBorder="1" applyAlignment="1">
      <alignment horizontal="center" vertical="center"/>
    </xf>
    <xf numFmtId="41" fontId="326" fillId="0" borderId="2" xfId="6" applyFont="1" applyFill="1" applyBorder="1" applyAlignment="1">
      <alignment horizontal="center" vertical="center"/>
    </xf>
    <xf numFmtId="41" fontId="326" fillId="0" borderId="3" xfId="6" applyFont="1" applyFill="1" applyBorder="1" applyAlignment="1">
      <alignment horizontal="center" vertical="center"/>
    </xf>
    <xf numFmtId="41" fontId="326" fillId="0" borderId="4" xfId="6" applyFont="1" applyFill="1" applyBorder="1" applyAlignment="1">
      <alignment horizontal="center" vertical="center"/>
    </xf>
    <xf numFmtId="41" fontId="136" fillId="0" borderId="13" xfId="6" applyFont="1" applyFill="1" applyBorder="1" applyAlignment="1">
      <alignment horizontal="center" vertical="center"/>
    </xf>
    <xf numFmtId="41" fontId="136" fillId="0" borderId="55" xfId="6" applyFont="1" applyFill="1" applyBorder="1" applyAlignment="1">
      <alignment horizontal="center" vertical="center"/>
    </xf>
    <xf numFmtId="41" fontId="136" fillId="0" borderId="52" xfId="6" applyFont="1" applyFill="1" applyBorder="1" applyAlignment="1">
      <alignment horizontal="center" vertical="center"/>
    </xf>
    <xf numFmtId="231" fontId="136" fillId="0" borderId="55" xfId="0" applyNumberFormat="1" applyFont="1" applyFill="1" applyBorder="1" applyAlignment="1">
      <alignment horizontal="center" vertical="center"/>
    </xf>
    <xf numFmtId="233" fontId="136" fillId="0" borderId="55" xfId="0" applyNumberFormat="1" applyFont="1" applyFill="1" applyBorder="1" applyAlignment="1">
      <alignment horizontal="center" vertical="center"/>
    </xf>
    <xf numFmtId="231" fontId="136" fillId="0" borderId="3" xfId="0" applyNumberFormat="1" applyFont="1" applyFill="1" applyBorder="1" applyAlignment="1">
      <alignment horizontal="center" vertical="center"/>
    </xf>
    <xf numFmtId="41" fontId="136" fillId="0" borderId="118" xfId="6" applyFont="1" applyFill="1" applyBorder="1" applyAlignment="1">
      <alignment horizontal="left" vertical="center"/>
    </xf>
    <xf numFmtId="41" fontId="136" fillId="6" borderId="47" xfId="6" applyFont="1" applyFill="1" applyBorder="1" applyAlignment="1">
      <alignment horizontal="left" vertical="center"/>
    </xf>
    <xf numFmtId="41" fontId="136" fillId="6" borderId="45" xfId="6" applyFont="1" applyFill="1" applyBorder="1" applyAlignment="1">
      <alignment horizontal="left" vertical="center"/>
    </xf>
    <xf numFmtId="0" fontId="136" fillId="6" borderId="47" xfId="6" applyNumberFormat="1" applyFont="1" applyFill="1" applyBorder="1" applyAlignment="1">
      <alignment horizontal="center" vertical="center" wrapText="1"/>
    </xf>
    <xf numFmtId="0" fontId="136" fillId="6" borderId="45" xfId="6" applyNumberFormat="1" applyFont="1" applyFill="1" applyBorder="1" applyAlignment="1">
      <alignment horizontal="center" vertical="center" wrapText="1"/>
    </xf>
    <xf numFmtId="178" fontId="136" fillId="0" borderId="115" xfId="2" applyNumberFormat="1" applyFont="1" applyFill="1" applyBorder="1" applyAlignment="1">
      <alignment horizontal="center" vertical="center"/>
    </xf>
    <xf numFmtId="178" fontId="136" fillId="0" borderId="114" xfId="2" applyNumberFormat="1" applyFont="1" applyFill="1" applyBorder="1" applyAlignment="1">
      <alignment horizontal="center" vertical="center"/>
    </xf>
    <xf numFmtId="178" fontId="136" fillId="0" borderId="45" xfId="2" applyNumberFormat="1" applyFont="1" applyFill="1" applyBorder="1" applyAlignment="1">
      <alignment horizontal="center" vertical="center"/>
    </xf>
    <xf numFmtId="178" fontId="136" fillId="0" borderId="48" xfId="2" applyNumberFormat="1" applyFont="1" applyFill="1" applyBorder="1" applyAlignment="1">
      <alignment horizontal="center" vertical="center"/>
    </xf>
    <xf numFmtId="235" fontId="136" fillId="0" borderId="24" xfId="5" applyNumberFormat="1" applyFont="1" applyFill="1" applyBorder="1" applyAlignment="1">
      <alignment horizontal="center" vertical="center"/>
    </xf>
    <xf numFmtId="235" fontId="136" fillId="0" borderId="42" xfId="5" applyNumberFormat="1" applyFont="1" applyFill="1" applyBorder="1" applyAlignment="1">
      <alignment horizontal="center" vertical="center"/>
    </xf>
    <xf numFmtId="236" fontId="136" fillId="0" borderId="24" xfId="5" applyNumberFormat="1" applyFont="1" applyFill="1" applyBorder="1" applyAlignment="1">
      <alignment horizontal="center" vertical="center"/>
    </xf>
    <xf numFmtId="236" fontId="136" fillId="0" borderId="42" xfId="5" applyNumberFormat="1" applyFont="1" applyFill="1" applyBorder="1" applyAlignment="1">
      <alignment horizontal="center" vertical="center"/>
    </xf>
    <xf numFmtId="10" fontId="136" fillId="0" borderId="0" xfId="2" applyNumberFormat="1" applyFont="1" applyFill="1" applyBorder="1" applyAlignment="1">
      <alignment horizontal="center" vertical="center"/>
    </xf>
    <xf numFmtId="10" fontId="136" fillId="0" borderId="5" xfId="2" applyNumberFormat="1" applyFont="1" applyFill="1" applyBorder="1" applyAlignment="1">
      <alignment horizontal="center" vertical="center"/>
    </xf>
    <xf numFmtId="178" fontId="136" fillId="0" borderId="55" xfId="2" applyNumberFormat="1" applyFont="1" applyFill="1" applyBorder="1" applyAlignment="1">
      <alignment horizontal="center" vertical="center"/>
    </xf>
    <xf numFmtId="178" fontId="136" fillId="0" borderId="52" xfId="2" applyNumberFormat="1" applyFont="1" applyFill="1" applyBorder="1" applyAlignment="1">
      <alignment horizontal="center" vertical="center"/>
    </xf>
    <xf numFmtId="186" fontId="136" fillId="0" borderId="13" xfId="5" applyNumberFormat="1" applyFont="1" applyFill="1" applyBorder="1" applyAlignment="1">
      <alignment horizontal="center" vertical="center"/>
    </xf>
    <xf numFmtId="186" fontId="136" fillId="0" borderId="55" xfId="5" applyNumberFormat="1" applyFont="1" applyFill="1" applyBorder="1" applyAlignment="1">
      <alignment horizontal="center" vertical="center"/>
    </xf>
    <xf numFmtId="41" fontId="136" fillId="8" borderId="221" xfId="6" applyFont="1" applyFill="1" applyBorder="1" applyAlignment="1">
      <alignment horizontal="center" vertical="center"/>
    </xf>
    <xf numFmtId="234" fontId="136" fillId="0" borderId="13" xfId="0" applyNumberFormat="1" applyFont="1" applyFill="1" applyBorder="1" applyAlignment="1">
      <alignment horizontal="center" vertical="center"/>
    </xf>
    <xf numFmtId="234" fontId="136" fillId="0" borderId="55" xfId="0" applyNumberFormat="1" applyFont="1" applyFill="1" applyBorder="1" applyAlignment="1">
      <alignment horizontal="center" vertical="center"/>
    </xf>
    <xf numFmtId="231" fontId="136" fillId="0" borderId="208" xfId="0" applyNumberFormat="1" applyFont="1" applyFill="1" applyBorder="1" applyAlignment="1">
      <alignment horizontal="center" vertical="center"/>
    </xf>
    <xf numFmtId="233" fontId="136" fillId="0" borderId="208" xfId="0" applyNumberFormat="1" applyFont="1" applyFill="1" applyBorder="1" applyAlignment="1">
      <alignment horizontal="center" vertical="center"/>
    </xf>
    <xf numFmtId="177" fontId="136" fillId="6" borderId="47" xfId="6" applyNumberFormat="1" applyFont="1" applyFill="1" applyBorder="1" applyAlignment="1">
      <alignment horizontal="center" vertical="center"/>
    </xf>
    <xf numFmtId="177" fontId="136" fillId="6" borderId="45" xfId="6" applyNumberFormat="1" applyFont="1" applyFill="1" applyBorder="1" applyAlignment="1">
      <alignment horizontal="center" vertical="center"/>
    </xf>
    <xf numFmtId="178" fontId="136" fillId="0" borderId="42" xfId="0" applyNumberFormat="1" applyFont="1" applyFill="1" applyBorder="1" applyAlignment="1">
      <alignment horizontal="center" vertical="center"/>
    </xf>
    <xf numFmtId="224" fontId="136" fillId="0" borderId="24" xfId="5" applyNumberFormat="1" applyFont="1" applyFill="1" applyBorder="1" applyAlignment="1">
      <alignment horizontal="center" vertical="center"/>
    </xf>
    <xf numFmtId="224" fontId="136" fillId="0" borderId="42" xfId="5" applyNumberFormat="1" applyFont="1" applyFill="1" applyBorder="1" applyAlignment="1">
      <alignment horizontal="center" vertical="center"/>
    </xf>
    <xf numFmtId="233" fontId="329" fillId="0" borderId="42" xfId="0" applyNumberFormat="1" applyFont="1" applyFill="1" applyBorder="1" applyAlignment="1">
      <alignment horizontal="center" vertical="center"/>
    </xf>
    <xf numFmtId="177" fontId="136" fillId="8" borderId="221" xfId="5" applyNumberFormat="1" applyFont="1" applyFill="1" applyBorder="1" applyAlignment="1">
      <alignment horizontal="right" vertical="center"/>
    </xf>
    <xf numFmtId="191" fontId="136" fillId="8" borderId="232" xfId="6" applyNumberFormat="1" applyFont="1" applyFill="1" applyBorder="1" applyAlignment="1">
      <alignment horizontal="center" vertical="center"/>
    </xf>
    <xf numFmtId="191" fontId="136" fillId="8" borderId="211" xfId="6" applyNumberFormat="1" applyFont="1" applyFill="1" applyBorder="1" applyAlignment="1">
      <alignment horizontal="center" vertical="center"/>
    </xf>
    <xf numFmtId="191" fontId="136" fillId="8" borderId="233" xfId="6" applyNumberFormat="1" applyFont="1" applyFill="1" applyBorder="1" applyAlignment="1">
      <alignment horizontal="center" vertical="center"/>
    </xf>
    <xf numFmtId="371" fontId="136" fillId="0" borderId="24" xfId="0" applyNumberFormat="1" applyFont="1" applyFill="1" applyBorder="1" applyAlignment="1">
      <alignment horizontal="center" vertical="center"/>
    </xf>
    <xf numFmtId="371" fontId="136" fillId="0" borderId="42" xfId="0" applyNumberFormat="1" applyFont="1" applyFill="1" applyBorder="1" applyAlignment="1">
      <alignment horizontal="center" vertical="center"/>
    </xf>
    <xf numFmtId="224" fontId="136" fillId="0" borderId="113" xfId="5" applyNumberFormat="1" applyFont="1" applyFill="1" applyBorder="1" applyAlignment="1">
      <alignment horizontal="center" vertical="center"/>
    </xf>
    <xf numFmtId="224" fontId="136" fillId="0" borderId="115" xfId="5" applyNumberFormat="1" applyFont="1" applyFill="1" applyBorder="1" applyAlignment="1">
      <alignment horizontal="center" vertical="center"/>
    </xf>
    <xf numFmtId="41" fontId="136" fillId="8" borderId="144" xfId="6" applyFont="1" applyFill="1" applyBorder="1" applyAlignment="1">
      <alignment horizontal="center" vertical="center"/>
    </xf>
    <xf numFmtId="0" fontId="136" fillId="8" borderId="110" xfId="9" applyFont="1" applyFill="1" applyBorder="1" applyAlignment="1">
      <alignment horizontal="center" vertical="center"/>
    </xf>
    <xf numFmtId="0" fontId="136" fillId="8" borderId="109" xfId="9" applyFont="1" applyFill="1" applyBorder="1" applyAlignment="1">
      <alignment horizontal="center" vertical="center"/>
    </xf>
    <xf numFmtId="233" fontId="136" fillId="0" borderId="45" xfId="0" applyNumberFormat="1" applyFont="1" applyFill="1" applyBorder="1" applyAlignment="1">
      <alignment horizontal="center" vertical="center"/>
    </xf>
    <xf numFmtId="231" fontId="136" fillId="0" borderId="45" xfId="0" applyNumberFormat="1" applyFont="1" applyFill="1" applyBorder="1" applyAlignment="1">
      <alignment horizontal="center" vertical="center"/>
    </xf>
    <xf numFmtId="223" fontId="136" fillId="0" borderId="213" xfId="6" applyNumberFormat="1" applyFont="1" applyFill="1" applyBorder="1" applyAlignment="1">
      <alignment horizontal="center" vertical="center"/>
    </xf>
    <xf numFmtId="223" fontId="136" fillId="0" borderId="59" xfId="6" applyNumberFormat="1" applyFont="1" applyFill="1" applyBorder="1" applyAlignment="1">
      <alignment horizontal="center" vertical="center"/>
    </xf>
    <xf numFmtId="223" fontId="136" fillId="0" borderId="102" xfId="6" applyNumberFormat="1" applyFont="1" applyFill="1" applyBorder="1" applyAlignment="1">
      <alignment horizontal="center" vertical="center"/>
    </xf>
    <xf numFmtId="224" fontId="136" fillId="0" borderId="60" xfId="6" applyNumberFormat="1" applyFont="1" applyFill="1" applyBorder="1" applyAlignment="1">
      <alignment horizontal="center" vertical="center"/>
    </xf>
    <xf numFmtId="224" fontId="136" fillId="0" borderId="59" xfId="6" applyNumberFormat="1" applyFont="1" applyFill="1" applyBorder="1" applyAlignment="1">
      <alignment horizontal="center" vertical="center"/>
    </xf>
    <xf numFmtId="224" fontId="136" fillId="0" borderId="214" xfId="6" applyNumberFormat="1" applyFont="1" applyFill="1" applyBorder="1" applyAlignment="1">
      <alignment horizontal="center" vertical="center"/>
    </xf>
    <xf numFmtId="41" fontId="136" fillId="0" borderId="59" xfId="6" applyFont="1" applyFill="1" applyBorder="1" applyAlignment="1">
      <alignment horizontal="center" vertical="center"/>
    </xf>
    <xf numFmtId="177" fontId="136" fillId="0" borderId="59" xfId="6" applyNumberFormat="1" applyFont="1" applyFill="1" applyBorder="1" applyAlignment="1">
      <alignment horizontal="center" vertical="center"/>
    </xf>
    <xf numFmtId="0" fontId="136" fillId="0" borderId="59" xfId="9" applyFont="1" applyFill="1" applyBorder="1" applyAlignment="1">
      <alignment horizontal="center" vertical="center"/>
    </xf>
    <xf numFmtId="182" fontId="136" fillId="7" borderId="107" xfId="6" applyNumberFormat="1" applyFont="1" applyFill="1" applyBorder="1" applyAlignment="1">
      <alignment horizontal="right" vertical="center"/>
    </xf>
    <xf numFmtId="182" fontId="136" fillId="7" borderId="108" xfId="6" applyNumberFormat="1" applyFont="1" applyFill="1" applyBorder="1" applyAlignment="1">
      <alignment horizontal="right" vertical="center"/>
    </xf>
    <xf numFmtId="182" fontId="136" fillId="7" borderId="111" xfId="6" applyNumberFormat="1" applyFont="1" applyFill="1" applyBorder="1" applyAlignment="1">
      <alignment horizontal="right" vertical="center"/>
    </xf>
    <xf numFmtId="41" fontId="136" fillId="0" borderId="113" xfId="6" applyFont="1" applyFill="1" applyBorder="1" applyAlignment="1">
      <alignment horizontal="center" vertical="center"/>
    </xf>
    <xf numFmtId="41" fontId="136" fillId="0" borderId="115" xfId="6" applyFont="1" applyFill="1" applyBorder="1" applyAlignment="1">
      <alignment horizontal="center" vertical="center"/>
    </xf>
    <xf numFmtId="41" fontId="136" fillId="0" borderId="114" xfId="6" applyFont="1" applyFill="1" applyBorder="1" applyAlignment="1">
      <alignment horizontal="center" vertical="center"/>
    </xf>
    <xf numFmtId="186" fontId="136" fillId="0" borderId="47" xfId="6" applyNumberFormat="1" applyFont="1" applyFill="1" applyBorder="1" applyAlignment="1">
      <alignment horizontal="right" vertical="center"/>
    </xf>
    <xf numFmtId="186" fontId="136" fillId="0" borderId="45" xfId="6" applyNumberFormat="1" applyFont="1" applyFill="1" applyBorder="1" applyAlignment="1">
      <alignment horizontal="right" vertical="center"/>
    </xf>
    <xf numFmtId="41" fontId="136" fillId="0" borderId="59" xfId="5" applyFont="1" applyFill="1" applyBorder="1" applyAlignment="1">
      <alignment horizontal="center" vertical="center"/>
    </xf>
    <xf numFmtId="41" fontId="136" fillId="0" borderId="102" xfId="5" applyFont="1" applyFill="1" applyBorder="1" applyAlignment="1">
      <alignment horizontal="center" vertical="center"/>
    </xf>
    <xf numFmtId="186" fontId="136" fillId="0" borderId="113" xfId="6" applyNumberFormat="1" applyFont="1" applyFill="1" applyBorder="1" applyAlignment="1">
      <alignment horizontal="right" vertical="center"/>
    </xf>
    <xf numFmtId="186" fontId="136" fillId="0" borderId="115" xfId="6" applyNumberFormat="1" applyFont="1" applyFill="1" applyBorder="1" applyAlignment="1">
      <alignment horizontal="right" vertical="center"/>
    </xf>
    <xf numFmtId="0" fontId="136" fillId="0" borderId="206" xfId="9" applyFont="1" applyBorder="1" applyAlignment="1">
      <alignment horizontal="center" vertical="center" wrapText="1"/>
    </xf>
    <xf numFmtId="0" fontId="136" fillId="0" borderId="208" xfId="9" applyFont="1" applyBorder="1" applyAlignment="1">
      <alignment horizontal="center" vertical="center" wrapText="1"/>
    </xf>
    <xf numFmtId="0" fontId="136" fillId="0" borderId="216" xfId="9" applyFont="1" applyBorder="1" applyAlignment="1">
      <alignment horizontal="center" vertical="center" wrapText="1"/>
    </xf>
    <xf numFmtId="0" fontId="136" fillId="0" borderId="6" xfId="9" applyFont="1" applyBorder="1" applyAlignment="1">
      <alignment horizontal="center" vertical="center" wrapText="1"/>
    </xf>
    <xf numFmtId="0" fontId="136" fillId="0" borderId="0" xfId="9" applyFont="1" applyBorder="1" applyAlignment="1">
      <alignment horizontal="center" vertical="center" wrapText="1"/>
    </xf>
    <xf numFmtId="0" fontId="136" fillId="0" borderId="234" xfId="9" applyFont="1" applyBorder="1" applyAlignment="1">
      <alignment horizontal="center" vertical="center" wrapText="1"/>
    </xf>
    <xf numFmtId="0" fontId="136" fillId="0" borderId="210" xfId="9" applyFont="1" applyBorder="1" applyAlignment="1">
      <alignment horizontal="center" vertical="center" wrapText="1"/>
    </xf>
    <xf numFmtId="0" fontId="136" fillId="0" borderId="221" xfId="9" applyFont="1" applyBorder="1" applyAlignment="1">
      <alignment horizontal="center" vertical="center" wrapText="1"/>
    </xf>
    <xf numFmtId="0" fontId="136" fillId="0" borderId="231" xfId="9" applyFont="1" applyBorder="1" applyAlignment="1">
      <alignment horizontal="center" vertical="center" wrapText="1"/>
    </xf>
    <xf numFmtId="0" fontId="136" fillId="0" borderId="206" xfId="6" applyNumberFormat="1" applyFont="1" applyBorder="1" applyAlignment="1">
      <alignment horizontal="center" vertical="center" wrapText="1"/>
    </xf>
    <xf numFmtId="0" fontId="136" fillId="0" borderId="208" xfId="6" applyNumberFormat="1" applyFont="1" applyBorder="1" applyAlignment="1">
      <alignment horizontal="center" vertical="center" wrapText="1"/>
    </xf>
    <xf numFmtId="0" fontId="136" fillId="0" borderId="216" xfId="6" applyNumberFormat="1" applyFont="1" applyBorder="1" applyAlignment="1">
      <alignment horizontal="center" vertical="center" wrapText="1"/>
    </xf>
    <xf numFmtId="0" fontId="136" fillId="0" borderId="6" xfId="6" applyNumberFormat="1" applyFont="1" applyBorder="1" applyAlignment="1">
      <alignment horizontal="center" vertical="center" wrapText="1"/>
    </xf>
    <xf numFmtId="0" fontId="136" fillId="0" borderId="0" xfId="6" applyNumberFormat="1" applyFont="1" applyBorder="1" applyAlignment="1">
      <alignment horizontal="center" vertical="center" wrapText="1"/>
    </xf>
    <xf numFmtId="0" fontId="136" fillId="0" borderId="234" xfId="6" applyNumberFormat="1" applyFont="1" applyBorder="1" applyAlignment="1">
      <alignment horizontal="center" vertical="center" wrapText="1"/>
    </xf>
    <xf numFmtId="0" fontId="136" fillId="0" borderId="8" xfId="6" applyNumberFormat="1" applyFont="1" applyBorder="1" applyAlignment="1">
      <alignment horizontal="center" vertical="center" wrapText="1"/>
    </xf>
    <xf numFmtId="0" fontId="136" fillId="0" borderId="9" xfId="6" applyNumberFormat="1" applyFont="1" applyBorder="1" applyAlignment="1">
      <alignment horizontal="center" vertical="center" wrapText="1"/>
    </xf>
    <xf numFmtId="0" fontId="136" fillId="0" borderId="229" xfId="6" applyNumberFormat="1" applyFont="1" applyBorder="1" applyAlignment="1">
      <alignment horizontal="center" vertical="center" wrapText="1"/>
    </xf>
    <xf numFmtId="178" fontId="136" fillId="0" borderId="113" xfId="6" applyNumberFormat="1" applyFont="1" applyFill="1" applyBorder="1" applyAlignment="1">
      <alignment horizontal="right" vertical="center"/>
    </xf>
    <xf numFmtId="178" fontId="136" fillId="0" borderId="114" xfId="6" applyNumberFormat="1" applyFont="1" applyFill="1" applyBorder="1" applyAlignment="1">
      <alignment horizontal="right" vertical="center"/>
    </xf>
    <xf numFmtId="178" fontId="136" fillId="0" borderId="24" xfId="6" applyNumberFormat="1" applyFont="1" applyFill="1" applyBorder="1" applyAlignment="1">
      <alignment horizontal="right" vertical="center"/>
    </xf>
    <xf numFmtId="178" fontId="136" fillId="0" borderId="46" xfId="6" applyNumberFormat="1" applyFont="1" applyFill="1" applyBorder="1" applyAlignment="1">
      <alignment horizontal="right" vertical="center"/>
    </xf>
    <xf numFmtId="188" fontId="136" fillId="0" borderId="60" xfId="6" applyNumberFormat="1" applyFont="1" applyFill="1" applyBorder="1" applyAlignment="1">
      <alignment horizontal="center" vertical="center"/>
    </xf>
    <xf numFmtId="188" fontId="136" fillId="0" borderId="59" xfId="6" applyNumberFormat="1" applyFont="1" applyFill="1" applyBorder="1" applyAlignment="1">
      <alignment horizontal="center" vertical="center"/>
    </xf>
    <xf numFmtId="188" fontId="136" fillId="0" borderId="102" xfId="6" applyNumberFormat="1" applyFont="1" applyFill="1" applyBorder="1" applyAlignment="1">
      <alignment horizontal="center" vertical="center"/>
    </xf>
    <xf numFmtId="189" fontId="136" fillId="7" borderId="210" xfId="6" applyNumberFormat="1" applyFont="1" applyFill="1" applyBorder="1" applyAlignment="1">
      <alignment horizontal="center" vertical="center"/>
    </xf>
    <xf numFmtId="189" fontId="136" fillId="7" borderId="221" xfId="6" applyNumberFormat="1" applyFont="1" applyFill="1" applyBorder="1" applyAlignment="1">
      <alignment horizontal="center" vertical="center"/>
    </xf>
    <xf numFmtId="224" fontId="136" fillId="0" borderId="47" xfId="5" applyNumberFormat="1" applyFont="1" applyFill="1" applyBorder="1" applyAlignment="1">
      <alignment horizontal="center" vertical="center"/>
    </xf>
    <xf numFmtId="224" fontId="136" fillId="0" borderId="45" xfId="5" applyNumberFormat="1" applyFont="1" applyFill="1" applyBorder="1" applyAlignment="1">
      <alignment horizontal="center" vertical="center"/>
    </xf>
    <xf numFmtId="189" fontId="136" fillId="8" borderId="210" xfId="6" applyNumberFormat="1" applyFont="1" applyFill="1" applyBorder="1" applyAlignment="1">
      <alignment horizontal="right" vertical="center"/>
    </xf>
    <xf numFmtId="189" fontId="136" fillId="8" borderId="221" xfId="6" applyNumberFormat="1" applyFont="1" applyFill="1" applyBorder="1" applyAlignment="1">
      <alignment horizontal="right" vertical="center"/>
    </xf>
    <xf numFmtId="41" fontId="136" fillId="7" borderId="110" xfId="6" applyFont="1" applyFill="1" applyBorder="1" applyAlignment="1">
      <alignment horizontal="center" vertical="center"/>
    </xf>
    <xf numFmtId="178" fontId="136" fillId="7" borderId="110" xfId="2" applyNumberFormat="1" applyFont="1" applyFill="1" applyBorder="1" applyAlignment="1">
      <alignment horizontal="center" vertical="center"/>
    </xf>
    <xf numFmtId="178" fontId="136" fillId="2" borderId="55" xfId="2" applyNumberFormat="1" applyFont="1" applyFill="1" applyBorder="1" applyAlignment="1">
      <alignment horizontal="center" vertical="center"/>
    </xf>
    <xf numFmtId="178" fontId="136" fillId="2" borderId="52" xfId="2" applyNumberFormat="1" applyFont="1" applyFill="1" applyBorder="1" applyAlignment="1">
      <alignment horizontal="center" vertical="center"/>
    </xf>
    <xf numFmtId="233" fontId="136" fillId="0" borderId="24" xfId="0" applyNumberFormat="1" applyFont="1" applyFill="1" applyBorder="1" applyAlignment="1">
      <alignment horizontal="center" vertical="center"/>
    </xf>
    <xf numFmtId="187" fontId="136" fillId="0" borderId="218" xfId="6" applyNumberFormat="1" applyFont="1" applyFill="1" applyBorder="1" applyAlignment="1">
      <alignment horizontal="right" vertical="center"/>
    </xf>
    <xf numFmtId="187" fontId="136" fillId="0" borderId="218" xfId="9" applyNumberFormat="1" applyFont="1" applyFill="1" applyBorder="1" applyAlignment="1">
      <alignment horizontal="right" vertical="center"/>
    </xf>
    <xf numFmtId="186" fontId="136" fillId="0" borderId="24" xfId="6" applyNumberFormat="1" applyFont="1" applyFill="1" applyBorder="1" applyAlignment="1">
      <alignment horizontal="right" vertical="center"/>
    </xf>
    <xf numFmtId="186" fontId="136" fillId="0" borderId="42" xfId="6" applyNumberFormat="1" applyFont="1" applyFill="1" applyBorder="1" applyAlignment="1">
      <alignment horizontal="right" vertical="center"/>
    </xf>
    <xf numFmtId="187" fontId="136" fillId="0" borderId="208" xfId="6" applyNumberFormat="1" applyFont="1" applyFill="1" applyBorder="1" applyAlignment="1">
      <alignment horizontal="right" vertical="center"/>
    </xf>
    <xf numFmtId="187" fontId="136" fillId="0" borderId="208" xfId="9" applyNumberFormat="1" applyFont="1" applyFill="1" applyBorder="1" applyAlignment="1">
      <alignment horizontal="right" vertical="center"/>
    </xf>
    <xf numFmtId="186" fontId="136" fillId="8" borderId="210" xfId="6" applyNumberFormat="1" applyFont="1" applyFill="1" applyBorder="1" applyAlignment="1">
      <alignment horizontal="right" vertical="center"/>
    </xf>
    <xf numFmtId="186" fontId="136" fillId="8" borderId="221" xfId="6" applyNumberFormat="1" applyFont="1" applyFill="1" applyBorder="1" applyAlignment="1">
      <alignment horizontal="right" vertical="center"/>
    </xf>
    <xf numFmtId="178" fontId="136" fillId="6" borderId="43" xfId="6" applyNumberFormat="1" applyFont="1" applyFill="1" applyBorder="1" applyAlignment="1">
      <alignment horizontal="right" vertical="center"/>
    </xf>
    <xf numFmtId="178" fontId="136" fillId="0" borderId="13" xfId="6" applyNumberFormat="1" applyFont="1" applyFill="1" applyBorder="1" applyAlignment="1">
      <alignment horizontal="right" vertical="center"/>
    </xf>
    <xf numFmtId="178" fontId="136" fillId="0" borderId="52" xfId="6" applyNumberFormat="1" applyFont="1" applyFill="1" applyBorder="1" applyAlignment="1">
      <alignment horizontal="right" vertical="center"/>
    </xf>
    <xf numFmtId="41" fontId="136" fillId="0" borderId="24" xfId="5" applyFont="1" applyFill="1" applyBorder="1" applyAlignment="1">
      <alignment horizontal="left" vertical="center"/>
    </xf>
    <xf numFmtId="41" fontId="136" fillId="0" borderId="42" xfId="5" applyFont="1" applyFill="1" applyBorder="1" applyAlignment="1">
      <alignment horizontal="left" vertical="center"/>
    </xf>
    <xf numFmtId="41" fontId="136" fillId="0" borderId="46" xfId="5" applyFont="1" applyFill="1" applyBorder="1" applyAlignment="1">
      <alignment horizontal="left" vertical="center"/>
    </xf>
    <xf numFmtId="178" fontId="136" fillId="0" borderId="24" xfId="6" applyNumberFormat="1" applyFont="1" applyFill="1" applyBorder="1" applyAlignment="1">
      <alignment horizontal="center" vertical="center"/>
    </xf>
    <xf numFmtId="178" fontId="136" fillId="0" borderId="46" xfId="6" applyNumberFormat="1" applyFont="1" applyFill="1" applyBorder="1" applyAlignment="1">
      <alignment horizontal="center" vertical="center"/>
    </xf>
    <xf numFmtId="178" fontId="136" fillId="0" borderId="2" xfId="6" applyNumberFormat="1" applyFont="1" applyFill="1" applyBorder="1" applyAlignment="1">
      <alignment horizontal="right" vertical="center"/>
    </xf>
    <xf numFmtId="178" fontId="136" fillId="0" borderId="4" xfId="6" applyNumberFormat="1" applyFont="1" applyFill="1" applyBorder="1" applyAlignment="1">
      <alignment horizontal="right" vertical="center"/>
    </xf>
    <xf numFmtId="179" fontId="136" fillId="0" borderId="2" xfId="6" applyNumberFormat="1" applyFont="1" applyFill="1" applyBorder="1" applyAlignment="1">
      <alignment horizontal="left" vertical="center"/>
    </xf>
    <xf numFmtId="179" fontId="136" fillId="0" borderId="3" xfId="6" applyNumberFormat="1" applyFont="1" applyFill="1" applyBorder="1" applyAlignment="1">
      <alignment horizontal="left" vertical="center"/>
    </xf>
    <xf numFmtId="190" fontId="136" fillId="6" borderId="47" xfId="4" applyNumberFormat="1" applyFont="1" applyFill="1" applyBorder="1" applyAlignment="1">
      <alignment horizontal="left" vertical="center"/>
    </xf>
    <xf numFmtId="190" fontId="136" fillId="6" borderId="45" xfId="4" applyNumberFormat="1" applyFont="1" applyFill="1" applyBorder="1" applyAlignment="1">
      <alignment horizontal="left" vertical="center"/>
    </xf>
    <xf numFmtId="190" fontId="136" fillId="6" borderId="48" xfId="4" applyNumberFormat="1" applyFont="1" applyFill="1" applyBorder="1" applyAlignment="1">
      <alignment horizontal="left" vertical="center"/>
    </xf>
    <xf numFmtId="10" fontId="136" fillId="7" borderId="144" xfId="2" applyNumberFormat="1" applyFont="1" applyFill="1" applyBorder="1" applyAlignment="1">
      <alignment horizontal="left" vertical="center" indent="3"/>
    </xf>
    <xf numFmtId="178" fontId="136" fillId="6" borderId="50" xfId="6" applyNumberFormat="1" applyFont="1" applyFill="1" applyBorder="1" applyAlignment="1">
      <alignment horizontal="right" vertical="center"/>
    </xf>
    <xf numFmtId="231" fontId="136" fillId="0" borderId="115" xfId="0" applyNumberFormat="1" applyFont="1" applyFill="1" applyBorder="1" applyAlignment="1">
      <alignment horizontal="center" vertical="center"/>
    </xf>
    <xf numFmtId="41" fontId="136" fillId="0" borderId="218" xfId="6" applyFont="1" applyFill="1" applyBorder="1" applyAlignment="1">
      <alignment horizontal="center" vertical="center"/>
    </xf>
    <xf numFmtId="0" fontId="324" fillId="0" borderId="147" xfId="0" applyFont="1" applyBorder="1" applyAlignment="1">
      <alignment horizontal="center" vertical="center"/>
    </xf>
    <xf numFmtId="0" fontId="324" fillId="0" borderId="144" xfId="0" applyFont="1" applyBorder="1" applyAlignment="1">
      <alignment horizontal="center" vertical="center"/>
    </xf>
    <xf numFmtId="0" fontId="324" fillId="0" borderId="143" xfId="0" applyFont="1" applyBorder="1" applyAlignment="1">
      <alignment horizontal="center" vertical="center"/>
    </xf>
    <xf numFmtId="183" fontId="136" fillId="8" borderId="11" xfId="10" applyNumberFormat="1" applyFont="1" applyFill="1" applyBorder="1" applyAlignment="1">
      <alignment horizontal="distributed" vertical="center"/>
    </xf>
    <xf numFmtId="10" fontId="137" fillId="2" borderId="113" xfId="4" applyNumberFormat="1" applyFont="1" applyFill="1" applyBorder="1" applyAlignment="1">
      <alignment horizontal="center" vertical="center"/>
    </xf>
    <xf numFmtId="10" fontId="137" fillId="2" borderId="115" xfId="4" applyNumberFormat="1" applyFont="1" applyFill="1" applyBorder="1" applyAlignment="1">
      <alignment horizontal="center" vertical="center"/>
    </xf>
    <xf numFmtId="10" fontId="137" fillId="2" borderId="114" xfId="4" applyNumberFormat="1" applyFont="1" applyFill="1" applyBorder="1" applyAlignment="1">
      <alignment horizontal="center" vertical="center"/>
    </xf>
    <xf numFmtId="183" fontId="136" fillId="8" borderId="43" xfId="10" applyNumberFormat="1" applyFont="1" applyFill="1" applyBorder="1" applyAlignment="1">
      <alignment horizontal="distributed" vertical="center"/>
    </xf>
    <xf numFmtId="183" fontId="136" fillId="0" borderId="43" xfId="10" applyNumberFormat="1" applyFont="1" applyBorder="1" applyAlignment="1">
      <alignment horizontal="center" vertical="center"/>
    </xf>
    <xf numFmtId="183" fontId="136" fillId="0" borderId="24" xfId="10" applyNumberFormat="1" applyFont="1" applyBorder="1" applyAlignment="1">
      <alignment horizontal="center" vertical="center"/>
    </xf>
    <xf numFmtId="183" fontId="136" fillId="8" borderId="113" xfId="10" applyNumberFormat="1" applyFont="1" applyFill="1" applyBorder="1" applyAlignment="1">
      <alignment horizontal="distributed" vertical="center"/>
    </xf>
    <xf numFmtId="183" fontId="136" fillId="8" borderId="115" xfId="10" applyNumberFormat="1" applyFont="1" applyFill="1" applyBorder="1" applyAlignment="1">
      <alignment horizontal="distributed" vertical="center"/>
    </xf>
    <xf numFmtId="183" fontId="136" fillId="8" borderId="114" xfId="10" applyNumberFormat="1" applyFont="1" applyFill="1" applyBorder="1" applyAlignment="1">
      <alignment horizontal="distributed" vertical="center"/>
    </xf>
    <xf numFmtId="9" fontId="136" fillId="3" borderId="2" xfId="4" applyFont="1" applyFill="1" applyBorder="1" applyAlignment="1">
      <alignment horizontal="center" vertical="center"/>
    </xf>
    <xf numFmtId="9" fontId="136" fillId="3" borderId="3" xfId="4" applyFont="1" applyFill="1" applyBorder="1" applyAlignment="1">
      <alignment horizontal="center" vertical="center"/>
    </xf>
    <xf numFmtId="10" fontId="136" fillId="4" borderId="3" xfId="4" applyNumberFormat="1" applyFont="1" applyFill="1" applyBorder="1" applyAlignment="1">
      <alignment horizontal="center" vertical="center"/>
    </xf>
    <xf numFmtId="10" fontId="136" fillId="0" borderId="3" xfId="9" applyNumberFormat="1" applyFont="1" applyBorder="1" applyAlignment="1">
      <alignment vertical="center"/>
    </xf>
    <xf numFmtId="41" fontId="136" fillId="3" borderId="115" xfId="6" applyFont="1" applyFill="1" applyBorder="1" applyAlignment="1">
      <alignment horizontal="center" vertical="center"/>
    </xf>
    <xf numFmtId="41" fontId="136" fillId="3" borderId="114" xfId="6" applyFont="1" applyFill="1" applyBorder="1" applyAlignment="1">
      <alignment horizontal="center" vertical="center"/>
    </xf>
    <xf numFmtId="0" fontId="136" fillId="8" borderId="116" xfId="10" applyFont="1" applyFill="1" applyBorder="1" applyAlignment="1">
      <alignment horizontal="distributed" vertical="center"/>
    </xf>
    <xf numFmtId="41" fontId="323" fillId="0" borderId="116" xfId="10" applyNumberFormat="1" applyFont="1" applyBorder="1" applyAlignment="1">
      <alignment horizontal="center" vertical="center"/>
    </xf>
    <xf numFmtId="0" fontId="323" fillId="0" borderId="116" xfId="10" applyFont="1" applyBorder="1" applyAlignment="1">
      <alignment horizontal="center" vertical="center"/>
    </xf>
    <xf numFmtId="0" fontId="136" fillId="0" borderId="147" xfId="10" applyNumberFormat="1" applyFont="1" applyFill="1" applyBorder="1" applyAlignment="1">
      <alignment horizontal="center" vertical="center" wrapText="1"/>
    </xf>
    <xf numFmtId="0" fontId="136" fillId="0" borderId="144" xfId="10" applyNumberFormat="1" applyFont="1" applyFill="1" applyBorder="1" applyAlignment="1">
      <alignment horizontal="center" vertical="center"/>
    </xf>
    <xf numFmtId="0" fontId="136" fillId="0" borderId="143" xfId="10" applyNumberFormat="1" applyFont="1" applyFill="1" applyBorder="1" applyAlignment="1">
      <alignment horizontal="center" vertical="center"/>
    </xf>
    <xf numFmtId="41" fontId="136" fillId="8" borderId="206" xfId="6" applyFont="1" applyFill="1" applyBorder="1" applyAlignment="1">
      <alignment horizontal="center" vertical="center"/>
    </xf>
    <xf numFmtId="41" fontId="136" fillId="8" borderId="208" xfId="6" applyFont="1" applyFill="1" applyBorder="1" applyAlignment="1">
      <alignment horizontal="center" vertical="center"/>
    </xf>
    <xf numFmtId="41" fontId="136" fillId="8" borderId="216" xfId="6" applyFont="1" applyFill="1" applyBorder="1" applyAlignment="1">
      <alignment horizontal="center" vertical="center"/>
    </xf>
    <xf numFmtId="41" fontId="136" fillId="8" borderId="8" xfId="6" applyFont="1" applyFill="1" applyBorder="1" applyAlignment="1">
      <alignment horizontal="center" vertical="center"/>
    </xf>
    <xf numFmtId="41" fontId="136" fillId="8" borderId="9" xfId="6" applyFont="1" applyFill="1" applyBorder="1" applyAlignment="1">
      <alignment horizontal="center" vertical="center"/>
    </xf>
    <xf numFmtId="41" fontId="136" fillId="8" borderId="229" xfId="6" applyFont="1" applyFill="1" applyBorder="1" applyAlignment="1">
      <alignment horizontal="center" vertical="center"/>
    </xf>
    <xf numFmtId="41" fontId="136" fillId="8" borderId="223" xfId="6" applyFont="1" applyFill="1" applyBorder="1" applyAlignment="1">
      <alignment horizontal="center" vertical="center"/>
    </xf>
    <xf numFmtId="41" fontId="136" fillId="8" borderId="224" xfId="6" applyFont="1" applyFill="1" applyBorder="1" applyAlignment="1">
      <alignment horizontal="center" vertical="center"/>
    </xf>
    <xf numFmtId="41" fontId="136" fillId="8" borderId="225" xfId="6" applyFont="1" applyFill="1" applyBorder="1" applyAlignment="1">
      <alignment horizontal="center" vertical="center"/>
    </xf>
    <xf numFmtId="41" fontId="136" fillId="8" borderId="228" xfId="6" applyFont="1" applyFill="1" applyBorder="1" applyAlignment="1">
      <alignment horizontal="center" vertical="center"/>
    </xf>
    <xf numFmtId="41" fontId="136" fillId="8" borderId="12" xfId="6" applyFont="1" applyFill="1" applyBorder="1" applyAlignment="1">
      <alignment horizontal="center" vertical="center"/>
    </xf>
    <xf numFmtId="41" fontId="136" fillId="8" borderId="226" xfId="6" applyFont="1" applyFill="1" applyBorder="1" applyAlignment="1">
      <alignment horizontal="center" vertical="center"/>
    </xf>
    <xf numFmtId="41" fontId="136" fillId="8" borderId="227" xfId="6" applyFont="1" applyFill="1" applyBorder="1" applyAlignment="1">
      <alignment horizontal="center" vertical="center"/>
    </xf>
    <xf numFmtId="41" fontId="136" fillId="8" borderId="141" xfId="6" applyFont="1" applyFill="1" applyBorder="1" applyAlignment="1">
      <alignment horizontal="center" vertical="center"/>
    </xf>
    <xf numFmtId="41" fontId="136" fillId="8" borderId="145" xfId="6" applyFont="1" applyFill="1" applyBorder="1" applyAlignment="1">
      <alignment horizontal="center" vertical="center"/>
    </xf>
    <xf numFmtId="41" fontId="136" fillId="8" borderId="209" xfId="6" applyFont="1" applyFill="1" applyBorder="1" applyAlignment="1">
      <alignment horizontal="center" vertical="center"/>
    </xf>
    <xf numFmtId="178" fontId="136" fillId="2" borderId="8" xfId="6" applyNumberFormat="1" applyFont="1" applyFill="1" applyBorder="1" applyAlignment="1">
      <alignment horizontal="right" vertical="center"/>
    </xf>
    <xf numFmtId="178" fontId="136" fillId="2" borderId="9" xfId="6" applyNumberFormat="1" applyFont="1" applyFill="1" applyBorder="1" applyAlignment="1">
      <alignment horizontal="right" vertical="center"/>
    </xf>
    <xf numFmtId="178" fontId="136" fillId="2" borderId="12" xfId="6" applyNumberFormat="1" applyFont="1" applyFill="1" applyBorder="1" applyAlignment="1">
      <alignment horizontal="right" vertical="center"/>
    </xf>
    <xf numFmtId="177" fontId="136" fillId="8" borderId="144" xfId="5" applyNumberFormat="1" applyFont="1" applyFill="1" applyBorder="1" applyAlignment="1">
      <alignment horizontal="right" vertical="center"/>
    </xf>
    <xf numFmtId="191" fontId="136" fillId="8" borderId="230" xfId="6" applyNumberFormat="1" applyFont="1" applyFill="1" applyBorder="1" applyAlignment="1">
      <alignment horizontal="center" vertical="center"/>
    </xf>
    <xf numFmtId="191" fontId="136" fillId="8" borderId="221" xfId="6" applyNumberFormat="1" applyFont="1" applyFill="1" applyBorder="1" applyAlignment="1">
      <alignment horizontal="center" vertical="center"/>
    </xf>
    <xf numFmtId="191" fontId="136" fillId="8" borderId="231" xfId="6" applyNumberFormat="1" applyFont="1" applyFill="1" applyBorder="1" applyAlignment="1">
      <alignment horizontal="center" vertical="center"/>
    </xf>
    <xf numFmtId="41" fontId="136" fillId="0" borderId="208" xfId="6" applyFont="1" applyFill="1" applyBorder="1" applyAlignment="1">
      <alignment horizontal="center" vertical="center"/>
    </xf>
    <xf numFmtId="41" fontId="136" fillId="8" borderId="110" xfId="6" applyFont="1" applyFill="1" applyBorder="1" applyAlignment="1">
      <alignment horizontal="center" vertical="center"/>
    </xf>
    <xf numFmtId="183" fontId="136" fillId="8" borderId="13" xfId="10" applyNumberFormat="1" applyFont="1" applyFill="1" applyBorder="1" applyAlignment="1">
      <alignment horizontal="center" vertical="center" wrapText="1"/>
    </xf>
    <xf numFmtId="183" fontId="136" fillId="8" borderId="55" xfId="10" applyNumberFormat="1" applyFont="1" applyFill="1" applyBorder="1" applyAlignment="1">
      <alignment horizontal="center" vertical="center"/>
    </xf>
    <xf numFmtId="183" fontId="136" fillId="8" borderId="6" xfId="10" applyNumberFormat="1" applyFont="1" applyFill="1" applyBorder="1" applyAlignment="1">
      <alignment horizontal="center" vertical="center"/>
    </xf>
    <xf numFmtId="183" fontId="136" fillId="8" borderId="0" xfId="10" applyNumberFormat="1" applyFont="1" applyFill="1" applyBorder="1" applyAlignment="1">
      <alignment horizontal="center" vertical="center"/>
    </xf>
    <xf numFmtId="183" fontId="136" fillId="8" borderId="2" xfId="10" applyNumberFormat="1" applyFont="1" applyFill="1" applyBorder="1" applyAlignment="1">
      <alignment horizontal="center" vertical="center"/>
    </xf>
    <xf numFmtId="183" fontId="136" fillId="8" borderId="3" xfId="10" applyNumberFormat="1" applyFont="1" applyFill="1" applyBorder="1" applyAlignment="1">
      <alignment horizontal="center" vertical="center"/>
    </xf>
    <xf numFmtId="183" fontId="136" fillId="8" borderId="41" xfId="10" applyNumberFormat="1" applyFont="1" applyFill="1" applyBorder="1" applyAlignment="1">
      <alignment horizontal="distributed" vertical="center"/>
    </xf>
    <xf numFmtId="183" fontId="136" fillId="8" borderId="42" xfId="10" applyNumberFormat="1" applyFont="1" applyFill="1" applyBorder="1" applyAlignment="1">
      <alignment horizontal="distributed" vertical="center"/>
    </xf>
    <xf numFmtId="183" fontId="136" fillId="8" borderId="46" xfId="10" applyNumberFormat="1" applyFont="1" applyFill="1" applyBorder="1" applyAlignment="1">
      <alignment horizontal="distributed" vertical="center"/>
    </xf>
    <xf numFmtId="180" fontId="137" fillId="2" borderId="116" xfId="6" applyNumberFormat="1" applyFont="1" applyFill="1" applyBorder="1" applyAlignment="1">
      <alignment horizontal="right" vertical="center"/>
    </xf>
    <xf numFmtId="180" fontId="137" fillId="2" borderId="113" xfId="6" applyNumberFormat="1" applyFont="1" applyFill="1" applyBorder="1" applyAlignment="1">
      <alignment horizontal="right" vertical="center"/>
    </xf>
    <xf numFmtId="10" fontId="137" fillId="2" borderId="24" xfId="10" applyNumberFormat="1" applyFont="1" applyFill="1" applyBorder="1" applyAlignment="1">
      <alignment horizontal="center" vertical="center"/>
    </xf>
    <xf numFmtId="10" fontId="137" fillId="2" borderId="42" xfId="10" applyNumberFormat="1" applyFont="1" applyFill="1" applyBorder="1" applyAlignment="1">
      <alignment horizontal="center" vertical="center"/>
    </xf>
    <xf numFmtId="0" fontId="137" fillId="2" borderId="46" xfId="9" applyFont="1" applyFill="1" applyBorder="1" applyAlignment="1">
      <alignment horizontal="center" vertical="center"/>
    </xf>
    <xf numFmtId="180" fontId="137" fillId="2" borderId="43" xfId="6" applyNumberFormat="1" applyFont="1" applyFill="1" applyBorder="1" applyAlignment="1">
      <alignment horizontal="right" vertical="center"/>
    </xf>
    <xf numFmtId="180" fontId="137" fillId="2" borderId="24" xfId="6" applyNumberFormat="1" applyFont="1" applyFill="1" applyBorder="1" applyAlignment="1">
      <alignment horizontal="right" vertical="center"/>
    </xf>
    <xf numFmtId="178" fontId="136" fillId="2" borderId="2" xfId="6" applyNumberFormat="1" applyFont="1" applyFill="1" applyBorder="1" applyAlignment="1">
      <alignment horizontal="right" vertical="center"/>
    </xf>
    <xf numFmtId="178" fontId="136" fillId="2" borderId="3" xfId="6" applyNumberFormat="1" applyFont="1" applyFill="1" applyBorder="1" applyAlignment="1">
      <alignment horizontal="right" vertical="center"/>
    </xf>
    <xf numFmtId="178" fontId="136" fillId="2" borderId="4" xfId="6" applyNumberFormat="1" applyFont="1" applyFill="1" applyBorder="1" applyAlignment="1">
      <alignment horizontal="right" vertical="center"/>
    </xf>
    <xf numFmtId="178" fontId="136" fillId="2" borderId="24" xfId="4" applyNumberFormat="1" applyFont="1" applyFill="1" applyBorder="1" applyAlignment="1">
      <alignment horizontal="right" vertical="center"/>
    </xf>
    <xf numFmtId="178" fontId="136" fillId="2" borderId="42" xfId="4" applyNumberFormat="1" applyFont="1" applyFill="1" applyBorder="1" applyAlignment="1">
      <alignment horizontal="right" vertical="center"/>
    </xf>
    <xf numFmtId="178" fontId="136" fillId="2" borderId="46" xfId="4" applyNumberFormat="1" applyFont="1" applyFill="1" applyBorder="1" applyAlignment="1">
      <alignment horizontal="right" vertical="center"/>
    </xf>
    <xf numFmtId="0" fontId="136" fillId="2" borderId="42" xfId="9" applyFont="1" applyFill="1" applyBorder="1" applyAlignment="1">
      <alignment horizontal="center" vertical="center"/>
    </xf>
    <xf numFmtId="41" fontId="136" fillId="2" borderId="42" xfId="10" applyNumberFormat="1" applyFont="1" applyFill="1" applyBorder="1" applyAlignment="1">
      <alignment horizontal="center" vertical="center"/>
    </xf>
    <xf numFmtId="41" fontId="136" fillId="2" borderId="46" xfId="10" applyNumberFormat="1" applyFont="1" applyFill="1" applyBorder="1" applyAlignment="1">
      <alignment horizontal="center" vertical="center"/>
    </xf>
    <xf numFmtId="180" fontId="136" fillId="0" borderId="23" xfId="10" applyNumberFormat="1" applyFont="1" applyBorder="1" applyAlignment="1">
      <alignment horizontal="right" vertical="center"/>
    </xf>
    <xf numFmtId="180" fontId="136" fillId="0" borderId="43" xfId="10" applyNumberFormat="1" applyFont="1" applyBorder="1" applyAlignment="1">
      <alignment horizontal="right" vertical="center"/>
    </xf>
    <xf numFmtId="180" fontId="136" fillId="0" borderId="24" xfId="10" applyNumberFormat="1" applyFont="1" applyBorder="1" applyAlignment="1">
      <alignment horizontal="right" vertical="center"/>
    </xf>
    <xf numFmtId="178" fontId="136" fillId="2" borderId="47" xfId="4" applyNumberFormat="1" applyFont="1" applyFill="1" applyBorder="1" applyAlignment="1">
      <alignment horizontal="right" vertical="center"/>
    </xf>
    <xf numFmtId="178" fontId="136" fillId="2" borderId="45" xfId="4" applyNumberFormat="1" applyFont="1" applyFill="1" applyBorder="1" applyAlignment="1">
      <alignment horizontal="right" vertical="center"/>
    </xf>
    <xf numFmtId="178" fontId="136" fillId="2" borderId="48" xfId="4" applyNumberFormat="1" applyFont="1" applyFill="1" applyBorder="1" applyAlignment="1">
      <alignment horizontal="right" vertical="center"/>
    </xf>
    <xf numFmtId="180" fontId="137" fillId="2" borderId="47" xfId="6" applyNumberFormat="1" applyFont="1" applyFill="1" applyBorder="1" applyAlignment="1">
      <alignment horizontal="right" vertical="center"/>
    </xf>
    <xf numFmtId="180" fontId="137" fillId="2" borderId="45" xfId="6" applyNumberFormat="1" applyFont="1" applyFill="1" applyBorder="1" applyAlignment="1">
      <alignment horizontal="right" vertical="center"/>
    </xf>
    <xf numFmtId="183" fontId="136" fillId="8" borderId="10" xfId="10" applyNumberFormat="1" applyFont="1" applyFill="1" applyBorder="1" applyAlignment="1">
      <alignment horizontal="distributed" vertical="center"/>
    </xf>
    <xf numFmtId="41" fontId="136" fillId="0" borderId="24" xfId="10" applyNumberFormat="1" applyFont="1" applyFill="1" applyBorder="1" applyAlignment="1">
      <alignment horizontal="center" vertical="center"/>
    </xf>
    <xf numFmtId="41" fontId="136" fillId="0" borderId="42" xfId="10" applyNumberFormat="1" applyFont="1" applyFill="1" applyBorder="1" applyAlignment="1">
      <alignment horizontal="center" vertical="center"/>
    </xf>
    <xf numFmtId="183" fontId="136" fillId="8" borderId="8" xfId="10" applyNumberFormat="1" applyFont="1" applyFill="1" applyBorder="1" applyAlignment="1">
      <alignment horizontal="center" vertical="center"/>
    </xf>
    <xf numFmtId="183" fontId="136" fillId="8" borderId="9" xfId="10" applyNumberFormat="1" applyFont="1" applyFill="1" applyBorder="1" applyAlignment="1">
      <alignment horizontal="center" vertical="center"/>
    </xf>
    <xf numFmtId="180" fontId="137" fillId="2" borderId="42" xfId="6" applyNumberFormat="1" applyFont="1" applyFill="1" applyBorder="1" applyAlignment="1">
      <alignment horizontal="right" vertical="center"/>
    </xf>
    <xf numFmtId="10" fontId="136" fillId="0" borderId="59" xfId="2" applyNumberFormat="1" applyFont="1" applyFill="1" applyBorder="1" applyAlignment="1">
      <alignment horizontal="center" vertical="center"/>
    </xf>
    <xf numFmtId="10" fontId="136" fillId="0" borderId="102" xfId="2" applyNumberFormat="1" applyFont="1" applyFill="1" applyBorder="1" applyAlignment="1">
      <alignment horizontal="center" vertical="center"/>
    </xf>
    <xf numFmtId="178" fontId="136" fillId="0" borderId="60" xfId="6" applyNumberFormat="1" applyFont="1" applyFill="1" applyBorder="1" applyAlignment="1">
      <alignment horizontal="right" vertical="center"/>
    </xf>
    <xf numFmtId="0" fontId="136" fillId="0" borderId="102" xfId="9" applyFont="1" applyFill="1" applyBorder="1" applyAlignment="1">
      <alignment horizontal="right" vertical="center"/>
    </xf>
    <xf numFmtId="180" fontId="136" fillId="0" borderId="27" xfId="10" applyNumberFormat="1" applyFont="1" applyBorder="1" applyAlignment="1">
      <alignment horizontal="right" vertical="center"/>
    </xf>
    <xf numFmtId="180" fontId="136" fillId="0" borderId="50" xfId="10" applyNumberFormat="1" applyFont="1" applyBorder="1" applyAlignment="1">
      <alignment horizontal="right" vertical="center"/>
    </xf>
    <xf numFmtId="180" fontId="136" fillId="0" borderId="47" xfId="10" applyNumberFormat="1" applyFont="1" applyBorder="1" applyAlignment="1">
      <alignment horizontal="right" vertical="center"/>
    </xf>
    <xf numFmtId="193" fontId="136" fillId="2" borderId="24" xfId="6" applyNumberFormat="1" applyFont="1" applyFill="1" applyBorder="1" applyAlignment="1">
      <alignment horizontal="right" vertical="center"/>
    </xf>
    <xf numFmtId="193" fontId="136" fillId="2" borderId="42" xfId="6" applyNumberFormat="1" applyFont="1" applyFill="1" applyBorder="1" applyAlignment="1">
      <alignment horizontal="right" vertical="center"/>
    </xf>
    <xf numFmtId="193" fontId="136" fillId="2" borderId="46" xfId="6" applyNumberFormat="1" applyFont="1" applyFill="1" applyBorder="1" applyAlignment="1">
      <alignment horizontal="right" vertical="center"/>
    </xf>
    <xf numFmtId="183" fontId="136" fillId="8" borderId="13" xfId="10" applyNumberFormat="1" applyFont="1" applyFill="1" applyBorder="1" applyAlignment="1">
      <alignment horizontal="center" vertical="center"/>
    </xf>
    <xf numFmtId="183" fontId="136" fillId="8" borderId="52" xfId="10" applyNumberFormat="1" applyFont="1" applyFill="1" applyBorder="1" applyAlignment="1">
      <alignment horizontal="center" vertical="center"/>
    </xf>
    <xf numFmtId="183" fontId="136" fillId="8" borderId="4" xfId="10" applyNumberFormat="1" applyFont="1" applyFill="1" applyBorder="1" applyAlignment="1">
      <alignment horizontal="center" vertical="center"/>
    </xf>
    <xf numFmtId="180" fontId="136" fillId="0" borderId="41" xfId="10" applyNumberFormat="1" applyFont="1" applyBorder="1" applyAlignment="1">
      <alignment horizontal="right" vertical="center"/>
    </xf>
    <xf numFmtId="180" fontId="136" fillId="0" borderId="42" xfId="10" applyNumberFormat="1" applyFont="1" applyBorder="1" applyAlignment="1">
      <alignment horizontal="right" vertical="center"/>
    </xf>
    <xf numFmtId="178" fontId="136" fillId="2" borderId="24" xfId="4" applyNumberFormat="1" applyFont="1" applyFill="1" applyBorder="1" applyAlignment="1" applyProtection="1">
      <alignment horizontal="right" vertical="center"/>
    </xf>
    <xf numFmtId="178" fontId="136" fillId="2" borderId="42" xfId="4" applyNumberFormat="1" applyFont="1" applyFill="1" applyBorder="1" applyAlignment="1" applyProtection="1">
      <alignment horizontal="right" vertical="center"/>
    </xf>
    <xf numFmtId="178" fontId="136" fillId="2" borderId="46" xfId="4" applyNumberFormat="1" applyFont="1" applyFill="1" applyBorder="1" applyAlignment="1" applyProtection="1">
      <alignment horizontal="right" vertical="center"/>
    </xf>
    <xf numFmtId="183" fontId="136" fillId="8" borderId="44" xfId="10" applyNumberFormat="1" applyFont="1" applyFill="1" applyBorder="1" applyAlignment="1">
      <alignment horizontal="distributed" vertical="center"/>
    </xf>
    <xf numFmtId="183" fontId="136" fillId="8" borderId="45" xfId="10" applyNumberFormat="1" applyFont="1" applyFill="1" applyBorder="1" applyAlignment="1">
      <alignment horizontal="distributed" vertical="center"/>
    </xf>
    <xf numFmtId="183" fontId="136" fillId="8" borderId="48" xfId="10" applyNumberFormat="1" applyFont="1" applyFill="1" applyBorder="1" applyAlignment="1">
      <alignment horizontal="distributed" vertical="center"/>
    </xf>
    <xf numFmtId="178" fontId="136" fillId="2" borderId="24" xfId="6" applyNumberFormat="1" applyFont="1" applyFill="1" applyBorder="1" applyAlignment="1">
      <alignment horizontal="right" vertical="center"/>
    </xf>
    <xf numFmtId="178" fontId="136" fillId="2" borderId="42" xfId="6" applyNumberFormat="1" applyFont="1" applyFill="1" applyBorder="1" applyAlignment="1">
      <alignment horizontal="right" vertical="center"/>
    </xf>
    <xf numFmtId="178" fontId="136" fillId="2" borderId="46" xfId="6" applyNumberFormat="1" applyFont="1" applyFill="1" applyBorder="1" applyAlignment="1">
      <alignment horizontal="right" vertical="center"/>
    </xf>
    <xf numFmtId="178" fontId="136" fillId="6" borderId="47" xfId="6" applyNumberFormat="1" applyFont="1" applyFill="1" applyBorder="1" applyAlignment="1">
      <alignment horizontal="right" vertical="center"/>
    </xf>
    <xf numFmtId="178" fontId="136" fillId="6" borderId="48" xfId="6" applyNumberFormat="1" applyFont="1" applyFill="1" applyBorder="1" applyAlignment="1">
      <alignment horizontal="right" vertical="center"/>
    </xf>
    <xf numFmtId="0" fontId="136" fillId="0" borderId="101" xfId="50" applyFont="1" applyFill="1" applyBorder="1" applyAlignment="1">
      <alignment horizontal="center" vertical="center"/>
    </xf>
    <xf numFmtId="0" fontId="136" fillId="0" borderId="126" xfId="50" applyFont="1" applyFill="1" applyBorder="1" applyAlignment="1">
      <alignment horizontal="center" vertical="center"/>
    </xf>
    <xf numFmtId="0" fontId="136" fillId="0" borderId="128" xfId="50" applyFont="1" applyFill="1" applyBorder="1" applyAlignment="1">
      <alignment horizontal="center" vertical="center"/>
    </xf>
    <xf numFmtId="10" fontId="136" fillId="0" borderId="206" xfId="2" applyNumberFormat="1" applyFont="1" applyFill="1" applyBorder="1" applyAlignment="1">
      <alignment horizontal="center" vertical="center"/>
    </xf>
    <xf numFmtId="10" fontId="136" fillId="0" borderId="209" xfId="2" applyNumberFormat="1" applyFont="1" applyFill="1" applyBorder="1" applyAlignment="1">
      <alignment horizontal="center" vertical="center"/>
    </xf>
    <xf numFmtId="178" fontId="136" fillId="0" borderId="206" xfId="6" applyNumberFormat="1" applyFont="1" applyFill="1" applyBorder="1" applyAlignment="1">
      <alignment horizontal="right" vertical="center"/>
    </xf>
    <xf numFmtId="0" fontId="136" fillId="0" borderId="209" xfId="9" applyFont="1" applyFill="1" applyBorder="1" applyAlignment="1">
      <alignment horizontal="right" vertical="center"/>
    </xf>
    <xf numFmtId="9" fontId="136" fillId="8" borderId="140" xfId="6" applyNumberFormat="1" applyFont="1" applyFill="1" applyBorder="1" applyAlignment="1">
      <alignment horizontal="center" vertical="center"/>
    </xf>
    <xf numFmtId="9" fontId="136" fillId="8" borderId="145" xfId="6" applyNumberFormat="1" applyFont="1" applyFill="1" applyBorder="1" applyAlignment="1">
      <alignment horizontal="center" vertical="center"/>
    </xf>
    <xf numFmtId="9" fontId="136" fillId="8" borderId="8" xfId="6" applyNumberFormat="1" applyFont="1" applyFill="1" applyBorder="1" applyAlignment="1">
      <alignment horizontal="center" vertical="center"/>
    </xf>
    <xf numFmtId="9" fontId="136" fillId="8" borderId="12" xfId="6" applyNumberFormat="1" applyFont="1" applyFill="1" applyBorder="1" applyAlignment="1">
      <alignment horizontal="center" vertical="center"/>
    </xf>
    <xf numFmtId="41" fontId="136" fillId="8" borderId="140" xfId="6" applyFont="1" applyFill="1" applyBorder="1" applyAlignment="1">
      <alignment horizontal="center" vertical="center" wrapText="1"/>
    </xf>
    <xf numFmtId="41" fontId="136" fillId="8" borderId="142" xfId="6" applyFont="1" applyFill="1" applyBorder="1" applyAlignment="1">
      <alignment horizontal="center" vertical="center" wrapText="1"/>
    </xf>
    <xf numFmtId="41" fontId="136" fillId="8" borderId="10" xfId="6" applyFont="1" applyFill="1" applyBorder="1" applyAlignment="1">
      <alignment horizontal="center" vertical="center"/>
    </xf>
    <xf numFmtId="178" fontId="136" fillId="8" borderId="120" xfId="6" applyNumberFormat="1" applyFont="1" applyFill="1" applyBorder="1" applyAlignment="1">
      <alignment horizontal="right" vertical="center"/>
    </xf>
    <xf numFmtId="0" fontId="136" fillId="8" borderId="109" xfId="9" applyFont="1" applyFill="1" applyBorder="1" applyAlignment="1">
      <alignment horizontal="right" vertical="center"/>
    </xf>
    <xf numFmtId="188" fontId="137" fillId="8" borderId="117" xfId="6" applyNumberFormat="1" applyFont="1" applyFill="1" applyBorder="1" applyAlignment="1">
      <alignment horizontal="center" vertical="center"/>
    </xf>
    <xf numFmtId="41" fontId="136" fillId="6" borderId="24" xfId="6" applyFont="1" applyFill="1" applyBorder="1" applyAlignment="1">
      <alignment horizontal="center" vertical="center"/>
    </xf>
    <xf numFmtId="41" fontId="136" fillId="6" borderId="42" xfId="6" applyFont="1" applyFill="1" applyBorder="1" applyAlignment="1">
      <alignment horizontal="center" vertical="center"/>
    </xf>
    <xf numFmtId="41" fontId="136" fillId="6" borderId="46" xfId="6" applyFont="1" applyFill="1" applyBorder="1" applyAlignment="1">
      <alignment horizontal="center" vertical="center"/>
    </xf>
    <xf numFmtId="186" fontId="136" fillId="0" borderId="113" xfId="5" applyNumberFormat="1" applyFont="1" applyFill="1" applyBorder="1" applyAlignment="1">
      <alignment horizontal="center" vertical="center"/>
    </xf>
    <xf numFmtId="186" fontId="136" fillId="0" borderId="115" xfId="5" applyNumberFormat="1" applyFont="1" applyFill="1" applyBorder="1" applyAlignment="1">
      <alignment horizontal="center" vertical="center"/>
    </xf>
    <xf numFmtId="186" fontId="136" fillId="0" borderId="24" xfId="5" applyNumberFormat="1" applyFont="1" applyFill="1" applyBorder="1" applyAlignment="1">
      <alignment horizontal="center" vertical="center"/>
    </xf>
    <xf numFmtId="186" fontId="136" fillId="0" borderId="42" xfId="5" applyNumberFormat="1" applyFont="1" applyFill="1" applyBorder="1" applyAlignment="1">
      <alignment horizontal="center" vertical="center"/>
    </xf>
    <xf numFmtId="268" fontId="136" fillId="0" borderId="24" xfId="6" applyNumberFormat="1" applyFont="1" applyFill="1" applyBorder="1" applyAlignment="1">
      <alignment horizontal="left" vertical="center"/>
    </xf>
    <xf numFmtId="268" fontId="136" fillId="0" borderId="42" xfId="6" applyNumberFormat="1" applyFont="1" applyFill="1" applyBorder="1" applyAlignment="1">
      <alignment horizontal="left" vertical="center"/>
    </xf>
    <xf numFmtId="268" fontId="136" fillId="0" borderId="46" xfId="6" applyNumberFormat="1" applyFont="1" applyFill="1" applyBorder="1" applyAlignment="1">
      <alignment horizontal="left" vertical="center"/>
    </xf>
    <xf numFmtId="41" fontId="136" fillId="6" borderId="24" xfId="6" applyFont="1" applyFill="1" applyBorder="1" applyAlignment="1">
      <alignment horizontal="left" vertical="center"/>
    </xf>
    <xf numFmtId="41" fontId="136" fillId="6" borderId="42" xfId="6" applyFont="1" applyFill="1" applyBorder="1" applyAlignment="1">
      <alignment horizontal="left" vertical="center"/>
    </xf>
    <xf numFmtId="41" fontId="136" fillId="6" borderId="46" xfId="6" applyFont="1" applyFill="1" applyBorder="1" applyAlignment="1">
      <alignment horizontal="left" vertical="center"/>
    </xf>
    <xf numFmtId="241" fontId="136" fillId="0" borderId="42" xfId="2" applyNumberFormat="1" applyFont="1" applyFill="1" applyBorder="1" applyAlignment="1">
      <alignment horizontal="center" vertical="center"/>
    </xf>
    <xf numFmtId="240" fontId="136" fillId="0" borderId="24" xfId="2" applyNumberFormat="1" applyFont="1" applyFill="1" applyBorder="1" applyAlignment="1">
      <alignment horizontal="center" vertical="center"/>
    </xf>
    <xf numFmtId="240" fontId="136" fillId="0" borderId="42" xfId="2" applyNumberFormat="1" applyFont="1" applyFill="1" applyBorder="1" applyAlignment="1">
      <alignment horizontal="center" vertical="center"/>
    </xf>
    <xf numFmtId="10" fontId="136" fillId="8" borderId="210" xfId="2" applyNumberFormat="1" applyFont="1" applyFill="1" applyBorder="1" applyAlignment="1">
      <alignment horizontal="right" vertical="center"/>
    </xf>
    <xf numFmtId="10" fontId="136" fillId="8" borderId="221" xfId="2" applyNumberFormat="1" applyFont="1" applyFill="1" applyBorder="1" applyAlignment="1">
      <alignment horizontal="right" vertical="center"/>
    </xf>
    <xf numFmtId="10" fontId="136" fillId="8" borderId="221" xfId="6" applyNumberFormat="1" applyFont="1" applyFill="1" applyBorder="1" applyAlignment="1">
      <alignment horizontal="center" vertical="center"/>
    </xf>
    <xf numFmtId="0" fontId="136" fillId="8" borderId="207" xfId="9" applyFont="1" applyFill="1" applyBorder="1" applyAlignment="1">
      <alignment horizontal="center" vertical="center" wrapText="1"/>
    </xf>
    <xf numFmtId="0" fontId="138" fillId="0" borderId="10" xfId="0" applyFont="1" applyBorder="1">
      <alignment vertical="center"/>
    </xf>
    <xf numFmtId="41" fontId="136" fillId="8" borderId="47" xfId="5" applyFont="1" applyFill="1" applyBorder="1" applyAlignment="1">
      <alignment horizontal="center" vertical="center"/>
    </xf>
    <xf numFmtId="41" fontId="136" fillId="8" borderId="45" xfId="5" applyFont="1" applyFill="1" applyBorder="1" applyAlignment="1">
      <alignment horizontal="center" vertical="center"/>
    </xf>
    <xf numFmtId="41" fontId="136" fillId="8" borderId="45" xfId="6" applyFont="1" applyFill="1" applyBorder="1" applyAlignment="1">
      <alignment horizontal="center" vertical="center"/>
    </xf>
    <xf numFmtId="41" fontId="327" fillId="8" borderId="210" xfId="6" applyFont="1" applyFill="1" applyBorder="1" applyAlignment="1">
      <alignment horizontal="center" vertical="center"/>
    </xf>
    <xf numFmtId="41" fontId="327" fillId="8" borderId="222" xfId="6" applyFont="1" applyFill="1" applyBorder="1" applyAlignment="1">
      <alignment horizontal="center" vertical="center"/>
    </xf>
    <xf numFmtId="41" fontId="136" fillId="8" borderId="47" xfId="5" applyFont="1" applyFill="1" applyBorder="1" applyAlignment="1">
      <alignment horizontal="right" vertical="center"/>
    </xf>
    <xf numFmtId="41" fontId="136" fillId="8" borderId="45" xfId="5" applyFont="1" applyFill="1" applyBorder="1" applyAlignment="1">
      <alignment horizontal="right" vertical="center"/>
    </xf>
    <xf numFmtId="41" fontId="136" fillId="8" borderId="48" xfId="5" applyFont="1" applyFill="1" applyBorder="1" applyAlignment="1">
      <alignment horizontal="right" vertical="center"/>
    </xf>
    <xf numFmtId="343" fontId="136" fillId="8" borderId="210" xfId="2" applyNumberFormat="1" applyFont="1" applyFill="1" applyBorder="1" applyAlignment="1">
      <alignment horizontal="right" vertical="center"/>
    </xf>
    <xf numFmtId="343" fontId="136" fillId="8" borderId="221" xfId="2" applyNumberFormat="1" applyFont="1" applyFill="1" applyBorder="1" applyAlignment="1">
      <alignment horizontal="right" vertical="center"/>
    </xf>
    <xf numFmtId="343" fontId="136" fillId="8" borderId="222" xfId="2" applyNumberFormat="1" applyFont="1" applyFill="1" applyBorder="1" applyAlignment="1">
      <alignment horizontal="right" vertical="center"/>
    </xf>
    <xf numFmtId="41" fontId="136" fillId="8" borderId="210" xfId="6" applyFont="1" applyFill="1" applyBorder="1" applyAlignment="1">
      <alignment horizontal="center" vertical="center"/>
    </xf>
    <xf numFmtId="41" fontId="136" fillId="8" borderId="222" xfId="6" applyFont="1" applyFill="1" applyBorder="1" applyAlignment="1">
      <alignment horizontal="center" vertical="center"/>
    </xf>
    <xf numFmtId="41" fontId="136" fillId="0" borderId="207" xfId="6" applyFont="1" applyBorder="1" applyAlignment="1">
      <alignment horizontal="center" vertical="center" wrapText="1"/>
    </xf>
    <xf numFmtId="41" fontId="136" fillId="0" borderId="7" xfId="6" applyFont="1" applyBorder="1" applyAlignment="1">
      <alignment horizontal="center" vertical="center" wrapText="1"/>
    </xf>
    <xf numFmtId="41" fontId="136" fillId="0" borderId="10" xfId="6" applyFont="1" applyBorder="1" applyAlignment="1">
      <alignment horizontal="center" vertical="center" wrapText="1"/>
    </xf>
    <xf numFmtId="41" fontId="136" fillId="0" borderId="47" xfId="6" applyFont="1" applyFill="1" applyBorder="1" applyAlignment="1">
      <alignment horizontal="left" vertical="center"/>
    </xf>
    <xf numFmtId="41" fontId="136" fillId="0" borderId="45" xfId="6" applyFont="1" applyFill="1" applyBorder="1" applyAlignment="1">
      <alignment horizontal="left" vertical="center"/>
    </xf>
    <xf numFmtId="41" fontId="136" fillId="0" borderId="48" xfId="6" applyFont="1" applyFill="1" applyBorder="1" applyAlignment="1">
      <alignment horizontal="left" vertical="center"/>
    </xf>
    <xf numFmtId="239" fontId="136" fillId="8" borderId="221" xfId="6" applyNumberFormat="1" applyFont="1" applyFill="1" applyBorder="1" applyAlignment="1">
      <alignment horizontal="center" vertical="center"/>
    </xf>
    <xf numFmtId="239" fontId="136" fillId="8" borderId="222" xfId="6" applyNumberFormat="1" applyFont="1" applyFill="1" applyBorder="1" applyAlignment="1">
      <alignment horizontal="center" vertical="center"/>
    </xf>
    <xf numFmtId="220" fontId="136" fillId="8" borderId="210" xfId="6" applyNumberFormat="1" applyFont="1" applyFill="1" applyBorder="1" applyAlignment="1">
      <alignment horizontal="left" vertical="center"/>
    </xf>
    <xf numFmtId="220" fontId="136" fillId="8" borderId="221" xfId="6" applyNumberFormat="1" applyFont="1" applyFill="1" applyBorder="1" applyAlignment="1">
      <alignment horizontal="left" vertical="center"/>
    </xf>
    <xf numFmtId="220" fontId="136" fillId="8" borderId="221" xfId="9" applyNumberFormat="1" applyFont="1" applyFill="1" applyBorder="1" applyAlignment="1">
      <alignment horizontal="left" vertical="center"/>
    </xf>
    <xf numFmtId="220" fontId="136" fillId="8" borderId="222" xfId="9" applyNumberFormat="1" applyFont="1" applyFill="1" applyBorder="1" applyAlignment="1">
      <alignment horizontal="left" vertical="center"/>
    </xf>
    <xf numFmtId="178" fontId="136" fillId="8" borderId="211" xfId="6" applyNumberFormat="1" applyFont="1" applyFill="1" applyBorder="1" applyAlignment="1">
      <alignment horizontal="right" vertical="center"/>
    </xf>
    <xf numFmtId="239" fontId="136" fillId="8" borderId="45" xfId="6" applyNumberFormat="1" applyFont="1" applyFill="1" applyBorder="1" applyAlignment="1">
      <alignment horizontal="center" vertical="center"/>
    </xf>
    <xf numFmtId="239" fontId="136" fillId="8" borderId="48" xfId="6" applyNumberFormat="1" applyFont="1" applyFill="1" applyBorder="1" applyAlignment="1">
      <alignment horizontal="center" vertical="center"/>
    </xf>
    <xf numFmtId="220" fontId="136" fillId="8" borderId="47" xfId="6" applyNumberFormat="1" applyFont="1" applyFill="1" applyBorder="1" applyAlignment="1">
      <alignment horizontal="left" vertical="center"/>
    </xf>
    <xf numFmtId="220" fontId="136" fillId="8" borderId="45" xfId="6" applyNumberFormat="1" applyFont="1" applyFill="1" applyBorder="1" applyAlignment="1">
      <alignment horizontal="left" vertical="center"/>
    </xf>
    <xf numFmtId="220" fontId="136" fillId="8" borderId="45" xfId="9" applyNumberFormat="1" applyFont="1" applyFill="1" applyBorder="1" applyAlignment="1">
      <alignment horizontal="left" vertical="center"/>
    </xf>
    <xf numFmtId="220" fontId="136" fillId="8" borderId="48" xfId="9" applyNumberFormat="1" applyFont="1" applyFill="1" applyBorder="1" applyAlignment="1">
      <alignment horizontal="left" vertical="center"/>
    </xf>
    <xf numFmtId="178" fontId="136" fillId="8" borderId="50" xfId="6" applyNumberFormat="1" applyFont="1" applyFill="1" applyBorder="1" applyAlignment="1">
      <alignment horizontal="right" vertical="center"/>
    </xf>
    <xf numFmtId="10" fontId="136" fillId="6" borderId="24" xfId="2" applyNumberFormat="1" applyFont="1" applyFill="1" applyBorder="1" applyAlignment="1">
      <alignment horizontal="left" vertical="center"/>
    </xf>
    <xf numFmtId="10" fontId="136" fillId="6" borderId="42" xfId="2" applyNumberFormat="1" applyFont="1" applyFill="1" applyBorder="1" applyAlignment="1">
      <alignment horizontal="left" vertical="center"/>
    </xf>
    <xf numFmtId="10" fontId="136" fillId="6" borderId="46" xfId="2" applyNumberFormat="1" applyFont="1" applyFill="1" applyBorder="1" applyAlignment="1">
      <alignment horizontal="left" vertical="center"/>
    </xf>
    <xf numFmtId="243" fontId="136" fillId="0" borderId="42" xfId="2" applyNumberFormat="1" applyFont="1" applyFill="1" applyBorder="1" applyAlignment="1">
      <alignment horizontal="center" vertical="center"/>
    </xf>
    <xf numFmtId="178" fontId="136" fillId="6" borderId="13" xfId="6" applyNumberFormat="1" applyFont="1" applyFill="1" applyBorder="1" applyAlignment="1">
      <alignment horizontal="center" vertical="center"/>
    </xf>
    <xf numFmtId="178" fontId="136" fillId="6" borderId="52" xfId="6" applyNumberFormat="1" applyFont="1" applyFill="1" applyBorder="1" applyAlignment="1">
      <alignment horizontal="center" vertical="center"/>
    </xf>
    <xf numFmtId="234" fontId="136" fillId="0" borderId="113" xfId="0" applyNumberFormat="1" applyFont="1" applyFill="1" applyBorder="1" applyAlignment="1">
      <alignment horizontal="center" vertical="center"/>
    </xf>
    <xf numFmtId="234" fontId="136" fillId="0" borderId="115" xfId="0" applyNumberFormat="1" applyFont="1" applyFill="1" applyBorder="1" applyAlignment="1">
      <alignment horizontal="center" vertical="center"/>
    </xf>
    <xf numFmtId="233" fontId="136" fillId="0" borderId="115" xfId="0" applyNumberFormat="1" applyFont="1" applyFill="1" applyBorder="1" applyAlignment="1">
      <alignment horizontal="center" vertical="center"/>
    </xf>
    <xf numFmtId="41" fontId="136" fillId="6" borderId="6" xfId="6" applyFont="1" applyFill="1" applyBorder="1" applyAlignment="1">
      <alignment horizontal="left" vertical="center"/>
    </xf>
    <xf numFmtId="41" fontId="136" fillId="6" borderId="0" xfId="6" applyFont="1" applyFill="1" applyBorder="1" applyAlignment="1">
      <alignment horizontal="left" vertical="center"/>
    </xf>
    <xf numFmtId="41" fontId="136" fillId="6" borderId="5" xfId="6" applyFont="1" applyFill="1" applyBorder="1" applyAlignment="1">
      <alignment horizontal="left" vertical="center"/>
    </xf>
    <xf numFmtId="178" fontId="136" fillId="6" borderId="7" xfId="6" applyNumberFormat="1" applyFont="1" applyFill="1" applyBorder="1" applyAlignment="1">
      <alignment horizontal="right" vertical="center"/>
    </xf>
    <xf numFmtId="239" fontId="136" fillId="0" borderId="24" xfId="5" applyNumberFormat="1" applyFont="1" applyFill="1" applyBorder="1" applyAlignment="1">
      <alignment horizontal="center" vertical="center"/>
    </xf>
    <xf numFmtId="239" fontId="136" fillId="0" borderId="42" xfId="5" applyNumberFormat="1" applyFont="1" applyFill="1" applyBorder="1" applyAlignment="1">
      <alignment horizontal="center" vertical="center"/>
    </xf>
    <xf numFmtId="10" fontId="136" fillId="2" borderId="3" xfId="2" applyNumberFormat="1" applyFont="1" applyFill="1" applyBorder="1" applyAlignment="1">
      <alignment horizontal="center" vertical="center"/>
    </xf>
    <xf numFmtId="10" fontId="136" fillId="2" borderId="4" xfId="2" applyNumberFormat="1" applyFont="1" applyFill="1" applyBorder="1" applyAlignment="1">
      <alignment horizontal="center" vertical="center"/>
    </xf>
    <xf numFmtId="234" fontId="136" fillId="0" borderId="2" xfId="0" applyNumberFormat="1" applyFont="1" applyFill="1" applyBorder="1" applyAlignment="1">
      <alignment horizontal="center" vertical="center"/>
    </xf>
    <xf numFmtId="234" fontId="136" fillId="0" borderId="3" xfId="0" applyNumberFormat="1" applyFont="1" applyFill="1" applyBorder="1" applyAlignment="1">
      <alignment horizontal="center" vertical="center"/>
    </xf>
    <xf numFmtId="10" fontId="136" fillId="0" borderId="84" xfId="2" applyNumberFormat="1" applyFont="1" applyFill="1" applyBorder="1" applyAlignment="1">
      <alignment horizontal="center" vertical="center"/>
    </xf>
    <xf numFmtId="178" fontId="136" fillId="6" borderId="13" xfId="6" applyNumberFormat="1" applyFont="1" applyFill="1" applyBorder="1" applyAlignment="1">
      <alignment horizontal="right" vertical="center"/>
    </xf>
    <xf numFmtId="178" fontId="136" fillId="6" borderId="52" xfId="6" applyNumberFormat="1" applyFont="1" applyFill="1" applyBorder="1" applyAlignment="1">
      <alignment horizontal="right" vertical="center"/>
    </xf>
    <xf numFmtId="237" fontId="136" fillId="0" borderId="42" xfId="0" applyNumberFormat="1" applyFont="1" applyFill="1" applyBorder="1" applyAlignment="1">
      <alignment horizontal="center" vertical="center"/>
    </xf>
    <xf numFmtId="178" fontId="136" fillId="2" borderId="42" xfId="2" applyNumberFormat="1" applyFont="1" applyFill="1" applyBorder="1" applyAlignment="1">
      <alignment horizontal="center" vertical="center"/>
    </xf>
    <xf numFmtId="178" fontId="136" fillId="2" borderId="46" xfId="2" applyNumberFormat="1" applyFont="1" applyFill="1" applyBorder="1" applyAlignment="1">
      <alignment horizontal="center" vertical="center"/>
    </xf>
    <xf numFmtId="41" fontId="136" fillId="6" borderId="48" xfId="6" applyFont="1" applyFill="1" applyBorder="1" applyAlignment="1">
      <alignment horizontal="left" vertical="center"/>
    </xf>
    <xf numFmtId="9" fontId="136" fillId="0" borderId="84" xfId="597" applyNumberFormat="1" applyFont="1" applyFill="1" applyBorder="1" applyAlignment="1">
      <alignment horizontal="center" vertical="center"/>
    </xf>
    <xf numFmtId="41" fontId="136" fillId="0" borderId="84" xfId="597" applyNumberFormat="1" applyFont="1" applyFill="1" applyBorder="1" applyAlignment="1">
      <alignment horizontal="left" vertical="center" indent="1"/>
    </xf>
    <xf numFmtId="178" fontId="136" fillId="0" borderId="47" xfId="6" applyNumberFormat="1" applyFont="1" applyFill="1" applyBorder="1" applyAlignment="1">
      <alignment horizontal="right" vertical="center"/>
    </xf>
    <xf numFmtId="178" fontId="136" fillId="0" borderId="48" xfId="6" applyNumberFormat="1" applyFont="1" applyFill="1" applyBorder="1" applyAlignment="1">
      <alignment horizontal="right" vertical="center"/>
    </xf>
    <xf numFmtId="10" fontId="136" fillId="2" borderId="55" xfId="2" applyNumberFormat="1" applyFont="1" applyFill="1" applyBorder="1" applyAlignment="1">
      <alignment horizontal="center" vertical="center"/>
    </xf>
    <xf numFmtId="10" fontId="136" fillId="2" borderId="52" xfId="2" applyNumberFormat="1" applyFont="1" applyFill="1" applyBorder="1" applyAlignment="1">
      <alignment horizontal="center" vertical="center"/>
    </xf>
    <xf numFmtId="178" fontId="136" fillId="6" borderId="207" xfId="6" applyNumberFormat="1" applyFont="1" applyFill="1" applyBorder="1" applyAlignment="1">
      <alignment horizontal="right" vertical="center"/>
    </xf>
    <xf numFmtId="10" fontId="136" fillId="0" borderId="55" xfId="2" applyNumberFormat="1" applyFont="1" applyFill="1" applyBorder="1" applyAlignment="1">
      <alignment horizontal="center" vertical="center"/>
    </xf>
    <xf numFmtId="10" fontId="136" fillId="0" borderId="52" xfId="2" applyNumberFormat="1" applyFont="1" applyFill="1" applyBorder="1" applyAlignment="1">
      <alignment horizontal="center" vertical="center"/>
    </xf>
    <xf numFmtId="41" fontId="136" fillId="6" borderId="47" xfId="6" applyFont="1" applyFill="1" applyBorder="1" applyAlignment="1">
      <alignment vertical="center"/>
    </xf>
    <xf numFmtId="41" fontId="136" fillId="6" borderId="45" xfId="6" applyFont="1" applyFill="1" applyBorder="1" applyAlignment="1">
      <alignment vertical="center"/>
    </xf>
    <xf numFmtId="178" fontId="136" fillId="0" borderId="220" xfId="6" applyNumberFormat="1" applyFont="1" applyFill="1" applyBorder="1" applyAlignment="1">
      <alignment horizontal="right" vertical="center"/>
    </xf>
    <xf numFmtId="0" fontId="136" fillId="0" borderId="219" xfId="9" applyFont="1" applyFill="1" applyBorder="1" applyAlignment="1">
      <alignment horizontal="right" vertical="center"/>
    </xf>
    <xf numFmtId="10" fontId="136" fillId="0" borderId="220" xfId="2" applyNumberFormat="1" applyFont="1" applyFill="1" applyBorder="1" applyAlignment="1">
      <alignment horizontal="center" vertical="center"/>
    </xf>
    <xf numFmtId="10" fontId="136" fillId="0" borderId="219" xfId="2" applyNumberFormat="1" applyFont="1" applyFill="1" applyBorder="1" applyAlignment="1">
      <alignment horizontal="center" vertical="center"/>
    </xf>
    <xf numFmtId="188" fontId="136" fillId="0" borderId="2" xfId="6" applyNumberFormat="1" applyFont="1" applyFill="1" applyBorder="1" applyAlignment="1">
      <alignment horizontal="center" vertical="center"/>
    </xf>
    <xf numFmtId="188" fontId="136" fillId="0" borderId="3" xfId="6" applyNumberFormat="1" applyFont="1" applyFill="1" applyBorder="1" applyAlignment="1">
      <alignment horizontal="center" vertical="center"/>
    </xf>
    <xf numFmtId="188" fontId="136" fillId="0" borderId="4" xfId="6" applyNumberFormat="1" applyFont="1" applyFill="1" applyBorder="1" applyAlignment="1">
      <alignment horizontal="center" vertical="center"/>
    </xf>
    <xf numFmtId="41" fontId="136" fillId="7" borderId="107" xfId="5" applyFont="1" applyFill="1" applyBorder="1" applyAlignment="1">
      <alignment horizontal="center" vertical="center"/>
    </xf>
    <xf numFmtId="41" fontId="136" fillId="7" borderId="108" xfId="5" applyFont="1" applyFill="1" applyBorder="1" applyAlignment="1">
      <alignment horizontal="center" vertical="center"/>
    </xf>
    <xf numFmtId="41" fontId="136" fillId="7" borderId="111" xfId="5" applyFont="1" applyFill="1" applyBorder="1" applyAlignment="1">
      <alignment horizontal="center" vertical="center"/>
    </xf>
    <xf numFmtId="178" fontId="136" fillId="7" borderId="107" xfId="6" applyNumberFormat="1" applyFont="1" applyFill="1" applyBorder="1" applyAlignment="1">
      <alignment horizontal="right" vertical="center"/>
    </xf>
    <xf numFmtId="0" fontId="136" fillId="7" borderId="111" xfId="9" applyFont="1" applyFill="1" applyBorder="1" applyAlignment="1">
      <alignment horizontal="right" vertical="center"/>
    </xf>
    <xf numFmtId="178" fontId="136" fillId="8" borderId="207" xfId="6" applyNumberFormat="1" applyFont="1" applyFill="1" applyBorder="1" applyAlignment="1">
      <alignment horizontal="right" vertical="center"/>
    </xf>
    <xf numFmtId="0" fontId="136" fillId="8" borderId="207" xfId="9" applyFont="1" applyFill="1" applyBorder="1" applyAlignment="1">
      <alignment horizontal="right" vertical="center"/>
    </xf>
    <xf numFmtId="41" fontId="136" fillId="7" borderId="109" xfId="6" applyFont="1" applyFill="1" applyBorder="1" applyAlignment="1">
      <alignment horizontal="center" vertical="center"/>
    </xf>
    <xf numFmtId="178" fontId="136" fillId="35" borderId="210" xfId="2" applyNumberFormat="1" applyFont="1" applyFill="1" applyBorder="1" applyAlignment="1">
      <alignment horizontal="center" vertical="center"/>
    </xf>
    <xf numFmtId="178" fontId="136" fillId="35" borderId="221" xfId="2" applyNumberFormat="1" applyFont="1" applyFill="1" applyBorder="1" applyAlignment="1">
      <alignment horizontal="center" vertical="center"/>
    </xf>
    <xf numFmtId="178" fontId="136" fillId="35" borderId="222" xfId="2" applyNumberFormat="1" applyFont="1" applyFill="1" applyBorder="1" applyAlignment="1">
      <alignment horizontal="center" vertical="center"/>
    </xf>
    <xf numFmtId="370" fontId="136" fillId="0" borderId="24" xfId="6" applyNumberFormat="1" applyFont="1" applyFill="1" applyBorder="1" applyAlignment="1">
      <alignment horizontal="right" vertical="center"/>
    </xf>
    <xf numFmtId="370" fontId="136" fillId="0" borderId="46" xfId="6" applyNumberFormat="1" applyFont="1" applyFill="1" applyBorder="1" applyAlignment="1">
      <alignment horizontal="right" vertical="center"/>
    </xf>
    <xf numFmtId="189" fontId="136" fillId="7" borderId="210" xfId="6" applyNumberFormat="1" applyFont="1" applyFill="1" applyBorder="1" applyAlignment="1">
      <alignment horizontal="right" vertical="center"/>
    </xf>
    <xf numFmtId="189" fontId="136" fillId="7" borderId="221" xfId="6" applyNumberFormat="1" applyFont="1" applyFill="1" applyBorder="1" applyAlignment="1">
      <alignment horizontal="right" vertical="center"/>
    </xf>
    <xf numFmtId="177" fontId="136" fillId="7" borderId="144" xfId="5" applyNumberFormat="1" applyFont="1" applyFill="1" applyBorder="1" applyAlignment="1">
      <alignment horizontal="center" vertical="center"/>
    </xf>
    <xf numFmtId="41" fontId="136" fillId="0" borderId="219" xfId="6" applyFont="1" applyFill="1" applyBorder="1" applyAlignment="1">
      <alignment horizontal="center" vertical="center"/>
    </xf>
    <xf numFmtId="41" fontId="136" fillId="0" borderId="208" xfId="5" applyFont="1" applyFill="1" applyBorder="1" applyAlignment="1">
      <alignment horizontal="center" vertical="center"/>
    </xf>
    <xf numFmtId="41" fontId="136" fillId="0" borderId="209" xfId="6" applyFont="1" applyFill="1" applyBorder="1" applyAlignment="1">
      <alignment horizontal="center" vertical="center"/>
    </xf>
    <xf numFmtId="41" fontId="136" fillId="0" borderId="149" xfId="5" applyFont="1" applyFill="1" applyBorder="1" applyAlignment="1">
      <alignment horizontal="center" vertical="center"/>
    </xf>
    <xf numFmtId="41" fontId="136" fillId="0" borderId="150" xfId="5" applyFont="1" applyFill="1" applyBorder="1" applyAlignment="1">
      <alignment horizontal="center" vertical="center"/>
    </xf>
    <xf numFmtId="41" fontId="136" fillId="0" borderId="158" xfId="5" applyFont="1" applyFill="1" applyBorder="1" applyAlignment="1">
      <alignment horizontal="center" vertical="center"/>
    </xf>
    <xf numFmtId="41" fontId="136" fillId="0" borderId="235" xfId="5" applyFont="1" applyFill="1" applyBorder="1" applyAlignment="1">
      <alignment horizontal="center" vertical="center"/>
    </xf>
    <xf numFmtId="41" fontId="136" fillId="7" borderId="120" xfId="5" applyFont="1" applyFill="1" applyBorder="1" applyAlignment="1">
      <alignment horizontal="center" vertical="center"/>
    </xf>
    <xf numFmtId="41" fontId="136" fillId="7" borderId="110" xfId="5" applyFont="1" applyFill="1" applyBorder="1" applyAlignment="1">
      <alignment horizontal="center" vertical="center"/>
    </xf>
    <xf numFmtId="41" fontId="136" fillId="7" borderId="109" xfId="5" applyFont="1" applyFill="1" applyBorder="1" applyAlignment="1">
      <alignment horizontal="center" vertical="center"/>
    </xf>
    <xf numFmtId="178" fontId="136" fillId="7" borderId="120" xfId="6" applyNumberFormat="1" applyFont="1" applyFill="1" applyBorder="1" applyAlignment="1">
      <alignment horizontal="right" vertical="center"/>
    </xf>
    <xf numFmtId="0" fontId="136" fillId="7" borderId="109" xfId="9" applyFont="1" applyFill="1" applyBorder="1" applyAlignment="1">
      <alignment horizontal="right" vertical="center"/>
    </xf>
    <xf numFmtId="41" fontId="136" fillId="35" borderId="120" xfId="5" applyFont="1" applyFill="1" applyBorder="1" applyAlignment="1">
      <alignment horizontal="left" vertical="center"/>
    </xf>
    <xf numFmtId="41" fontId="136" fillId="35" borderId="110" xfId="5" applyFont="1" applyFill="1" applyBorder="1" applyAlignment="1">
      <alignment horizontal="left" vertical="center"/>
    </xf>
    <xf numFmtId="41" fontId="136" fillId="35" borderId="109" xfId="5" applyFont="1" applyFill="1" applyBorder="1" applyAlignment="1">
      <alignment horizontal="left" vertical="center"/>
    </xf>
    <xf numFmtId="178" fontId="136" fillId="35" borderId="120" xfId="6" applyNumberFormat="1" applyFont="1" applyFill="1" applyBorder="1" applyAlignment="1">
      <alignment horizontal="right" vertical="center"/>
    </xf>
    <xf numFmtId="0" fontId="136" fillId="35" borderId="109" xfId="9" applyFont="1" applyFill="1" applyBorder="1" applyAlignment="1">
      <alignment horizontal="right" vertical="center"/>
    </xf>
    <xf numFmtId="182" fontId="136" fillId="7" borderId="120" xfId="6" applyNumberFormat="1" applyFont="1" applyFill="1" applyBorder="1" applyAlignment="1">
      <alignment horizontal="right" vertical="center"/>
    </xf>
    <xf numFmtId="182" fontId="136" fillId="7" borderId="110" xfId="6" applyNumberFormat="1" applyFont="1" applyFill="1" applyBorder="1" applyAlignment="1">
      <alignment horizontal="right" vertical="center"/>
    </xf>
    <xf numFmtId="182" fontId="136" fillId="7" borderId="109" xfId="6" applyNumberFormat="1" applyFont="1" applyFill="1" applyBorder="1" applyAlignment="1">
      <alignment horizontal="right" vertical="center"/>
    </xf>
    <xf numFmtId="41" fontId="136" fillId="0" borderId="47" xfId="6" applyFont="1" applyFill="1" applyBorder="1" applyAlignment="1">
      <alignment horizontal="center" vertical="center"/>
    </xf>
    <xf numFmtId="41" fontId="136" fillId="0" borderId="45" xfId="6" applyFont="1" applyFill="1" applyBorder="1" applyAlignment="1">
      <alignment horizontal="center" vertical="center"/>
    </xf>
    <xf numFmtId="41" fontId="136" fillId="0" borderId="48" xfId="6" applyFont="1" applyFill="1" applyBorder="1" applyAlignment="1">
      <alignment horizontal="center" vertical="center"/>
    </xf>
    <xf numFmtId="41" fontId="326" fillId="0" borderId="24" xfId="6" applyFont="1" applyFill="1" applyBorder="1" applyAlignment="1">
      <alignment horizontal="center" vertical="center"/>
    </xf>
    <xf numFmtId="41" fontId="326" fillId="0" borderId="42" xfId="6" applyFont="1" applyFill="1" applyBorder="1" applyAlignment="1">
      <alignment horizontal="center" vertical="center"/>
    </xf>
    <xf numFmtId="41" fontId="326" fillId="0" borderId="46" xfId="6" applyFont="1" applyFill="1" applyBorder="1" applyAlignment="1">
      <alignment horizontal="center" vertical="center"/>
    </xf>
    <xf numFmtId="41" fontId="136" fillId="35" borderId="210" xfId="6" applyFont="1" applyFill="1" applyBorder="1" applyAlignment="1">
      <alignment horizontal="center" vertical="center"/>
    </xf>
    <xf numFmtId="41" fontId="136" fillId="35" borderId="221" xfId="6" applyFont="1" applyFill="1" applyBorder="1" applyAlignment="1">
      <alignment horizontal="center" vertical="center"/>
    </xf>
    <xf numFmtId="41" fontId="136" fillId="35" borderId="222" xfId="6" applyFont="1" applyFill="1" applyBorder="1" applyAlignment="1">
      <alignment horizontal="center" vertical="center"/>
    </xf>
    <xf numFmtId="10" fontId="136" fillId="0" borderId="3" xfId="2" applyNumberFormat="1" applyFont="1" applyFill="1" applyBorder="1" applyAlignment="1">
      <alignment horizontal="center" vertical="center"/>
    </xf>
    <xf numFmtId="10" fontId="136" fillId="0" borderId="4" xfId="2" applyNumberFormat="1" applyFont="1" applyFill="1" applyBorder="1" applyAlignment="1">
      <alignment horizontal="center" vertical="center"/>
    </xf>
    <xf numFmtId="41" fontId="327" fillId="6" borderId="47" xfId="6" applyFont="1" applyFill="1" applyBorder="1" applyAlignment="1">
      <alignment horizontal="center" vertical="center"/>
    </xf>
    <xf numFmtId="41" fontId="327" fillId="6" borderId="45" xfId="6" applyFont="1" applyFill="1" applyBorder="1" applyAlignment="1">
      <alignment horizontal="center" vertical="center"/>
    </xf>
    <xf numFmtId="41" fontId="327" fillId="6" borderId="48" xfId="6" applyFont="1" applyFill="1" applyBorder="1" applyAlignment="1">
      <alignment horizontal="center" vertical="center"/>
    </xf>
    <xf numFmtId="41" fontId="136" fillId="2" borderId="24" xfId="6" applyFont="1" applyFill="1" applyBorder="1" applyAlignment="1">
      <alignment horizontal="right" vertical="center"/>
    </xf>
    <xf numFmtId="41" fontId="136" fillId="2" borderId="42" xfId="6" applyFont="1" applyFill="1" applyBorder="1" applyAlignment="1">
      <alignment horizontal="right" vertical="center"/>
    </xf>
    <xf numFmtId="41" fontId="136" fillId="2" borderId="46" xfId="6" applyFont="1" applyFill="1" applyBorder="1" applyAlignment="1">
      <alignment horizontal="right" vertical="center"/>
    </xf>
    <xf numFmtId="180" fontId="136" fillId="0" borderId="41" xfId="10" applyNumberFormat="1" applyFont="1" applyBorder="1" applyAlignment="1">
      <alignment horizontal="center" vertical="center"/>
    </xf>
    <xf numFmtId="180" fontId="136" fillId="0" borderId="42" xfId="10" applyNumberFormat="1" applyFont="1" applyBorder="1" applyAlignment="1">
      <alignment horizontal="center" vertical="center"/>
    </xf>
    <xf numFmtId="180" fontId="136" fillId="0" borderId="46" xfId="10" applyNumberFormat="1" applyFont="1" applyBorder="1" applyAlignment="1">
      <alignment horizontal="center" vertical="center"/>
    </xf>
    <xf numFmtId="41" fontId="136" fillId="5" borderId="43" xfId="6" applyFont="1" applyFill="1" applyBorder="1" applyAlignment="1">
      <alignment horizontal="left" vertical="center"/>
    </xf>
    <xf numFmtId="41" fontId="136" fillId="5" borderId="24" xfId="6" applyFont="1" applyFill="1" applyBorder="1" applyAlignment="1">
      <alignment horizontal="left" vertical="center"/>
    </xf>
    <xf numFmtId="41" fontId="136" fillId="5" borderId="42" xfId="6" applyFont="1" applyFill="1" applyBorder="1" applyAlignment="1">
      <alignment horizontal="left" vertical="center"/>
    </xf>
    <xf numFmtId="41" fontId="136" fillId="5" borderId="46" xfId="6" applyFont="1" applyFill="1" applyBorder="1" applyAlignment="1">
      <alignment horizontal="left" vertical="center"/>
    </xf>
    <xf numFmtId="41" fontId="136" fillId="5" borderId="49" xfId="6" applyFont="1" applyFill="1" applyBorder="1" applyAlignment="1">
      <alignment horizontal="left" vertical="center"/>
    </xf>
    <xf numFmtId="41" fontId="136" fillId="5" borderId="13" xfId="6" applyFont="1" applyFill="1" applyBorder="1" applyAlignment="1">
      <alignment horizontal="left" vertical="center"/>
    </xf>
    <xf numFmtId="0" fontId="136" fillId="5" borderId="206" xfId="6" applyNumberFormat="1" applyFont="1" applyFill="1" applyBorder="1" applyAlignment="1">
      <alignment horizontal="center" vertical="center" wrapText="1"/>
    </xf>
    <xf numFmtId="0" fontId="136" fillId="5" borderId="208" xfId="6" applyNumberFormat="1" applyFont="1" applyFill="1" applyBorder="1" applyAlignment="1">
      <alignment horizontal="center" vertical="center" wrapText="1"/>
    </xf>
    <xf numFmtId="0" fontId="136" fillId="5" borderId="209" xfId="6" applyNumberFormat="1" applyFont="1" applyFill="1" applyBorder="1" applyAlignment="1">
      <alignment horizontal="center" vertical="center" wrapText="1"/>
    </xf>
    <xf numFmtId="0" fontId="136" fillId="5" borderId="6" xfId="6" applyNumberFormat="1" applyFont="1" applyFill="1" applyBorder="1" applyAlignment="1">
      <alignment horizontal="center" vertical="center" wrapText="1"/>
    </xf>
    <xf numFmtId="0" fontId="136" fillId="5" borderId="0" xfId="6" applyNumberFormat="1" applyFont="1" applyFill="1" applyBorder="1" applyAlignment="1">
      <alignment horizontal="center" vertical="center" wrapText="1"/>
    </xf>
    <xf numFmtId="0" fontId="136" fillId="5" borderId="5" xfId="6" applyNumberFormat="1" applyFont="1" applyFill="1" applyBorder="1" applyAlignment="1">
      <alignment horizontal="center" vertical="center" wrapText="1"/>
    </xf>
    <xf numFmtId="41" fontId="136" fillId="5" borderId="25" xfId="6" applyFont="1" applyFill="1" applyBorder="1" applyAlignment="1">
      <alignment horizontal="left" vertical="center"/>
    </xf>
    <xf numFmtId="41" fontId="136" fillId="5" borderId="113" xfId="6" applyFont="1" applyFill="1" applyBorder="1" applyAlignment="1">
      <alignment horizontal="left" vertical="center"/>
    </xf>
    <xf numFmtId="41" fontId="136" fillId="5" borderId="115" xfId="6" applyFont="1" applyFill="1" applyBorder="1" applyAlignment="1">
      <alignment horizontal="left" vertical="center"/>
    </xf>
    <xf numFmtId="41" fontId="136" fillId="5" borderId="118" xfId="6" applyFont="1" applyFill="1" applyBorder="1" applyAlignment="1">
      <alignment horizontal="left" vertical="center"/>
    </xf>
    <xf numFmtId="41" fontId="327" fillId="5" borderId="113" xfId="6" applyFont="1" applyFill="1" applyBorder="1" applyAlignment="1">
      <alignment horizontal="center" vertical="center"/>
    </xf>
    <xf numFmtId="41" fontId="327" fillId="5" borderId="115" xfId="6" applyFont="1" applyFill="1" applyBorder="1" applyAlignment="1">
      <alignment horizontal="center" vertical="center"/>
    </xf>
    <xf numFmtId="41" fontId="327" fillId="5" borderId="114" xfId="6" applyFont="1" applyFill="1" applyBorder="1" applyAlignment="1">
      <alignment horizontal="center" vertical="center"/>
    </xf>
    <xf numFmtId="41" fontId="136" fillId="5" borderId="114" xfId="6" applyFont="1" applyFill="1" applyBorder="1" applyAlignment="1">
      <alignment horizontal="left" vertical="center"/>
    </xf>
    <xf numFmtId="41" fontId="136" fillId="0" borderId="221" xfId="10" applyNumberFormat="1" applyFont="1" applyFill="1" applyBorder="1" applyAlignment="1">
      <alignment horizontal="center" vertical="center"/>
    </xf>
    <xf numFmtId="41" fontId="136" fillId="0" borderId="222" xfId="10" applyNumberFormat="1" applyFont="1" applyFill="1" applyBorder="1" applyAlignment="1">
      <alignment horizontal="center" vertical="center"/>
    </xf>
    <xf numFmtId="41" fontId="326" fillId="0" borderId="41" xfId="6" applyFont="1" applyFill="1" applyBorder="1" applyAlignment="1">
      <alignment horizontal="center" vertical="center"/>
    </xf>
  </cellXfs>
  <cellStyles count="41096">
    <cellStyle name="_x0002_" xfId="5321"/>
    <cellStyle name="_x0004_" xfId="5322"/>
    <cellStyle name="_x0014_" xfId="5323"/>
    <cellStyle name="" xfId="5324"/>
    <cellStyle name=" " xfId="5325"/>
    <cellStyle name="' '" xfId="5326"/>
    <cellStyle name="          _x000d__x000a_386grabber=AVGA.3GR_x000d_" xfId="5327"/>
    <cellStyle name="          _x000d__x000a_386grabber=KSVGA.3GR" xfId="5328"/>
    <cellStyle name="          _x000d__x000a_386grabber=vga.3gr_x000d__x000a_" xfId="1977"/>
    <cellStyle name="          _x000d__x000a_mouse.drv=lmouse.drv" xfId="5329"/>
    <cellStyle name="          _x000d__x000a_shell=progman.exe_x000d__x000a_m" xfId="5330"/>
    <cellStyle name=" _20030218144011020-E1C865BF" xfId="5331"/>
    <cellStyle name=" _20030221140423820-A5C865BF" xfId="5332"/>
    <cellStyle name=" _20030221140423820-A5C865BF_견적용공내역서" xfId="5333"/>
    <cellStyle name=" _20030221140423820-A5C865BF_견적용공내역서_사용승인신청서LIST(분당)(1)(090514)" xfId="5334"/>
    <cellStyle name=" _20030221140423820-A5C865BF_사용승인신청서LIST(분당)(1)(090514)" xfId="5335"/>
    <cellStyle name=" _20030221140423820-A5C865BF_실행내역서" xfId="5336"/>
    <cellStyle name=" _20030221140423820-A5C865BF_실행내역서_사용승인신청서LIST(분당)(1)(090514)" xfId="5337"/>
    <cellStyle name=" _20030221140423820-A5C865BF_현대오일뱅크 철골공사" xfId="5338"/>
    <cellStyle name=" _20030221140423820-A5C865BF_현대오일뱅크 철골공사_견적용공내역서" xfId="5339"/>
    <cellStyle name=" _20030221140423820-A5C865BF_현대오일뱅크 철골공사_견적용공내역서_사용승인신청서LIST(분당)(1)(090514)" xfId="5340"/>
    <cellStyle name=" _20030221140423820-A5C865BF_현대오일뱅크 철골공사_사용승인신청서LIST(분당)(1)(090514)" xfId="5341"/>
    <cellStyle name=" _20030221140423820-A5C865BF_현대오일뱅크 철골공사_실행내역서" xfId="5342"/>
    <cellStyle name=" _20030221140423820-A5C865BF_현대오일뱅크 철골공사_실행내역서_사용승인신청서LIST(분당)(1)(090514)" xfId="5343"/>
    <cellStyle name=" _8월 기성" xfId="5344"/>
    <cellStyle name=" _AC06실적기성" xfId="5345"/>
    <cellStyle name=" _간지" xfId="5346"/>
    <cellStyle name=" _간지_20030310114821780-E1C865BF" xfId="5347"/>
    <cellStyle name=" _간지_20030310114821780-E1C865BF_견적용공내역서" xfId="5348"/>
    <cellStyle name=" _간지_20030310114821780-E1C865BF_견적용공내역서_사용승인신청서LIST(분당)(1)(090514)" xfId="5349"/>
    <cellStyle name=" _간지_20030310114821780-E1C865BF_사용승인신청서LIST(분당)(1)(090514)" xfId="5350"/>
    <cellStyle name=" _간지_20030310114821780-E1C865BF_실행내역서" xfId="5351"/>
    <cellStyle name=" _간지_20030310114821780-E1C865BF_실행내역서_사용승인신청서LIST(분당)(1)(090514)" xfId="5352"/>
    <cellStyle name=" _간지_20030310114821780-E1C865BF_현대오일뱅크 철골공사" xfId="5353"/>
    <cellStyle name=" _간지_20030310114821780-E1C865BF_현대오일뱅크 철골공사_견적용공내역서" xfId="5354"/>
    <cellStyle name=" _간지_20030310114821780-E1C865BF_현대오일뱅크 철골공사_견적용공내역서_사용승인신청서LIST(분당)(1)(090514)" xfId="5355"/>
    <cellStyle name=" _간지_20030310114821780-E1C865BF_현대오일뱅크 철골공사_사용승인신청서LIST(분당)(1)(090514)" xfId="5356"/>
    <cellStyle name=" _간지_20030310114821780-E1C865BF_현대오일뱅크 철골공사_실행내역서" xfId="5357"/>
    <cellStyle name=" _간지_20030310114821780-E1C865BF_현대오일뱅크 철골공사_실행내역서_사용승인신청서LIST(분당)(1)(090514)" xfId="5358"/>
    <cellStyle name=" _간지_20030310150903590-E1C865BF" xfId="5359"/>
    <cellStyle name=" _간지_20030310150903590-E1C865BF_견적용공내역서" xfId="5360"/>
    <cellStyle name=" _간지_20030310150903590-E1C865BF_견적용공내역서_사용승인신청서LIST(분당)(1)(090514)" xfId="5361"/>
    <cellStyle name=" _간지_20030310150903590-E1C865BF_사용승인신청서LIST(분당)(1)(090514)" xfId="5362"/>
    <cellStyle name=" _간지_20030310150903590-E1C865BF_실행내역서" xfId="5363"/>
    <cellStyle name=" _간지_20030310150903590-E1C865BF_실행내역서_사용승인신청서LIST(분당)(1)(090514)" xfId="5364"/>
    <cellStyle name=" _간지_20030310150903590-E1C865BF_현대오일뱅크 철골공사" xfId="5365"/>
    <cellStyle name=" _간지_20030310150903590-E1C865BF_현대오일뱅크 철골공사_견적용공내역서" xfId="5366"/>
    <cellStyle name=" _간지_20030310150903590-E1C865BF_현대오일뱅크 철골공사_견적용공내역서_사용승인신청서LIST(분당)(1)(090514)" xfId="5367"/>
    <cellStyle name=" _간지_20030310150903590-E1C865BF_현대오일뱅크 철골공사_사용승인신청서LIST(분당)(1)(090514)" xfId="5368"/>
    <cellStyle name=" _간지_20030310150903590-E1C865BF_현대오일뱅크 철골공사_실행내역서" xfId="5369"/>
    <cellStyle name=" _간지_20030310150903590-E1C865BF_현대오일뱅크 철골공사_실행내역서_사용승인신청서LIST(분당)(1)(090514)" xfId="5370"/>
    <cellStyle name=" _간지_견적용공내역서" xfId="5371"/>
    <cellStyle name=" _간지_견적용공내역서_사용승인신청서LIST(분당)(1)(090514)" xfId="5372"/>
    <cellStyle name=" _간지_사용승인신청서LIST(분당)(1)(090514)" xfId="5373"/>
    <cellStyle name=" _간지_실행내역서" xfId="5374"/>
    <cellStyle name=" _간지_실행내역서_사용승인신청서LIST(분당)(1)(090514)" xfId="5375"/>
    <cellStyle name=" _간지_영흥(별표)" xfId="5376"/>
    <cellStyle name=" _간지_영흥(별표)_견적용공내역서" xfId="5377"/>
    <cellStyle name=" _간지_영흥(별표)_견적용공내역서_사용승인신청서LIST(분당)(1)(090514)" xfId="5378"/>
    <cellStyle name=" _간지_영흥(별표)_사용승인신청서LIST(분당)(1)(090514)" xfId="5379"/>
    <cellStyle name=" _간지_영흥(별표)_실행내역서" xfId="5380"/>
    <cellStyle name=" _간지_영흥(별표)_실행내역서_사용승인신청서LIST(분당)(1)(090514)" xfId="5381"/>
    <cellStyle name=" _간지_영흥(별표)_현대오일뱅크 철골공사" xfId="5382"/>
    <cellStyle name=" _간지_영흥(별표)_현대오일뱅크 철골공사_견적용공내역서" xfId="5383"/>
    <cellStyle name=" _간지_영흥(별표)_현대오일뱅크 철골공사_견적용공내역서_사용승인신청서LIST(분당)(1)(090514)" xfId="5384"/>
    <cellStyle name=" _간지_영흥(별표)_현대오일뱅크 철골공사_사용승인신청서LIST(분당)(1)(090514)" xfId="5385"/>
    <cellStyle name=" _간지_영흥(별표)_현대오일뱅크 철골공사_실행내역서" xfId="5386"/>
    <cellStyle name=" _간지_영흥(별표)_현대오일뱅크 철골공사_실행내역서_사용승인신청서LIST(분당)(1)(090514)" xfId="5387"/>
    <cellStyle name=" _간지_옥외탱크및기기기초(단가)" xfId="5388"/>
    <cellStyle name=" _간지_옥외탱크및기기기초(단가)_견적용공내역서" xfId="5389"/>
    <cellStyle name=" _간지_옥외탱크및기기기초(단가)_견적용공내역서_사용승인신청서LIST(분당)(1)(090514)" xfId="5390"/>
    <cellStyle name=" _간지_옥외탱크및기기기초(단가)_사용승인신청서LIST(분당)(1)(090514)" xfId="5391"/>
    <cellStyle name=" _간지_옥외탱크및기기기초(단가)_실행내역서" xfId="5392"/>
    <cellStyle name=" _간지_옥외탱크및기기기초(단가)_실행내역서_사용승인신청서LIST(분당)(1)(090514)" xfId="5393"/>
    <cellStyle name=" _간지_옥외탱크및기기기초(단가)_현대오일뱅크 철골공사" xfId="5394"/>
    <cellStyle name=" _간지_옥외탱크및기기기초(단가)_현대오일뱅크 철골공사_견적용공내역서" xfId="5395"/>
    <cellStyle name=" _간지_옥외탱크및기기기초(단가)_현대오일뱅크 철골공사_견적용공내역서_사용승인신청서LIST(분당)(1)(090514)" xfId="5396"/>
    <cellStyle name=" _간지_옥외탱크및기기기초(단가)_현대오일뱅크 철골공사_사용승인신청서LIST(분당)(1)(090514)" xfId="5397"/>
    <cellStyle name=" _간지_옥외탱크및기기기초(단가)_현대오일뱅크 철골공사_실행내역서" xfId="5398"/>
    <cellStyle name=" _간지_옥외탱크및기기기초(단가)_현대오일뱅크 철골공사_실행내역서_사용승인신청서LIST(분당)(1)(090514)" xfId="5399"/>
    <cellStyle name=" _간지_전기설비기초-FF" xfId="5400"/>
    <cellStyle name=" _간지_전기설비기초-FF_견적용공내역서" xfId="5401"/>
    <cellStyle name=" _간지_전기설비기초-FF_견적용공내역서_사용승인신청서LIST(분당)(1)(090514)" xfId="5402"/>
    <cellStyle name=" _간지_전기설비기초-FF_사용승인신청서LIST(분당)(1)(090514)" xfId="5403"/>
    <cellStyle name=" _간지_전기설비기초-FF_실행내역서" xfId="5404"/>
    <cellStyle name=" _간지_전기설비기초-FF_실행내역서_사용승인신청서LIST(분당)(1)(090514)" xfId="5405"/>
    <cellStyle name=" _간지_전기설비기초-FF_현대오일뱅크 철골공사" xfId="5406"/>
    <cellStyle name=" _간지_전기설비기초-FF_현대오일뱅크 철골공사_견적용공내역서" xfId="5407"/>
    <cellStyle name=" _간지_전기설비기초-FF_현대오일뱅크 철골공사_견적용공내역서_사용승인신청서LIST(분당)(1)(090514)" xfId="5408"/>
    <cellStyle name=" _간지_전기설비기초-FF_현대오일뱅크 철골공사_사용승인신청서LIST(분당)(1)(090514)" xfId="5409"/>
    <cellStyle name=" _간지_전기설비기초-FF_현대오일뱅크 철골공사_실행내역서" xfId="5410"/>
    <cellStyle name=" _간지_전기설비기초-FF_현대오일뱅크 철골공사_실행내역서_사용승인신청서LIST(분당)(1)(090514)" xfId="5411"/>
    <cellStyle name=" _간지_추가품셈1" xfId="5412"/>
    <cellStyle name=" _간지_추가품셈1_견적용공내역서" xfId="5413"/>
    <cellStyle name=" _간지_추가품셈1_견적용공내역서_사용승인신청서LIST(분당)(1)(090514)" xfId="5414"/>
    <cellStyle name=" _간지_추가품셈1_사급및확정분공통품" xfId="5415"/>
    <cellStyle name=" _간지_추가품셈1_사급및확정분공통품_견적용공내역서" xfId="5416"/>
    <cellStyle name=" _간지_추가품셈1_사급및확정분공통품_견적용공내역서_사용승인신청서LIST(분당)(1)(090514)" xfId="5417"/>
    <cellStyle name=" _간지_추가품셈1_사급및확정분공통품_사용승인신청서LIST(분당)(1)(090514)" xfId="5418"/>
    <cellStyle name=" _간지_추가품셈1_사급및확정분공통품_실행내역서" xfId="5419"/>
    <cellStyle name=" _간지_추가품셈1_사급및확정분공통품_실행내역서_사용승인신청서LIST(분당)(1)(090514)" xfId="5420"/>
    <cellStyle name=" _간지_추가품셈1_사급및확정분공통품_현대오일뱅크 철골공사" xfId="5421"/>
    <cellStyle name=" _간지_추가품셈1_사급및확정분공통품_현대오일뱅크 철골공사_견적용공내역서" xfId="5422"/>
    <cellStyle name=" _간지_추가품셈1_사급및확정분공통품_현대오일뱅크 철골공사_견적용공내역서_사용승인신청서LIST(분당)(1)(090514)" xfId="5423"/>
    <cellStyle name=" _간지_추가품셈1_사급및확정분공통품_현대오일뱅크 철골공사_사용승인신청서LIST(분당)(1)(090514)" xfId="5424"/>
    <cellStyle name=" _간지_추가품셈1_사급및확정분공통품_현대오일뱅크 철골공사_실행내역서" xfId="5425"/>
    <cellStyle name=" _간지_추가품셈1_사급및확정분공통품_현대오일뱅크 철골공사_실행내역서_사용승인신청서LIST(분당)(1)(090514)" xfId="5426"/>
    <cellStyle name=" _간지_추가품셈1_사용승인신청서LIST(분당)(1)(090514)" xfId="5427"/>
    <cellStyle name=" _간지_추가품셈1_실행내역서" xfId="5428"/>
    <cellStyle name=" _간지_추가품셈1_실행내역서_사용승인신청서LIST(분당)(1)(090514)" xfId="5429"/>
    <cellStyle name=" _간지_추가품셈1_영흥34품셈" xfId="5430"/>
    <cellStyle name=" _간지_추가품셈1_영흥34품셈_견적용공내역서" xfId="5431"/>
    <cellStyle name=" _간지_추가품셈1_영흥34품셈_견적용공내역서_사용승인신청서LIST(분당)(1)(090514)" xfId="5432"/>
    <cellStyle name=" _간지_추가품셈1_영흥34품셈_사용승인신청서LIST(분당)(1)(090514)" xfId="5433"/>
    <cellStyle name=" _간지_추가품셈1_영흥34품셈_실행내역서" xfId="5434"/>
    <cellStyle name=" _간지_추가품셈1_영흥34품셈_실행내역서_사용승인신청서LIST(분당)(1)(090514)" xfId="5435"/>
    <cellStyle name=" _간지_추가품셈1_영흥34품셈_현대오일뱅크 철골공사" xfId="5436"/>
    <cellStyle name=" _간지_추가품셈1_영흥34품셈_현대오일뱅크 철골공사_견적용공내역서" xfId="5437"/>
    <cellStyle name=" _간지_추가품셈1_영흥34품셈_현대오일뱅크 철골공사_견적용공내역서_사용승인신청서LIST(분당)(1)(090514)" xfId="5438"/>
    <cellStyle name=" _간지_추가품셈1_영흥34품셈_현대오일뱅크 철골공사_사용승인신청서LIST(분당)(1)(090514)" xfId="5439"/>
    <cellStyle name=" _간지_추가품셈1_영흥34품셈_현대오일뱅크 철골공사_실행내역서" xfId="5440"/>
    <cellStyle name=" _간지_추가품셈1_영흥34품셈_현대오일뱅크 철골공사_실행내역서_사용승인신청서LIST(분당)(1)(090514)" xfId="5441"/>
    <cellStyle name=" _간지_추가품셈1_현대오일뱅크 철골공사" xfId="5442"/>
    <cellStyle name=" _간지_추가품셈1_현대오일뱅크 철골공사_견적용공내역서" xfId="5443"/>
    <cellStyle name=" _간지_추가품셈1_현대오일뱅크 철골공사_견적용공내역서_사용승인신청서LIST(분당)(1)(090514)" xfId="5444"/>
    <cellStyle name=" _간지_추가품셈1_현대오일뱅크 철골공사_사용승인신청서LIST(분당)(1)(090514)" xfId="5445"/>
    <cellStyle name=" _간지_추가품셈1_현대오일뱅크 철골공사_실행내역서" xfId="5446"/>
    <cellStyle name=" _간지_추가품셈1_현대오일뱅크 철골공사_실행내역서_사용승인신청서LIST(분당)(1)(090514)" xfId="5447"/>
    <cellStyle name=" _간지_콘크리트품및 품질관리비" xfId="5448"/>
    <cellStyle name=" _간지_콘크리트품및 품질관리비_견적용공내역서" xfId="5449"/>
    <cellStyle name=" _간지_콘크리트품및 품질관리비_견적용공내역서_사용승인신청서LIST(분당)(1)(090514)" xfId="5450"/>
    <cellStyle name=" _간지_콘크리트품및 품질관리비_사용승인신청서LIST(분당)(1)(090514)" xfId="5451"/>
    <cellStyle name=" _간지_콘크리트품및 품질관리비_실행내역서" xfId="5452"/>
    <cellStyle name=" _간지_콘크리트품및 품질관리비_실행내역서_사용승인신청서LIST(분당)(1)(090514)" xfId="5453"/>
    <cellStyle name=" _간지_콘크리트품및 품질관리비_현대오일뱅크 철골공사" xfId="5454"/>
    <cellStyle name=" _간지_콘크리트품및 품질관리비_현대오일뱅크 철골공사_견적용공내역서" xfId="5455"/>
    <cellStyle name=" _간지_콘크리트품및 품질관리비_현대오일뱅크 철골공사_견적용공내역서_사용승인신청서LIST(분당)(1)(090514)" xfId="5456"/>
    <cellStyle name=" _간지_콘크리트품및 품질관리비_현대오일뱅크 철골공사_사용승인신청서LIST(분당)(1)(090514)" xfId="5457"/>
    <cellStyle name=" _간지_콘크리트품및 품질관리비_현대오일뱅크 철골공사_실행내역서" xfId="5458"/>
    <cellStyle name=" _간지_콘크리트품및 품질관리비_현대오일뱅크 철골공사_실행내역서_사용승인신청서LIST(분당)(1)(090514)" xfId="5459"/>
    <cellStyle name=" _간지_품셈" xfId="5460"/>
    <cellStyle name=" _간지_품셈_견적용공내역서" xfId="5461"/>
    <cellStyle name=" _간지_품셈_견적용공내역서_사용승인신청서LIST(분당)(1)(090514)" xfId="5462"/>
    <cellStyle name=" _간지_품셈_사용승인신청서LIST(분당)(1)(090514)" xfId="5463"/>
    <cellStyle name=" _간지_품셈_실행내역서" xfId="5464"/>
    <cellStyle name=" _간지_품셈_실행내역서_사용승인신청서LIST(분당)(1)(090514)" xfId="5465"/>
    <cellStyle name=" _간지_품셈_현대오일뱅크 철골공사" xfId="5466"/>
    <cellStyle name=" _간지_품셈_현대오일뱅크 철골공사_견적용공내역서" xfId="5467"/>
    <cellStyle name=" _간지_품셈_현대오일뱅크 철골공사_견적용공내역서_사용승인신청서LIST(분당)(1)(090514)" xfId="5468"/>
    <cellStyle name=" _간지_품셈_현대오일뱅크 철골공사_사용승인신청서LIST(분당)(1)(090514)" xfId="5469"/>
    <cellStyle name=" _간지_품셈_현대오일뱅크 철골공사_실행내역서" xfId="5470"/>
    <cellStyle name=" _간지_품셈_현대오일뱅크 철골공사_실행내역서_사용승인신청서LIST(분당)(1)(090514)" xfId="5471"/>
    <cellStyle name=" _간지_현대오일뱅크 철골공사" xfId="5472"/>
    <cellStyle name=" _간지_현대오일뱅크 철골공사_견적용공내역서" xfId="5473"/>
    <cellStyle name=" _간지_현대오일뱅크 철골공사_견적용공내역서_사용승인신청서LIST(분당)(1)(090514)" xfId="5474"/>
    <cellStyle name=" _간지_현대오일뱅크 철골공사_사용승인신청서LIST(분당)(1)(090514)" xfId="5475"/>
    <cellStyle name=" _간지_현대오일뱅크 철골공사_실행내역서" xfId="5476"/>
    <cellStyle name=" _간지_현대오일뱅크 철골공사_실행내역서_사용승인신청서LIST(분당)(1)(090514)" xfId="5477"/>
    <cellStyle name=" _구내도로 및 배수(단가)" xfId="5478"/>
    <cellStyle name=" _대표공종내역" xfId="5479"/>
    <cellStyle name=" _대표공종내역_견적용공내역서" xfId="5480"/>
    <cellStyle name=" _대표공종내역_견적용공내역서_사용승인신청서LIST(분당)(1)(090514)" xfId="5481"/>
    <cellStyle name=" _대표공종내역_사용승인신청서LIST(분당)(1)(090514)" xfId="5482"/>
    <cellStyle name=" _대표공종내역_실행내역서" xfId="5483"/>
    <cellStyle name=" _대표공종내역_실행내역서_사용승인신청서LIST(분당)(1)(090514)" xfId="5484"/>
    <cellStyle name=" _대표공종내역_현대오일뱅크 철골공사" xfId="5485"/>
    <cellStyle name=" _대표공종내역_현대오일뱅크 철골공사_견적용공내역서" xfId="5486"/>
    <cellStyle name=" _대표공종내역_현대오일뱅크 철골공사_견적용공내역서_사용승인신청서LIST(분당)(1)(090514)" xfId="5487"/>
    <cellStyle name=" _대표공종내역_현대오일뱅크 철골공사_사용승인신청서LIST(분당)(1)(090514)" xfId="5488"/>
    <cellStyle name=" _대표공종내역_현대오일뱅크 철골공사_실행내역서" xfId="5489"/>
    <cellStyle name=" _대표공종내역_현대오일뱅크 철골공사_실행내역서_사용승인신청서LIST(분당)(1)(090514)" xfId="5490"/>
    <cellStyle name=" _본관기초굴착(단가)" xfId="5491"/>
    <cellStyle name=" _사급자재단가산출" xfId="5492"/>
    <cellStyle name=" _사급자재단가산출_견적용공내역서" xfId="5493"/>
    <cellStyle name=" _사급자재단가산출_견적용공내역서_사용승인신청서LIST(분당)(1)(090514)" xfId="5494"/>
    <cellStyle name=" _사급자재단가산출_사급및확정분공통품" xfId="5495"/>
    <cellStyle name=" _사급자재단가산출_사급및확정분공통품_견적용공내역서" xfId="5496"/>
    <cellStyle name=" _사급자재단가산출_사급및확정분공통품_견적용공내역서_사용승인신청서LIST(분당)(1)(090514)" xfId="5497"/>
    <cellStyle name=" _사급자재단가산출_사급및확정분공통품_사용승인신청서LIST(분당)(1)(090514)" xfId="5498"/>
    <cellStyle name=" _사급자재단가산출_사급및확정분공통품_실행내역서" xfId="5499"/>
    <cellStyle name=" _사급자재단가산출_사급및확정분공통품_실행내역서_사용승인신청서LIST(분당)(1)(090514)" xfId="5500"/>
    <cellStyle name=" _사급자재단가산출_사급및확정분공통품_현대오일뱅크 철골공사" xfId="5501"/>
    <cellStyle name=" _사급자재단가산출_사급및확정분공통품_현대오일뱅크 철골공사_견적용공내역서" xfId="5502"/>
    <cellStyle name=" _사급자재단가산출_사급및확정분공통품_현대오일뱅크 철골공사_견적용공내역서_사용승인신청서LIST(분당)(1)(090514)" xfId="5503"/>
    <cellStyle name=" _사급자재단가산출_사급및확정분공통품_현대오일뱅크 철골공사_사용승인신청서LIST(분당)(1)(090514)" xfId="5504"/>
    <cellStyle name=" _사급자재단가산출_사급및확정분공통품_현대오일뱅크 철골공사_실행내역서" xfId="5505"/>
    <cellStyle name=" _사급자재단가산출_사급및확정분공통품_현대오일뱅크 철골공사_실행내역서_사용승인신청서LIST(분당)(1)(090514)" xfId="5506"/>
    <cellStyle name=" _사급자재단가산출_사용승인신청서LIST(분당)(1)(090514)" xfId="5507"/>
    <cellStyle name=" _사급자재단가산출_실행내역서" xfId="5508"/>
    <cellStyle name=" _사급자재단가산출_실행내역서_사용승인신청서LIST(분당)(1)(090514)" xfId="5509"/>
    <cellStyle name=" _사급자재단가산출_영흥34품셈" xfId="5510"/>
    <cellStyle name=" _사급자재단가산출_영흥34품셈_견적용공내역서" xfId="5511"/>
    <cellStyle name=" _사급자재단가산출_영흥34품셈_견적용공내역서_사용승인신청서LIST(분당)(1)(090514)" xfId="5512"/>
    <cellStyle name=" _사급자재단가산출_영흥34품셈_사용승인신청서LIST(분당)(1)(090514)" xfId="5513"/>
    <cellStyle name=" _사급자재단가산출_영흥34품셈_실행내역서" xfId="5514"/>
    <cellStyle name=" _사급자재단가산출_영흥34품셈_실행내역서_사용승인신청서LIST(분당)(1)(090514)" xfId="5515"/>
    <cellStyle name=" _사급자재단가산출_영흥34품셈_현대오일뱅크 철골공사" xfId="5516"/>
    <cellStyle name=" _사급자재단가산출_영흥34품셈_현대오일뱅크 철골공사_견적용공내역서" xfId="5517"/>
    <cellStyle name=" _사급자재단가산출_영흥34품셈_현대오일뱅크 철골공사_견적용공내역서_사용승인신청서LIST(분당)(1)(090514)" xfId="5518"/>
    <cellStyle name=" _사급자재단가산출_영흥34품셈_현대오일뱅크 철골공사_사용승인신청서LIST(분당)(1)(090514)" xfId="5519"/>
    <cellStyle name=" _사급자재단가산출_영흥34품셈_현대오일뱅크 철골공사_실행내역서" xfId="5520"/>
    <cellStyle name=" _사급자재단가산출_영흥34품셈_현대오일뱅크 철골공사_실행내역서_사용승인신청서LIST(분당)(1)(090514)" xfId="5521"/>
    <cellStyle name=" _사급자재단가산출_추가품셈1" xfId="5522"/>
    <cellStyle name=" _사급자재단가산출_추가품셈1_견적용공내역서" xfId="5523"/>
    <cellStyle name=" _사급자재단가산출_추가품셈1_견적용공내역서_사용승인신청서LIST(분당)(1)(090514)" xfId="5524"/>
    <cellStyle name=" _사급자재단가산출_추가품셈1_사용승인신청서LIST(분당)(1)(090514)" xfId="5525"/>
    <cellStyle name=" _사급자재단가산출_추가품셈1_실행내역서" xfId="5526"/>
    <cellStyle name=" _사급자재단가산출_추가품셈1_실행내역서_사용승인신청서LIST(분당)(1)(090514)" xfId="5527"/>
    <cellStyle name=" _사급자재단가산출_추가품셈1_현대오일뱅크 철골공사" xfId="5528"/>
    <cellStyle name=" _사급자재단가산출_추가품셈1_현대오일뱅크 철골공사_견적용공내역서" xfId="5529"/>
    <cellStyle name=" _사급자재단가산출_추가품셈1_현대오일뱅크 철골공사_견적용공내역서_사용승인신청서LIST(분당)(1)(090514)" xfId="5530"/>
    <cellStyle name=" _사급자재단가산출_추가품셈1_현대오일뱅크 철골공사_사용승인신청서LIST(분당)(1)(090514)" xfId="5531"/>
    <cellStyle name=" _사급자재단가산출_추가품셈1_현대오일뱅크 철골공사_실행내역서" xfId="5532"/>
    <cellStyle name=" _사급자재단가산출_추가품셈1_현대오일뱅크 철골공사_실행내역서_사용승인신청서LIST(분당)(1)(090514)" xfId="5533"/>
    <cellStyle name=" _사급자재단가산출_현대오일뱅크 철골공사" xfId="5534"/>
    <cellStyle name=" _사급자재단가산출_현대오일뱅크 철골공사_견적용공내역서" xfId="5535"/>
    <cellStyle name=" _사급자재단가산출_현대오일뱅크 철골공사_견적용공내역서_사용승인신청서LIST(분당)(1)(090514)" xfId="5536"/>
    <cellStyle name=" _사급자재단가산출_현대오일뱅크 철골공사_사용승인신청서LIST(분당)(1)(090514)" xfId="5537"/>
    <cellStyle name=" _사급자재단가산출_현대오일뱅크 철골공사_실행내역서" xfId="5538"/>
    <cellStyle name=" _사급자재단가산출_현대오일뱅크 철골공사_실행내역서_사용승인신청서LIST(분당)(1)(090514)" xfId="5539"/>
    <cellStyle name=" _사급재료비및운반비" xfId="5540"/>
    <cellStyle name=" _사급재료비및운반비_견적용공내역서" xfId="5541"/>
    <cellStyle name=" _사급재료비및운반비_견적용공내역서_사용승인신청서LIST(분당)(1)(090514)" xfId="5542"/>
    <cellStyle name=" _사급재료비및운반비_사용승인신청서LIST(분당)(1)(090514)" xfId="5543"/>
    <cellStyle name=" _사급재료비및운반비_실행내역서" xfId="5544"/>
    <cellStyle name=" _사급재료비및운반비_실행내역서_사용승인신청서LIST(분당)(1)(090514)" xfId="5545"/>
    <cellStyle name=" _사급재료비및운반비_현대오일뱅크 철골공사" xfId="5546"/>
    <cellStyle name=" _사급재료비및운반비_현대오일뱅크 철골공사_견적용공내역서" xfId="5547"/>
    <cellStyle name=" _사급재료비및운반비_현대오일뱅크 철골공사_견적용공내역서_사용승인신청서LIST(분당)(1)(090514)" xfId="5548"/>
    <cellStyle name=" _사급재료비및운반비_현대오일뱅크 철골공사_사용승인신청서LIST(분당)(1)(090514)" xfId="5549"/>
    <cellStyle name=" _사급재료비및운반비_현대오일뱅크 철골공사_실행내역서" xfId="5550"/>
    <cellStyle name=" _사급재료비및운반비_현대오일뱅크 철골공사_실행내역서_사용승인신청서LIST(분당)(1)(090514)" xfId="5551"/>
    <cellStyle name=" _설계명세서" xfId="5552"/>
    <cellStyle name=" _설계명세서_1" xfId="5553"/>
    <cellStyle name=" _설계명세서_1_견적용공내역서" xfId="5554"/>
    <cellStyle name=" _설계명세서_1_견적용공내역서_사용승인신청서LIST(분당)(1)(090514)" xfId="5555"/>
    <cellStyle name=" _설계명세서_1_사용승인신청서LIST(분당)(1)(090514)" xfId="5556"/>
    <cellStyle name=" _설계명세서_1_실행내역서" xfId="5557"/>
    <cellStyle name=" _설계명세서_1_실행내역서_사용승인신청서LIST(분당)(1)(090514)" xfId="5558"/>
    <cellStyle name=" _설계명세서_1_전기설비기초-FF" xfId="5559"/>
    <cellStyle name=" _설계명세서_1_전기설비기초-FF_견적용공내역서" xfId="5560"/>
    <cellStyle name=" _설계명세서_1_전기설비기초-FF_견적용공내역서_사용승인신청서LIST(분당)(1)(090514)" xfId="5561"/>
    <cellStyle name=" _설계명세서_1_전기설비기초-FF_사용승인신청서LIST(분당)(1)(090514)" xfId="5562"/>
    <cellStyle name=" _설계명세서_1_전기설비기초-FF_실행내역서" xfId="5563"/>
    <cellStyle name=" _설계명세서_1_전기설비기초-FF_실행내역서_사용승인신청서LIST(분당)(1)(090514)" xfId="5564"/>
    <cellStyle name=" _설계명세서_1_전기설비기초-FF_현대오일뱅크 철골공사" xfId="5565"/>
    <cellStyle name=" _설계명세서_1_전기설비기초-FF_현대오일뱅크 철골공사_견적용공내역서" xfId="5566"/>
    <cellStyle name=" _설계명세서_1_전기설비기초-FF_현대오일뱅크 철골공사_견적용공내역서_사용승인신청서LIST(분당)(1)(090514)" xfId="5567"/>
    <cellStyle name=" _설계명세서_1_전기설비기초-FF_현대오일뱅크 철골공사_사용승인신청서LIST(분당)(1)(090514)" xfId="5568"/>
    <cellStyle name=" _설계명세서_1_전기설비기초-FF_현대오일뱅크 철골공사_실행내역서" xfId="5569"/>
    <cellStyle name=" _설계명세서_1_전기설비기초-FF_현대오일뱅크 철골공사_실행내역서_사용승인신청서LIST(분당)(1)(090514)" xfId="5570"/>
    <cellStyle name=" _설계명세서_1_현대오일뱅크 철골공사" xfId="5571"/>
    <cellStyle name=" _설계명세서_1_현대오일뱅크 철골공사_견적용공내역서" xfId="5572"/>
    <cellStyle name=" _설계명세서_1_현대오일뱅크 철골공사_견적용공내역서_사용승인신청서LIST(분당)(1)(090514)" xfId="5573"/>
    <cellStyle name=" _설계명세서_1_현대오일뱅크 철골공사_사용승인신청서LIST(분당)(1)(090514)" xfId="5574"/>
    <cellStyle name=" _설계명세서_1_현대오일뱅크 철골공사_실행내역서" xfId="5575"/>
    <cellStyle name=" _설계명세서_1_현대오일뱅크 철골공사_실행내역서_사용승인신청서LIST(분당)(1)(090514)" xfId="5576"/>
    <cellStyle name=" _설계명세서_견적용공내역서" xfId="5577"/>
    <cellStyle name=" _설계명세서_견적용공내역서_사용승인신청서LIST(분당)(1)(090514)" xfId="5578"/>
    <cellStyle name=" _설계명세서_사용승인신청서LIST(분당)(1)(090514)" xfId="5579"/>
    <cellStyle name=" _설계명세서_실행내역서" xfId="5580"/>
    <cellStyle name=" _설계명세서_실행내역서_사용승인신청서LIST(분당)(1)(090514)" xfId="5581"/>
    <cellStyle name=" _설계명세서_현대오일뱅크 철골공사" xfId="5582"/>
    <cellStyle name=" _설계명세서_현대오일뱅크 철골공사_견적용공내역서" xfId="5583"/>
    <cellStyle name=" _설계명세서_현대오일뱅크 철골공사_견적용공내역서_사용승인신청서LIST(분당)(1)(090514)" xfId="5584"/>
    <cellStyle name=" _설계명세서_현대오일뱅크 철골공사_사용승인신청서LIST(분당)(1)(090514)" xfId="5585"/>
    <cellStyle name=" _설계명세서_현대오일뱅크 철골공사_실행내역서" xfId="5586"/>
    <cellStyle name=" _설계명세서_현대오일뱅크 철골공사_실행내역서_사용승인신청서LIST(분당)(1)(090514)" xfId="5587"/>
    <cellStyle name=" _설계변경조서" xfId="5588"/>
    <cellStyle name=" _소화수(REV.1)" xfId="5589"/>
    <cellStyle name=" _수량및 단가 산출내용표" xfId="5590"/>
    <cellStyle name=" _수량및 단가 산출내용표_20030310150903590-E1C865BF" xfId="5591"/>
    <cellStyle name=" _수량및 단가 산출내용표_20030310150903590-E1C865BF_견적용공내역서" xfId="5592"/>
    <cellStyle name=" _수량및 단가 산출내용표_20030310150903590-E1C865BF_견적용공내역서_사용승인신청서LIST(분당)(1)(090514)" xfId="5593"/>
    <cellStyle name=" _수량및 단가 산출내용표_20030310150903590-E1C865BF_사용승인신청서LIST(분당)(1)(090514)" xfId="5594"/>
    <cellStyle name=" _수량및 단가 산출내용표_20030310150903590-E1C865BF_실행내역서" xfId="5595"/>
    <cellStyle name=" _수량및 단가 산출내용표_20030310150903590-E1C865BF_실행내역서_사용승인신청서LIST(분당)(1)(090514)" xfId="5596"/>
    <cellStyle name=" _수량및 단가 산출내용표_20030310150903590-E1C865BF_현대오일뱅크 철골공사" xfId="5597"/>
    <cellStyle name=" _수량및 단가 산출내용표_20030310150903590-E1C865BF_현대오일뱅크 철골공사_견적용공내역서" xfId="5598"/>
    <cellStyle name=" _수량및 단가 산출내용표_20030310150903590-E1C865BF_현대오일뱅크 철골공사_견적용공내역서_사용승인신청서LIST(분당)(1)(090514)" xfId="5599"/>
    <cellStyle name=" _수량및 단가 산출내용표_20030310150903590-E1C865BF_현대오일뱅크 철골공사_사용승인신청서LIST(분당)(1)(090514)" xfId="5600"/>
    <cellStyle name=" _수량및 단가 산출내용표_20030310150903590-E1C865BF_현대오일뱅크 철골공사_실행내역서" xfId="5601"/>
    <cellStyle name=" _수량및 단가 산출내용표_20030310150903590-E1C865BF_현대오일뱅크 철골공사_실행내역서_사용승인신청서LIST(분당)(1)(090514)" xfId="5602"/>
    <cellStyle name=" _수량및 단가 산출내용표_간지" xfId="5603"/>
    <cellStyle name=" _수량및 단가 산출내용표_간지_견적용공내역서" xfId="5604"/>
    <cellStyle name=" _수량및 단가 산출내용표_간지_견적용공내역서_사용승인신청서LIST(분당)(1)(090514)" xfId="5605"/>
    <cellStyle name=" _수량및 단가 산출내용표_간지_사급및확정분공통품" xfId="5606"/>
    <cellStyle name=" _수량및 단가 산출내용표_간지_사급및확정분공통품_견적용공내역서" xfId="5607"/>
    <cellStyle name=" _수량및 단가 산출내용표_간지_사급및확정분공통품_견적용공내역서_사용승인신청서LIST(분당)(1)(090514)" xfId="5608"/>
    <cellStyle name=" _수량및 단가 산출내용표_간지_사급및확정분공통품_사용승인신청서LIST(분당)(1)(090514)" xfId="5609"/>
    <cellStyle name=" _수량및 단가 산출내용표_간지_사급및확정분공통품_실행내역서" xfId="5610"/>
    <cellStyle name=" _수량및 단가 산출내용표_간지_사급및확정분공통품_실행내역서_사용승인신청서LIST(분당)(1)(090514)" xfId="5611"/>
    <cellStyle name=" _수량및 단가 산출내용표_간지_사급및확정분공통품_현대오일뱅크 철골공사" xfId="5612"/>
    <cellStyle name=" _수량및 단가 산출내용표_간지_사급및확정분공통품_현대오일뱅크 철골공사_견적용공내역서" xfId="5613"/>
    <cellStyle name=" _수량및 단가 산출내용표_간지_사급및확정분공통품_현대오일뱅크 철골공사_견적용공내역서_사용승인신청서LIST(분당)(1)(090514)" xfId="5614"/>
    <cellStyle name=" _수량및 단가 산출내용표_간지_사급및확정분공통품_현대오일뱅크 철골공사_사용승인신청서LIST(분당)(1)(090514)" xfId="5615"/>
    <cellStyle name=" _수량및 단가 산출내용표_간지_사급및확정분공통품_현대오일뱅크 철골공사_실행내역서" xfId="5616"/>
    <cellStyle name=" _수량및 단가 산출내용표_간지_사급및확정분공통품_현대오일뱅크 철골공사_실행내역서_사용승인신청서LIST(분당)(1)(090514)" xfId="5617"/>
    <cellStyle name=" _수량및 단가 산출내용표_간지_사용승인신청서LIST(분당)(1)(090514)" xfId="5618"/>
    <cellStyle name=" _수량및 단가 산출내용표_간지_실행내역서" xfId="5619"/>
    <cellStyle name=" _수량및 단가 산출내용표_간지_실행내역서_사용승인신청서LIST(분당)(1)(090514)" xfId="5620"/>
    <cellStyle name=" _수량및 단가 산출내용표_간지_영흥34품셈" xfId="5621"/>
    <cellStyle name=" _수량및 단가 산출내용표_간지_영흥34품셈_견적용공내역서" xfId="5622"/>
    <cellStyle name=" _수량및 단가 산출내용표_간지_영흥34품셈_견적용공내역서_사용승인신청서LIST(분당)(1)(090514)" xfId="5623"/>
    <cellStyle name=" _수량및 단가 산출내용표_간지_영흥34품셈_사용승인신청서LIST(분당)(1)(090514)" xfId="5624"/>
    <cellStyle name=" _수량및 단가 산출내용표_간지_영흥34품셈_실행내역서" xfId="5625"/>
    <cellStyle name=" _수량및 단가 산출내용표_간지_영흥34품셈_실행내역서_사용승인신청서LIST(분당)(1)(090514)" xfId="5626"/>
    <cellStyle name=" _수량및 단가 산출내용표_간지_영흥34품셈_현대오일뱅크 철골공사" xfId="5627"/>
    <cellStyle name=" _수량및 단가 산출내용표_간지_영흥34품셈_현대오일뱅크 철골공사_견적용공내역서" xfId="5628"/>
    <cellStyle name=" _수량및 단가 산출내용표_간지_영흥34품셈_현대오일뱅크 철골공사_견적용공내역서_사용승인신청서LIST(분당)(1)(090514)" xfId="5629"/>
    <cellStyle name=" _수량및 단가 산출내용표_간지_영흥34품셈_현대오일뱅크 철골공사_사용승인신청서LIST(분당)(1)(090514)" xfId="5630"/>
    <cellStyle name=" _수량및 단가 산출내용표_간지_영흥34품셈_현대오일뱅크 철골공사_실행내역서" xfId="5631"/>
    <cellStyle name=" _수량및 단가 산출내용표_간지_영흥34품셈_현대오일뱅크 철골공사_실행내역서_사용승인신청서LIST(분당)(1)(090514)" xfId="5632"/>
    <cellStyle name=" _수량및 단가 산출내용표_간지_추가품셈1" xfId="5633"/>
    <cellStyle name=" _수량및 단가 산출내용표_간지_추가품셈1_견적용공내역서" xfId="5634"/>
    <cellStyle name=" _수량및 단가 산출내용표_간지_추가품셈1_견적용공내역서_사용승인신청서LIST(분당)(1)(090514)" xfId="5635"/>
    <cellStyle name=" _수량및 단가 산출내용표_간지_추가품셈1_사용승인신청서LIST(분당)(1)(090514)" xfId="5636"/>
    <cellStyle name=" _수량및 단가 산출내용표_간지_추가품셈1_실행내역서" xfId="5637"/>
    <cellStyle name=" _수량및 단가 산출내용표_간지_추가품셈1_실행내역서_사용승인신청서LIST(분당)(1)(090514)" xfId="5638"/>
    <cellStyle name=" _수량및 단가 산출내용표_간지_추가품셈1_현대오일뱅크 철골공사" xfId="5639"/>
    <cellStyle name=" _수량및 단가 산출내용표_간지_추가품셈1_현대오일뱅크 철골공사_견적용공내역서" xfId="5640"/>
    <cellStyle name=" _수량및 단가 산출내용표_간지_추가품셈1_현대오일뱅크 철골공사_견적용공내역서_사용승인신청서LIST(분당)(1)(090514)" xfId="5641"/>
    <cellStyle name=" _수량및 단가 산출내용표_간지_추가품셈1_현대오일뱅크 철골공사_사용승인신청서LIST(분당)(1)(090514)" xfId="5642"/>
    <cellStyle name=" _수량및 단가 산출내용표_간지_추가품셈1_현대오일뱅크 철골공사_실행내역서" xfId="5643"/>
    <cellStyle name=" _수량및 단가 산출내용표_간지_추가품셈1_현대오일뱅크 철골공사_실행내역서_사용승인신청서LIST(분당)(1)(090514)" xfId="5644"/>
    <cellStyle name=" _수량및 단가 산출내용표_간지_현대오일뱅크 철골공사" xfId="5645"/>
    <cellStyle name=" _수량및 단가 산출내용표_간지_현대오일뱅크 철골공사_견적용공내역서" xfId="5646"/>
    <cellStyle name=" _수량및 단가 산출내용표_간지_현대오일뱅크 철골공사_견적용공내역서_사용승인신청서LIST(분당)(1)(090514)" xfId="5647"/>
    <cellStyle name=" _수량및 단가 산출내용표_간지_현대오일뱅크 철골공사_사용승인신청서LIST(분당)(1)(090514)" xfId="5648"/>
    <cellStyle name=" _수량및 단가 산출내용표_간지_현대오일뱅크 철골공사_실행내역서" xfId="5649"/>
    <cellStyle name=" _수량및 단가 산출내용표_간지_현대오일뱅크 철골공사_실행내역서_사용승인신청서LIST(분당)(1)(090514)" xfId="5650"/>
    <cellStyle name=" _수량및 단가 산출내용표_견적용공내역서" xfId="5651"/>
    <cellStyle name=" _수량및 단가 산출내용표_견적용공내역서_사용승인신청서LIST(분당)(1)(090514)" xfId="5652"/>
    <cellStyle name=" _수량및 단가 산출내용표_구내도로 및 배수(단가)" xfId="5653"/>
    <cellStyle name=" _수량및 단가 산출내용표_구내도로 및 배수(단가)_견적용공내역서" xfId="5654"/>
    <cellStyle name=" _수량및 단가 산출내용표_구내도로 및 배수(단가)_견적용공내역서_사용승인신청서LIST(분당)(1)(090514)" xfId="5655"/>
    <cellStyle name=" _수량및 단가 산출내용표_구내도로 및 배수(단가)_사용승인신청서LIST(분당)(1)(090514)" xfId="5656"/>
    <cellStyle name=" _수량및 단가 산출내용표_구내도로 및 배수(단가)_실행내역서" xfId="5657"/>
    <cellStyle name=" _수량및 단가 산출내용표_구내도로 및 배수(단가)_실행내역서_사용승인신청서LIST(분당)(1)(090514)" xfId="5658"/>
    <cellStyle name=" _수량및 단가 산출내용표_구내도로 및 배수(단가)_현대오일뱅크 철골공사" xfId="5659"/>
    <cellStyle name=" _수량및 단가 산출내용표_구내도로 및 배수(단가)_현대오일뱅크 철골공사_견적용공내역서" xfId="5660"/>
    <cellStyle name=" _수량및 단가 산출내용표_구내도로 및 배수(단가)_현대오일뱅크 철골공사_견적용공내역서_사용승인신청서LIST(분당)(1)(090514)" xfId="5661"/>
    <cellStyle name=" _수량및 단가 산출내용표_구내도로 및 배수(단가)_현대오일뱅크 철골공사_사용승인신청서LIST(분당)(1)(090514)" xfId="5662"/>
    <cellStyle name=" _수량및 단가 산출내용표_구내도로 및 배수(단가)_현대오일뱅크 철골공사_실행내역서" xfId="5663"/>
    <cellStyle name=" _수량및 단가 산출내용표_구내도로 및 배수(단가)_현대오일뱅크 철골공사_실행내역서_사용승인신청서LIST(분당)(1)(090514)" xfId="5664"/>
    <cellStyle name=" _수량및 단가 산출내용표_본관기초굴착(CC-01)최종(입찰용)" xfId="5665"/>
    <cellStyle name=" _수량및 단가 산출내용표_본관기초굴착(CC-01)최종(입찰용)_견적용공내역서" xfId="5666"/>
    <cellStyle name=" _수량및 단가 산출내용표_본관기초굴착(CC-01)최종(입찰용)_견적용공내역서_사용승인신청서LIST(분당)(1)(090514)" xfId="5667"/>
    <cellStyle name=" _수량및 단가 산출내용표_본관기초굴착(CC-01)최종(입찰용)_사용승인신청서LIST(분당)(1)(090514)" xfId="5668"/>
    <cellStyle name=" _수량및 단가 산출내용표_본관기초굴착(CC-01)최종(입찰용)_실행내역서" xfId="5669"/>
    <cellStyle name=" _수량및 단가 산출내용표_본관기초굴착(CC-01)최종(입찰용)_실행내역서_사용승인신청서LIST(분당)(1)(090514)" xfId="5670"/>
    <cellStyle name=" _수량및 단가 산출내용표_본관기초굴착(CC-01)최종(입찰용)_현대오일뱅크 철골공사" xfId="5671"/>
    <cellStyle name=" _수량및 단가 산출내용표_본관기초굴착(CC-01)최종(입찰용)_현대오일뱅크 철골공사_견적용공내역서" xfId="5672"/>
    <cellStyle name=" _수량및 단가 산출내용표_본관기초굴착(CC-01)최종(입찰용)_현대오일뱅크 철골공사_견적용공내역서_사용승인신청서LIST(분당)(1)(090514)" xfId="5673"/>
    <cellStyle name=" _수량및 단가 산출내용표_본관기초굴착(CC-01)최종(입찰용)_현대오일뱅크 철골공사_사용승인신청서LIST(분당)(1)(090514)" xfId="5674"/>
    <cellStyle name=" _수량및 단가 산출내용표_본관기초굴착(CC-01)최종(입찰용)_현대오일뱅크 철골공사_실행내역서" xfId="5675"/>
    <cellStyle name=" _수량및 단가 산출내용표_본관기초굴착(CC-01)최종(입찰용)_현대오일뱅크 철골공사_실행내역서_사용승인신청서LIST(분당)(1)(090514)" xfId="5676"/>
    <cellStyle name=" _수량및 단가 산출내용표_본관기초굴착(단가)" xfId="5677"/>
    <cellStyle name=" _수량및 단가 산출내용표_본관기초굴착(단가)_견적용공내역서" xfId="5678"/>
    <cellStyle name=" _수량및 단가 산출내용표_본관기초굴착(단가)_견적용공내역서_사용승인신청서LIST(분당)(1)(090514)" xfId="5679"/>
    <cellStyle name=" _수량및 단가 산출내용표_본관기초굴착(단가)_사용승인신청서LIST(분당)(1)(090514)" xfId="5680"/>
    <cellStyle name=" _수량및 단가 산출내용표_본관기초굴착(단가)_실행내역서" xfId="5681"/>
    <cellStyle name=" _수량및 단가 산출내용표_본관기초굴착(단가)_실행내역서_사용승인신청서LIST(분당)(1)(090514)" xfId="5682"/>
    <cellStyle name=" _수량및 단가 산출내용표_본관기초굴착(단가)_현대오일뱅크 철골공사" xfId="5683"/>
    <cellStyle name=" _수량및 단가 산출내용표_본관기초굴착(단가)_현대오일뱅크 철골공사_견적용공내역서" xfId="5684"/>
    <cellStyle name=" _수량및 단가 산출내용표_본관기초굴착(단가)_현대오일뱅크 철골공사_견적용공내역서_사용승인신청서LIST(분당)(1)(090514)" xfId="5685"/>
    <cellStyle name=" _수량및 단가 산출내용표_본관기초굴착(단가)_현대오일뱅크 철골공사_사용승인신청서LIST(분당)(1)(090514)" xfId="5686"/>
    <cellStyle name=" _수량및 단가 산출내용표_본관기초굴착(단가)_현대오일뱅크 철골공사_실행내역서" xfId="5687"/>
    <cellStyle name=" _수량및 단가 산출내용표_본관기초굴착(단가)_현대오일뱅크 철골공사_실행내역서_사용승인신청서LIST(분당)(1)(090514)" xfId="5688"/>
    <cellStyle name=" _수량및 단가 산출내용표_사급자재단가산출" xfId="5689"/>
    <cellStyle name=" _수량및 단가 산출내용표_사급자재단가산출_견적용공내역서" xfId="5690"/>
    <cellStyle name=" _수량및 단가 산출내용표_사급자재단가산출_견적용공내역서_사용승인신청서LIST(분당)(1)(090514)" xfId="5691"/>
    <cellStyle name=" _수량및 단가 산출내용표_사급자재단가산출_사급및확정분공통품" xfId="5692"/>
    <cellStyle name=" _수량및 단가 산출내용표_사급자재단가산출_사급및확정분공통품_견적용공내역서" xfId="5693"/>
    <cellStyle name=" _수량및 단가 산출내용표_사급자재단가산출_사급및확정분공통품_견적용공내역서_사용승인신청서LIST(분당)(1)(090514)" xfId="5694"/>
    <cellStyle name=" _수량및 단가 산출내용표_사급자재단가산출_사급및확정분공통품_사용승인신청서LIST(분당)(1)(090514)" xfId="5695"/>
    <cellStyle name=" _수량및 단가 산출내용표_사급자재단가산출_사급및확정분공통품_실행내역서" xfId="5696"/>
    <cellStyle name=" _수량및 단가 산출내용표_사급자재단가산출_사급및확정분공통품_실행내역서_사용승인신청서LIST(분당)(1)(090514)" xfId="5697"/>
    <cellStyle name=" _수량및 단가 산출내용표_사급자재단가산출_사급및확정분공통품_현대오일뱅크 철골공사" xfId="5698"/>
    <cellStyle name=" _수량및 단가 산출내용표_사급자재단가산출_사급및확정분공통품_현대오일뱅크 철골공사_견적용공내역서" xfId="5699"/>
    <cellStyle name=" _수량및 단가 산출내용표_사급자재단가산출_사급및확정분공통품_현대오일뱅크 철골공사_견적용공내역서_사용승인신청서LIST(분당)(1)(090514)" xfId="5700"/>
    <cellStyle name=" _수량및 단가 산출내용표_사급자재단가산출_사급및확정분공통품_현대오일뱅크 철골공사_사용승인신청서LIST(분당)(1)(090514)" xfId="5701"/>
    <cellStyle name=" _수량및 단가 산출내용표_사급자재단가산출_사급및확정분공통품_현대오일뱅크 철골공사_실행내역서" xfId="5702"/>
    <cellStyle name=" _수량및 단가 산출내용표_사급자재단가산출_사급및확정분공통품_현대오일뱅크 철골공사_실행내역서_사용승인신청서LIST(분당)(1)(090514)" xfId="5703"/>
    <cellStyle name=" _수량및 단가 산출내용표_사급자재단가산출_사용승인신청서LIST(분당)(1)(090514)" xfId="5704"/>
    <cellStyle name=" _수량및 단가 산출내용표_사급자재단가산출_실행내역서" xfId="5705"/>
    <cellStyle name=" _수량및 단가 산출내용표_사급자재단가산출_실행내역서_사용승인신청서LIST(분당)(1)(090514)" xfId="5706"/>
    <cellStyle name=" _수량및 단가 산출내용표_사급자재단가산출_영흥34품셈" xfId="5707"/>
    <cellStyle name=" _수량및 단가 산출내용표_사급자재단가산출_영흥34품셈_견적용공내역서" xfId="5708"/>
    <cellStyle name=" _수량및 단가 산출내용표_사급자재단가산출_영흥34품셈_견적용공내역서_사용승인신청서LIST(분당)(1)(090514)" xfId="5709"/>
    <cellStyle name=" _수량및 단가 산출내용표_사급자재단가산출_영흥34품셈_사용승인신청서LIST(분당)(1)(090514)" xfId="5710"/>
    <cellStyle name=" _수량및 단가 산출내용표_사급자재단가산출_영흥34품셈_실행내역서" xfId="5711"/>
    <cellStyle name=" _수량및 단가 산출내용표_사급자재단가산출_영흥34품셈_실행내역서_사용승인신청서LIST(분당)(1)(090514)" xfId="5712"/>
    <cellStyle name=" _수량및 단가 산출내용표_사급자재단가산출_영흥34품셈_현대오일뱅크 철골공사" xfId="5713"/>
    <cellStyle name=" _수량및 단가 산출내용표_사급자재단가산출_영흥34품셈_현대오일뱅크 철골공사_견적용공내역서" xfId="5714"/>
    <cellStyle name=" _수량및 단가 산출내용표_사급자재단가산출_영흥34품셈_현대오일뱅크 철골공사_견적용공내역서_사용승인신청서LIST(분당)(1)(090514)" xfId="5715"/>
    <cellStyle name=" _수량및 단가 산출내용표_사급자재단가산출_영흥34품셈_현대오일뱅크 철골공사_사용승인신청서LIST(분당)(1)(090514)" xfId="5716"/>
    <cellStyle name=" _수량및 단가 산출내용표_사급자재단가산출_영흥34품셈_현대오일뱅크 철골공사_실행내역서" xfId="5717"/>
    <cellStyle name=" _수량및 단가 산출내용표_사급자재단가산출_영흥34품셈_현대오일뱅크 철골공사_실행내역서_사용승인신청서LIST(분당)(1)(090514)" xfId="5718"/>
    <cellStyle name=" _수량및 단가 산출내용표_사급자재단가산출_추가품셈1" xfId="5719"/>
    <cellStyle name=" _수량및 단가 산출내용표_사급자재단가산출_추가품셈1_견적용공내역서" xfId="5720"/>
    <cellStyle name=" _수량및 단가 산출내용표_사급자재단가산출_추가품셈1_견적용공내역서_사용승인신청서LIST(분당)(1)(090514)" xfId="5721"/>
    <cellStyle name=" _수량및 단가 산출내용표_사급자재단가산출_추가품셈1_사용승인신청서LIST(분당)(1)(090514)" xfId="5722"/>
    <cellStyle name=" _수량및 단가 산출내용표_사급자재단가산출_추가품셈1_실행내역서" xfId="5723"/>
    <cellStyle name=" _수량및 단가 산출내용표_사급자재단가산출_추가품셈1_실행내역서_사용승인신청서LIST(분당)(1)(090514)" xfId="5724"/>
    <cellStyle name=" _수량및 단가 산출내용표_사급자재단가산출_추가품셈1_현대오일뱅크 철골공사" xfId="5725"/>
    <cellStyle name=" _수량및 단가 산출내용표_사급자재단가산출_추가품셈1_현대오일뱅크 철골공사_견적용공내역서" xfId="5726"/>
    <cellStyle name=" _수량및 단가 산출내용표_사급자재단가산출_추가품셈1_현대오일뱅크 철골공사_견적용공내역서_사용승인신청서LIST(분당)(1)(090514)" xfId="5727"/>
    <cellStyle name=" _수량및 단가 산출내용표_사급자재단가산출_추가품셈1_현대오일뱅크 철골공사_사용승인신청서LIST(분당)(1)(090514)" xfId="5728"/>
    <cellStyle name=" _수량및 단가 산출내용표_사급자재단가산출_추가품셈1_현대오일뱅크 철골공사_실행내역서" xfId="5729"/>
    <cellStyle name=" _수량및 단가 산출내용표_사급자재단가산출_추가품셈1_현대오일뱅크 철골공사_실행내역서_사용승인신청서LIST(분당)(1)(090514)" xfId="5730"/>
    <cellStyle name=" _수량및 단가 산출내용표_사급자재단가산출_현대오일뱅크 철골공사" xfId="5731"/>
    <cellStyle name=" _수량및 단가 산출내용표_사급자재단가산출_현대오일뱅크 철골공사_견적용공내역서" xfId="5732"/>
    <cellStyle name=" _수량및 단가 산출내용표_사급자재단가산출_현대오일뱅크 철골공사_견적용공내역서_사용승인신청서LIST(분당)(1)(090514)" xfId="5733"/>
    <cellStyle name=" _수량및 단가 산출내용표_사급자재단가산출_현대오일뱅크 철골공사_사용승인신청서LIST(분당)(1)(090514)" xfId="5734"/>
    <cellStyle name=" _수량및 단가 산출내용표_사급자재단가산출_현대오일뱅크 철골공사_실행내역서" xfId="5735"/>
    <cellStyle name=" _수량및 단가 산출내용표_사급자재단가산출_현대오일뱅크 철골공사_실행내역서_사용승인신청서LIST(분당)(1)(090514)" xfId="5736"/>
    <cellStyle name=" _수량및 단가 산출내용표_사용승인신청서LIST(분당)(1)(090514)" xfId="5737"/>
    <cellStyle name=" _수량및 단가 산출내용표_실행내역서" xfId="5738"/>
    <cellStyle name=" _수량및 단가 산출내용표_실행내역서_사용승인신청서LIST(분당)(1)(090514)" xfId="5739"/>
    <cellStyle name=" _수량및 단가 산출내용표_영흥#3,4 배수로축조공사(CC-03)최종(입찰용)" xfId="5740"/>
    <cellStyle name=" _수량및 단가 산출내용표_영흥#3,4 배수로축조공사(CC-03)최종(입찰용)_견적용공내역서" xfId="5741"/>
    <cellStyle name=" _수량및 단가 산출내용표_영흥#3,4 배수로축조공사(CC-03)최종(입찰용)_견적용공내역서_사용승인신청서LIST(분당)(1)(090514)" xfId="5742"/>
    <cellStyle name=" _수량및 단가 산출내용표_영흥#3,4 배수로축조공사(CC-03)최종(입찰용)_사용승인신청서LIST(분당)(1)(090514)" xfId="5743"/>
    <cellStyle name=" _수량및 단가 산출내용표_영흥#3,4 배수로축조공사(CC-03)최종(입찰용)_실행내역서" xfId="5744"/>
    <cellStyle name=" _수량및 단가 산출내용표_영흥#3,4 배수로축조공사(CC-03)최종(입찰용)_실행내역서_사용승인신청서LIST(분당)(1)(090514)" xfId="5745"/>
    <cellStyle name=" _수량및 단가 산출내용표_영흥#3,4 배수로축조공사(CC-03)최종(입찰용)_현대오일뱅크 철골공사" xfId="5746"/>
    <cellStyle name=" _수량및 단가 산출내용표_영흥#3,4 배수로축조공사(CC-03)최종(입찰용)_현대오일뱅크 철골공사_견적용공내역서" xfId="5747"/>
    <cellStyle name=" _수량및 단가 산출내용표_영흥#3,4 배수로축조공사(CC-03)최종(입찰용)_현대오일뱅크 철골공사_견적용공내역서_사용승인신청서LIST(분당)(1)(090514)" xfId="5748"/>
    <cellStyle name=" _수량및 단가 산출내용표_영흥#3,4 배수로축조공사(CC-03)최종(입찰용)_현대오일뱅크 철골공사_사용승인신청서LIST(분당)(1)(090514)" xfId="5749"/>
    <cellStyle name=" _수량및 단가 산출내용표_영흥#3,4 배수로축조공사(CC-03)최종(입찰용)_현대오일뱅크 철골공사_실행내역서" xfId="5750"/>
    <cellStyle name=" _수량및 단가 산출내용표_영흥#3,4 배수로축조공사(CC-03)최종(입찰용)_현대오일뱅크 철골공사_실행내역서_사용승인신청서LIST(분당)(1)(090514)" xfId="5751"/>
    <cellStyle name=" _수량및 단가 산출내용표_영흥#3,4 옥내기기기초(AC-05)" xfId="5752"/>
    <cellStyle name=" _수량및 단가 산출내용표_영흥#3,4 옥내기기기초(AC-05)_견적용공내역서" xfId="5753"/>
    <cellStyle name=" _수량및 단가 산출내용표_영흥#3,4 옥내기기기초(AC-05)_견적용공내역서_사용승인신청서LIST(분당)(1)(090514)" xfId="5754"/>
    <cellStyle name=" _수량및 단가 산출내용표_영흥#3,4 옥내기기기초(AC-05)_사용승인신청서LIST(분당)(1)(090514)" xfId="5755"/>
    <cellStyle name=" _수량및 단가 산출내용표_영흥#3,4 옥내기기기초(AC-05)_실행내역서" xfId="5756"/>
    <cellStyle name=" _수량및 단가 산출내용표_영흥#3,4 옥내기기기초(AC-05)_실행내역서_사용승인신청서LIST(분당)(1)(090514)" xfId="5757"/>
    <cellStyle name=" _수량및 단가 산출내용표_영흥#3,4 옥내기기기초(AC-05)_현대오일뱅크 철골공사" xfId="5758"/>
    <cellStyle name=" _수량및 단가 산출내용표_영흥#3,4 옥내기기기초(AC-05)_현대오일뱅크 철골공사_견적용공내역서" xfId="5759"/>
    <cellStyle name=" _수량및 단가 산출내용표_영흥#3,4 옥내기기기초(AC-05)_현대오일뱅크 철골공사_견적용공내역서_사용승인신청서LIST(분당)(1)(090514)" xfId="5760"/>
    <cellStyle name=" _수량및 단가 산출내용표_영흥#3,4 옥내기기기초(AC-05)_현대오일뱅크 철골공사_사용승인신청서LIST(분당)(1)(090514)" xfId="5761"/>
    <cellStyle name=" _수량및 단가 산출내용표_영흥#3,4 옥내기기기초(AC-05)_현대오일뱅크 철골공사_실행내역서" xfId="5762"/>
    <cellStyle name=" _수량및 단가 산출내용표_영흥#3,4 옥내기기기초(AC-05)_현대오일뱅크 철골공사_실행내역서_사용승인신청서LIST(분당)(1)(090514)" xfId="5763"/>
    <cellStyle name=" _수량및 단가 산출내용표_영흥#3,4터빈발전기기초공사(AC-04)" xfId="5764"/>
    <cellStyle name=" _수량및 단가 산출내용표_영흥#3,4터빈발전기기초공사(AC-04)_견적용공내역서" xfId="5765"/>
    <cellStyle name=" _수량및 단가 산출내용표_영흥#3,4터빈발전기기초공사(AC-04)_견적용공내역서_사용승인신청서LIST(분당)(1)(090514)" xfId="5766"/>
    <cellStyle name=" _수량및 단가 산출내용표_영흥#3,4터빈발전기기초공사(AC-04)_사용승인신청서LIST(분당)(1)(090514)" xfId="5767"/>
    <cellStyle name=" _수량및 단가 산출내용표_영흥#3,4터빈발전기기초공사(AC-04)_실행내역서" xfId="5768"/>
    <cellStyle name=" _수량및 단가 산출내용표_영흥#3,4터빈발전기기초공사(AC-04)_실행내역서_사용승인신청서LIST(분당)(1)(090514)" xfId="5769"/>
    <cellStyle name=" _수량및 단가 산출내용표_영흥#3,4터빈발전기기초공사(AC-04)_현대오일뱅크 철골공사" xfId="5770"/>
    <cellStyle name=" _수량및 단가 산출내용표_영흥#3,4터빈발전기기초공사(AC-04)_현대오일뱅크 철골공사_견적용공내역서" xfId="5771"/>
    <cellStyle name=" _수량및 단가 산출내용표_영흥#3,4터빈발전기기초공사(AC-04)_현대오일뱅크 철골공사_견적용공내역서_사용승인신청서LIST(분당)(1)(090514)" xfId="5772"/>
    <cellStyle name=" _수량및 단가 산출내용표_영흥#3,4터빈발전기기초공사(AC-04)_현대오일뱅크 철골공사_사용승인신청서LIST(분당)(1)(090514)" xfId="5773"/>
    <cellStyle name=" _수량및 단가 산출내용표_영흥#3,4터빈발전기기초공사(AC-04)_현대오일뱅크 철골공사_실행내역서" xfId="5774"/>
    <cellStyle name=" _수량및 단가 산출내용표_영흥#3,4터빈발전기기초공사(AC-04)_현대오일뱅크 철골공사_실행내역서_사용승인신청서LIST(분당)(1)(090514)" xfId="5775"/>
    <cellStyle name=" _수량및 단가 산출내용표_현대오일뱅크 철골공사" xfId="5776"/>
    <cellStyle name=" _수량및 단가 산출내용표_현대오일뱅크 철골공사_견적용공내역서" xfId="5777"/>
    <cellStyle name=" _수량및 단가 산출내용표_현대오일뱅크 철골공사_견적용공내역서_사용승인신청서LIST(분당)(1)(090514)" xfId="5778"/>
    <cellStyle name=" _수량및 단가 산출내용표_현대오일뱅크 철골공사_사용승인신청서LIST(분당)(1)(090514)" xfId="5779"/>
    <cellStyle name=" _수량및 단가 산출내용표_현대오일뱅크 철골공사_실행내역서" xfId="5780"/>
    <cellStyle name=" _수량및 단가 산출내용표_현대오일뱅크 철골공사_실행내역서_사용승인신청서LIST(분당)(1)(090514)" xfId="5781"/>
    <cellStyle name=" _영흥#3,4 보일러철골설치및마감(MC-01)FINAL" xfId="5782"/>
    <cellStyle name=" _영흥#3,4 보일러철골설치및마감(MC-01)FINAL_견적용공내역서" xfId="5783"/>
    <cellStyle name=" _영흥#3,4 보일러철골설치및마감(MC-01)FINAL_견적용공내역서_사용승인신청서LIST(분당)(1)(090514)" xfId="5784"/>
    <cellStyle name=" _영흥#3,4 보일러철골설치및마감(MC-01)FINAL_사용승인신청서LIST(분당)(1)(090514)" xfId="5785"/>
    <cellStyle name=" _영흥#3,4 보일러철골설치및마감(MC-01)FINAL_실행내역서" xfId="5786"/>
    <cellStyle name=" _영흥#3,4 보일러철골설치및마감(MC-01)FINAL_실행내역서_사용승인신청서LIST(분당)(1)(090514)" xfId="5787"/>
    <cellStyle name=" _영흥#3,4 보일러철골설치및마감(MC-01)FINAL_현대오일뱅크 철골공사" xfId="5788"/>
    <cellStyle name=" _영흥#3,4 보일러철골설치및마감(MC-01)FINAL_현대오일뱅크 철골공사_견적용공내역서" xfId="5789"/>
    <cellStyle name=" _영흥#3,4 보일러철골설치및마감(MC-01)FINAL_현대오일뱅크 철골공사_견적용공내역서_사용승인신청서LIST(분당)(1)(090514)" xfId="5790"/>
    <cellStyle name=" _영흥#3,4 보일러철골설치및마감(MC-01)FINAL_현대오일뱅크 철골공사_사용승인신청서LIST(분당)(1)(090514)" xfId="5791"/>
    <cellStyle name=" _영흥#3,4 보일러철골설치및마감(MC-01)FINAL_현대오일뱅크 철골공사_실행내역서" xfId="5792"/>
    <cellStyle name=" _영흥#3,4 보일러철골설치및마감(MC-01)FINAL_현대오일뱅크 철골공사_실행내역서_사용승인신청서LIST(분당)(1)(090514)" xfId="5793"/>
    <cellStyle name=" _영흥#3,4 터빈발전기기초(AC-04)" xfId="5794"/>
    <cellStyle name=" _영흥#3,4 터빈발전기기초(AC-04)_견적용공내역서" xfId="5795"/>
    <cellStyle name=" _영흥#3,4 터빈발전기기초(AC-04)_견적용공내역서_사용승인신청서LIST(분당)(1)(090514)" xfId="5796"/>
    <cellStyle name=" _영흥#3,4 터빈발전기기초(AC-04)_사용승인신청서LIST(분당)(1)(090514)" xfId="5797"/>
    <cellStyle name=" _영흥#3,4 터빈발전기기초(AC-04)_실행내역서" xfId="5798"/>
    <cellStyle name=" _영흥#3,4 터빈발전기기초(AC-04)_실행내역서_사용승인신청서LIST(분당)(1)(090514)" xfId="5799"/>
    <cellStyle name=" _영흥#3,4 터빈발전기기초(AC-04)_현대오일뱅크 철골공사" xfId="5800"/>
    <cellStyle name=" _영흥#3,4 터빈발전기기초(AC-04)_현대오일뱅크 철골공사_견적용공내역서" xfId="5801"/>
    <cellStyle name=" _영흥#3,4 터빈발전기기초(AC-04)_현대오일뱅크 철골공사_견적용공내역서_사용승인신청서LIST(분당)(1)(090514)" xfId="5802"/>
    <cellStyle name=" _영흥#3,4 터빈발전기기초(AC-04)_현대오일뱅크 철골공사_사용승인신청서LIST(분당)(1)(090514)" xfId="5803"/>
    <cellStyle name=" _영흥#3,4 터빈발전기기초(AC-04)_현대오일뱅크 철골공사_실행내역서" xfId="5804"/>
    <cellStyle name=" _영흥#3,4 터빈발전기기초(AC-04)_현대오일뱅크 철골공사_실행내역서_사용승인신청서LIST(분당)(1)(090514)" xfId="5805"/>
    <cellStyle name=" _영흥#3,4터빈발전기기초공사(AC-04)" xfId="5806"/>
    <cellStyle name=" _영흥#3,4터빈발전기기초공사(AC-04)_견적용공내역서" xfId="5807"/>
    <cellStyle name=" _영흥#3,4터빈발전기기초공사(AC-04)_견적용공내역서_사용승인신청서LIST(분당)(1)(090514)" xfId="5808"/>
    <cellStyle name=" _영흥#3,4터빈발전기기초공사(AC-04)_사용승인신청서LIST(분당)(1)(090514)" xfId="5809"/>
    <cellStyle name=" _영흥#3,4터빈발전기기초공사(AC-04)_실행내역서" xfId="5810"/>
    <cellStyle name=" _영흥#3,4터빈발전기기초공사(AC-04)_실행내역서_사용승인신청서LIST(분당)(1)(090514)" xfId="5811"/>
    <cellStyle name=" _영흥#3,4터빈발전기기초공사(AC-04)_현대오일뱅크 철골공사" xfId="5812"/>
    <cellStyle name=" _영흥#3,4터빈발전기기초공사(AC-04)_현대오일뱅크 철골공사_견적용공내역서" xfId="5813"/>
    <cellStyle name=" _영흥#3,4터빈발전기기초공사(AC-04)_현대오일뱅크 철골공사_견적용공내역서_사용승인신청서LIST(분당)(1)(090514)" xfId="5814"/>
    <cellStyle name=" _영흥#3,4터빈발전기기초공사(AC-04)_현대오일뱅크 철골공사_사용승인신청서LIST(분당)(1)(090514)" xfId="5815"/>
    <cellStyle name=" _영흥#3,4터빈발전기기초공사(AC-04)_현대오일뱅크 철골공사_실행내역서" xfId="5816"/>
    <cellStyle name=" _영흥#3,4터빈발전기기초공사(AC-04)_현대오일뱅크 철골공사_실행내역서_사용승인신청서LIST(분당)(1)(090514)" xfId="5817"/>
    <cellStyle name=" _옥내기기기초공설" xfId="5818"/>
    <cellStyle name=" _철근운반비" xfId="5819"/>
    <cellStyle name=" _철근운반비_견적용공내역서" xfId="5820"/>
    <cellStyle name=" _철근운반비_견적용공내역서_사용승인신청서LIST(분당)(1)(090514)" xfId="5821"/>
    <cellStyle name=" _철근운반비_구내도로 및 배수(단가)" xfId="5822"/>
    <cellStyle name=" _철근운반비_구내도로 및 배수(단가)_견적용공내역서" xfId="5823"/>
    <cellStyle name=" _철근운반비_구내도로 및 배수(단가)_견적용공내역서_사용승인신청서LIST(분당)(1)(090514)" xfId="5824"/>
    <cellStyle name=" _철근운반비_구내도로 및 배수(단가)_사용승인신청서LIST(분당)(1)(090514)" xfId="5825"/>
    <cellStyle name=" _철근운반비_구내도로 및 배수(단가)_실행내역서" xfId="5826"/>
    <cellStyle name=" _철근운반비_구내도로 및 배수(단가)_실행내역서_사용승인신청서LIST(분당)(1)(090514)" xfId="5827"/>
    <cellStyle name=" _철근운반비_구내도로 및 배수(단가)_현대오일뱅크 철골공사" xfId="5828"/>
    <cellStyle name=" _철근운반비_구내도로 및 배수(단가)_현대오일뱅크 철골공사_견적용공내역서" xfId="5829"/>
    <cellStyle name=" _철근운반비_구내도로 및 배수(단가)_현대오일뱅크 철골공사_견적용공내역서_사용승인신청서LIST(분당)(1)(090514)" xfId="5830"/>
    <cellStyle name=" _철근운반비_구내도로 및 배수(단가)_현대오일뱅크 철골공사_사용승인신청서LIST(분당)(1)(090514)" xfId="5831"/>
    <cellStyle name=" _철근운반비_구내도로 및 배수(단가)_현대오일뱅크 철골공사_실행내역서" xfId="5832"/>
    <cellStyle name=" _철근운반비_구내도로 및 배수(단가)_현대오일뱅크 철골공사_실행내역서_사용승인신청서LIST(분당)(1)(090514)" xfId="5833"/>
    <cellStyle name=" _철근운반비_사용승인신청서LIST(분당)(1)(090514)" xfId="5834"/>
    <cellStyle name=" _철근운반비_실행내역서" xfId="5835"/>
    <cellStyle name=" _철근운반비_실행내역서_사용승인신청서LIST(분당)(1)(090514)" xfId="5836"/>
    <cellStyle name=" _철근운반비_현대오일뱅크 철골공사" xfId="5837"/>
    <cellStyle name=" _철근운반비_현대오일뱅크 철골공사_견적용공내역서" xfId="5838"/>
    <cellStyle name=" _철근운반비_현대오일뱅크 철골공사_견적용공내역서_사용승인신청서LIST(분당)(1)(090514)" xfId="5839"/>
    <cellStyle name=" _철근운반비_현대오일뱅크 철골공사_사용승인신청서LIST(분당)(1)(090514)" xfId="5840"/>
    <cellStyle name=" _철근운반비_현대오일뱅크 철골공사_실행내역서" xfId="5841"/>
    <cellStyle name=" _철근운반비_현대오일뱅크 철골공사_실행내역서_사용승인신청서LIST(분당)(1)(090514)" xfId="5842"/>
    <cellStyle name=" _콘크리트품" xfId="5843"/>
    <cellStyle name=" _품셈" xfId="5844"/>
    <cellStyle name=" _품셈_견적용공내역서" xfId="5845"/>
    <cellStyle name=" _품셈_견적용공내역서_사용승인신청서LIST(분당)(1)(090514)" xfId="5846"/>
    <cellStyle name=" _품셈_구내도로 및 배수(단가)" xfId="5847"/>
    <cellStyle name=" _품셈_본관기초굴착(CC-01)최종(입찰용)" xfId="5848"/>
    <cellStyle name=" _품셈_본관기초굴착(단가)" xfId="5849"/>
    <cellStyle name=" _품셈_사용승인신청서LIST(분당)(1)(090514)" xfId="5850"/>
    <cellStyle name=" _품셈_실행내역서" xfId="5851"/>
    <cellStyle name=" _품셈_실행내역서_사용승인신청서LIST(분당)(1)(090514)" xfId="5852"/>
    <cellStyle name=" _품셈_영흥#3,4 배수로축조공사(CC-03)최종(입찰용)" xfId="5853"/>
    <cellStyle name=" _품셈_영흥#3,4 옥내기기기초(AC-05)" xfId="5854"/>
    <cellStyle name=" _품셈_영흥#3,4터빈발전기기초공사(AC-04)" xfId="5855"/>
    <cellStyle name=" _품셈_영흥#3,4터빈발전기기초공사(AC-04)_견적용공내역서" xfId="5856"/>
    <cellStyle name=" _품셈_영흥#3,4터빈발전기기초공사(AC-04)_견적용공내역서_사용승인신청서LIST(분당)(1)(090514)" xfId="5857"/>
    <cellStyle name=" _품셈_영흥#3,4터빈발전기기초공사(AC-04)_사용승인신청서LIST(분당)(1)(090514)" xfId="5858"/>
    <cellStyle name=" _품셈_영흥#3,4터빈발전기기초공사(AC-04)_실행내역서" xfId="5859"/>
    <cellStyle name=" _품셈_영흥#3,4터빈발전기기초공사(AC-04)_실행내역서_사용승인신청서LIST(분당)(1)(090514)" xfId="5860"/>
    <cellStyle name=" _품셈_영흥#3,4터빈발전기기초공사(AC-04)_현대오일뱅크 철골공사" xfId="5861"/>
    <cellStyle name=" _품셈_영흥#3,4터빈발전기기초공사(AC-04)_현대오일뱅크 철골공사_견적용공내역서" xfId="5862"/>
    <cellStyle name=" _품셈_영흥#3,4터빈발전기기초공사(AC-04)_현대오일뱅크 철골공사_견적용공내역서_사용승인신청서LIST(분당)(1)(090514)" xfId="5863"/>
    <cellStyle name=" _품셈_영흥#3,4터빈발전기기초공사(AC-04)_현대오일뱅크 철골공사_사용승인신청서LIST(분당)(1)(090514)" xfId="5864"/>
    <cellStyle name=" _품셈_영흥#3,4터빈발전기기초공사(AC-04)_현대오일뱅크 철골공사_실행내역서" xfId="5865"/>
    <cellStyle name=" _품셈_영흥#3,4터빈발전기기초공사(AC-04)_현대오일뱅크 철골공사_실행내역서_사용승인신청서LIST(분당)(1)(090514)" xfId="5866"/>
    <cellStyle name=" _품셈_철근운반비" xfId="5867"/>
    <cellStyle name=" _품셈_철근운반비_견적용공내역서" xfId="5868"/>
    <cellStyle name=" _품셈_철근운반비_견적용공내역서_사용승인신청서LIST(분당)(1)(090514)" xfId="5869"/>
    <cellStyle name=" _품셈_철근운반비_구내도로 및 배수(단가)" xfId="5870"/>
    <cellStyle name=" _품셈_철근운반비_구내도로 및 배수(단가)_견적용공내역서" xfId="5871"/>
    <cellStyle name=" _품셈_철근운반비_구내도로 및 배수(단가)_견적용공내역서_사용승인신청서LIST(분당)(1)(090514)" xfId="5872"/>
    <cellStyle name=" _품셈_철근운반비_구내도로 및 배수(단가)_사용승인신청서LIST(분당)(1)(090514)" xfId="5873"/>
    <cellStyle name=" _품셈_철근운반비_구내도로 및 배수(단가)_실행내역서" xfId="5874"/>
    <cellStyle name=" _품셈_철근운반비_구내도로 및 배수(단가)_실행내역서_사용승인신청서LIST(분당)(1)(090514)" xfId="5875"/>
    <cellStyle name=" _품셈_철근운반비_구내도로 및 배수(단가)_현대오일뱅크 철골공사" xfId="5876"/>
    <cellStyle name=" _품셈_철근운반비_구내도로 및 배수(단가)_현대오일뱅크 철골공사_견적용공내역서" xfId="5877"/>
    <cellStyle name=" _품셈_철근운반비_구내도로 및 배수(단가)_현대오일뱅크 철골공사_견적용공내역서_사용승인신청서LIST(분당)(1)(090514)" xfId="5878"/>
    <cellStyle name=" _품셈_철근운반비_구내도로 및 배수(단가)_현대오일뱅크 철골공사_사용승인신청서LIST(분당)(1)(090514)" xfId="5879"/>
    <cellStyle name=" _품셈_철근운반비_구내도로 및 배수(단가)_현대오일뱅크 철골공사_실행내역서" xfId="5880"/>
    <cellStyle name=" _품셈_철근운반비_구내도로 및 배수(단가)_현대오일뱅크 철골공사_실행내역서_사용승인신청서LIST(분당)(1)(090514)" xfId="5881"/>
    <cellStyle name=" _품셈_철근운반비_사용승인신청서LIST(분당)(1)(090514)" xfId="5882"/>
    <cellStyle name=" _품셈_철근운반비_실행내역서" xfId="5883"/>
    <cellStyle name=" _품셈_철근운반비_실행내역서_사용승인신청서LIST(분당)(1)(090514)" xfId="5884"/>
    <cellStyle name=" _품셈_철근운반비_현대오일뱅크 철골공사" xfId="5885"/>
    <cellStyle name=" _품셈_철근운반비_현대오일뱅크 철골공사_견적용공내역서" xfId="5886"/>
    <cellStyle name=" _품셈_철근운반비_현대오일뱅크 철골공사_견적용공내역서_사용승인신청서LIST(분당)(1)(090514)" xfId="5887"/>
    <cellStyle name=" _품셈_철근운반비_현대오일뱅크 철골공사_사용승인신청서LIST(분당)(1)(090514)" xfId="5888"/>
    <cellStyle name=" _품셈_철근운반비_현대오일뱅크 철골공사_실행내역서" xfId="5889"/>
    <cellStyle name=" _품셈_철근운반비_현대오일뱅크 철골공사_실행내역서_사용승인신청서LIST(분당)(1)(090514)" xfId="5890"/>
    <cellStyle name=" _품셈_현대오일뱅크 철골공사" xfId="5891"/>
    <cellStyle name=" _품셈_현대오일뱅크 철골공사_견적용공내역서" xfId="5892"/>
    <cellStyle name=" _품셈_현대오일뱅크 철골공사_견적용공내역서_사용승인신청서LIST(분당)(1)(090514)" xfId="5893"/>
    <cellStyle name=" _품셈_현대오일뱅크 철골공사_사용승인신청서LIST(분당)(1)(090514)" xfId="5894"/>
    <cellStyle name=" _품셈_현대오일뱅크 철골공사_실행내역서" xfId="5895"/>
    <cellStyle name=" _품셈_현대오일뱅크 철골공사_실행내역서_사용승인신청서LIST(분당)(1)(090514)" xfId="5896"/>
    <cellStyle name=" _품질관리비" xfId="5897"/>
    <cellStyle name=" _품질관리비산출" xfId="5898"/>
    <cellStyle name=" _현가화기준" xfId="5899"/>
    <cellStyle name=" 1" xfId="5900"/>
    <cellStyle name="_x000a_386grabber=M" xfId="3924"/>
    <cellStyle name="_x000a_386grabber=M 2" xfId="3925"/>
    <cellStyle name="_x000a_386grabber=M_분양(100%)" xfId="37699"/>
    <cellStyle name="&quot;" xfId="5901"/>
    <cellStyle name="&quot; 2" xfId="5902"/>
    <cellStyle name="_x0014_&quot;_x0003__x0003__x000c_?_x0008__x0014_4_x0001_" xfId="5903"/>
    <cellStyle name="#,##0" xfId="709"/>
    <cellStyle name="#,##0 2" xfId="3200"/>
    <cellStyle name="#,##0 2 2" xfId="4614"/>
    <cellStyle name="#,##0 2 3" xfId="4460"/>
    <cellStyle name="#,##0 2_분양(100%)" xfId="37701"/>
    <cellStyle name="#,##0 3" xfId="3564"/>
    <cellStyle name="#,##0 3 2" xfId="4637"/>
    <cellStyle name="#,##0 3 3" xfId="4991"/>
    <cellStyle name="#,##0 3_분양(100%)" xfId="37702"/>
    <cellStyle name="#,##0 4" xfId="3565"/>
    <cellStyle name="#,##0 4 2" xfId="4638"/>
    <cellStyle name="#,##0 4 3" xfId="4992"/>
    <cellStyle name="#,##0_분양(100%)" xfId="37700"/>
    <cellStyle name="$" xfId="1978"/>
    <cellStyle name="$_db진흥" xfId="1979"/>
    <cellStyle name="$_SE40" xfId="1980"/>
    <cellStyle name="$_견적2" xfId="1981"/>
    <cellStyle name="$_기아" xfId="1982"/>
    <cellStyle name="%_Inputs" xfId="5904"/>
    <cellStyle name="%1_Inputs" xfId="5905"/>
    <cellStyle name="(##.00)" xfId="710"/>
    <cellStyle name="(△콤마)" xfId="3926"/>
    <cellStyle name="(1)" xfId="3927"/>
    <cellStyle name="(백분율)" xfId="3928"/>
    <cellStyle name="(용량보정)" xfId="5906"/>
    <cellStyle name="(용량보정) 2" xfId="5907"/>
    <cellStyle name="(용량보정) 3" xfId="5908"/>
    <cellStyle name="(콤마)" xfId="3929"/>
    <cellStyle name="/" xfId="5909"/>
    <cellStyle name=";" xfId="5910"/>
    <cellStyle name=";;;" xfId="5911"/>
    <cellStyle name=";;; 2" xfId="5912"/>
    <cellStyle name=";;; 3" xfId="5913"/>
    <cellStyle name="?" xfId="5914"/>
    <cellStyle name="_x0003_?#_x0004_" xfId="5915"/>
    <cellStyle name="??" xfId="5916"/>
    <cellStyle name="?_x0001_?" xfId="5917"/>
    <cellStyle name="?? [0]_??" xfId="5918"/>
    <cellStyle name="??_x000c_@?_x000d_3?_x0001__x000b_" xfId="3930"/>
    <cellStyle name="??_x000c_溜_x0012__x000d_肥U_x0001_?_x0006_?_x0007__x0001__x0001_" xfId="5919"/>
    <cellStyle name="??&amp;5_x0007_?._x0007_9_x0008_??_x0007__x0001__x0001_" xfId="5920"/>
    <cellStyle name="??&amp;6_x0007_?/_x0007_9_x0008_??_x0007__x0001__x0001_" xfId="5921"/>
    <cellStyle name="??&amp;O?&amp;H?_x0008__x000f__x0007_?_x0007__x0001__x0001_" xfId="711"/>
    <cellStyle name="??&amp;O?&amp;H?_x0008_??_x0007__x0001__x0001_" xfId="13"/>
    <cellStyle name="??&amp;O?&amp;H?_x0008_x_x000b_P_x000c__x0007__x0001__x0001_" xfId="5922"/>
    <cellStyle name="??&amp;멅?둃9_x0008_??_x0007__x0001__x0001_" xfId="5923"/>
    <cellStyle name="??&amp;쏗?뷐9_x0008__x0011__x0007_?_x0007__x0001__x0001_" xfId="5924"/>
    <cellStyle name="???­ [0]_INQUIRY ¿?¾÷?ß?ø " xfId="14"/>
    <cellStyle name="_x0008_????" xfId="5925"/>
    <cellStyle name="_x0003_???_x0015__x0004_???&quot;_x0004_!_x0004_?_x000c__x0004_??_x000f__x000b__x0004__x001d__x0004__x001e__x0004_?_x0005__x0004__x000f_?_x0011__x0004__x000f_??_x0010__x0004_?????#_x0004_" xfId="5926"/>
    <cellStyle name="_x0003_?_x0010__x0004_?????#_x0004_" xfId="5927"/>
    <cellStyle name="???????????　?" xfId="5928"/>
    <cellStyle name="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퀀?" xfId="5929"/>
    <cellStyle name="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퀀?" xfId="5930"/>
    <cellStyle name="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퀀?" xfId="5931"/>
    <cellStyle name="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퀀?" xfId="5932"/>
    <cellStyle name="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퀀?" xfId="5933"/>
    <cellStyle name="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퀀?" xfId="5934"/>
    <cellStyle name="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_x0001_퀀?" xfId="5935"/>
    <cellStyle name="_x0001_?_x0001_?_x0001_?_x0001_?_x0001_?_x0001_?_x0001_?_x0001_?_x0001_?_x0001_?_x0001_?_x0001_?_x0001_?_x0001_?_x0001_?_x0001_?_x0001_?_x0001_?_x0001_?_x0001_?_x0001_?_x0001_?_x0001_?_x0001_?_x0001_?_x0001_?_x0001_?_x0001_?_x0001_?_x0001_?_x0001_?_x0001_퀀?" xfId="5936"/>
    <cellStyle name="_x0001_?_x0001_?_x0001_?_x0001_?_x0001_?_x0001_?_x0001_?_x0001_?_x0001_?_x0001_?_x0001_?_x0001_?_x0001_?_x0001_?_x0001_퀀?" xfId="5937"/>
    <cellStyle name="_x0001_???????????L" xfId="5938"/>
    <cellStyle name="???­_INQUIRY ¿?¾÷?ß?ø " xfId="15"/>
    <cellStyle name="???Ø_??°???(2¿?) " xfId="16"/>
    <cellStyle name="??_  FAB ??  " xfId="5939"/>
    <cellStyle name="?_x0001_?_견적대비표-하드웨어" xfId="5940"/>
    <cellStyle name="??A_x000f_??A_x000f_??A_x000f_??A" xfId="5941"/>
    <cellStyle name="??A_x000f_??A6??A_x000f_??A" xfId="5942"/>
    <cellStyle name="?_x000f__x0001_?잡_x0002_" xfId="3931"/>
    <cellStyle name="?_견적대비표-하드웨어" xfId="5943"/>
    <cellStyle name="?_견적대비표-하드웨어_국립암센터-두산" xfId="5944"/>
    <cellStyle name="?_견적대비표-하드웨어_미지급품의서" xfId="5945"/>
    <cellStyle name="?_견적대비표-하드웨어_미지급품의서_국립암센터-두산" xfId="5946"/>
    <cellStyle name="?_견적대비표-하드웨어_지장전주이설" xfId="5947"/>
    <cellStyle name="?_견적대비표-하드웨어_지장전주이설_국립암센터-두산" xfId="5948"/>
    <cellStyle name="?_실행현장검토안(20010412)" xfId="5949"/>
    <cellStyle name="?_실행현장검토안(20010412)_국립암센터-두산" xfId="5950"/>
    <cellStyle name="?_실행현장검토안(20010412)_미지급품의서" xfId="5951"/>
    <cellStyle name="?_실행현장검토안(20010412)_미지급품의서_국립암센터-두산" xfId="5952"/>
    <cellStyle name="?_실행현장검토안(20010412)_지장전주이설" xfId="5953"/>
    <cellStyle name="?_실행현장검토안(20010412)_지장전주이설_국립암센터-두산" xfId="5954"/>
    <cellStyle name="?Þ¸¶ [0]_INQUIRY ¿?¾÷?ß?ø " xfId="17"/>
    <cellStyle name="?Þ¸¶_INQUIRY ¿?¾÷?ß?ø " xfId="18"/>
    <cellStyle name="?W?_laroux" xfId="712"/>
    <cellStyle name="?렑띙귒궻긪귽긬?깏깛긏" xfId="3932"/>
    <cellStyle name="?曹%U?&amp;H?_x0008_?s_x000a__x0007__x0001__x0001_" xfId="5955"/>
    <cellStyle name="?珠??? " xfId="5956"/>
    <cellStyle name="_x0001_?_x0001_퀀?" xfId="5957"/>
    <cellStyle name="]_Sheet1_FY96" xfId="5958"/>
    <cellStyle name="]_Sheet1_PRODUCT DETAIL_x0013_Comma [0]_Sheet1_Q1" xfId="5959"/>
    <cellStyle name="_(02.03.05) 묵동 현장관리비 실행" xfId="5960"/>
    <cellStyle name="_(02.03.08) 묵동 현장관리비 실행" xfId="5961"/>
    <cellStyle name="_(2008) 손익계획 v2.0" xfId="5962"/>
    <cellStyle name="_(2008) 손익계획 v2.0_(2008) 손익계획 v080710" xfId="5963"/>
    <cellStyle name="_(2008) 손익계획 v2.0_(2008) 손익계획 v7 2 (2)" xfId="5964"/>
    <cellStyle name="_(주)동부cwi01" xfId="5965"/>
    <cellStyle name="_~6652857" xfId="5966"/>
    <cellStyle name="_★01년경영목표관련Melt-in(최종수정)-010612" xfId="5967"/>
    <cellStyle name="_★01손익재검토-010501" xfId="5968"/>
    <cellStyle name="_★매출액재료비비교(ILS수정)-010613" xfId="5969"/>
    <cellStyle name="_01.본실행" xfId="5970"/>
    <cellStyle name="_01-1.본실행.간접비" xfId="5971"/>
    <cellStyle name="_02 결산안(5월)0705" xfId="5972"/>
    <cellStyle name="_02 결산안(5월)0705 2" xfId="5973"/>
    <cellStyle name="_02.12.06-설계내역서" xfId="5974"/>
    <cellStyle name="_'02_YE_Hynix_LS" xfId="5975"/>
    <cellStyle name="_'02_YE_Ness_LS 2" xfId="5976"/>
    <cellStyle name="_0204기성(공정율)" xfId="5977"/>
    <cellStyle name="_02기말_cwi" xfId="5978"/>
    <cellStyle name="_03 실행내역(대전MBC)-건축토목" xfId="5979"/>
    <cellStyle name="_'04신규사업지현황" xfId="5980"/>
    <cellStyle name="_'04신규사업지현황(1031)" xfId="5981"/>
    <cellStyle name="_05(현대)" xfId="5982"/>
    <cellStyle name="_05.미수수익0312" xfId="5983"/>
    <cellStyle name="_070913-통합차입금현황" xfId="5984"/>
    <cellStyle name="_070930-통합차입금현황(국민,광교)" xfId="5985"/>
    <cellStyle name="_071031-통합차입금현황" xfId="5986"/>
    <cellStyle name="_071217-통합차입금현황" xfId="5987"/>
    <cellStyle name="_081204 청라지구A-26BL(경문도시개발)" xfId="3933"/>
    <cellStyle name="_081208-1 거모동검토(PF)-학교용지대물(공사비1순위)" xfId="3934"/>
    <cellStyle name="_081212 화성시 배양동61-1번지일원-1(이거)" xfId="3935"/>
    <cellStyle name="_0827" xfId="5988"/>
    <cellStyle name="_090407 거제 토지보유세(김형진)" xfId="3936"/>
    <cellStyle name="_090717 남양주가곡리사업검토" xfId="3937"/>
    <cellStyle name="_1(1).파주운정_실행예산서_2007.06" xfId="5989"/>
    <cellStyle name="_1.2001년 추정" xfId="5990"/>
    <cellStyle name="_100506 용인역삼지구사업검토" xfId="3938"/>
    <cellStyle name="_10월결산K" xfId="5991"/>
    <cellStyle name="_1-1)전체사업(05년지목별)본사용" xfId="3939"/>
    <cellStyle name="_11. 2004년일반경비계획" xfId="5992"/>
    <cellStyle name="_11월기성" xfId="5993"/>
    <cellStyle name="_1-2)전체사업(05년지목별)현장송부용" xfId="3940"/>
    <cellStyle name="_12. 2004년제조경비계획" xfId="5994"/>
    <cellStyle name="_12월공사분양매출인식(최종)" xfId="5995"/>
    <cellStyle name="_①사업진척(0608)" xfId="5996"/>
    <cellStyle name="_1월공사분양매출인식" xfId="5997"/>
    <cellStyle name="_1차 보상실적" xfId="3941"/>
    <cellStyle name="_1차 보상실적_1-1)전체사업(05년지목별)본사용" xfId="3942"/>
    <cellStyle name="_1차 보상실적_1-2)전체사업(05년지목별)현장송부용" xfId="3943"/>
    <cellStyle name="_1차 보상실적_1차 보상실적" xfId="3944"/>
    <cellStyle name="_1차 보상실적_Book1" xfId="3945"/>
    <cellStyle name="_1차 보상실적_Book1_1-1)전체사업(05년지목별)본사용" xfId="3946"/>
    <cellStyle name="_1차 보상실적_Book1_1-2)전체사업(05년지목별)현장송부용" xfId="3947"/>
    <cellStyle name="_1차 보상실적_Book1_Sheet1" xfId="3948"/>
    <cellStyle name="_1차 보상실적_Book1_자료" xfId="3949"/>
    <cellStyle name="_1차 보상실적_Book1_전체사업(05년지목별)" xfId="3950"/>
    <cellStyle name="_1차 보상실적_Sheet1" xfId="3951"/>
    <cellStyle name="_1차 보상실적_자료" xfId="3952"/>
    <cellStyle name="_1차 보상실적_전체사업(05년지목별)" xfId="3953"/>
    <cellStyle name="_2" xfId="5998"/>
    <cellStyle name="_2. 2003년총괄CV(02.11.06)" xfId="5999"/>
    <cellStyle name="_200107실행변경" xfId="6000"/>
    <cellStyle name="_20010821_RUBBER TILE송부2" xfId="6001"/>
    <cellStyle name="_2001입찰분석" xfId="6002"/>
    <cellStyle name="_2001입찰분석_2002년도BP양식수정(SOC팀수정부결안1101)" xfId="6003"/>
    <cellStyle name="_2001입찰분석_2002년도BP양식수정(SOC팀수정부결안1101)_본부별 경영전략 보고 양식" xfId="6004"/>
    <cellStyle name="_2001입찰분석_2002년도BP양식주정" xfId="6005"/>
    <cellStyle name="_2001입찰분석_2002년도BP양식주정_2002년도BP양식주정" xfId="6006"/>
    <cellStyle name="_2001입찰분석_2002년도BP양식주정_2002년도BP양식주정_2002년도BP양식수정(SOC팀수정부결안1101)" xfId="6007"/>
    <cellStyle name="_2001입찰분석_2002년도BP양식주정_2002년도BP양식주정_2002년도BP양식수정(SOC팀수정부결안1101)_본부별 경영전략 보고 양식" xfId="6008"/>
    <cellStyle name="_2001입찰분석_2002년도BP양식주정_2002년도BP양식주정_본부별 경영전략 보고 양식" xfId="6009"/>
    <cellStyle name="_2001입찰분석_2002년도BP양식주정_본부별 경영전략 보고 양식" xfId="6010"/>
    <cellStyle name="_2001입찰분석_본부별 경영전략 보고 양식" xfId="6011"/>
    <cellStyle name="_2001입찰분석_사업진척점검회의(2001. 8)" xfId="6012"/>
    <cellStyle name="_2001입찰분석_사업진척점검회의(2001. 8)_2002년도BP양식수정(SOC팀수정부결안1101)" xfId="6013"/>
    <cellStyle name="_2001입찰분석_사업진척점검회의(2001. 8)_2002년도BP양식수정(SOC팀수정부결안1101)_본부별 경영전략 보고 양식" xfId="6014"/>
    <cellStyle name="_2001입찰분석_사업진척점검회의(2001. 8)_2002년도BP양식주정" xfId="6015"/>
    <cellStyle name="_2001입찰분석_사업진척점검회의(2001. 8)_2002년도BP양식주정_2002년도BP양식주정" xfId="6016"/>
    <cellStyle name="_2001입찰분석_사업진척점검회의(2001. 8)_2002년도BP양식주정_2002년도BP양식주정_2002년도BP양식수정(SOC팀수정부결안1101)" xfId="6017"/>
    <cellStyle name="_2001입찰분석_사업진척점검회의(2001. 8)_2002년도BP양식주정_2002년도BP양식주정_2002년도BP양식수정(SOC팀수정부결안1101)_본부별 경영전략 보고 양식" xfId="6018"/>
    <cellStyle name="_2001입찰분석_사업진척점검회의(2001. 8)_2002년도BP양식주정_2002년도BP양식주정_본부별 경영전략 보고 양식" xfId="6019"/>
    <cellStyle name="_2001입찰분석_사업진척점검회의(2001. 8)_2002년도BP양식주정_본부별 경영전략 보고 양식" xfId="6020"/>
    <cellStyle name="_2001입찰분석_사업진척점검회의(2001. 8)_본부별 경영전략 보고 양식" xfId="6021"/>
    <cellStyle name="_2002년 사업계획 본사bs_당초신동환" xfId="6022"/>
    <cellStyle name="_2002년 사업계획bs_당초" xfId="6023"/>
    <cellStyle name="_2002년5월결산보고" xfId="6024"/>
    <cellStyle name="_2002년5월결산보고 2" xfId="6025"/>
    <cellStyle name="_2002년도BP양식수정(SOC팀수정부결안1101)" xfId="6026"/>
    <cellStyle name="_2002년도BP양식수정(SOC팀수정부결안1101)_본부별 경영전략 보고 양식" xfId="6027"/>
    <cellStyle name="_2002년도BP양식주정" xfId="6028"/>
    <cellStyle name="_2002년도BP양식주정_2002년도BP양식주정" xfId="6029"/>
    <cellStyle name="_2002년도BP양식주정_2002년도BP양식주정_2002년도BP양식수정(SOC팀수정부결안1101)" xfId="6030"/>
    <cellStyle name="_2002년도BP양식주정_2002년도BP양식주정_2002년도BP양식수정(SOC팀수정부결안1101)_본부별 경영전략 보고 양식" xfId="6031"/>
    <cellStyle name="_2002년도BP양식주정_2002년도BP양식주정_본부별 경영전략 보고 양식" xfId="6032"/>
    <cellStyle name="_2002년도BP양식주정_본부별 경영전략 보고 양식" xfId="6033"/>
    <cellStyle name="_20030218144011020-E1C865BF" xfId="6034"/>
    <cellStyle name="_20030807-TGIF견적" xfId="3954"/>
    <cellStyle name="_2003년 전제조건" xfId="6035"/>
    <cellStyle name="_2003년 전체 생산금액,투입시간 계획" xfId="6036"/>
    <cellStyle name="_2003년 전체 제품재고계획" xfId="6037"/>
    <cellStyle name="_2003년 총괄 재료비계획" xfId="6038"/>
    <cellStyle name="_2003년기말감사-Hynix(중현)" xfId="6039"/>
    <cellStyle name="_2003년착준공(토목)" xfId="6040"/>
    <cellStyle name="_2003인원운영계획(사무직,생산직)(1차안)" xfId="6041"/>
    <cellStyle name="_2004 경영전략보고(1205)" xfId="6042"/>
    <cellStyle name="_2004년 사업계획(1031)" xfId="6043"/>
    <cellStyle name="_2004년 영업본부 사업계획(1031)" xfId="6044"/>
    <cellStyle name="_2004년도 사장방침" xfId="6045"/>
    <cellStyle name="_2004신규사업 정리 양식" xfId="6046"/>
    <cellStyle name="_2006 Q1포케스트 (0327)" xfId="6047"/>
    <cellStyle name="_2006 Q1포케스트 (보고양식0327)" xfId="6048"/>
    <cellStyle name="_2006 Q1포케스트 및 2월예상마감실적(0225)" xfId="6049"/>
    <cellStyle name="_2006 Q2포케스트(0518)" xfId="6050"/>
    <cellStyle name="_2006 Q2포케스트(0626)xls " xfId="6051"/>
    <cellStyle name="_2006 Q2포케스트(0626)xls  (2)" xfId="6052"/>
    <cellStyle name="_2006 Q3포케스트(0626) (2)" xfId="6053"/>
    <cellStyle name="_2006년 12월말 결산명세서 0201" xfId="6054"/>
    <cellStyle name="_2006년 Target Letter" xfId="6055"/>
    <cellStyle name="_2006년 손익계획(월별)_IT운영" xfId="6056"/>
    <cellStyle name="_2006년 손익계획(월별)최종_060217" xfId="6057"/>
    <cellStyle name="_2008년 공사비(080318)" xfId="6058"/>
    <cellStyle name="_2009년 사업계획 검토(중기포함)" xfId="6059"/>
    <cellStyle name="_2Q말판관비" xfId="6060"/>
    <cellStyle name="_2기lead" xfId="3955"/>
    <cellStyle name="_2차 보상실적" xfId="3956"/>
    <cellStyle name="_2차 보상실적_1-1)전체사업(05년지목별)본사용" xfId="3957"/>
    <cellStyle name="_2차 보상실적_1-2)전체사업(05년지목별)현장송부용" xfId="3958"/>
    <cellStyle name="_2차 보상실적_2차 보상실적" xfId="3959"/>
    <cellStyle name="_2차 보상실적_Sheet1" xfId="3960"/>
    <cellStyle name="_2차 보상실적_자료" xfId="3961"/>
    <cellStyle name="_2차 보상실적_전체사업(05년지목별)" xfId="3962"/>
    <cellStyle name="_3.발코니확장현장검토안-20060407-3.최종" xfId="6061"/>
    <cellStyle name="_3Q말판관비" xfId="6062"/>
    <cellStyle name="_3Q인센티브한도" xfId="6063"/>
    <cellStyle name="_3Q재무제표(보고용)" xfId="6064"/>
    <cellStyle name="_3분기이자비용" xfId="6065"/>
    <cellStyle name="_3월 기성(사정서류)" xfId="6066"/>
    <cellStyle name="_5. 2004년 제품재고계획" xfId="6067"/>
    <cellStyle name="_5월손익-전사실적" xfId="6068"/>
    <cellStyle name="_6단계 보상실적" xfId="3963"/>
    <cellStyle name="_6단계 보상실적_1-1)전체사업(05년지목별)본사용" xfId="3964"/>
    <cellStyle name="_6단계 보상실적_1-2)전체사업(05년지목별)현장송부용" xfId="3965"/>
    <cellStyle name="_6단계 보상실적_2차 보상실적" xfId="3966"/>
    <cellStyle name="_6단계 보상실적_6단계 보상실적" xfId="3967"/>
    <cellStyle name="_6단계 보상실적_6단계 보상실적_1-1)전체사업(05년지목별)본사용" xfId="3968"/>
    <cellStyle name="_6단계 보상실적_6단계 보상실적_1-2)전체사업(05년지목별)현장송부용" xfId="3969"/>
    <cellStyle name="_6단계 보상실적_6단계 보상실적_Sheet1" xfId="3970"/>
    <cellStyle name="_6단계 보상실적_6단계 보상실적_자료" xfId="3971"/>
    <cellStyle name="_6단계 보상실적_6단계 보상실적_전체사업(05년지목별)" xfId="3972"/>
    <cellStyle name="_6단계 보상실적_Sheet1" xfId="3973"/>
    <cellStyle name="_6단계 보상실적_자료" xfId="3974"/>
    <cellStyle name="_6단계 보상실적_전체사업(05년지목별)" xfId="3975"/>
    <cellStyle name="_6월말계정명세sum_12월비교" xfId="6069"/>
    <cellStyle name="_6월말계정명세sum_3월비교" xfId="6070"/>
    <cellStyle name="_6월실적기성(안전불포함-제출)" xfId="6071"/>
    <cellStyle name="_8.내역서 갑지" xfId="6072"/>
    <cellStyle name="_8월 기성" xfId="6073"/>
    <cellStyle name="_90518 공사비 7대3 조건(분양율80%)-협의후최종-1" xfId="3976"/>
    <cellStyle name="_90518 사업성검토서(분양율80%)-송부용" xfId="3977"/>
    <cellStyle name="_99 Lead" xfId="3978"/>
    <cellStyle name="_99~01년 손익전망" xfId="6074"/>
    <cellStyle name="_9910-구매업무보고-05" xfId="6075"/>
    <cellStyle name="_9910-구매업무보고-05 2" xfId="6076"/>
    <cellStyle name="_9910-구매업무보고-05_1" xfId="6077"/>
    <cellStyle name="_9910-구매업무보고-05_1 2" xfId="6078"/>
    <cellStyle name="_'99상반기경영개선활동결과(게시용)" xfId="6079"/>
    <cellStyle name="_9월" xfId="1983"/>
    <cellStyle name="_9월공사분양매출인식" xfId="6080"/>
    <cellStyle name="_9월말계정명세sum_021014" xfId="6081"/>
    <cellStyle name="_9월말현재자구계획자산_db현재.1(03)" xfId="6082"/>
    <cellStyle name="_AC-03(3월 기성)" xfId="6083"/>
    <cellStyle name="_AC04" xfId="6084"/>
    <cellStyle name="_AC-04('02.3월기성 및 단위공사예정표)" xfId="6085"/>
    <cellStyle name="_AC-04(020329)" xfId="6086"/>
    <cellStyle name="_AC-04(3월기성 및 단위공사예정표)" xfId="6087"/>
    <cellStyle name="_AC-04-12월" xfId="6088"/>
    <cellStyle name="_AC04실적기성" xfId="6089"/>
    <cellStyle name="_AC06실적기성" xfId="6090"/>
    <cellStyle name="_AC-07" xfId="6091"/>
    <cellStyle name="_AC-07(3월실적)" xfId="6092"/>
    <cellStyle name="_AC08실적기성" xfId="6093"/>
    <cellStyle name="_AC-19" xfId="6094"/>
    <cellStyle name="_AJE_손" xfId="6095"/>
    <cellStyle name="_BAT현장(본실행1)" xfId="6096"/>
    <cellStyle name="_Book1" xfId="1984"/>
    <cellStyle name="_Book1_1" xfId="6097"/>
    <cellStyle name="_Book1_대차대조표" xfId="6098"/>
    <cellStyle name="_Book3" xfId="6099"/>
    <cellStyle name="_Book5" xfId="6100"/>
    <cellStyle name="_BP(공사송부)2002" xfId="6101"/>
    <cellStyle name="_BPM_Forecast_2006_04_17(사장님)" xfId="6102"/>
    <cellStyle name="_BPM_Forecast_2006_05-18(사장님)" xfId="6103"/>
    <cellStyle name="_BPM_Forecast_2006_06_09(부사장님)" xfId="6104"/>
    <cellStyle name="_BPM_Forecast_2006_06_21(사장님)" xfId="6105"/>
    <cellStyle name="_BPM_Forecast_2006_08_28(사장님)" xfId="6106"/>
    <cellStyle name="_BPM_Forecast_2006_10_16(사장님)" xfId="6107"/>
    <cellStyle name="_BTL-Financial model_전북대(7.20)_사본" xfId="3979"/>
    <cellStyle name="_CWI(반기)2002" xfId="6108"/>
    <cellStyle name="_CWI(반기)2002-최악의경우" xfId="6109"/>
    <cellStyle name="_Dongbu(0424 최종)" xfId="6110"/>
    <cellStyle name="_Dongbu(0424 최종)_자금수지차 비교('06.10.18)" xfId="6111"/>
    <cellStyle name="_EC1" xfId="6112"/>
    <cellStyle name="_EC1_1" xfId="6113"/>
    <cellStyle name="_EC1_2" xfId="6114"/>
    <cellStyle name="_EC1_3" xfId="6115"/>
    <cellStyle name="_EC1_4" xfId="6116"/>
    <cellStyle name="_EC1_5" xfId="6117"/>
    <cellStyle name="_FCST (2)" xfId="6118"/>
    <cellStyle name="_Forcast_제3영업_Q2_20060516_이상운차장님전송" xfId="6119"/>
    <cellStyle name="_Forcast_제3영업_Q2_20060608_전송용" xfId="6120"/>
    <cellStyle name="_Forcast_제3영업_Q2_20060622_전송용" xfId="6121"/>
    <cellStyle name="_Forcast_제3영업_Q2_이상운차장님_20060419" xfId="6122"/>
    <cellStyle name="_FS_UndurNaran_5.4" xfId="6123"/>
    <cellStyle name="_G-110 (2)" xfId="6124"/>
    <cellStyle name="_Hook_up처리계획" xfId="6125"/>
    <cellStyle name="_IF6_Std_CapaTable_010529_최상국" xfId="6126"/>
    <cellStyle name="_IF7_Std_CapaTable_010521_최상국" xfId="6127"/>
    <cellStyle name="_K-Land_032Q_min" xfId="6128"/>
    <cellStyle name="_K-Land_20033Q_min" xfId="6129"/>
    <cellStyle name="_KZ 하이빌 아스타나 D블럭 실행내역서 (080121),결재용(내장수정)" xfId="6130"/>
    <cellStyle name="_Lover" xfId="6131"/>
    <cellStyle name="_lsm-안양성남FM_0825_1" xfId="6132"/>
    <cellStyle name="_NCRPOS견적(3(1).26)" xfId="3980"/>
    <cellStyle name="_PL Trend of SomresetPalaceSeoul" xfId="6133"/>
    <cellStyle name="_PNC(2-3)Model_SAC_0420_2" xfId="6134"/>
    <cellStyle name="_PNC(2-3)Model_SAC_0420_2_BNP 2-3 FM_v4_0424_2" xfId="6135"/>
    <cellStyle name="_PNC(2-3)Model_SAC_0420_2_BNP 2-3 FM_v4_0424_2_BNP 2-3 pubicFM_0430_7" xfId="6136"/>
    <cellStyle name="_PNC(2-3)Model_SAC_0420_2_BNP 2-3 FM_v4_0424_2_BNP 2-3 pubicFM_0430_7_BNP 2-3_public FM_050530_v1" xfId="6137"/>
    <cellStyle name="_PNC(2-3)Model_SAC_0420_2_BNP 2-3 FM_v4_0424_2_BNP 2-3 pubicFM_0430_7_BNP 2-3_재무모델-협상결과반영-051222" xfId="6138"/>
    <cellStyle name="_PNC(2-3)Model_SAC_0420_2_BNP 2-3 FM_v4_0424_2_BNP 2-3 pubicFM_0430_7_BNP 2-3_재무모델-협상결과반영-051222-보완" xfId="6139"/>
    <cellStyle name="_PNC(2-3)Model_SAC_0420_2_BNP 2-3 FM_v4_0424_2_BNP 2-3 pubicFM_0430_7_BNP 2-3_재무모델-협상결과반영-060124" xfId="6140"/>
    <cellStyle name="_PNC(2-3)Model_SAC_0420_2_BNP 2-3 FM_v4_0424_2_BNP 2-3 pubicFM_0430_7_부산신항투자심사050525" xfId="6141"/>
    <cellStyle name="_PNC(2-3)Model_SAC_0420_2_BNP 2-3 FM_v4_0424_2_BNP 2-3 public FM_280505_v2" xfId="6142"/>
    <cellStyle name="_PNC(2-3)Model_SAC_0420_2_BNP 2-3 FM_v4_0424_2_BNP 2-3 public FM_280505_v2_BNP 2-3_public FM_050530_v1" xfId="6143"/>
    <cellStyle name="_PNC(2-3)Model_SAC_0420_2_BNP 2-3 FM_v4_0424_2_BNP 2-3 public FM_280505_v2_BNP 2-3_재무모델-협상결과반영-051222" xfId="6144"/>
    <cellStyle name="_PNC(2-3)Model_SAC_0420_2_BNP 2-3 FM_v4_0424_2_BNP 2-3 public FM_280505_v2_BNP 2-3_재무모델-협상결과반영-051222-보완" xfId="6145"/>
    <cellStyle name="_PNC(2-3)Model_SAC_0420_2_BNP 2-3 FM_v4_0424_2_BNP 2-3 public FM_280505_v2_BNP 2-3_재무모델-협상결과반영-060124" xfId="6146"/>
    <cellStyle name="_PNC(2-3)Model_SAC_0420_2_BNP 2-3 FM_v4_0424_2_BNP 2-3_public FM_290505_v3_1" xfId="6147"/>
    <cellStyle name="_PNC(2-3)Model_SAC_0420_2_BNP 2-3 FM_v4_0424_2_BNP 2-3_public FM_290505_v3_1_BNP 2-3_재무모델-협상결과반영-051222" xfId="6148"/>
    <cellStyle name="_PNC(2-3)Model_SAC_0420_2_BNP 2-3 FM_v4_0424_2_BNP 2-3_public FM_290505_v3_1_BNP 2-3_재무모델-협상결과반영-051222-보완" xfId="6149"/>
    <cellStyle name="_PNC(2-3)Model_SAC_0420_2_BNP 2-3 FM_v4_0424_2_BNP 2-3_public FM_290505_v3_1_BNP 2-3_재무모델-협상결과반영-060124" xfId="6150"/>
    <cellStyle name="_PNC(2-3)Model_SAC_0420_2_BNP 2-3_public FM_050530_v1" xfId="6151"/>
    <cellStyle name="_PNC(2-3)Model_SAC_0420_2_BNP 2-3_재무모델-협상결과반영-051222" xfId="6152"/>
    <cellStyle name="_PNC(2-3)Model_SAC_0420_2_BNP 2-3_재무모델-협상결과반영-051222-보완" xfId="6153"/>
    <cellStyle name="_PNC(2-3)Model_SAC_0420_2_BNP 2-3_재무모델-협상결과반영-060124" xfId="6154"/>
    <cellStyle name="_PNC(2-3)Model_SAC_0420_2_부산신항투자심사050525" xfId="6155"/>
    <cellStyle name="_port" xfId="6156"/>
    <cellStyle name="_PQT" xfId="3981"/>
    <cellStyle name="_PQT_1" xfId="3982"/>
    <cellStyle name="_Q3 포케스트(제1)" xfId="6157"/>
    <cellStyle name="_Q3_08_24_제3" xfId="6158"/>
    <cellStyle name="_RAMP-E교-최종000" xfId="3983"/>
    <cellStyle name="_RAMP-E교-최종000_시방서" xfId="3984"/>
    <cellStyle name="_RAMP-E교-최종000_파도 - 모항선 횡배수관 확장" xfId="3985"/>
    <cellStyle name="_RAMP-E교-최종000_파도 - 모항선 횡배수관 확장_시방서" xfId="3986"/>
    <cellStyle name="_RESULTS" xfId="6159"/>
    <cellStyle name="_Revised BS-AUP(20011231)" xfId="6160"/>
    <cellStyle name="_RHD (2)" xfId="3987"/>
    <cellStyle name="_RHD (2)_1" xfId="3988"/>
    <cellStyle name="_sale_sub_sum" xfId="6161"/>
    <cellStyle name="_Sheet1" xfId="3989"/>
    <cellStyle name="_SM계약현황_2001년4월현재" xfId="6162"/>
    <cellStyle name="_SWISS(풍림)" xfId="6163"/>
    <cellStyle name="_SW솔루션_Forecast_2006_02_27(부사장님)" xfId="6164"/>
    <cellStyle name="_SW솔루션_Forecast_2006_03_27(사장님)" xfId="6165"/>
    <cellStyle name="_SW솔루션_Forecast_2006_04_24(사장님)" xfId="6166"/>
    <cellStyle name="_SW솔루션_Forecast_2006_05_18(사장님)" xfId="6167"/>
    <cellStyle name="_SW솔루션_Forecast_2006_06_12(부사장님)" xfId="6168"/>
    <cellStyle name="_SW솔루션_Forecast_2006_06_26(사장님)" xfId="6169"/>
    <cellStyle name="_SW솔루션_Forecast_2006_08_28(사장님)" xfId="6170"/>
    <cellStyle name="_SW솔루션_Forecast_2006_10_16(사장님)" xfId="6171"/>
    <cellStyle name="_TGIF견적(AS및개발비,20030307)" xfId="3990"/>
    <cellStyle name="_TGIF견적(POS,20030307)" xfId="3991"/>
    <cellStyle name="_U0403161619020내역" xfId="6172"/>
    <cellStyle name="_Virus" xfId="6173"/>
    <cellStyle name="_Vivendi" xfId="6174"/>
    <cellStyle name="_가산동" xfId="6175"/>
    <cellStyle name="_가실행내역" xfId="713"/>
    <cellStyle name="_가실행방침서(030905)" xfId="714"/>
    <cellStyle name="_가중치- 1차" xfId="6176"/>
    <cellStyle name="_감가상각재계산" xfId="6177"/>
    <cellStyle name="_감사내역(2002년도말)" xfId="6178"/>
    <cellStyle name="_감사조서00" xfId="3992"/>
    <cellStyle name="_감사조서99-1" xfId="3993"/>
    <cellStyle name="_강3" xfId="6179"/>
    <cellStyle name="_강남도급내역(기계설비)" xfId="3994"/>
    <cellStyle name="_건축내역_부대입찰(영종도)3.22last제출" xfId="6180"/>
    <cellStyle name="_건축내역서" xfId="6181"/>
    <cellStyle name="_견적 총괄표" xfId="3995"/>
    <cellStyle name="_견적(SK강동역설비1차변경계약(소방)" xfId="6182"/>
    <cellStyle name="_견적(분당아델파크가설)-2" xfId="6183"/>
    <cellStyle name="_견적3" xfId="6184"/>
    <cellStyle name="_견적대비표" xfId="6185"/>
    <cellStyle name="_견적대비표_1" xfId="6186"/>
    <cellStyle name="_견적대비표_2" xfId="6187"/>
    <cellStyle name="_견적대비표_3" xfId="6188"/>
    <cellStyle name="_견적서" xfId="715"/>
    <cellStyle name="_견적양식" xfId="716"/>
    <cellStyle name="_견적의뢰(협력)27" xfId="717"/>
    <cellStyle name="_결재쪽지" xfId="6189"/>
    <cellStyle name="_결재쪽지_투찰_대둔산" xfId="6190"/>
    <cellStyle name="_경기북부1차 보상실적(03년도까지)" xfId="3996"/>
    <cellStyle name="_경기북부1차 보상실적(03년도까지)_1-1)전체사업(05년지목별)본사용" xfId="3997"/>
    <cellStyle name="_경기북부1차 보상실적(03년도까지)_1-2)전체사업(05년지목별)현장송부용" xfId="3998"/>
    <cellStyle name="_경기북부1차 보상실적(03년도까지)_1차 보상실적" xfId="3999"/>
    <cellStyle name="_경기북부1차 보상실적(03년도까지)_Book1" xfId="4000"/>
    <cellStyle name="_경기북부1차 보상실적(03년도까지)_Book1_1-1)전체사업(05년지목별)본사용" xfId="4001"/>
    <cellStyle name="_경기북부1차 보상실적(03년도까지)_Book1_1-2)전체사업(05년지목별)현장송부용" xfId="4002"/>
    <cellStyle name="_경기북부1차 보상실적(03년도까지)_Book1_Sheet1" xfId="4003"/>
    <cellStyle name="_경기북부1차 보상실적(03년도까지)_Book1_자료" xfId="4004"/>
    <cellStyle name="_경기북부1차 보상실적(03년도까지)_Book1_전체사업(05년지목별)" xfId="4005"/>
    <cellStyle name="_경기북부1차 보상실적(03년도까지)_Sheet1" xfId="4006"/>
    <cellStyle name="_경기북부1차 보상실적(03년도까지)_자료" xfId="4007"/>
    <cellStyle name="_경기북부1차 보상실적(03년도까지)_전체사업(05년지목별)" xfId="4008"/>
    <cellStyle name="_경리투자" xfId="6191"/>
    <cellStyle name="_경전철신모델(020313최종)" xfId="6192"/>
    <cellStyle name="_경전철신모델(020506,투심soc)" xfId="6193"/>
    <cellStyle name="_경주" xfId="6194"/>
    <cellStyle name="_계정명세sum" xfId="6195"/>
    <cellStyle name="_계정증감" xfId="6196"/>
    <cellStyle name="_공내역(일반전기-RFID)_서우" xfId="6197"/>
    <cellStyle name="_공내역서" xfId="6198"/>
    <cellStyle name="_공내역서_1" xfId="6199"/>
    <cellStyle name="_공내역서_2" xfId="6200"/>
    <cellStyle name="_공문 " xfId="6201"/>
    <cellStyle name="_공문 _내역서" xfId="6202"/>
    <cellStyle name="_공문양식" xfId="6203"/>
    <cellStyle name="_공사개요(2003) " xfId="718"/>
    <cellStyle name="_공사관련채권총괄표&amp;검토WP(Pjt_Lamp)" xfId="6204"/>
    <cellStyle name="_공사요율표-031008" xfId="6205"/>
    <cellStyle name="_공사원가계산서 만들기'0812" xfId="4009"/>
    <cellStyle name="_관로내역0718" xfId="6206"/>
    <cellStyle name="_광양LNG견적의뢰5.14" xfId="6207"/>
    <cellStyle name="_광주평동실행" xfId="719"/>
    <cellStyle name="_광주평동실행_구기동(제출)(95.0)(031121)" xfId="704"/>
    <cellStyle name="_광주평동실행_구기동레포츠센타제출" xfId="720"/>
    <cellStyle name="_광주평동실행_번암견적의뢰(협력)" xfId="721"/>
    <cellStyle name="_광주평동실행_번암견적의뢰(협력)_구기동(제출)(95.0)(031121)" xfId="722"/>
    <cellStyle name="_광주평동실행_번암견적의뢰(협력)_구기동레포츠센타제출" xfId="723"/>
    <cellStyle name="_광주평동실행_번암견적의뢰(협력)_용답동오피스텔가실행" xfId="724"/>
    <cellStyle name="_광주평동실행_용답동오피스텔가실행" xfId="725"/>
    <cellStyle name="_광주평동투찰" xfId="1985"/>
    <cellStyle name="_광주평동투찰_삽교천개수공사(03.30)" xfId="1986"/>
    <cellStyle name="_광주평동투찰_삽교천개수공사(03.30)_구일초(06.17)-부대" xfId="1987"/>
    <cellStyle name="_광주평동투찰_삽교천개수공사(03.30)_남성지구(05.26)" xfId="1988"/>
    <cellStyle name="_광주평동투찰_삽교천개수공사(03.30)_동산초(06.1)" xfId="1989"/>
    <cellStyle name="_광주평동투찰_삽교천개수공사(03.30)_삽교천개수공사(03.30)" xfId="1990"/>
    <cellStyle name="_광주평동투찰_삽교천개수공사(03.30)_안산남부경찰서(06.16)-부대" xfId="1991"/>
    <cellStyle name="_광주평동투찰_삽교천개수공사(03.30)_제주제성교(05.27)" xfId="1992"/>
    <cellStyle name="_광주평동투찰_삽교천개수공사(03.30)_행목지구하천환경(05.25)" xfId="1993"/>
    <cellStyle name="_광주평동투찰3" xfId="1994"/>
    <cellStyle name="_광주평동투찰3_삽교천개수공사(03.30)" xfId="1995"/>
    <cellStyle name="_광주평동투찰3_삽교천개수공사(03.30)_구일초(06.17)-부대" xfId="1996"/>
    <cellStyle name="_광주평동투찰3_삽교천개수공사(03.30)_남성지구(05.26)" xfId="1997"/>
    <cellStyle name="_광주평동투찰3_삽교천개수공사(03.30)_동산초(06.1)" xfId="1998"/>
    <cellStyle name="_광주평동투찰3_삽교천개수공사(03.30)_삽교천개수공사(03.30)" xfId="1999"/>
    <cellStyle name="_광주평동투찰3_삽교천개수공사(03.30)_안산남부경찰서(06.16)-부대" xfId="2000"/>
    <cellStyle name="_광주평동투찰3_삽교천개수공사(03.30)_제주제성교(05.27)" xfId="2001"/>
    <cellStyle name="_광주평동투찰3_삽교천개수공사(03.30)_행목지구하천환경(05.25)" xfId="2002"/>
    <cellStyle name="_광주평동품의1" xfId="726"/>
    <cellStyle name="_광주평동품의1_구기동(제출)(95.0)(031121)" xfId="727"/>
    <cellStyle name="_광주평동품의1_구기동레포츠센타제출" xfId="728"/>
    <cellStyle name="_광주평동품의1_무안-광주2공구(협력)수정" xfId="729"/>
    <cellStyle name="_광주평동품의1_무안-광주2공구(협력)수정_구기동(제출)(95.0)(031121)" xfId="730"/>
    <cellStyle name="_광주평동품의1_무안-광주2공구(협력)수정_구기동레포츠센타제출" xfId="731"/>
    <cellStyle name="_광주평동품의1_무안-광주2공구(협력)수정_용답동오피스텔가실행" xfId="732"/>
    <cellStyle name="_광주평동품의1_번암견적의뢰(협력)" xfId="733"/>
    <cellStyle name="_광주평동품의1_번암견적의뢰(협력)_구기동(제출)(95.0)(031121)" xfId="734"/>
    <cellStyle name="_광주평동품의1_번암견적의뢰(협력)_구기동레포츠센타제출" xfId="735"/>
    <cellStyle name="_광주평동품의1_번암견적의뢰(협력)_용답동오피스텔가실행" xfId="736"/>
    <cellStyle name="_광주평동품의1_삽교천개수공사(03.30)" xfId="2003"/>
    <cellStyle name="_광주평동품의1_삽교천개수공사(03.30)_구일초(06.17)-부대" xfId="2004"/>
    <cellStyle name="_광주평동품의1_삽교천개수공사(03.30)_남성지구(05.26)" xfId="2005"/>
    <cellStyle name="_광주평동품의1_삽교천개수공사(03.30)_동산초(06.1)" xfId="2006"/>
    <cellStyle name="_광주평동품의1_삽교천개수공사(03.30)_삽교천개수공사(03.30)" xfId="2007"/>
    <cellStyle name="_광주평동품의1_삽교천개수공사(03.30)_안산남부경찰서(06.16)-부대" xfId="2008"/>
    <cellStyle name="_광주평동품의1_삽교천개수공사(03.30)_제주제성교(05.27)" xfId="2009"/>
    <cellStyle name="_광주평동품의1_삽교천개수공사(03.30)_행목지구하천환경(05.25)" xfId="2010"/>
    <cellStyle name="_광주평동품의1_용답동오피스텔가실행" xfId="737"/>
    <cellStyle name="_광주평동품의1_적상무주IC도로(1공구)" xfId="738"/>
    <cellStyle name="_광주평동품의1_적상무주IC도로(1공구)_구기동(제출)(95.0)(031121)" xfId="739"/>
    <cellStyle name="_광주평동품의1_적상무주IC도로(1공구)_구기동레포츠센타제출" xfId="740"/>
    <cellStyle name="_광주평동품의1_적상무주IC도로(1공구)_용답동오피스텔가실행" xfId="741"/>
    <cellStyle name="_구매(매입)-한화국토-WP" xfId="6208"/>
    <cellStyle name="_구미매각Vivendi검토(T.T)" xfId="6209"/>
    <cellStyle name="_구즉내역서" xfId="6210"/>
    <cellStyle name="_국도23호선영암연소지구내역서" xfId="2011"/>
    <cellStyle name="_국도38호선통리지구내역서" xfId="2012"/>
    <cellStyle name="_국도42호선여량지구오르막차로" xfId="2013"/>
    <cellStyle name="_그랜드호텔(본실행)" xfId="6211"/>
    <cellStyle name="_금월봉변경가실행" xfId="742"/>
    <cellStyle name="_금천청소년수련관(토목林)" xfId="2014"/>
    <cellStyle name="_금형" xfId="4010"/>
    <cellStyle name="_급여대장(2006)" xfId="6212"/>
    <cellStyle name="_급여대장(2006)_(2008) 손익계획 v080710" xfId="6213"/>
    <cellStyle name="_급여대장(2006)_(2008) 손익계획 v2.0" xfId="6214"/>
    <cellStyle name="_급여대장(2006)_(2008) 손익계획 v2.0_(2008) 손익계획 v080710" xfId="6215"/>
    <cellStyle name="_급여대장(2006)_(2008) 손익계획 v2.0_(2008) 손익계획 v7 2 (2)" xfId="6216"/>
    <cellStyle name="_급여대장(2006)_(2008) 손익계획 v7 2 (2)" xfId="6217"/>
    <cellStyle name="_기말수정사항(선양테크)" xfId="6218"/>
    <cellStyle name="_기성" xfId="6219"/>
    <cellStyle name="_기성 검토 내역" xfId="6220"/>
    <cellStyle name="_기성검사원" xfId="6221"/>
    <cellStyle name="_기성검사원_내역서" xfId="6222"/>
    <cellStyle name="_기성-실적정산서류" xfId="6223"/>
    <cellStyle name="_기술투자예산" xfId="6224"/>
    <cellStyle name="_기장하수실행1" xfId="743"/>
    <cellStyle name="_기장하수실행1_구기동(제출)(95.0)(031121)" xfId="744"/>
    <cellStyle name="_기장하수실행1_구기동레포츠센타제출" xfId="745"/>
    <cellStyle name="_기장하수실행1_번암견적의뢰(협력)" xfId="746"/>
    <cellStyle name="_기장하수실행1_번암견적의뢰(협력)_구기동(제출)(95.0)(031121)" xfId="747"/>
    <cellStyle name="_기장하수실행1_번암견적의뢰(협력)_구기동레포츠센타제출" xfId="748"/>
    <cellStyle name="_기장하수실행1_번암견적의뢰(협력)_용답동오피스텔가실행" xfId="749"/>
    <cellStyle name="_기장하수실행1_용답동오피스텔가실행" xfId="750"/>
    <cellStyle name="_김포ER(세종)" xfId="6225"/>
    <cellStyle name="_김포신곡매출계상" xfId="6226"/>
    <cellStyle name="_김포신곡보고자료입니다." xfId="6227"/>
    <cellStyle name="_김해작업중" xfId="6228"/>
    <cellStyle name="_김해작업중_2002년도BP양식수정(SOC팀수정부결안1101)" xfId="6229"/>
    <cellStyle name="_김해작업중_2002년도BP양식수정(SOC팀수정부결안1101)_본부별 경영전략 보고 양식" xfId="6230"/>
    <cellStyle name="_김해작업중_2002년도BP양식주정" xfId="6231"/>
    <cellStyle name="_김해작업중_2002년도BP양식주정_2002년도BP양식주정" xfId="6232"/>
    <cellStyle name="_김해작업중_2002년도BP양식주정_2002년도BP양식주정_2002년도BP양식수정(SOC팀수정부결안1101)" xfId="6233"/>
    <cellStyle name="_김해작업중_2002년도BP양식주정_2002년도BP양식주정_2002년도BP양식수정(SOC팀수정부결안1101)_본부별 경영전략 보고 양식" xfId="6234"/>
    <cellStyle name="_김해작업중_2002년도BP양식주정_2002년도BP양식주정_본부별 경영전략 보고 양식" xfId="6235"/>
    <cellStyle name="_김해작업중_2002년도BP양식주정_본부별 경영전략 보고 양식" xfId="6236"/>
    <cellStyle name="_김해작업중_본부별 경영전략 보고 양식" xfId="6237"/>
    <cellStyle name="_김해작업중_사업진척점검회의(2001. 8)" xfId="6238"/>
    <cellStyle name="_김해작업중_사업진척점검회의(2001. 8)_2002년도BP양식수정(SOC팀수정부결안1101)" xfId="6239"/>
    <cellStyle name="_김해작업중_사업진척점검회의(2001. 8)_2002년도BP양식수정(SOC팀수정부결안1101)_본부별 경영전략 보고 양식" xfId="6240"/>
    <cellStyle name="_김해작업중_사업진척점검회의(2001. 8)_2002년도BP양식주정" xfId="6241"/>
    <cellStyle name="_김해작업중_사업진척점검회의(2001. 8)_2002년도BP양식주정_2002년도BP양식주정" xfId="6242"/>
    <cellStyle name="_김해작업중_사업진척점검회의(2001. 8)_2002년도BP양식주정_2002년도BP양식주정_2002년도BP양식수정(SOC팀수정부결안1101)" xfId="6243"/>
    <cellStyle name="_김해작업중_사업진척점검회의(2001. 8)_2002년도BP양식주정_2002년도BP양식주정_2002년도BP양식수정(SOC팀수정부결안1101)_본부별 경영전략 보고 양식" xfId="6244"/>
    <cellStyle name="_김해작업중_사업진척점검회의(2001. 8)_2002년도BP양식주정_2002년도BP양식주정_본부별 경영전략 보고 양식" xfId="6245"/>
    <cellStyle name="_김해작업중_사업진척점검회의(2001. 8)_2002년도BP양식주정_본부별 경영전략 보고 양식" xfId="6246"/>
    <cellStyle name="_김해작업중_사업진척점검회의(2001. 8)_본부별 경영전략 보고 양식" xfId="6247"/>
    <cellStyle name="_김해작업중_선운흥덕실행" xfId="6248"/>
    <cellStyle name="_김해작업중_선운흥덕실행_2002년도BP양식수정(SOC팀수정부결안1101)" xfId="6249"/>
    <cellStyle name="_김해작업중_선운흥덕실행_2002년도BP양식수정(SOC팀수정부결안1101)_본부별 경영전략 보고 양식" xfId="6250"/>
    <cellStyle name="_김해작업중_선운흥덕실행_2002년도BP양식주정" xfId="6251"/>
    <cellStyle name="_김해작업중_선운흥덕실행_2002년도BP양식주정_2002년도BP양식주정" xfId="6252"/>
    <cellStyle name="_김해작업중_선운흥덕실행_2002년도BP양식주정_2002년도BP양식주정_2002년도BP양식수정(SOC팀수정부결안1101)" xfId="6253"/>
    <cellStyle name="_김해작업중_선운흥덕실행_2002년도BP양식주정_2002년도BP양식주정_2002년도BP양식수정(SOC팀수정부결안1101)_본부별 경영전략 보고 양식" xfId="6254"/>
    <cellStyle name="_김해작업중_선운흥덕실행_2002년도BP양식주정_2002년도BP양식주정_본부별 경영전략 보고 양식" xfId="6255"/>
    <cellStyle name="_김해작업중_선운흥덕실행_2002년도BP양식주정_본부별 경영전략 보고 양식" xfId="6256"/>
    <cellStyle name="_김해작업중_선운흥덕실행_본부별 경영전략 보고 양식" xfId="6257"/>
    <cellStyle name="_김해작업중_선운흥덕실행_사업진척점검회의(2001. 8)" xfId="6258"/>
    <cellStyle name="_김해작업중_선운흥덕실행_사업진척점검회의(2001. 8)_2002년도BP양식수정(SOC팀수정부결안1101)" xfId="6259"/>
    <cellStyle name="_김해작업중_선운흥덕실행_사업진척점검회의(2001. 8)_2002년도BP양식수정(SOC팀수정부결안1101)_본부별 경영전략 보고 양식" xfId="6260"/>
    <cellStyle name="_김해작업중_선운흥덕실행_사업진척점검회의(2001. 8)_2002년도BP양식주정" xfId="6261"/>
    <cellStyle name="_김해작업중_선운흥덕실행_사업진척점검회의(2001. 8)_2002년도BP양식주정_2002년도BP양식주정" xfId="6262"/>
    <cellStyle name="_김해작업중_선운흥덕실행_사업진척점검회의(2001. 8)_2002년도BP양식주정_2002년도BP양식주정_2002년도BP양식수정(SOC팀수정부결안1101)" xfId="6263"/>
    <cellStyle name="_김해작업중_선운흥덕실행_사업진척점검회의(2001. 8)_2002년도BP양식주정_2002년도BP양식주정_2002년도BP양식수정(SOC팀수정부결안1101)_본부별 경영전략 보고 양식" xfId="6264"/>
    <cellStyle name="_김해작업중_선운흥덕실행_사업진척점검회의(2001. 8)_2002년도BP양식주정_2002년도BP양식주정_본부별 경영전략 보고 양식" xfId="6265"/>
    <cellStyle name="_김해작업중_선운흥덕실행_사업진척점검회의(2001. 8)_2002년도BP양식주정_본부별 경영전략 보고 양식" xfId="6266"/>
    <cellStyle name="_김해작업중_선운흥덕실행_사업진척점검회의(2001. 8)_본부별 경영전략 보고 양식" xfId="6267"/>
    <cellStyle name="_내역서" xfId="6268"/>
    <cellStyle name="_내역서(영등포대흥타워)" xfId="6269"/>
    <cellStyle name="_내역서(하계동 근생및업무실설)" xfId="6270"/>
    <cellStyle name="_내역정리" xfId="6271"/>
    <cellStyle name="_네스_1H_02" xfId="6272"/>
    <cellStyle name="_단가표" xfId="6273"/>
    <cellStyle name="_단위공사예정공정표(AC04-06)" xfId="6274"/>
    <cellStyle name="_대구논공초" xfId="6275"/>
    <cellStyle name="_대구범어매출계상" xfId="6276"/>
    <cellStyle name="_대구수성실행(견적팀)공통(하이빌) 9(최종결재.070630)" xfId="6277"/>
    <cellStyle name="_대림 영등포 점프밀라노" xfId="6278"/>
    <cellStyle name="_대림-의정부성모병원주차장" xfId="6279"/>
    <cellStyle name="_대손충당금" xfId="6280"/>
    <cellStyle name="_도고천품의안11" xfId="751"/>
    <cellStyle name="_도고천품의안11_1" xfId="752"/>
    <cellStyle name="_도고천품의안11_1_구기동(제출)(95.0)(031121)" xfId="753"/>
    <cellStyle name="_도고천품의안11_1_구기동레포츠센타제출" xfId="754"/>
    <cellStyle name="_도고천품의안11_1_무안-광주2공구(협력)수정" xfId="755"/>
    <cellStyle name="_도고천품의안11_1_무안-광주2공구(협력)수정_구기동(제출)(95.0)(031121)" xfId="756"/>
    <cellStyle name="_도고천품의안11_1_무안-광주2공구(협력)수정_구기동레포츠센타제출" xfId="757"/>
    <cellStyle name="_도고천품의안11_1_무안-광주2공구(협력)수정_용답동오피스텔가실행" xfId="758"/>
    <cellStyle name="_도고천품의안11_1_번암견적의뢰(협력)" xfId="759"/>
    <cellStyle name="_도고천품의안11_1_번암견적의뢰(협력)_구기동(제출)(95.0)(031121)" xfId="760"/>
    <cellStyle name="_도고천품의안11_1_번암견적의뢰(협력)_구기동레포츠센타제출" xfId="761"/>
    <cellStyle name="_도고천품의안11_1_번암견적의뢰(협력)_용답동오피스텔가실행" xfId="762"/>
    <cellStyle name="_도고천품의안11_1_삽교천개수공사(03.30)" xfId="2015"/>
    <cellStyle name="_도고천품의안11_1_삽교천개수공사(03.30)_구일초(06.17)-부대" xfId="2016"/>
    <cellStyle name="_도고천품의안11_1_삽교천개수공사(03.30)_남성지구(05.26)" xfId="2017"/>
    <cellStyle name="_도고천품의안11_1_삽교천개수공사(03.30)_동산초(06.1)" xfId="2018"/>
    <cellStyle name="_도고천품의안11_1_삽교천개수공사(03.30)_삽교천개수공사(03.30)" xfId="2019"/>
    <cellStyle name="_도고천품의안11_1_삽교천개수공사(03.30)_안산남부경찰서(06.16)-부대" xfId="2020"/>
    <cellStyle name="_도고천품의안11_1_삽교천개수공사(03.30)_제주제성교(05.27)" xfId="2021"/>
    <cellStyle name="_도고천품의안11_1_삽교천개수공사(03.30)_행목지구하천환경(05.25)" xfId="2022"/>
    <cellStyle name="_도고천품의안11_1_용답동오피스텔가실행" xfId="763"/>
    <cellStyle name="_도고천품의안11_1_적상무주IC도로(1공구)" xfId="764"/>
    <cellStyle name="_도고천품의안11_1_적상무주IC도로(1공구)_구기동(제출)(95.0)(031121)" xfId="765"/>
    <cellStyle name="_도고천품의안11_1_적상무주IC도로(1공구)_구기동레포츠센타제출" xfId="766"/>
    <cellStyle name="_도고천품의안11_1_적상무주IC도로(1공구)_용답동오피스텔가실행" xfId="767"/>
    <cellStyle name="_도고천품의안11_광주평동실행" xfId="768"/>
    <cellStyle name="_도고천품의안11_광주평동실행_구기동(제출)(95.0)(031121)" xfId="769"/>
    <cellStyle name="_도고천품의안11_광주평동실행_구기동레포츠센타제출" xfId="770"/>
    <cellStyle name="_도고천품의안11_광주평동실행_번암견적의뢰(협력)" xfId="771"/>
    <cellStyle name="_도고천품의안11_광주평동실행_번암견적의뢰(협력)_구기동(제출)(95.0)(031121)" xfId="772"/>
    <cellStyle name="_도고천품의안11_광주평동실행_번암견적의뢰(협력)_구기동레포츠센타제출" xfId="773"/>
    <cellStyle name="_도고천품의안11_광주평동실행_번암견적의뢰(협력)_용답동오피스텔가실행" xfId="774"/>
    <cellStyle name="_도고천품의안11_광주평동실행_용답동오피스텔가실행" xfId="775"/>
    <cellStyle name="_도고천품의안11_광주평동투찰" xfId="2023"/>
    <cellStyle name="_도고천품의안11_광주평동투찰_삽교천개수공사(03.30)" xfId="2024"/>
    <cellStyle name="_도고천품의안11_광주평동투찰_삽교천개수공사(03.30)_구일초(06.17)-부대" xfId="2025"/>
    <cellStyle name="_도고천품의안11_광주평동투찰_삽교천개수공사(03.30)_남성지구(05.26)" xfId="2026"/>
    <cellStyle name="_도고천품의안11_광주평동투찰_삽교천개수공사(03.30)_동산초(06.1)" xfId="2027"/>
    <cellStyle name="_도고천품의안11_광주평동투찰_삽교천개수공사(03.30)_삽교천개수공사(03.30)" xfId="2028"/>
    <cellStyle name="_도고천품의안11_광주평동투찰_삽교천개수공사(03.30)_안산남부경찰서(06.16)-부대" xfId="2029"/>
    <cellStyle name="_도고천품의안11_광주평동투찰_삽교천개수공사(03.30)_제주제성교(05.27)" xfId="2030"/>
    <cellStyle name="_도고천품의안11_광주평동투찰_삽교천개수공사(03.30)_행목지구하천환경(05.25)" xfId="2031"/>
    <cellStyle name="_도고천품의안11_광주평동품의1" xfId="776"/>
    <cellStyle name="_도고천품의안11_광주평동품의1_구기동(제출)(95.0)(031121)" xfId="777"/>
    <cellStyle name="_도고천품의안11_광주평동품의1_구기동레포츠센타제출" xfId="778"/>
    <cellStyle name="_도고천품의안11_광주평동품의1_무안-광주2공구(협력)수정" xfId="779"/>
    <cellStyle name="_도고천품의안11_광주평동품의1_무안-광주2공구(협력)수정_구기동(제출)(95.0)(031121)" xfId="780"/>
    <cellStyle name="_도고천품의안11_광주평동품의1_무안-광주2공구(협력)수정_구기동레포츠센타제출" xfId="781"/>
    <cellStyle name="_도고천품의안11_광주평동품의1_무안-광주2공구(협력)수정_용답동오피스텔가실행" xfId="782"/>
    <cellStyle name="_도고천품의안11_광주평동품의1_번암견적의뢰(협력)" xfId="783"/>
    <cellStyle name="_도고천품의안11_광주평동품의1_번암견적의뢰(협력)_구기동(제출)(95.0)(031121)" xfId="784"/>
    <cellStyle name="_도고천품의안11_광주평동품의1_번암견적의뢰(협력)_구기동레포츠센타제출" xfId="785"/>
    <cellStyle name="_도고천품의안11_광주평동품의1_번암견적의뢰(협력)_용답동오피스텔가실행" xfId="786"/>
    <cellStyle name="_도고천품의안11_광주평동품의1_삽교천개수공사(03.30)" xfId="2032"/>
    <cellStyle name="_도고천품의안11_광주평동품의1_삽교천개수공사(03.30)_구일초(06.17)-부대" xfId="2033"/>
    <cellStyle name="_도고천품의안11_광주평동품의1_삽교천개수공사(03.30)_남성지구(05.26)" xfId="2034"/>
    <cellStyle name="_도고천품의안11_광주평동품의1_삽교천개수공사(03.30)_동산초(06.1)" xfId="2035"/>
    <cellStyle name="_도고천품의안11_광주평동품의1_삽교천개수공사(03.30)_삽교천개수공사(03.30)" xfId="2036"/>
    <cellStyle name="_도고천품의안11_광주평동품의1_삽교천개수공사(03.30)_안산남부경찰서(06.16)-부대" xfId="2037"/>
    <cellStyle name="_도고천품의안11_광주평동품의1_삽교천개수공사(03.30)_제주제성교(05.27)" xfId="2038"/>
    <cellStyle name="_도고천품의안11_광주평동품의1_삽교천개수공사(03.30)_행목지구하천환경(05.25)" xfId="2039"/>
    <cellStyle name="_도고천품의안11_광주평동품의1_용답동오피스텔가실행" xfId="787"/>
    <cellStyle name="_도고천품의안11_광주평동품의1_적상무주IC도로(1공구)" xfId="788"/>
    <cellStyle name="_도고천품의안11_광주평동품의1_적상무주IC도로(1공구)_구기동(제출)(95.0)(031121)" xfId="789"/>
    <cellStyle name="_도고천품의안11_광주평동품의1_적상무주IC도로(1공구)_구기동레포츠센타제출" xfId="790"/>
    <cellStyle name="_도고천품의안11_광주평동품의1_적상무주IC도로(1공구)_용답동오피스텔가실행" xfId="791"/>
    <cellStyle name="_도고천품의안11_구기동(제출)(95.0)(031121)" xfId="792"/>
    <cellStyle name="_도고천품의안11_구기동레포츠센타제출" xfId="793"/>
    <cellStyle name="_도고천품의안11_무안-광주2공구(협력)수정" xfId="794"/>
    <cellStyle name="_도고천품의안11_무안-광주2공구(협력)수정_구기동(제출)(95.0)(031121)" xfId="795"/>
    <cellStyle name="_도고천품의안11_무안-광주2공구(협력)수정_구기동레포츠센타제출" xfId="796"/>
    <cellStyle name="_도고천품의안11_무안-광주2공구(협력)수정_용답동오피스텔가실행" xfId="797"/>
    <cellStyle name="_도고천품의안11_번암견적의뢰(협력)" xfId="798"/>
    <cellStyle name="_도고천품의안11_번암견적의뢰(협력)_구기동(제출)(95.0)(031121)" xfId="799"/>
    <cellStyle name="_도고천품의안11_번암견적의뢰(협력)_구기동레포츠센타제출" xfId="800"/>
    <cellStyle name="_도고천품의안11_번암견적의뢰(협력)_용답동오피스텔가실행" xfId="801"/>
    <cellStyle name="_도고천품의안11_삽교천개수공사(03.30)" xfId="2040"/>
    <cellStyle name="_도고천품의안11_삽교천개수공사(03.30)_구일초(06.17)-부대" xfId="2041"/>
    <cellStyle name="_도고천품의안11_삽교천개수공사(03.30)_남성지구(05.26)" xfId="2042"/>
    <cellStyle name="_도고천품의안11_삽교천개수공사(03.30)_동산초(06.1)" xfId="2043"/>
    <cellStyle name="_도고천품의안11_삽교천개수공사(03.30)_삽교천개수공사(03.30)" xfId="2044"/>
    <cellStyle name="_도고천품의안11_삽교천개수공사(03.30)_안산남부경찰서(06.16)-부대" xfId="2045"/>
    <cellStyle name="_도고천품의안11_삽교천개수공사(03.30)_제주제성교(05.27)" xfId="2046"/>
    <cellStyle name="_도고천품의안11_삽교천개수공사(03.30)_행목지구하천환경(05.25)" xfId="2047"/>
    <cellStyle name="_도고천품의안11_송학실행안" xfId="802"/>
    <cellStyle name="_도고천품의안11_송학실행안_구기동(제출)(95.0)(031121)" xfId="803"/>
    <cellStyle name="_도고천품의안11_송학실행안_구기동레포츠센타제출" xfId="804"/>
    <cellStyle name="_도고천품의안11_송학실행안_번암견적의뢰(협력)" xfId="805"/>
    <cellStyle name="_도고천품의안11_송학실행안_번암견적의뢰(협력)_구기동(제출)(95.0)(031121)" xfId="806"/>
    <cellStyle name="_도고천품의안11_송학실행안_번암견적의뢰(협력)_구기동레포츠센타제출" xfId="807"/>
    <cellStyle name="_도고천품의안11_송학실행안_번암견적의뢰(협력)_용답동오피스텔가실행" xfId="808"/>
    <cellStyle name="_도고천품의안11_송학실행안_용답동오피스텔가실행" xfId="809"/>
    <cellStyle name="_도고천품의안11_송학하수품의(설계넣고)" xfId="810"/>
    <cellStyle name="_도고천품의안11_송학하수품의(설계넣고)_구기동(제출)(95.0)(031121)" xfId="811"/>
    <cellStyle name="_도고천품의안11_송학하수품의(설계넣고)_구기동레포츠센타제출" xfId="812"/>
    <cellStyle name="_도고천품의안11_송학하수품의(설계넣고)_무안-광주2공구(협력)수정" xfId="813"/>
    <cellStyle name="_도고천품의안11_송학하수품의(설계넣고)_무안-광주2공구(협력)수정_구기동(제출)(95.0)(031121)" xfId="814"/>
    <cellStyle name="_도고천품의안11_송학하수품의(설계넣고)_무안-광주2공구(협력)수정_구기동레포츠센타제출" xfId="815"/>
    <cellStyle name="_도고천품의안11_송학하수품의(설계넣고)_무안-광주2공구(협력)수정_용답동오피스텔가실행" xfId="816"/>
    <cellStyle name="_도고천품의안11_송학하수품의(설계넣고)_번암견적의뢰(협력)" xfId="817"/>
    <cellStyle name="_도고천품의안11_송학하수품의(설계넣고)_번암견적의뢰(협력)_구기동(제출)(95.0)(031121)" xfId="818"/>
    <cellStyle name="_도고천품의안11_송학하수품의(설계넣고)_번암견적의뢰(협력)_구기동레포츠센타제출" xfId="819"/>
    <cellStyle name="_도고천품의안11_송학하수품의(설계넣고)_번암견적의뢰(협력)_용답동오피스텔가실행" xfId="820"/>
    <cellStyle name="_도고천품의안11_송학하수품의(설계넣고)_삽교천개수공사(03.30)" xfId="2048"/>
    <cellStyle name="_도고천품의안11_송학하수품의(설계넣고)_삽교천개수공사(03.30)_구일초(06.17)-부대" xfId="2049"/>
    <cellStyle name="_도고천품의안11_송학하수품의(설계넣고)_삽교천개수공사(03.30)_남성지구(05.26)" xfId="2050"/>
    <cellStyle name="_도고천품의안11_송학하수품의(설계넣고)_삽교천개수공사(03.30)_동산초(06.1)" xfId="2051"/>
    <cellStyle name="_도고천품의안11_송학하수품의(설계넣고)_삽교천개수공사(03.30)_삽교천개수공사(03.30)" xfId="2052"/>
    <cellStyle name="_도고천품의안11_송학하수품의(설계넣고)_삽교천개수공사(03.30)_안산남부경찰서(06.16)-부대" xfId="2053"/>
    <cellStyle name="_도고천품의안11_송학하수품의(설계넣고)_삽교천개수공사(03.30)_제주제성교(05.27)" xfId="2054"/>
    <cellStyle name="_도고천품의안11_송학하수품의(설계넣고)_삽교천개수공사(03.30)_행목지구하천환경(05.25)" xfId="2055"/>
    <cellStyle name="_도고천품의안11_송학하수품의(설계넣고)_용답동오피스텔가실행" xfId="821"/>
    <cellStyle name="_도고천품의안11_송학하수품의(설계넣고)_적상무주IC도로(1공구)" xfId="822"/>
    <cellStyle name="_도고천품의안11_송학하수품의(설계넣고)_적상무주IC도로(1공구)_구기동(제출)(95.0)(031121)" xfId="823"/>
    <cellStyle name="_도고천품의안11_송학하수품의(설계넣고)_적상무주IC도로(1공구)_구기동레포츠센타제출" xfId="824"/>
    <cellStyle name="_도고천품의안11_송학하수품의(설계넣고)_적상무주IC도로(1공구)_용답동오피스텔가실행" xfId="825"/>
    <cellStyle name="_도고천품의안11_용답동오피스텔가실행" xfId="826"/>
    <cellStyle name="_도고천품의안11_적상무주IC도로(1공구)" xfId="827"/>
    <cellStyle name="_도고천품의안11_적상무주IC도로(1공구)_구기동(제출)(95.0)(031121)" xfId="828"/>
    <cellStyle name="_도고천품의안11_적상무주IC도로(1공구)_구기동레포츠센타제출" xfId="829"/>
    <cellStyle name="_도고천품의안11_적상무주IC도로(1공구)_용답동오피스텔가실행" xfId="830"/>
    <cellStyle name="_도곡1교 교대 수량" xfId="4011"/>
    <cellStyle name="_도곡1교 교대 수량_RAMP-E교-최종000" xfId="4012"/>
    <cellStyle name="_도곡1교 교대 수량_RAMP-E교-최종000_시방서" xfId="4013"/>
    <cellStyle name="_도곡1교 교대 수량_RAMP-E교-최종000_파도 - 모항선 횡배수관 확장" xfId="4014"/>
    <cellStyle name="_도곡1교 교대 수량_RAMP-E교-최종000_파도 - 모항선 횡배수관 확장_시방서" xfId="4015"/>
    <cellStyle name="_도곡1교 교대 수량_시방서" xfId="4016"/>
    <cellStyle name="_도곡1교 교대(시점) 수량" xfId="4017"/>
    <cellStyle name="_도곡1교 교대(시점) 수량_RAMP-E교-최종000" xfId="4018"/>
    <cellStyle name="_도곡1교 교대(시점) 수량_RAMP-E교-최종000_시방서" xfId="4019"/>
    <cellStyle name="_도곡1교 교대(시점) 수량_RAMP-E교-최종000_파도 - 모항선 횡배수관 확장" xfId="4020"/>
    <cellStyle name="_도곡1교 교대(시점) 수량_RAMP-E교-최종000_파도 - 모항선 횡배수관 확장_시방서" xfId="4021"/>
    <cellStyle name="_도곡1교 교대(시점) 수량_시방서" xfId="4022"/>
    <cellStyle name="_도곡1교 하부공 수량" xfId="4023"/>
    <cellStyle name="_도곡1교 하부공 수량_RAMP-E교-최종000" xfId="4024"/>
    <cellStyle name="_도곡1교 하부공 수량_RAMP-E교-최종000_시방서" xfId="4025"/>
    <cellStyle name="_도곡1교 하부공 수량_RAMP-E교-최종000_파도 - 모항선 횡배수관 확장" xfId="4026"/>
    <cellStyle name="_도곡1교 하부공 수량_RAMP-E교-최종000_파도 - 모항선 횡배수관 확장_시방서" xfId="4027"/>
    <cellStyle name="_도곡1교 하부공 수량_시방서" xfId="4028"/>
    <cellStyle name="_도곡2교 교대 수량" xfId="4029"/>
    <cellStyle name="_도곡2교 교대 수량_RAMP-E교-최종000" xfId="4030"/>
    <cellStyle name="_도곡2교 교대 수량_RAMP-E교-최종000_시방서" xfId="4031"/>
    <cellStyle name="_도곡2교 교대 수량_RAMP-E교-최종000_파도 - 모항선 횡배수관 확장" xfId="4032"/>
    <cellStyle name="_도곡2교 교대 수량_RAMP-E교-최종000_파도 - 모항선 횡배수관 확장_시방서" xfId="4033"/>
    <cellStyle name="_도곡2교 교대 수량_시방서" xfId="4034"/>
    <cellStyle name="_도곡2교 교대(종점) 수량" xfId="4035"/>
    <cellStyle name="_도곡2교 교대(종점) 수량_RAMP-E교-최종000" xfId="4036"/>
    <cellStyle name="_도곡2교 교대(종점) 수량_RAMP-E교-최종000_시방서" xfId="4037"/>
    <cellStyle name="_도곡2교 교대(종점) 수량_RAMP-E교-최종000_파도 - 모항선 횡배수관 확장" xfId="4038"/>
    <cellStyle name="_도곡2교 교대(종점) 수량_RAMP-E교-최종000_파도 - 모항선 횡배수관 확장_시방서" xfId="4039"/>
    <cellStyle name="_도곡2교 교대(종점) 수량_시방서" xfId="4040"/>
    <cellStyle name="_도곡3교 교대 수량" xfId="4041"/>
    <cellStyle name="_도곡3교 교대 수량_RAMP-E교-최종000" xfId="4042"/>
    <cellStyle name="_도곡3교 교대 수량_RAMP-E교-최종000_시방서" xfId="4043"/>
    <cellStyle name="_도곡3교 교대 수량_RAMP-E교-최종000_파도 - 모항선 횡배수관 확장" xfId="4044"/>
    <cellStyle name="_도곡3교 교대 수량_RAMP-E교-최종000_파도 - 모항선 횡배수관 확장_시방서" xfId="4045"/>
    <cellStyle name="_도곡3교 교대 수량_시방서" xfId="4046"/>
    <cellStyle name="_도곡4교 하부공 수량" xfId="4047"/>
    <cellStyle name="_도곡4교 하부공 수량_RAMP-E교-최종000" xfId="4048"/>
    <cellStyle name="_도곡4교 하부공 수량_RAMP-E교-최종000_시방서" xfId="4049"/>
    <cellStyle name="_도곡4교 하부공 수량_RAMP-E교-최종000_파도 - 모항선 횡배수관 확장" xfId="4050"/>
    <cellStyle name="_도곡4교 하부공 수량_RAMP-E교-최종000_파도 - 모항선 횡배수관 확장_시방서" xfId="4051"/>
    <cellStyle name="_도곡4교 하부공 수량_시방서" xfId="4052"/>
    <cellStyle name="_도곡교 교대 수량" xfId="4053"/>
    <cellStyle name="_도곡교 교대 수량_RAMP-E교-최종000" xfId="4054"/>
    <cellStyle name="_도곡교 교대 수량_RAMP-E교-최종000_시방서" xfId="4055"/>
    <cellStyle name="_도곡교 교대 수량_RAMP-E교-최종000_파도 - 모항선 횡배수관 확장" xfId="4056"/>
    <cellStyle name="_도곡교 교대 수량_RAMP-E교-최종000_파도 - 모항선 횡배수관 확장_시방서" xfId="4057"/>
    <cellStyle name="_도곡교 교대 수량_시방서" xfId="4058"/>
    <cellStyle name="_도로공사대전지사" xfId="6281"/>
    <cellStyle name="_동양-여의도내역(철골)수정" xfId="6282"/>
    <cellStyle name="_동원꽃농원" xfId="6283"/>
    <cellStyle name="_동원작업중" xfId="6284"/>
    <cellStyle name="_두계변전소하도급" xfId="2056"/>
    <cellStyle name="_두산 영흥화력" xfId="6285"/>
    <cellStyle name="_등촌동 실행 (건축 Rev1 최종본)" xfId="4059"/>
    <cellStyle name="_레몬홈페이지개발프로젝트경비신청서03-03-09" xfId="4060"/>
    <cellStyle name="_로열티현황" xfId="6286"/>
    <cellStyle name="_롯데레몬 사이트 개발 견적서02-10-29" xfId="4061"/>
    <cellStyle name="_롯데레몬 사이트 개발 견적서02-11-06" xfId="4062"/>
    <cellStyle name="_마산우매투찰-last" xfId="6287"/>
    <cellStyle name="_마산우매투찰-last_2002년도BP양식수정(SOC팀수정부결안1101)" xfId="6288"/>
    <cellStyle name="_마산우매투찰-last_2002년도BP양식수정(SOC팀수정부결안1101)_본부별 경영전략 보고 양식" xfId="6289"/>
    <cellStyle name="_마산우매투찰-last_2002년도BP양식주정" xfId="6290"/>
    <cellStyle name="_마산우매투찰-last_2002년도BP양식주정_2002년도BP양식주정" xfId="6291"/>
    <cellStyle name="_마산우매투찰-last_2002년도BP양식주정_2002년도BP양식주정_2002년도BP양식수정(SOC팀수정부결안1101)" xfId="6292"/>
    <cellStyle name="_마산우매투찰-last_2002년도BP양식주정_2002년도BP양식주정_2002년도BP양식수정(SOC팀수정부결안1101)_본부별 경영전략 보고 양식" xfId="6293"/>
    <cellStyle name="_마산우매투찰-last_2002년도BP양식주정_2002년도BP양식주정_본부별 경영전략 보고 양식" xfId="6294"/>
    <cellStyle name="_마산우매투찰-last_2002년도BP양식주정_본부별 경영전략 보고 양식" xfId="6295"/>
    <cellStyle name="_마산우매투찰-last_본부별 경영전략 보고 양식" xfId="6296"/>
    <cellStyle name="_마산우매투찰-last_사업진척점검회의(2001. 8)" xfId="6297"/>
    <cellStyle name="_마산우매투찰-last_사업진척점검회의(2001. 8)_2002년도BP양식수정(SOC팀수정부결안1101)" xfId="6298"/>
    <cellStyle name="_마산우매투찰-last_사업진척점검회의(2001. 8)_2002년도BP양식수정(SOC팀수정부결안1101)_본부별 경영전략 보고 양식" xfId="6299"/>
    <cellStyle name="_마산우매투찰-last_사업진척점검회의(2001. 8)_2002년도BP양식주정" xfId="6300"/>
    <cellStyle name="_마산우매투찰-last_사업진척점검회의(2001. 8)_2002년도BP양식주정_2002년도BP양식주정" xfId="6301"/>
    <cellStyle name="_마산우매투찰-last_사업진척점검회의(2001. 8)_2002년도BP양식주정_2002년도BP양식주정_2002년도BP양식수정(SOC팀수정부결안1101)" xfId="6302"/>
    <cellStyle name="_마산우매투찰-last_사업진척점검회의(2001. 8)_2002년도BP양식주정_2002년도BP양식주정_2002년도BP양식수정(SOC팀수정부결안1101)_본부별 경영전략 보고 양식" xfId="6303"/>
    <cellStyle name="_마산우매투찰-last_사업진척점검회의(2001. 8)_2002년도BP양식주정_2002년도BP양식주정_본부별 경영전략 보고 양식" xfId="6304"/>
    <cellStyle name="_마산우매투찰-last_사업진척점검회의(2001. 8)_2002년도BP양식주정_본부별 경영전략 보고 양식" xfId="6305"/>
    <cellStyle name="_마산우매투찰-last_사업진척점검회의(2001. 8)_본부별 경영전략 보고 양식" xfId="6306"/>
    <cellStyle name="_마산우매투찰-last_선운흥덕실행" xfId="6307"/>
    <cellStyle name="_마산우매투찰-last_선운흥덕실행_2002년도BP양식수정(SOC팀수정부결안1101)" xfId="6308"/>
    <cellStyle name="_마산우매투찰-last_선운흥덕실행_2002년도BP양식수정(SOC팀수정부결안1101)_본부별 경영전략 보고 양식" xfId="6309"/>
    <cellStyle name="_마산우매투찰-last_선운흥덕실행_2002년도BP양식주정" xfId="6310"/>
    <cellStyle name="_마산우매투찰-last_선운흥덕실행_2002년도BP양식주정_2002년도BP양식주정" xfId="6311"/>
    <cellStyle name="_마산우매투찰-last_선운흥덕실행_2002년도BP양식주정_2002년도BP양식주정_2002년도BP양식수정(SOC팀수정부결안1101)" xfId="6312"/>
    <cellStyle name="_마산우매투찰-last_선운흥덕실행_2002년도BP양식주정_2002년도BP양식주정_2002년도BP양식수정(SOC팀수정부결안1101)_본부별 경영전략 보고 양식" xfId="6313"/>
    <cellStyle name="_마산우매투찰-last_선운흥덕실행_2002년도BP양식주정_2002년도BP양식주정_본부별 경영전략 보고 양식" xfId="6314"/>
    <cellStyle name="_마산우매투찰-last_선운흥덕실행_2002년도BP양식주정_본부별 경영전략 보고 양식" xfId="6315"/>
    <cellStyle name="_마산우매투찰-last_선운흥덕실행_본부별 경영전략 보고 양식" xfId="6316"/>
    <cellStyle name="_마산우매투찰-last_선운흥덕실행_사업진척점검회의(2001. 8)" xfId="6317"/>
    <cellStyle name="_마산우매투찰-last_선운흥덕실행_사업진척점검회의(2001. 8)_2002년도BP양식수정(SOC팀수정부결안1101)" xfId="6318"/>
    <cellStyle name="_마산우매투찰-last_선운흥덕실행_사업진척점검회의(2001. 8)_2002년도BP양식수정(SOC팀수정부결안1101)_본부별 경영전략 보고 양식" xfId="6319"/>
    <cellStyle name="_마산우매투찰-last_선운흥덕실행_사업진척점검회의(2001. 8)_2002년도BP양식주정" xfId="6320"/>
    <cellStyle name="_마산우매투찰-last_선운흥덕실행_사업진척점검회의(2001. 8)_2002년도BP양식주정_2002년도BP양식주정" xfId="6321"/>
    <cellStyle name="_마산우매투찰-last_선운흥덕실행_사업진척점검회의(2001. 8)_2002년도BP양식주정_2002년도BP양식주정_2002년도BP양식수정(SOC팀수정부결안1101)" xfId="6322"/>
    <cellStyle name="_마산우매투찰-last_선운흥덕실행_사업진척점검회의(2001. 8)_2002년도BP양식주정_2002년도BP양식주정_2002년도BP양식수정(SOC팀수정부결안1101)_본부별 경영전략 보고 양식" xfId="6323"/>
    <cellStyle name="_마산우매투찰-last_선운흥덕실행_사업진척점검회의(2001. 8)_2002년도BP양식주정_2002년도BP양식주정_본부별 경영전략 보고 양식" xfId="6324"/>
    <cellStyle name="_마산우매투찰-last_선운흥덕실행_사업진척점검회의(2001. 8)_2002년도BP양식주정_본부별 경영전략 보고 양식" xfId="6325"/>
    <cellStyle name="_마산우매투찰-last_선운흥덕실행_사업진척점검회의(2001. 8)_본부별 경영전략 보고 양식" xfId="6326"/>
    <cellStyle name="_매정견적보고" xfId="831"/>
    <cellStyle name="_명암지도로실행" xfId="832"/>
    <cellStyle name="_명암지도로실행_구기동(제출)(95.0)(031121)" xfId="833"/>
    <cellStyle name="_명암지도로실행_구기동레포츠센타제출" xfId="834"/>
    <cellStyle name="_명암지도로실행_번암견적의뢰(협력)" xfId="835"/>
    <cellStyle name="_명암지도로실행_번암견적의뢰(협력)_구기동(제출)(95.0)(031121)" xfId="836"/>
    <cellStyle name="_명암지도로실행_번암견적의뢰(협력)_구기동레포츠센타제출" xfId="837"/>
    <cellStyle name="_명암지도로실행_번암견적의뢰(협력)_용답동오피스텔가실행" xfId="838"/>
    <cellStyle name="_명암지도로실행_용답동오피스텔가실행" xfId="839"/>
    <cellStyle name="_명암지도로투찰2" xfId="2057"/>
    <cellStyle name="_명암지도로투찰2_삽교천개수공사(03.30)" xfId="2058"/>
    <cellStyle name="_명암지도로투찰2_삽교천개수공사(03.30)_구일초(06.17)-부대" xfId="2059"/>
    <cellStyle name="_명암지도로투찰2_삽교천개수공사(03.30)_남성지구(05.26)" xfId="2060"/>
    <cellStyle name="_명암지도로투찰2_삽교천개수공사(03.30)_동산초(06.1)" xfId="2061"/>
    <cellStyle name="_명암지도로투찰2_삽교천개수공사(03.30)_삽교천개수공사(03.30)" xfId="2062"/>
    <cellStyle name="_명암지도로투찰2_삽교천개수공사(03.30)_안산남부경찰서(06.16)-부대" xfId="2063"/>
    <cellStyle name="_명암지도로투찰2_삽교천개수공사(03.30)_제주제성교(05.27)" xfId="2064"/>
    <cellStyle name="_명암지도로투찰2_삽교천개수공사(03.30)_행목지구하천환경(05.25)" xfId="2065"/>
    <cellStyle name="_목포항연안여객터미널-서진 기술자료" xfId="6327"/>
    <cellStyle name="_무늬코트" xfId="6328"/>
    <cellStyle name="_무안-광주2공구(협력)" xfId="840"/>
    <cellStyle name="_무안-광주2공구(협력)_구기동(제출)(95.0)(031121)" xfId="841"/>
    <cellStyle name="_무안-광주2공구(협력)_구기동레포츠센타제출" xfId="842"/>
    <cellStyle name="_무안-광주2공구(협력)_용답동오피스텔가실행" xfId="843"/>
    <cellStyle name="_무안-광주2공구(협력)수정" xfId="844"/>
    <cellStyle name="_무안-광주2공구(협력)수정_구기동(제출)(95.0)(031121)" xfId="845"/>
    <cellStyle name="_무안-광주2공구(협력)수정_구기동레포츠센타제출" xfId="846"/>
    <cellStyle name="_무안-광주2공구(협력)수정_용답동오피스텔가실행" xfId="847"/>
    <cellStyle name="_문래동쇼핑몰" xfId="6329"/>
    <cellStyle name="_미수수익" xfId="6330"/>
    <cellStyle name="_미수수익(이자)" xfId="6331"/>
    <cellStyle name="_미수수익0306" xfId="6332"/>
    <cellStyle name="_미일실행" xfId="6333"/>
    <cellStyle name="_미일초등.미아중 공사대비표" xfId="6334"/>
    <cellStyle name="_반기검토" xfId="4063"/>
    <cellStyle name="_방수천정창호유리석내역" xfId="6335"/>
    <cellStyle name="_번암견적의뢰(협력)" xfId="848"/>
    <cellStyle name="_번암견적의뢰(협력)_구기동(제출)(95.0)(031121)" xfId="849"/>
    <cellStyle name="_번암견적의뢰(협력)_구기동레포츠센타제출" xfId="850"/>
    <cellStyle name="_번암견적의뢰(협력)_용답동오피스텔가실행" xfId="851"/>
    <cellStyle name="_변경내역서(서초대성유니드)1104" xfId="6336"/>
    <cellStyle name="_변경내역서(한솔센트럴파크-1)" xfId="6337"/>
    <cellStyle name="_변경최종_인센티브" xfId="6338"/>
    <cellStyle name="_별첨(계획서및실적서양식)" xfId="6339"/>
    <cellStyle name="_별첨(계획서및실적서양식)_1" xfId="6340"/>
    <cellStyle name="_병원전문-차시영" xfId="6341"/>
    <cellStyle name="_보건대학조경공사내역서(0302)" xfId="852"/>
    <cellStyle name="_보고서별첨_토지조서_남양주0731" xfId="6342"/>
    <cellStyle name="_본관기초굴착(단가)" xfId="6343"/>
    <cellStyle name="_본부별 경영전략 보고 양식" xfId="6344"/>
    <cellStyle name="_본부별 경영전략 보고 양식(1204)" xfId="6345"/>
    <cellStyle name="_봉선희SW_미수수익(분사회사)0311" xfId="6346"/>
    <cellStyle name="_부대내역" xfId="6347"/>
    <cellStyle name="_부대내역_2002년도BP양식수정(SOC팀수정부결안1101)" xfId="6348"/>
    <cellStyle name="_부대내역_2002년도BP양식수정(SOC팀수정부결안1101)_본부별 경영전략 보고 양식" xfId="6349"/>
    <cellStyle name="_부대내역_2002년도BP양식주정" xfId="6350"/>
    <cellStyle name="_부대내역_2002년도BP양식주정_2002년도BP양식주정" xfId="6351"/>
    <cellStyle name="_부대내역_2002년도BP양식주정_2002년도BP양식주정_2002년도BP양식수정(SOC팀수정부결안1101)" xfId="6352"/>
    <cellStyle name="_부대내역_2002년도BP양식주정_2002년도BP양식주정_2002년도BP양식수정(SOC팀수정부결안1101)_본부별 경영전략 보고 양식" xfId="6353"/>
    <cellStyle name="_부대내역_2002년도BP양식주정_2002년도BP양식주정_본부별 경영전략 보고 양식" xfId="6354"/>
    <cellStyle name="_부대내역_2002년도BP양식주정_본부별 경영전략 보고 양식" xfId="6355"/>
    <cellStyle name="_부대내역_본부별 경영전략 보고 양식" xfId="6356"/>
    <cellStyle name="_부대내역_사업진척점검회의(2001. 8)" xfId="6357"/>
    <cellStyle name="_부대내역_사업진척점검회의(2001. 8)_2002년도BP양식수정(SOC팀수정부결안1101)" xfId="6358"/>
    <cellStyle name="_부대내역_사업진척점검회의(2001. 8)_2002년도BP양식수정(SOC팀수정부결안1101)_본부별 경영전략 보고 양식" xfId="6359"/>
    <cellStyle name="_부대내역_사업진척점검회의(2001. 8)_2002년도BP양식주정" xfId="6360"/>
    <cellStyle name="_부대내역_사업진척점검회의(2001. 8)_2002년도BP양식주정_2002년도BP양식주정" xfId="6361"/>
    <cellStyle name="_부대내역_사업진척점검회의(2001. 8)_2002년도BP양식주정_2002년도BP양식주정_2002년도BP양식수정(SOC팀수정부결안1101)" xfId="6362"/>
    <cellStyle name="_부대내역_사업진척점검회의(2001. 8)_2002년도BP양식주정_2002년도BP양식주정_2002년도BP양식수정(SOC팀수정부결안1101)_본부별 경영전략 보고 양식" xfId="6363"/>
    <cellStyle name="_부대내역_사업진척점검회의(2001. 8)_2002년도BP양식주정_2002년도BP양식주정_본부별 경영전략 보고 양식" xfId="6364"/>
    <cellStyle name="_부대내역_사업진척점검회의(2001. 8)_2002년도BP양식주정_본부별 경영전략 보고 양식" xfId="6365"/>
    <cellStyle name="_부대내역_사업진척점검회의(2001. 8)_본부별 경영전략 보고 양식" xfId="6366"/>
    <cellStyle name="_부대입찰확약서" xfId="2066"/>
    <cellStyle name="_부산ion city-포스코건설" xfId="6367"/>
    <cellStyle name="_부산신항_050421" xfId="6368"/>
    <cellStyle name="_부산신항_050421_BNP 2-3 pubicFM_0430_7" xfId="6369"/>
    <cellStyle name="_부산신항_050421_BNP 2-3 pubicFM_0430_7_BNP 2-3_public FM_050530_v1" xfId="6370"/>
    <cellStyle name="_부산신항_050421_BNP 2-3 pubicFM_0430_7_BNP 2-3_재무모델-협상결과반영-051222" xfId="6371"/>
    <cellStyle name="_부산신항_050421_BNP 2-3 pubicFM_0430_7_BNP 2-3_재무모델-협상결과반영-051222-보완" xfId="6372"/>
    <cellStyle name="_부산신항_050421_BNP 2-3 pubicFM_0430_7_BNP 2-3_재무모델-협상결과반영-060124" xfId="6373"/>
    <cellStyle name="_부산신항_050421_BNP 2-3 pubicFM_0430_7_부산신항투자심사050525" xfId="6374"/>
    <cellStyle name="_부산신항_050421_BNP 2-3 public FM_280505_v2" xfId="6375"/>
    <cellStyle name="_부산신항_050421_BNP 2-3 public FM_280505_v2_BNP 2-3_public FM_050530_v1" xfId="6376"/>
    <cellStyle name="_부산신항_050421_BNP 2-3 public FM_280505_v2_BNP 2-3_재무모델-협상결과반영-051222" xfId="6377"/>
    <cellStyle name="_부산신항_050421_BNP 2-3 public FM_280505_v2_BNP 2-3_재무모델-협상결과반영-051222-보완" xfId="6378"/>
    <cellStyle name="_부산신항_050421_BNP 2-3 public FM_280505_v2_BNP 2-3_재무모델-협상결과반영-060124" xfId="6379"/>
    <cellStyle name="_부산신항_050421_BNP 2-3_public FM_290505_v3_1" xfId="6380"/>
    <cellStyle name="_부산신항_050421_BNP 2-3_public FM_290505_v3_1_BNP 2-3_재무모델-협상결과반영-051222" xfId="6381"/>
    <cellStyle name="_부산신항_050421_BNP 2-3_public FM_290505_v3_1_BNP 2-3_재무모델-협상결과반영-051222-보완" xfId="6382"/>
    <cellStyle name="_부산신항_050421_BNP 2-3_public FM_290505_v3_1_BNP 2-3_재무모델-협상결과반영-060124" xfId="6383"/>
    <cellStyle name="_부산신항_050421_SAC" xfId="6384"/>
    <cellStyle name="_부산신항_050421_SAC_BNP 2-3_public FM_050530_v1" xfId="6385"/>
    <cellStyle name="_부산신항_050421_SAC_BNP 2-3_재무모델-협상결과반영-051222" xfId="6386"/>
    <cellStyle name="_부산신항_050421_SAC_BNP 2-3_재무모델-협상결과반영-051222-보완" xfId="6387"/>
    <cellStyle name="_부산신항_050421_SAC_BNP 2-3_재무모델-협상결과반영-060124" xfId="6388"/>
    <cellStyle name="_부산신항_050421_SAC_부산신항투자심사050525" xfId="6389"/>
    <cellStyle name="_부속명세서(2002년도말)" xfId="6390"/>
    <cellStyle name="_부속명세서(2002년도말)rrr" xfId="6391"/>
    <cellStyle name="_부안지구투찰2" xfId="6392"/>
    <cellStyle name="_분당아델 변경내역서(정산내역)0826" xfId="6393"/>
    <cellStyle name="_비사업용부동산" xfId="6394"/>
    <cellStyle name="_사급재료비및운반비" xfId="6395"/>
    <cellStyle name="_사급재료비및운반비_현대오일뱅크 철골공사" xfId="6396"/>
    <cellStyle name="_사동초중" xfId="853"/>
    <cellStyle name="_사본 - 2004년 전략경영계획(1126)" xfId="6397"/>
    <cellStyle name="_사본 - 견적" xfId="6398"/>
    <cellStyle name="_사업진척점검회의(2001. 8)" xfId="6399"/>
    <cellStyle name="_사업진척점검회의(2001. 8)_2002년도BP양식수정(SOC팀수정부결안1101)" xfId="6400"/>
    <cellStyle name="_사업진척점검회의(2001. 8)_2002년도BP양식수정(SOC팀수정부결안1101)_본부별 경영전략 보고 양식" xfId="6401"/>
    <cellStyle name="_사업진척점검회의(2001. 8)_2002년도BP양식주정" xfId="6402"/>
    <cellStyle name="_사업진척점검회의(2001. 8)_2002년도BP양식주정_2002년도BP양식주정" xfId="6403"/>
    <cellStyle name="_사업진척점검회의(2001. 8)_2002년도BP양식주정_2002년도BP양식주정_2002년도BP양식수정(SOC팀수정부결안1101)" xfId="6404"/>
    <cellStyle name="_사업진척점검회의(2001. 8)_2002년도BP양식주정_2002년도BP양식주정_2002년도BP양식수정(SOC팀수정부결안1101)_본부별 경영전략 보고 양식" xfId="6405"/>
    <cellStyle name="_사업진척점검회의(2001. 8)_2002년도BP양식주정_2002년도BP양식주정_본부별 경영전략 보고 양식" xfId="6406"/>
    <cellStyle name="_사업진척점검회의(2001. 8)_2002년도BP양식주정_본부별 경영전략 보고 양식" xfId="6407"/>
    <cellStyle name="_사업진척점검회의(2001. 8)_본부별 경영전략 보고 양식" xfId="6408"/>
    <cellStyle name="_사유서" xfId="6409"/>
    <cellStyle name="_사유서_내역서" xfId="6410"/>
    <cellStyle name="_사장님현황보고(05년09월06일)" xfId="6411"/>
    <cellStyle name="_사전원가변경818(LUFFING CRANE)" xfId="6412"/>
    <cellStyle name="_사전재해영향검토용역내역서(은행매화공원)" xfId="4064"/>
    <cellStyle name="_삼영중간" xfId="4065"/>
    <cellStyle name="_상무작업중" xfId="6413"/>
    <cellStyle name="_상무작업중_2002년도BP양식수정(SOC팀수정부결안1101)" xfId="6414"/>
    <cellStyle name="_상무작업중_2002년도BP양식수정(SOC팀수정부결안1101)_본부별 경영전략 보고 양식" xfId="6415"/>
    <cellStyle name="_상무작업중_2002년도BP양식주정" xfId="6416"/>
    <cellStyle name="_상무작업중_2002년도BP양식주정_2002년도BP양식주정" xfId="6417"/>
    <cellStyle name="_상무작업중_2002년도BP양식주정_2002년도BP양식주정_2002년도BP양식수정(SOC팀수정부결안1101)" xfId="6418"/>
    <cellStyle name="_상무작업중_2002년도BP양식주정_2002년도BP양식주정_2002년도BP양식수정(SOC팀수정부결안1101)_본부별 경영전략 보고 양식" xfId="6419"/>
    <cellStyle name="_상무작업중_2002년도BP양식주정_2002년도BP양식주정_본부별 경영전략 보고 양식" xfId="6420"/>
    <cellStyle name="_상무작업중_2002년도BP양식주정_본부별 경영전략 보고 양식" xfId="6421"/>
    <cellStyle name="_상무작업중_본부별 경영전략 보고 양식" xfId="6422"/>
    <cellStyle name="_상무작업중_사업진척점검회의(2001. 8)" xfId="6423"/>
    <cellStyle name="_상무작업중_사업진척점검회의(2001. 8)_2002년도BP양식수정(SOC팀수정부결안1101)" xfId="6424"/>
    <cellStyle name="_상무작업중_사업진척점검회의(2001. 8)_2002년도BP양식수정(SOC팀수정부결안1101)_본부별 경영전략 보고 양식" xfId="6425"/>
    <cellStyle name="_상무작업중_사업진척점검회의(2001. 8)_2002년도BP양식주정" xfId="6426"/>
    <cellStyle name="_상무작업중_사업진척점검회의(2001. 8)_2002년도BP양식주정_2002년도BP양식주정" xfId="6427"/>
    <cellStyle name="_상무작업중_사업진척점검회의(2001. 8)_2002년도BP양식주정_2002년도BP양식주정_2002년도BP양식수정(SOC팀수정부결안1101)" xfId="6428"/>
    <cellStyle name="_상무작업중_사업진척점검회의(2001. 8)_2002년도BP양식주정_2002년도BP양식주정_2002년도BP양식수정(SOC팀수정부결안1101)_본부별 경영전략 보고 양식" xfId="6429"/>
    <cellStyle name="_상무작업중_사업진척점검회의(2001. 8)_2002년도BP양식주정_2002년도BP양식주정_본부별 경영전략 보고 양식" xfId="6430"/>
    <cellStyle name="_상무작업중_사업진척점검회의(2001. 8)_2002년도BP양식주정_본부별 경영전략 보고 양식" xfId="6431"/>
    <cellStyle name="_상무작업중_사업진척점검회의(2001. 8)_본부별 경영전략 보고 양식" xfId="6432"/>
    <cellStyle name="_상무작업중_선운흥덕실행" xfId="6433"/>
    <cellStyle name="_상무작업중_선운흥덕실행_2002년도BP양식수정(SOC팀수정부결안1101)" xfId="6434"/>
    <cellStyle name="_상무작업중_선운흥덕실행_2002년도BP양식수정(SOC팀수정부결안1101)_본부별 경영전략 보고 양식" xfId="6435"/>
    <cellStyle name="_상무작업중_선운흥덕실행_2002년도BP양식주정" xfId="6436"/>
    <cellStyle name="_상무작업중_선운흥덕실행_2002년도BP양식주정_2002년도BP양식주정" xfId="6437"/>
    <cellStyle name="_상무작업중_선운흥덕실행_2002년도BP양식주정_2002년도BP양식주정_2002년도BP양식수정(SOC팀수정부결안1101)" xfId="6438"/>
    <cellStyle name="_상무작업중_선운흥덕실행_2002년도BP양식주정_2002년도BP양식주정_2002년도BP양식수정(SOC팀수정부결안1101)_본부별 경영전략 보고 양식" xfId="6439"/>
    <cellStyle name="_상무작업중_선운흥덕실행_2002년도BP양식주정_2002년도BP양식주정_본부별 경영전략 보고 양식" xfId="6440"/>
    <cellStyle name="_상무작업중_선운흥덕실행_2002년도BP양식주정_본부별 경영전략 보고 양식" xfId="6441"/>
    <cellStyle name="_상무작업중_선운흥덕실행_본부별 경영전략 보고 양식" xfId="6442"/>
    <cellStyle name="_상무작업중_선운흥덕실행_사업진척점검회의(2001. 8)" xfId="6443"/>
    <cellStyle name="_상무작업중_선운흥덕실행_사업진척점검회의(2001. 8)_2002년도BP양식수정(SOC팀수정부결안1101)" xfId="6444"/>
    <cellStyle name="_상무작업중_선운흥덕실행_사업진척점검회의(2001. 8)_2002년도BP양식수정(SOC팀수정부결안1101)_본부별 경영전략 보고 양식" xfId="6445"/>
    <cellStyle name="_상무작업중_선운흥덕실행_사업진척점검회의(2001. 8)_2002년도BP양식주정" xfId="6446"/>
    <cellStyle name="_상무작업중_선운흥덕실행_사업진척점검회의(2001. 8)_2002년도BP양식주정_2002년도BP양식주정" xfId="6447"/>
    <cellStyle name="_상무작업중_선운흥덕실행_사업진척점검회의(2001. 8)_2002년도BP양식주정_2002년도BP양식주정_2002년도BP양식수정(SOC팀수정부결안1101)" xfId="6448"/>
    <cellStyle name="_상무작업중_선운흥덕실행_사업진척점검회의(2001. 8)_2002년도BP양식주정_2002년도BP양식주정_2002년도BP양식수정(SOC팀수정부결안1101)_본부별 경영전략 보고 양식" xfId="6449"/>
    <cellStyle name="_상무작업중_선운흥덕실행_사업진척점검회의(2001. 8)_2002년도BP양식주정_2002년도BP양식주정_본부별 경영전략 보고 양식" xfId="6450"/>
    <cellStyle name="_상무작업중_선운흥덕실행_사업진척점검회의(2001. 8)_2002년도BP양식주정_본부별 경영전략 보고 양식" xfId="6451"/>
    <cellStyle name="_상무작업중_선운흥덕실행_사업진척점검회의(2001. 8)_본부별 경영전략 보고 양식" xfId="6452"/>
    <cellStyle name="_상반기경영성과발송(200406)" xfId="6453"/>
    <cellStyle name="_생산지원자료수정내용-010613" xfId="6454"/>
    <cellStyle name="_샤시 (2)" xfId="4066"/>
    <cellStyle name="_샤시 (2)_1" xfId="4067"/>
    <cellStyle name="_샤시 (2)_2" xfId="4068"/>
    <cellStyle name="_서면FIESTA내역서" xfId="6455"/>
    <cellStyle name="_설계변경조서" xfId="6456"/>
    <cellStyle name="_설계요율_1" xfId="6457"/>
    <cellStyle name="_설계추정2(토목)대림" xfId="854"/>
    <cellStyle name="_소화수(REV.1)" xfId="6458"/>
    <cellStyle name="_솔루션프로젝트_Forecast_2006_02_27(부서장회의)" xfId="6459"/>
    <cellStyle name="_솔루션프로젝트_Forecast_2006_03_27(부서장회의_사장님)" xfId="6460"/>
    <cellStyle name="_솔루션프로젝트_Forecast_2006_04_24(부서장회의-사장님)" xfId="6461"/>
    <cellStyle name="_솔루션프로젝트_Forecast_2006_05_18(사장님)" xfId="6462"/>
    <cellStyle name="_솔루션프로젝트_Forecast_2006_06_05(부서장회의)" xfId="6463"/>
    <cellStyle name="_솔루션프로젝트_Forecast_2006_06_26(부서장회의_사장님) Q2Q3" xfId="6464"/>
    <cellStyle name="_솔루션프로젝트_Forecast_2006_08_28(부서장회의_사장님) (2)" xfId="6465"/>
    <cellStyle name="_솔루션프로젝트_Forecast_2006_10_16(사장님)" xfId="6466"/>
    <cellStyle name="_송학실행안" xfId="855"/>
    <cellStyle name="_송학실행안_구기동(제출)(95.0)(031121)" xfId="856"/>
    <cellStyle name="_송학실행안_구기동레포츠센타제출" xfId="857"/>
    <cellStyle name="_송학실행안_번암견적의뢰(협력)" xfId="858"/>
    <cellStyle name="_송학실행안_번암견적의뢰(협력)_구기동(제출)(95.0)(031121)" xfId="859"/>
    <cellStyle name="_송학실행안_번암견적의뢰(협력)_구기동레포츠센타제출" xfId="860"/>
    <cellStyle name="_송학실행안_번암견적의뢰(협력)_용답동오피스텔가실행" xfId="861"/>
    <cellStyle name="_송학실행안_용답동오피스텔가실행" xfId="862"/>
    <cellStyle name="_송학하수투찰" xfId="863"/>
    <cellStyle name="_송학하수투찰_구기동(제출)(95.0)(031121)" xfId="864"/>
    <cellStyle name="_송학하수투찰_구기동레포츠센타제출" xfId="865"/>
    <cellStyle name="_송학하수투찰_번암견적의뢰(협력)" xfId="866"/>
    <cellStyle name="_송학하수투찰_번암견적의뢰(협력)_구기동(제출)(95.0)(031121)" xfId="867"/>
    <cellStyle name="_송학하수투찰_번암견적의뢰(협력)_구기동레포츠센타제출" xfId="868"/>
    <cellStyle name="_송학하수투찰_번암견적의뢰(협력)_용답동오피스텔가실행" xfId="869"/>
    <cellStyle name="_송학하수투찰_용답동오피스텔가실행" xfId="870"/>
    <cellStyle name="_송학하수품의(설계넣고)" xfId="871"/>
    <cellStyle name="_송학하수품의(설계넣고)_구기동(제출)(95.0)(031121)" xfId="872"/>
    <cellStyle name="_송학하수품의(설계넣고)_구기동레포츠센타제출" xfId="873"/>
    <cellStyle name="_송학하수품의(설계넣고)_무안-광주2공구(협력)수정" xfId="874"/>
    <cellStyle name="_송학하수품의(설계넣고)_무안-광주2공구(협력)수정_구기동(제출)(95.0)(031121)" xfId="875"/>
    <cellStyle name="_송학하수품의(설계넣고)_무안-광주2공구(협력)수정_구기동레포츠센타제출" xfId="876"/>
    <cellStyle name="_송학하수품의(설계넣고)_무안-광주2공구(협력)수정_용답동오피스텔가실행" xfId="877"/>
    <cellStyle name="_송학하수품의(설계넣고)_번암견적의뢰(협력)" xfId="878"/>
    <cellStyle name="_송학하수품의(설계넣고)_번암견적의뢰(협력)_구기동(제출)(95.0)(031121)" xfId="879"/>
    <cellStyle name="_송학하수품의(설계넣고)_번암견적의뢰(협력)_구기동레포츠센타제출" xfId="880"/>
    <cellStyle name="_송학하수품의(설계넣고)_번암견적의뢰(협력)_용답동오피스텔가실행" xfId="881"/>
    <cellStyle name="_송학하수품의(설계넣고)_삽교천개수공사(03.30)" xfId="2067"/>
    <cellStyle name="_송학하수품의(설계넣고)_삽교천개수공사(03.30)_구일초(06.17)-부대" xfId="2068"/>
    <cellStyle name="_송학하수품의(설계넣고)_삽교천개수공사(03.30)_남성지구(05.26)" xfId="2069"/>
    <cellStyle name="_송학하수품의(설계넣고)_삽교천개수공사(03.30)_동산초(06.1)" xfId="2070"/>
    <cellStyle name="_송학하수품의(설계넣고)_삽교천개수공사(03.30)_삽교천개수공사(03.30)" xfId="2071"/>
    <cellStyle name="_송학하수품의(설계넣고)_삽교천개수공사(03.30)_안산남부경찰서(06.16)-부대" xfId="2072"/>
    <cellStyle name="_송학하수품의(설계넣고)_삽교천개수공사(03.30)_제주제성교(05.27)" xfId="2073"/>
    <cellStyle name="_송학하수품의(설계넣고)_삽교천개수공사(03.30)_행목지구하천환경(05.25)" xfId="2074"/>
    <cellStyle name="_송학하수품의(설계넣고)_용답동오피스텔가실행" xfId="882"/>
    <cellStyle name="_송학하수품의(설계넣고)_적상무주IC도로(1공구)" xfId="883"/>
    <cellStyle name="_송학하수품의(설계넣고)_적상무주IC도로(1공구)_구기동(제출)(95.0)(031121)" xfId="884"/>
    <cellStyle name="_송학하수품의(설계넣고)_적상무주IC도로(1공구)_구기동레포츠센타제출" xfId="885"/>
    <cellStyle name="_송학하수품의(설계넣고)_적상무주IC도로(1공구)_용답동오피스텔가실행" xfId="886"/>
    <cellStyle name="_쇼핑 보안솔루션 구축 프로젝트경비신청서03-03-19" xfId="4069"/>
    <cellStyle name="_수도권6단계 보상실적(현재까지)" xfId="4070"/>
    <cellStyle name="_수도권6단계 보상실적(현재까지)_1-1)전체사업(05년지목별)본사용" xfId="4071"/>
    <cellStyle name="_수도권6단계 보상실적(현재까지)_1-2)전체사업(05년지목별)현장송부용" xfId="4072"/>
    <cellStyle name="_수도권6단계 보상실적(현재까지)_6단계 보상실적" xfId="4073"/>
    <cellStyle name="_수도권6단계 보상실적(현재까지)_6단계 보상실적_1-1)전체사업(05년지목별)본사용" xfId="4074"/>
    <cellStyle name="_수도권6단계 보상실적(현재까지)_6단계 보상실적_1-2)전체사업(05년지목별)현장송부용" xfId="4075"/>
    <cellStyle name="_수도권6단계 보상실적(현재까지)_6단계 보상실적_Sheet1" xfId="4076"/>
    <cellStyle name="_수도권6단계 보상실적(현재까지)_6단계 보상실적_자료" xfId="4077"/>
    <cellStyle name="_수도권6단계 보상실적(현재까지)_6단계 보상실적_전체사업(05년지목별)" xfId="4078"/>
    <cellStyle name="_수도권6단계 보상실적(현재까지)_Sheet1" xfId="4079"/>
    <cellStyle name="_수도권6단계 보상실적(현재까지)_자료" xfId="4080"/>
    <cellStyle name="_수도권6단계 보상실적(현재까지)_전체사업(05년지목별)" xfId="4081"/>
    <cellStyle name="_수량" xfId="6467"/>
    <cellStyle name="_수량_1" xfId="6468"/>
    <cellStyle name="_수량_1_Dongbu(0424 최종)" xfId="6469"/>
    <cellStyle name="_수량_2" xfId="6470"/>
    <cellStyle name="_수량1" xfId="6471"/>
    <cellStyle name="_수량1_1" xfId="6472"/>
    <cellStyle name="_수량1_1_Dongbu(0424 최종)" xfId="6473"/>
    <cellStyle name="_수량1_1_Dongbu(0424 최종)_자금수지차 비교('06.10.18)" xfId="6474"/>
    <cellStyle name="_수량2" xfId="6475"/>
    <cellStyle name="_수량2_1" xfId="6476"/>
    <cellStyle name="_수량2_1_Dongbu(0424 최종)" xfId="6477"/>
    <cellStyle name="_수량2_1_Dongbu(0424 최종)_자금수지차 비교('06.10.18)" xfId="6478"/>
    <cellStyle name="_수량last" xfId="6479"/>
    <cellStyle name="_수량last_1" xfId="6480"/>
    <cellStyle name="_수량last_2" xfId="6481"/>
    <cellStyle name="_수량및 단가 산출내용표" xfId="6482"/>
    <cellStyle name="_수량및 단가 산출내용표_현대오일뱅크 철골공사" xfId="6483"/>
    <cellStyle name="_수량제목" xfId="6484"/>
    <cellStyle name="_수량제목_내역서" xfId="6485"/>
    <cellStyle name="_수산그룹미수금현황_20020506" xfId="6486"/>
    <cellStyle name="_수주실적및계획1" xfId="6487"/>
    <cellStyle name="_스페이스21-1" xfId="6488"/>
    <cellStyle name="_시공본부양식" xfId="6489"/>
    <cellStyle name="_시방서" xfId="4082"/>
    <cellStyle name="_신곡보고자료" xfId="6490"/>
    <cellStyle name="_신규_영업팀_Forecast_2006_06_21(사장님)" xfId="6491"/>
    <cellStyle name="_신규_영업팀_Forecast_2006_08_28(사장님)" xfId="6492"/>
    <cellStyle name="_신규사업본부영업팀_Forecast_2006_10_16 (2)" xfId="6493"/>
    <cellStyle name="_신창호SW_미수수익(분사회사)0311" xfId="6494"/>
    <cellStyle name="_신창호SW_미수수익(분사회사)0312" xfId="6495"/>
    <cellStyle name="_신창호SW_미수수익0310" xfId="6496"/>
    <cellStyle name="_신창호SW_미수이자0308" xfId="6497"/>
    <cellStyle name="_신창호SW_분사회사미수수익" xfId="6498"/>
    <cellStyle name="_실행내역서(동일수정50%적용)2008.03.22" xfId="6499"/>
    <cellStyle name="_실험동철골책자단가" xfId="6500"/>
    <cellStyle name="_실험동철골책자단가_1" xfId="6501"/>
    <cellStyle name="_실험동철골책자단가_2" xfId="6502"/>
    <cellStyle name="_안산투자" xfId="6503"/>
    <cellStyle name="_안양박달2차최종견적의뢰" xfId="6504"/>
    <cellStyle name="_양식" xfId="6505"/>
    <cellStyle name="_양식_1" xfId="6506"/>
    <cellStyle name="_양식_2" xfId="6507"/>
    <cellStyle name="_양양상수도공내역서" xfId="2075"/>
    <cellStyle name="_업무보고8월" xfId="6508"/>
    <cellStyle name="_업무보고8월 2" xfId="6509"/>
    <cellStyle name="_업무연락" xfId="6510"/>
    <cellStyle name="_업체별 정산관련 중간 보고(08.01.10)" xfId="6511"/>
    <cellStyle name="_역삼동 청운교회" xfId="6512"/>
    <cellStyle name="_연돌기성자료(C-276)" xfId="6513"/>
    <cellStyle name="_연차별보상조서" xfId="4083"/>
    <cellStyle name="_연차별보상조서_1-1)전체사업(05년지목별)본사용" xfId="4084"/>
    <cellStyle name="_연차별보상조서_1-2)전체사업(05년지목별)현장송부용" xfId="4085"/>
    <cellStyle name="_연차별보상조서_1차 보상실적" xfId="4086"/>
    <cellStyle name="_연차별보상조서_2차 보상실적" xfId="4087"/>
    <cellStyle name="_연차별보상조서_Book1" xfId="4088"/>
    <cellStyle name="_연차별보상조서_Book1_1-1)전체사업(05년지목별)본사용" xfId="4089"/>
    <cellStyle name="_연차별보상조서_Book1_1-2)전체사업(05년지목별)현장송부용" xfId="4090"/>
    <cellStyle name="_연차별보상조서_Book1_Sheet1" xfId="4091"/>
    <cellStyle name="_연차별보상조서_Book1_자료" xfId="4092"/>
    <cellStyle name="_연차별보상조서_Book1_전체사업(05년지목별)" xfId="4093"/>
    <cellStyle name="_연차별보상조서_Sheet1" xfId="4094"/>
    <cellStyle name="_연차별보상조서_연차별보상조서" xfId="4095"/>
    <cellStyle name="_연차별보상조서_연차별보상조서_1-1)전체사업(05년지목별)본사용" xfId="4096"/>
    <cellStyle name="_연차별보상조서_연차별보상조서_1-2)전체사업(05년지목별)현장송부용" xfId="4097"/>
    <cellStyle name="_연차별보상조서_연차별보상조서_1차 보상실적" xfId="4098"/>
    <cellStyle name="_연차별보상조서_연차별보상조서_1차 보상실적_1-1)전체사업(05년지목별)본사용" xfId="4099"/>
    <cellStyle name="_연차별보상조서_연차별보상조서_1차 보상실적_1-2)전체사업(05년지목별)현장송부용" xfId="4100"/>
    <cellStyle name="_연차별보상조서_연차별보상조서_1차 보상실적_1차 보상실적" xfId="4101"/>
    <cellStyle name="_연차별보상조서_연차별보상조서_1차 보상실적_Book1" xfId="4102"/>
    <cellStyle name="_연차별보상조서_연차별보상조서_1차 보상실적_Book1_1-1)전체사업(05년지목별)본사용" xfId="4103"/>
    <cellStyle name="_연차별보상조서_연차별보상조서_1차 보상실적_Book1_1-2)전체사업(05년지목별)현장송부용" xfId="4104"/>
    <cellStyle name="_연차별보상조서_연차별보상조서_1차 보상실적_Book1_Sheet1" xfId="4105"/>
    <cellStyle name="_연차별보상조서_연차별보상조서_1차 보상실적_Book1_자료" xfId="4106"/>
    <cellStyle name="_연차별보상조서_연차별보상조서_1차 보상실적_Book1_전체사업(05년지목별)" xfId="4107"/>
    <cellStyle name="_연차별보상조서_연차별보상조서_1차 보상실적_Sheet1" xfId="4108"/>
    <cellStyle name="_연차별보상조서_연차별보상조서_1차 보상실적_자료" xfId="4109"/>
    <cellStyle name="_연차별보상조서_연차별보상조서_1차 보상실적_전체사업(05년지목별)" xfId="4110"/>
    <cellStyle name="_연차별보상조서_연차별보상조서_2차 보상실적" xfId="4111"/>
    <cellStyle name="_연차별보상조서_연차별보상조서_2차 보상실적_1-1)전체사업(05년지목별)본사용" xfId="4112"/>
    <cellStyle name="_연차별보상조서_연차별보상조서_2차 보상실적_1-2)전체사업(05년지목별)현장송부용" xfId="4113"/>
    <cellStyle name="_연차별보상조서_연차별보상조서_2차 보상실적_2차 보상실적" xfId="4114"/>
    <cellStyle name="_연차별보상조서_연차별보상조서_2차 보상실적_Sheet1" xfId="4115"/>
    <cellStyle name="_연차별보상조서_연차별보상조서_2차 보상실적_자료" xfId="4116"/>
    <cellStyle name="_연차별보상조서_연차별보상조서_2차 보상실적_전체사업(05년지목별)" xfId="4117"/>
    <cellStyle name="_연차별보상조서_연차별보상조서_Sheet1" xfId="4118"/>
    <cellStyle name="_연차별보상조서_연차별보상조서_경기북부1차 보상실적(03년도까지)" xfId="4119"/>
    <cellStyle name="_연차별보상조서_연차별보상조서_경기북부1차 보상실적(03년도까지)_1-1)전체사업(05년지목별)본사용" xfId="4120"/>
    <cellStyle name="_연차별보상조서_연차별보상조서_경기북부1차 보상실적(03년도까지)_1-2)전체사업(05년지목별)현장송부용" xfId="4121"/>
    <cellStyle name="_연차별보상조서_연차별보상조서_경기북부1차 보상실적(03년도까지)_1차 보상실적" xfId="4122"/>
    <cellStyle name="_연차별보상조서_연차별보상조서_경기북부1차 보상실적(03년도까지)_Book1" xfId="4123"/>
    <cellStyle name="_연차별보상조서_연차별보상조서_경기북부1차 보상실적(03년도까지)_Book1_1-1)전체사업(05년지목별)본사용" xfId="4124"/>
    <cellStyle name="_연차별보상조서_연차별보상조서_경기북부1차 보상실적(03년도까지)_Book1_1-2)전체사업(05년지목별)현장송부용" xfId="4125"/>
    <cellStyle name="_연차별보상조서_연차별보상조서_경기북부1차 보상실적(03년도까지)_Book1_Sheet1" xfId="4126"/>
    <cellStyle name="_연차별보상조서_연차별보상조서_경기북부1차 보상실적(03년도까지)_Book1_자료" xfId="4127"/>
    <cellStyle name="_연차별보상조서_연차별보상조서_경기북부1차 보상실적(03년도까지)_Book1_전체사업(05년지목별)" xfId="4128"/>
    <cellStyle name="_연차별보상조서_연차별보상조서_경기북부1차 보상실적(03년도까지)_Sheet1" xfId="4129"/>
    <cellStyle name="_연차별보상조서_연차별보상조서_경기북부1차 보상실적(03년도까지)_자료" xfId="4130"/>
    <cellStyle name="_연차별보상조서_연차별보상조서_경기북부1차 보상실적(03년도까지)_전체사업(05년지목별)" xfId="4131"/>
    <cellStyle name="_연차별보상조서_연차별보상조서_자료" xfId="4132"/>
    <cellStyle name="_연차별보상조서_연차별보상조서_전체사업(05년지목별)" xfId="4133"/>
    <cellStyle name="_연차별보상조서_자료" xfId="4134"/>
    <cellStyle name="_연차별보상조서_전체사업(05년지목별)" xfId="4135"/>
    <cellStyle name="_연차별집행현황(6단계)" xfId="4136"/>
    <cellStyle name="_연차별집행현황(6단계)_1-1)전체사업(05년지목별)본사용" xfId="4137"/>
    <cellStyle name="_연차별집행현황(6단계)_1-2)전체사업(05년지목별)현장송부용" xfId="4138"/>
    <cellStyle name="_연차별집행현황(6단계)_1차 보상실적" xfId="4139"/>
    <cellStyle name="_연차별집행현황(6단계)_1차 보상실적_1-1)전체사업(05년지목별)본사용" xfId="4140"/>
    <cellStyle name="_연차별집행현황(6단계)_1차 보상실적_1-2)전체사업(05년지목별)현장송부용" xfId="4141"/>
    <cellStyle name="_연차별집행현황(6단계)_1차 보상실적_1차 보상실적" xfId="4142"/>
    <cellStyle name="_연차별집행현황(6단계)_1차 보상실적_Book1" xfId="4143"/>
    <cellStyle name="_연차별집행현황(6단계)_1차 보상실적_Book1_1-1)전체사업(05년지목별)본사용" xfId="4144"/>
    <cellStyle name="_연차별집행현황(6단계)_1차 보상실적_Book1_1-2)전체사업(05년지목별)현장송부용" xfId="4145"/>
    <cellStyle name="_연차별집행현황(6단계)_1차 보상실적_Book1_Sheet1" xfId="4146"/>
    <cellStyle name="_연차별집행현황(6단계)_1차 보상실적_Book1_자료" xfId="4147"/>
    <cellStyle name="_연차별집행현황(6단계)_1차 보상실적_Book1_전체사업(05년지목별)" xfId="4148"/>
    <cellStyle name="_연차별집행현황(6단계)_1차 보상실적_Sheet1" xfId="4149"/>
    <cellStyle name="_연차별집행현황(6단계)_1차 보상실적_자료" xfId="4150"/>
    <cellStyle name="_연차별집행현황(6단계)_1차 보상실적_전체사업(05년지목별)" xfId="4151"/>
    <cellStyle name="_연차별집행현황(6단계)_2차 보상실적" xfId="4152"/>
    <cellStyle name="_연차별집행현황(6단계)_2차 보상실적_1-1)전체사업(05년지목별)본사용" xfId="4153"/>
    <cellStyle name="_연차별집행현황(6단계)_2차 보상실적_1-2)전체사업(05년지목별)현장송부용" xfId="4154"/>
    <cellStyle name="_연차별집행현황(6단계)_2차 보상실적_2차 보상실적" xfId="4155"/>
    <cellStyle name="_연차별집행현황(6단계)_2차 보상실적_Sheet1" xfId="4156"/>
    <cellStyle name="_연차별집행현황(6단계)_2차 보상실적_자료" xfId="4157"/>
    <cellStyle name="_연차별집행현황(6단계)_2차 보상실적_전체사업(05년지목별)" xfId="4158"/>
    <cellStyle name="_연차별집행현황(6단계)_6단계 보상실적" xfId="4159"/>
    <cellStyle name="_연차별집행현황(6단계)_6단계 보상실적_1-1)전체사업(05년지목별)본사용" xfId="4160"/>
    <cellStyle name="_연차별집행현황(6단계)_6단계 보상실적_1-2)전체사업(05년지목별)현장송부용" xfId="4161"/>
    <cellStyle name="_연차별집행현황(6단계)_6단계 보상실적_2차 보상실적" xfId="4162"/>
    <cellStyle name="_연차별집행현황(6단계)_6단계 보상실적_6단계 보상실적" xfId="4163"/>
    <cellStyle name="_연차별집행현황(6단계)_6단계 보상실적_6단계 보상실적_1-1)전체사업(05년지목별)본사용" xfId="4164"/>
    <cellStyle name="_연차별집행현황(6단계)_6단계 보상실적_6단계 보상실적_1-2)전체사업(05년지목별)현장송부용" xfId="4165"/>
    <cellStyle name="_연차별집행현황(6단계)_6단계 보상실적_6단계 보상실적_Sheet1" xfId="4166"/>
    <cellStyle name="_연차별집행현황(6단계)_6단계 보상실적_6단계 보상실적_자료" xfId="4167"/>
    <cellStyle name="_연차별집행현황(6단계)_6단계 보상실적_6단계 보상실적_전체사업(05년지목별)" xfId="4168"/>
    <cellStyle name="_연차별집행현황(6단계)_6단계 보상실적_Sheet1" xfId="4169"/>
    <cellStyle name="_연차별집행현황(6단계)_6단계 보상실적_자료" xfId="4170"/>
    <cellStyle name="_연차별집행현황(6단계)_6단계 보상실적_전체사업(05년지목별)" xfId="4171"/>
    <cellStyle name="_연차별집행현황(6단계)_Sheet1" xfId="4172"/>
    <cellStyle name="_연차별집행현황(6단계)_경기북부1차 보상실적(03년도까지)" xfId="4173"/>
    <cellStyle name="_연차별집행현황(6단계)_경기북부1차 보상실적(03년도까지)_1-1)전체사업(05년지목별)본사용" xfId="4174"/>
    <cellStyle name="_연차별집행현황(6단계)_경기북부1차 보상실적(03년도까지)_1-2)전체사업(05년지목별)현장송부용" xfId="4175"/>
    <cellStyle name="_연차별집행현황(6단계)_경기북부1차 보상실적(03년도까지)_1차 보상실적" xfId="4176"/>
    <cellStyle name="_연차별집행현황(6단계)_경기북부1차 보상실적(03년도까지)_Book1" xfId="4177"/>
    <cellStyle name="_연차별집행현황(6단계)_경기북부1차 보상실적(03년도까지)_Book1_1-1)전체사업(05년지목별)본사용" xfId="4178"/>
    <cellStyle name="_연차별집행현황(6단계)_경기북부1차 보상실적(03년도까지)_Book1_1-2)전체사업(05년지목별)현장송부용" xfId="4179"/>
    <cellStyle name="_연차별집행현황(6단계)_경기북부1차 보상실적(03년도까지)_Book1_Sheet1" xfId="4180"/>
    <cellStyle name="_연차별집행현황(6단계)_경기북부1차 보상실적(03년도까지)_Book1_자료" xfId="4181"/>
    <cellStyle name="_연차별집행현황(6단계)_경기북부1차 보상실적(03년도까지)_Book1_전체사업(05년지목별)" xfId="4182"/>
    <cellStyle name="_연차별집행현황(6단계)_경기북부1차 보상실적(03년도까지)_Sheet1" xfId="4183"/>
    <cellStyle name="_연차별집행현황(6단계)_경기북부1차 보상실적(03년도까지)_자료" xfId="4184"/>
    <cellStyle name="_연차별집행현황(6단계)_경기북부1차 보상실적(03년도까지)_전체사업(05년지목별)" xfId="4185"/>
    <cellStyle name="_연차별집행현황(6단계)_수도권6단계 보상실적(현재까지)" xfId="4186"/>
    <cellStyle name="_연차별집행현황(6단계)_수도권6단계 보상실적(현재까지)_1-1)전체사업(05년지목별)본사용" xfId="4187"/>
    <cellStyle name="_연차별집행현황(6단계)_수도권6단계 보상실적(현재까지)_1-2)전체사업(05년지목별)현장송부용" xfId="4188"/>
    <cellStyle name="_연차별집행현황(6단계)_수도권6단계 보상실적(현재까지)_6단계 보상실적" xfId="4189"/>
    <cellStyle name="_연차별집행현황(6단계)_수도권6단계 보상실적(현재까지)_6단계 보상실적_1-1)전체사업(05년지목별)본사용" xfId="4190"/>
    <cellStyle name="_연차별집행현황(6단계)_수도권6단계 보상실적(현재까지)_6단계 보상실적_1-2)전체사업(05년지목별)현장송부용" xfId="4191"/>
    <cellStyle name="_연차별집행현황(6단계)_수도권6단계 보상실적(현재까지)_6단계 보상실적_Sheet1" xfId="4192"/>
    <cellStyle name="_연차별집행현황(6단계)_수도권6단계 보상실적(현재까지)_6단계 보상실적_자료" xfId="4193"/>
    <cellStyle name="_연차별집행현황(6단계)_수도권6단계 보상실적(현재까지)_6단계 보상실적_전체사업(05년지목별)" xfId="4194"/>
    <cellStyle name="_연차별집행현황(6단계)_수도권6단계 보상실적(현재까지)_Sheet1" xfId="4195"/>
    <cellStyle name="_연차별집행현황(6단계)_수도권6단계 보상실적(현재까지)_자료" xfId="4196"/>
    <cellStyle name="_연차별집행현황(6단계)_수도권6단계 보상실적(현재까지)_전체사업(05년지목별)" xfId="4197"/>
    <cellStyle name="_연차별집행현황(6단계)_자료" xfId="4198"/>
    <cellStyle name="_연차별집행현황(6단계)_전체사업(05년지목별)" xfId="4199"/>
    <cellStyle name="_연차별집행현황(경기북부)" xfId="4200"/>
    <cellStyle name="_연차별집행현황(경기북부)_1-1)전체사업(05년지목별)본사용" xfId="4201"/>
    <cellStyle name="_연차별집행현황(경기북부)_1-2)전체사업(05년지목별)현장송부용" xfId="4202"/>
    <cellStyle name="_연차별집행현황(경기북부)_1차 보상실적" xfId="4203"/>
    <cellStyle name="_연차별집행현황(경기북부)_2차 보상실적" xfId="4204"/>
    <cellStyle name="_연차별집행현황(경기북부)_Book1" xfId="4205"/>
    <cellStyle name="_연차별집행현황(경기북부)_Book1_1-1)전체사업(05년지목별)본사용" xfId="4206"/>
    <cellStyle name="_연차별집행현황(경기북부)_Book1_1-2)전체사업(05년지목별)현장송부용" xfId="4207"/>
    <cellStyle name="_연차별집행현황(경기북부)_Book1_Sheet1" xfId="4208"/>
    <cellStyle name="_연차별집행현황(경기북부)_Book1_자료" xfId="4209"/>
    <cellStyle name="_연차별집행현황(경기북부)_Book1_전체사업(05년지목별)" xfId="4210"/>
    <cellStyle name="_연차별집행현황(경기북부)_Sheet1" xfId="4211"/>
    <cellStyle name="_연차별집행현황(경기북부)_연차별보상조서" xfId="4212"/>
    <cellStyle name="_연차별집행현황(경기북부)_연차별보상조서_1-1)전체사업(05년지목별)본사용" xfId="4213"/>
    <cellStyle name="_연차별집행현황(경기북부)_연차별보상조서_1-2)전체사업(05년지목별)현장송부용" xfId="4214"/>
    <cellStyle name="_연차별집행현황(경기북부)_연차별보상조서_1차 보상실적" xfId="4215"/>
    <cellStyle name="_연차별집행현황(경기북부)_연차별보상조서_1차 보상실적_1-1)전체사업(05년지목별)본사용" xfId="4216"/>
    <cellStyle name="_연차별집행현황(경기북부)_연차별보상조서_1차 보상실적_1-2)전체사업(05년지목별)현장송부용" xfId="4217"/>
    <cellStyle name="_연차별집행현황(경기북부)_연차별보상조서_1차 보상실적_1차 보상실적" xfId="4218"/>
    <cellStyle name="_연차별집행현황(경기북부)_연차별보상조서_1차 보상실적_Book1" xfId="4219"/>
    <cellStyle name="_연차별집행현황(경기북부)_연차별보상조서_1차 보상실적_Book1_1-1)전체사업(05년지목별)본사용" xfId="4220"/>
    <cellStyle name="_연차별집행현황(경기북부)_연차별보상조서_1차 보상실적_Book1_1-2)전체사업(05년지목별)현장송부용" xfId="4221"/>
    <cellStyle name="_연차별집행현황(경기북부)_연차별보상조서_1차 보상실적_Book1_Sheet1" xfId="4222"/>
    <cellStyle name="_연차별집행현황(경기북부)_연차별보상조서_1차 보상실적_Book1_자료" xfId="4223"/>
    <cellStyle name="_연차별집행현황(경기북부)_연차별보상조서_1차 보상실적_Book1_전체사업(05년지목별)" xfId="4224"/>
    <cellStyle name="_연차별집행현황(경기북부)_연차별보상조서_1차 보상실적_Sheet1" xfId="4225"/>
    <cellStyle name="_연차별집행현황(경기북부)_연차별보상조서_1차 보상실적_자료" xfId="4226"/>
    <cellStyle name="_연차별집행현황(경기북부)_연차별보상조서_1차 보상실적_전체사업(05년지목별)" xfId="4227"/>
    <cellStyle name="_연차별집행현황(경기북부)_연차별보상조서_2차 보상실적" xfId="4228"/>
    <cellStyle name="_연차별집행현황(경기북부)_연차별보상조서_2차 보상실적_1-1)전체사업(05년지목별)본사용" xfId="4229"/>
    <cellStyle name="_연차별집행현황(경기북부)_연차별보상조서_2차 보상실적_1-2)전체사업(05년지목별)현장송부용" xfId="4230"/>
    <cellStyle name="_연차별집행현황(경기북부)_연차별보상조서_2차 보상실적_2차 보상실적" xfId="4231"/>
    <cellStyle name="_연차별집행현황(경기북부)_연차별보상조서_2차 보상실적_Sheet1" xfId="4232"/>
    <cellStyle name="_연차별집행현황(경기북부)_연차별보상조서_2차 보상실적_자료" xfId="4233"/>
    <cellStyle name="_연차별집행현황(경기북부)_연차별보상조서_2차 보상실적_전체사업(05년지목별)" xfId="4234"/>
    <cellStyle name="_연차별집행현황(경기북부)_연차별보상조서_Sheet1" xfId="4235"/>
    <cellStyle name="_연차별집행현황(경기북부)_연차별보상조서_경기북부1차 보상실적(03년도까지)" xfId="4236"/>
    <cellStyle name="_연차별집행현황(경기북부)_연차별보상조서_경기북부1차 보상실적(03년도까지)_1-1)전체사업(05년지목별)본사용" xfId="4237"/>
    <cellStyle name="_연차별집행현황(경기북부)_연차별보상조서_경기북부1차 보상실적(03년도까지)_1-2)전체사업(05년지목별)현장송부용" xfId="4238"/>
    <cellStyle name="_연차별집행현황(경기북부)_연차별보상조서_경기북부1차 보상실적(03년도까지)_1차 보상실적" xfId="4239"/>
    <cellStyle name="_연차별집행현황(경기북부)_연차별보상조서_경기북부1차 보상실적(03년도까지)_Book1" xfId="4240"/>
    <cellStyle name="_연차별집행현황(경기북부)_연차별보상조서_경기북부1차 보상실적(03년도까지)_Book1_1-1)전체사업(05년지목별)본사용" xfId="4241"/>
    <cellStyle name="_연차별집행현황(경기북부)_연차별보상조서_경기북부1차 보상실적(03년도까지)_Book1_1-2)전체사업(05년지목별)현장송부용" xfId="4242"/>
    <cellStyle name="_연차별집행현황(경기북부)_연차별보상조서_경기북부1차 보상실적(03년도까지)_Book1_Sheet1" xfId="4243"/>
    <cellStyle name="_연차별집행현황(경기북부)_연차별보상조서_경기북부1차 보상실적(03년도까지)_Book1_자료" xfId="4244"/>
    <cellStyle name="_연차별집행현황(경기북부)_연차별보상조서_경기북부1차 보상실적(03년도까지)_Book1_전체사업(05년지목별)" xfId="4245"/>
    <cellStyle name="_연차별집행현황(경기북부)_연차별보상조서_경기북부1차 보상실적(03년도까지)_Sheet1" xfId="4246"/>
    <cellStyle name="_연차별집행현황(경기북부)_연차별보상조서_경기북부1차 보상실적(03년도까지)_자료" xfId="4247"/>
    <cellStyle name="_연차별집행현황(경기북부)_연차별보상조서_경기북부1차 보상실적(03년도까지)_전체사업(05년지목별)" xfId="4248"/>
    <cellStyle name="_연차별집행현황(경기북부)_연차별보상조서_자료" xfId="4249"/>
    <cellStyle name="_연차별집행현황(경기북부)_연차별보상조서_전체사업(05년지목별)" xfId="4250"/>
    <cellStyle name="_연차별집행현황(경기북부)_자료" xfId="4251"/>
    <cellStyle name="_연차별집행현황(경기북부)_전체사업(05년지목별)" xfId="4252"/>
    <cellStyle name="_영등포설변" xfId="6514"/>
    <cellStyle name="_영업관리투자" xfId="6515"/>
    <cellStyle name="_영업외손익총괄표" xfId="6516"/>
    <cellStyle name="_영흥#3,4 보일러철골설치및마감(MC-01)FINAL" xfId="6517"/>
    <cellStyle name="_영흥#3,4 보일러철골설치및마감(MC-01)FINAL_현대오일뱅크 철골공사" xfId="6518"/>
    <cellStyle name="_영흥#3,4 터빈발전기기초(AC-04)" xfId="6519"/>
    <cellStyle name="_영흥#3,4 터빈발전기기초(AC-04)_현대오일뱅크 철골공사" xfId="6520"/>
    <cellStyle name="_영흥#3,4터빈발전기기초공사(AC-04)" xfId="6521"/>
    <cellStyle name="_영흥#3,4터빈발전기기초공사(AC-04)_현대오일뱅크 철골공사" xfId="6522"/>
    <cellStyle name="_옥내기성(2안)" xfId="6523"/>
    <cellStyle name="_와우티브이  AJE(03년 3Q)" xfId="6524"/>
    <cellStyle name="_왕가봉정비공사" xfId="6525"/>
    <cellStyle name="_용수(3월 기성)" xfId="6526"/>
    <cellStyle name="_용수(3월 실적기성)" xfId="6527"/>
    <cellStyle name="_우" xfId="887"/>
    <cellStyle name="_우_광주평동실행" xfId="888"/>
    <cellStyle name="_우_광주평동실행_구기동(제출)(95.0)(031121)" xfId="889"/>
    <cellStyle name="_우_광주평동실행_구기동레포츠센타제출" xfId="890"/>
    <cellStyle name="_우_광주평동실행_번암견적의뢰(협력)" xfId="891"/>
    <cellStyle name="_우_광주평동실행_번암견적의뢰(협력)_구기동(제출)(95.0)(031121)" xfId="892"/>
    <cellStyle name="_우_광주평동실행_번암견적의뢰(협력)_구기동레포츠센타제출" xfId="893"/>
    <cellStyle name="_우_광주평동실행_번암견적의뢰(협력)_용답동오피스텔가실행" xfId="894"/>
    <cellStyle name="_우_광주평동실행_용답동오피스텔가실행" xfId="895"/>
    <cellStyle name="_우_광주평동투찰" xfId="2076"/>
    <cellStyle name="_우_광주평동투찰_삽교천개수공사(03.30)" xfId="2077"/>
    <cellStyle name="_우_광주평동투찰_삽교천개수공사(03.30)_구일초(06.17)-부대" xfId="2078"/>
    <cellStyle name="_우_광주평동투찰_삽교천개수공사(03.30)_남성지구(05.26)" xfId="2079"/>
    <cellStyle name="_우_광주평동투찰_삽교천개수공사(03.30)_동산초(06.1)" xfId="2080"/>
    <cellStyle name="_우_광주평동투찰_삽교천개수공사(03.30)_삽교천개수공사(03.30)" xfId="2081"/>
    <cellStyle name="_우_광주평동투찰_삽교천개수공사(03.30)_안산남부경찰서(06.16)-부대" xfId="2082"/>
    <cellStyle name="_우_광주평동투찰_삽교천개수공사(03.30)_제주제성교(05.27)" xfId="2083"/>
    <cellStyle name="_우_광주평동투찰_삽교천개수공사(03.30)_행목지구하천환경(05.25)" xfId="2084"/>
    <cellStyle name="_우_광주평동품의1" xfId="896"/>
    <cellStyle name="_우_광주평동품의1_구기동(제출)(95.0)(031121)" xfId="897"/>
    <cellStyle name="_우_광주평동품의1_구기동레포츠센타제출" xfId="898"/>
    <cellStyle name="_우_광주평동품의1_무안-광주2공구(협력)수정" xfId="899"/>
    <cellStyle name="_우_광주평동품의1_무안-광주2공구(협력)수정_구기동(제출)(95.0)(031121)" xfId="900"/>
    <cellStyle name="_우_광주평동품의1_무안-광주2공구(협력)수정_구기동레포츠센타제출" xfId="901"/>
    <cellStyle name="_우_광주평동품의1_무안-광주2공구(협력)수정_용답동오피스텔가실행" xfId="902"/>
    <cellStyle name="_우_광주평동품의1_번암견적의뢰(협력)" xfId="903"/>
    <cellStyle name="_우_광주평동품의1_번암견적의뢰(협력)_구기동(제출)(95.0)(031121)" xfId="904"/>
    <cellStyle name="_우_광주평동품의1_번암견적의뢰(협력)_구기동레포츠센타제출" xfId="905"/>
    <cellStyle name="_우_광주평동품의1_번암견적의뢰(협력)_용답동오피스텔가실행" xfId="906"/>
    <cellStyle name="_우_광주평동품의1_삽교천개수공사(03.30)" xfId="2085"/>
    <cellStyle name="_우_광주평동품의1_삽교천개수공사(03.30)_구일초(06.17)-부대" xfId="2086"/>
    <cellStyle name="_우_광주평동품의1_삽교천개수공사(03.30)_남성지구(05.26)" xfId="2087"/>
    <cellStyle name="_우_광주평동품의1_삽교천개수공사(03.30)_동산초(06.1)" xfId="2088"/>
    <cellStyle name="_우_광주평동품의1_삽교천개수공사(03.30)_삽교천개수공사(03.30)" xfId="2089"/>
    <cellStyle name="_우_광주평동품의1_삽교천개수공사(03.30)_안산남부경찰서(06.16)-부대" xfId="2090"/>
    <cellStyle name="_우_광주평동품의1_삽교천개수공사(03.30)_제주제성교(05.27)" xfId="2091"/>
    <cellStyle name="_우_광주평동품의1_삽교천개수공사(03.30)_행목지구하천환경(05.25)" xfId="2092"/>
    <cellStyle name="_우_광주평동품의1_용답동오피스텔가실행" xfId="907"/>
    <cellStyle name="_우_광주평동품의1_적상무주IC도로(1공구)" xfId="908"/>
    <cellStyle name="_우_광주평동품의1_적상무주IC도로(1공구)_구기동(제출)(95.0)(031121)" xfId="909"/>
    <cellStyle name="_우_광주평동품의1_적상무주IC도로(1공구)_구기동레포츠센타제출" xfId="910"/>
    <cellStyle name="_우_광주평동품의1_적상무주IC도로(1공구)_용답동오피스텔가실행" xfId="911"/>
    <cellStyle name="_우_구기동(제출)(95.0)(031121)" xfId="912"/>
    <cellStyle name="_우_구기동레포츠센타제출" xfId="913"/>
    <cellStyle name="_우_기장하수실행1" xfId="914"/>
    <cellStyle name="_우_기장하수실행1_구기동(제출)(95.0)(031121)" xfId="915"/>
    <cellStyle name="_우_기장하수실행1_구기동레포츠센타제출" xfId="916"/>
    <cellStyle name="_우_기장하수실행1_번암견적의뢰(협력)" xfId="917"/>
    <cellStyle name="_우_기장하수실행1_번암견적의뢰(협력)_구기동(제출)(95.0)(031121)" xfId="918"/>
    <cellStyle name="_우_기장하수실행1_번암견적의뢰(협력)_구기동레포츠센타제출" xfId="919"/>
    <cellStyle name="_우_기장하수실행1_번암견적의뢰(협력)_용답동오피스텔가실행" xfId="920"/>
    <cellStyle name="_우_기장하수실행1_용답동오피스텔가실행" xfId="921"/>
    <cellStyle name="_우_무안-광주2공구(협력)수정" xfId="922"/>
    <cellStyle name="_우_무안-광주2공구(협력)수정_구기동(제출)(95.0)(031121)" xfId="923"/>
    <cellStyle name="_우_무안-광주2공구(협력)수정_구기동레포츠센타제출" xfId="924"/>
    <cellStyle name="_우_무안-광주2공구(협력)수정_용답동오피스텔가실행" xfId="925"/>
    <cellStyle name="_우_번암견적의뢰(협력)" xfId="926"/>
    <cellStyle name="_우_번암견적의뢰(협력)_구기동(제출)(95.0)(031121)" xfId="927"/>
    <cellStyle name="_우_번암견적의뢰(협력)_구기동레포츠센타제출" xfId="928"/>
    <cellStyle name="_우_번암견적의뢰(협력)_용답동오피스텔가실행" xfId="929"/>
    <cellStyle name="_우_삽교천개수공사(03.30)" xfId="2093"/>
    <cellStyle name="_우_삽교천개수공사(03.30)_구일초(06.17)-부대" xfId="2094"/>
    <cellStyle name="_우_삽교천개수공사(03.30)_남성지구(05.26)" xfId="2095"/>
    <cellStyle name="_우_삽교천개수공사(03.30)_동산초(06.1)" xfId="2096"/>
    <cellStyle name="_우_삽교천개수공사(03.30)_삽교천개수공사(03.30)" xfId="2097"/>
    <cellStyle name="_우_삽교천개수공사(03.30)_안산남부경찰서(06.16)-부대" xfId="2098"/>
    <cellStyle name="_우_삽교천개수공사(03.30)_제주제성교(05.27)" xfId="2099"/>
    <cellStyle name="_우_삽교천개수공사(03.30)_행목지구하천환경(05.25)" xfId="2100"/>
    <cellStyle name="_우_송학실행안" xfId="930"/>
    <cellStyle name="_우_송학실행안_구기동(제출)(95.0)(031121)" xfId="931"/>
    <cellStyle name="_우_송학실행안_구기동레포츠센타제출" xfId="932"/>
    <cellStyle name="_우_송학실행안_번암견적의뢰(협력)" xfId="933"/>
    <cellStyle name="_우_송학실행안_번암견적의뢰(협력)_구기동(제출)(95.0)(031121)" xfId="934"/>
    <cellStyle name="_우_송학실행안_번암견적의뢰(협력)_구기동레포츠센타제출" xfId="935"/>
    <cellStyle name="_우_송학실행안_번암견적의뢰(협력)_용답동오피스텔가실행" xfId="936"/>
    <cellStyle name="_우_송학실행안_용답동오피스텔가실행" xfId="937"/>
    <cellStyle name="_우_송학하수투찰" xfId="938"/>
    <cellStyle name="_우_송학하수투찰_구기동(제출)(95.0)(031121)" xfId="939"/>
    <cellStyle name="_우_송학하수투찰_구기동레포츠센타제출" xfId="940"/>
    <cellStyle name="_우_송학하수투찰_번암견적의뢰(협력)" xfId="941"/>
    <cellStyle name="_우_송학하수투찰_번암견적의뢰(협력)_구기동(제출)(95.0)(031121)" xfId="942"/>
    <cellStyle name="_우_송학하수투찰_번암견적의뢰(협력)_구기동레포츠센타제출" xfId="943"/>
    <cellStyle name="_우_송학하수투찰_번암견적의뢰(협력)_용답동오피스텔가실행" xfId="944"/>
    <cellStyle name="_우_송학하수투찰_용답동오피스텔가실행" xfId="945"/>
    <cellStyle name="_우_송학하수품의(설계넣고)" xfId="946"/>
    <cellStyle name="_우_송학하수품의(설계넣고)_구기동(제출)(95.0)(031121)" xfId="947"/>
    <cellStyle name="_우_송학하수품의(설계넣고)_구기동레포츠센타제출" xfId="948"/>
    <cellStyle name="_우_송학하수품의(설계넣고)_무안-광주2공구(협력)수정" xfId="949"/>
    <cellStyle name="_우_송학하수품의(설계넣고)_무안-광주2공구(협력)수정_구기동(제출)(95.0)(031121)" xfId="950"/>
    <cellStyle name="_우_송학하수품의(설계넣고)_무안-광주2공구(협력)수정_구기동레포츠센타제출" xfId="951"/>
    <cellStyle name="_우_송학하수품의(설계넣고)_무안-광주2공구(협력)수정_용답동오피스텔가실행" xfId="952"/>
    <cellStyle name="_우_송학하수품의(설계넣고)_번암견적의뢰(협력)" xfId="953"/>
    <cellStyle name="_우_송학하수품의(설계넣고)_번암견적의뢰(협력)_구기동(제출)(95.0)(031121)" xfId="954"/>
    <cellStyle name="_우_송학하수품의(설계넣고)_번암견적의뢰(협력)_구기동레포츠센타제출" xfId="955"/>
    <cellStyle name="_우_송학하수품의(설계넣고)_번암견적의뢰(협력)_용답동오피스텔가실행" xfId="956"/>
    <cellStyle name="_우_송학하수품의(설계넣고)_삽교천개수공사(03.30)" xfId="2101"/>
    <cellStyle name="_우_송학하수품의(설계넣고)_삽교천개수공사(03.30)_구일초(06.17)-부대" xfId="2102"/>
    <cellStyle name="_우_송학하수품의(설계넣고)_삽교천개수공사(03.30)_남성지구(05.26)" xfId="2103"/>
    <cellStyle name="_우_송학하수품의(설계넣고)_삽교천개수공사(03.30)_동산초(06.1)" xfId="2104"/>
    <cellStyle name="_우_송학하수품의(설계넣고)_삽교천개수공사(03.30)_삽교천개수공사(03.30)" xfId="2105"/>
    <cellStyle name="_우_송학하수품의(설계넣고)_삽교천개수공사(03.30)_안산남부경찰서(06.16)-부대" xfId="2106"/>
    <cellStyle name="_우_송학하수품의(설계넣고)_삽교천개수공사(03.30)_제주제성교(05.27)" xfId="2107"/>
    <cellStyle name="_우_송학하수품의(설계넣고)_삽교천개수공사(03.30)_행목지구하천환경(05.25)" xfId="2108"/>
    <cellStyle name="_우_송학하수품의(설계넣고)_용답동오피스텔가실행" xfId="957"/>
    <cellStyle name="_우_송학하수품의(설계넣고)_적상무주IC도로(1공구)" xfId="958"/>
    <cellStyle name="_우_송학하수품의(설계넣고)_적상무주IC도로(1공구)_구기동(제출)(95.0)(031121)" xfId="959"/>
    <cellStyle name="_우_송학하수품의(설계넣고)_적상무주IC도로(1공구)_구기동레포츠센타제출" xfId="960"/>
    <cellStyle name="_우_송학하수품의(설계넣고)_적상무주IC도로(1공구)_용답동오피스텔가실행" xfId="961"/>
    <cellStyle name="_우_용답동오피스텔가실행" xfId="962"/>
    <cellStyle name="_우_우주센터투찰" xfId="963"/>
    <cellStyle name="_우_우주센터투찰_광주평동실행" xfId="964"/>
    <cellStyle name="_우_우주센터투찰_광주평동실행_구기동(제출)(95.0)(031121)" xfId="965"/>
    <cellStyle name="_우_우주센터투찰_광주평동실행_구기동레포츠센타제출" xfId="966"/>
    <cellStyle name="_우_우주센터투찰_광주평동실행_번암견적의뢰(협력)" xfId="967"/>
    <cellStyle name="_우_우주센터투찰_광주평동실행_번암견적의뢰(협력)_구기동(제출)(95.0)(031121)" xfId="968"/>
    <cellStyle name="_우_우주센터투찰_광주평동실행_번암견적의뢰(협력)_구기동레포츠센타제출" xfId="969"/>
    <cellStyle name="_우_우주센터투찰_광주평동실행_번암견적의뢰(협력)_용답동오피스텔가실행" xfId="970"/>
    <cellStyle name="_우_우주센터투찰_광주평동실행_용답동오피스텔가실행" xfId="971"/>
    <cellStyle name="_우_우주센터투찰_광주평동투찰" xfId="2109"/>
    <cellStyle name="_우_우주센터투찰_광주평동투찰_삽교천개수공사(03.30)" xfId="2110"/>
    <cellStyle name="_우_우주센터투찰_광주평동투찰_삽교천개수공사(03.30)_구일초(06.17)-부대" xfId="2111"/>
    <cellStyle name="_우_우주센터투찰_광주평동투찰_삽교천개수공사(03.30)_남성지구(05.26)" xfId="2112"/>
    <cellStyle name="_우_우주센터투찰_광주평동투찰_삽교천개수공사(03.30)_동산초(06.1)" xfId="2113"/>
    <cellStyle name="_우_우주센터투찰_광주평동투찰_삽교천개수공사(03.30)_삽교천개수공사(03.30)" xfId="2114"/>
    <cellStyle name="_우_우주센터투찰_광주평동투찰_삽교천개수공사(03.30)_안산남부경찰서(06.16)-부대" xfId="2115"/>
    <cellStyle name="_우_우주센터투찰_광주평동투찰_삽교천개수공사(03.30)_제주제성교(05.27)" xfId="2116"/>
    <cellStyle name="_우_우주센터투찰_광주평동투찰_삽교천개수공사(03.30)_행목지구하천환경(05.25)" xfId="2117"/>
    <cellStyle name="_우_우주센터투찰_광주평동품의1" xfId="972"/>
    <cellStyle name="_우_우주센터투찰_광주평동품의1_구기동(제출)(95.0)(031121)" xfId="973"/>
    <cellStyle name="_우_우주센터투찰_광주평동품의1_구기동레포츠센타제출" xfId="974"/>
    <cellStyle name="_우_우주센터투찰_광주평동품의1_무안-광주2공구(협력)수정" xfId="975"/>
    <cellStyle name="_우_우주센터투찰_광주평동품의1_무안-광주2공구(협력)수정_구기동(제출)(95.0)(031121)" xfId="976"/>
    <cellStyle name="_우_우주센터투찰_광주평동품의1_무안-광주2공구(협력)수정_구기동레포츠센타제출" xfId="977"/>
    <cellStyle name="_우_우주센터투찰_광주평동품의1_무안-광주2공구(협력)수정_용답동오피스텔가실행" xfId="978"/>
    <cellStyle name="_우_우주센터투찰_광주평동품의1_번암견적의뢰(협력)" xfId="979"/>
    <cellStyle name="_우_우주센터투찰_광주평동품의1_번암견적의뢰(협력)_구기동(제출)(95.0)(031121)" xfId="980"/>
    <cellStyle name="_우_우주센터투찰_광주평동품의1_번암견적의뢰(협력)_구기동레포츠센타제출" xfId="981"/>
    <cellStyle name="_우_우주센터투찰_광주평동품의1_번암견적의뢰(협력)_용답동오피스텔가실행" xfId="982"/>
    <cellStyle name="_우_우주센터투찰_광주평동품의1_삽교천개수공사(03.30)" xfId="2118"/>
    <cellStyle name="_우_우주센터투찰_광주평동품의1_삽교천개수공사(03.30)_구일초(06.17)-부대" xfId="2119"/>
    <cellStyle name="_우_우주센터투찰_광주평동품의1_삽교천개수공사(03.30)_남성지구(05.26)" xfId="2120"/>
    <cellStyle name="_우_우주센터투찰_광주평동품의1_삽교천개수공사(03.30)_동산초(06.1)" xfId="2121"/>
    <cellStyle name="_우_우주센터투찰_광주평동품의1_삽교천개수공사(03.30)_삽교천개수공사(03.30)" xfId="2122"/>
    <cellStyle name="_우_우주센터투찰_광주평동품의1_삽교천개수공사(03.30)_안산남부경찰서(06.16)-부대" xfId="2123"/>
    <cellStyle name="_우_우주센터투찰_광주평동품의1_삽교천개수공사(03.30)_제주제성교(05.27)" xfId="2124"/>
    <cellStyle name="_우_우주센터투찰_광주평동품의1_삽교천개수공사(03.30)_행목지구하천환경(05.25)" xfId="2125"/>
    <cellStyle name="_우_우주센터투찰_광주평동품의1_용답동오피스텔가실행" xfId="983"/>
    <cellStyle name="_우_우주센터투찰_광주평동품의1_적상무주IC도로(1공구)" xfId="984"/>
    <cellStyle name="_우_우주센터투찰_광주평동품의1_적상무주IC도로(1공구)_구기동(제출)(95.0)(031121)" xfId="985"/>
    <cellStyle name="_우_우주센터투찰_광주평동품의1_적상무주IC도로(1공구)_구기동레포츠센타제출" xfId="986"/>
    <cellStyle name="_우_우주센터투찰_광주평동품의1_적상무주IC도로(1공구)_용답동오피스텔가실행" xfId="987"/>
    <cellStyle name="_우_우주센터투찰_구기동(제출)(95.0)(031121)" xfId="988"/>
    <cellStyle name="_우_우주센터투찰_구기동레포츠센타제출" xfId="989"/>
    <cellStyle name="_우_우주센터투찰_기장하수실행1" xfId="990"/>
    <cellStyle name="_우_우주센터투찰_기장하수실행1_구기동(제출)(95.0)(031121)" xfId="991"/>
    <cellStyle name="_우_우주센터투찰_기장하수실행1_구기동레포츠센타제출" xfId="992"/>
    <cellStyle name="_우_우주센터투찰_기장하수실행1_번암견적의뢰(협력)" xfId="993"/>
    <cellStyle name="_우_우주센터투찰_기장하수실행1_번암견적의뢰(협력)_구기동(제출)(95.0)(031121)" xfId="994"/>
    <cellStyle name="_우_우주센터투찰_기장하수실행1_번암견적의뢰(협력)_구기동레포츠센타제출" xfId="995"/>
    <cellStyle name="_우_우주센터투찰_기장하수실행1_번암견적의뢰(협력)_용답동오피스텔가실행" xfId="996"/>
    <cellStyle name="_우_우주센터투찰_기장하수실행1_용답동오피스텔가실행" xfId="997"/>
    <cellStyle name="_우_우주센터투찰_무안-광주2공구(협력)수정" xfId="998"/>
    <cellStyle name="_우_우주센터투찰_무안-광주2공구(협력)수정_구기동(제출)(95.0)(031121)" xfId="999"/>
    <cellStyle name="_우_우주센터투찰_무안-광주2공구(협력)수정_구기동레포츠센타제출" xfId="1000"/>
    <cellStyle name="_우_우주센터투찰_무안-광주2공구(협력)수정_용답동오피스텔가실행" xfId="1001"/>
    <cellStyle name="_우_우주센터투찰_번암견적의뢰(협력)" xfId="1002"/>
    <cellStyle name="_우_우주센터투찰_번암견적의뢰(협력)_구기동(제출)(95.0)(031121)" xfId="1003"/>
    <cellStyle name="_우_우주센터투찰_번암견적의뢰(협력)_구기동레포츠센타제출" xfId="1004"/>
    <cellStyle name="_우_우주센터투찰_번암견적의뢰(협력)_용답동오피스텔가실행" xfId="1005"/>
    <cellStyle name="_우_우주센터투찰_삽교천개수공사(03.30)" xfId="2126"/>
    <cellStyle name="_우_우주센터투찰_삽교천개수공사(03.30)_구일초(06.17)-부대" xfId="2127"/>
    <cellStyle name="_우_우주센터투찰_삽교천개수공사(03.30)_남성지구(05.26)" xfId="2128"/>
    <cellStyle name="_우_우주센터투찰_삽교천개수공사(03.30)_동산초(06.1)" xfId="2129"/>
    <cellStyle name="_우_우주센터투찰_삽교천개수공사(03.30)_삽교천개수공사(03.30)" xfId="2130"/>
    <cellStyle name="_우_우주센터투찰_삽교천개수공사(03.30)_안산남부경찰서(06.16)-부대" xfId="2131"/>
    <cellStyle name="_우_우주센터투찰_삽교천개수공사(03.30)_제주제성교(05.27)" xfId="2132"/>
    <cellStyle name="_우_우주센터투찰_삽교천개수공사(03.30)_행목지구하천환경(05.25)" xfId="2133"/>
    <cellStyle name="_우_우주센터투찰_송학실행안" xfId="1006"/>
    <cellStyle name="_우_우주센터투찰_송학실행안_구기동(제출)(95.0)(031121)" xfId="1007"/>
    <cellStyle name="_우_우주센터투찰_송학실행안_구기동레포츠센타제출" xfId="1008"/>
    <cellStyle name="_우_우주센터투찰_송학실행안_번암견적의뢰(협력)" xfId="1009"/>
    <cellStyle name="_우_우주센터투찰_송학실행안_번암견적의뢰(협력)_구기동(제출)(95.0)(031121)" xfId="1010"/>
    <cellStyle name="_우_우주센터투찰_송학실행안_번암견적의뢰(협력)_구기동레포츠센타제출" xfId="1011"/>
    <cellStyle name="_우_우주센터투찰_송학실행안_번암견적의뢰(협력)_용답동오피스텔가실행" xfId="1012"/>
    <cellStyle name="_우_우주센터투찰_송학실행안_용답동오피스텔가실행" xfId="1013"/>
    <cellStyle name="_우_우주센터투찰_송학하수투찰" xfId="1014"/>
    <cellStyle name="_우_우주센터투찰_송학하수투찰_구기동(제출)(95.0)(031121)" xfId="1015"/>
    <cellStyle name="_우_우주센터투찰_송학하수투찰_구기동레포츠센타제출" xfId="1016"/>
    <cellStyle name="_우_우주센터투찰_송학하수투찰_번암견적의뢰(협력)" xfId="1017"/>
    <cellStyle name="_우_우주센터투찰_송학하수투찰_번암견적의뢰(협력)_구기동(제출)(95.0)(031121)" xfId="1018"/>
    <cellStyle name="_우_우주센터투찰_송학하수투찰_번암견적의뢰(협력)_구기동레포츠센타제출" xfId="1019"/>
    <cellStyle name="_우_우주센터투찰_송학하수투찰_번암견적의뢰(협력)_용답동오피스텔가실행" xfId="1020"/>
    <cellStyle name="_우_우주센터투찰_송학하수투찰_용답동오피스텔가실행" xfId="1021"/>
    <cellStyle name="_우_우주센터투찰_송학하수품의(설계넣고)" xfId="1022"/>
    <cellStyle name="_우_우주센터투찰_송학하수품의(설계넣고)_구기동(제출)(95.0)(031121)" xfId="1023"/>
    <cellStyle name="_우_우주센터투찰_송학하수품의(설계넣고)_구기동레포츠센타제출" xfId="1024"/>
    <cellStyle name="_우_우주센터투찰_송학하수품의(설계넣고)_무안-광주2공구(협력)수정" xfId="1025"/>
    <cellStyle name="_우_우주센터투찰_송학하수품의(설계넣고)_무안-광주2공구(협력)수정_구기동(제출)(95.0)(031121)" xfId="1026"/>
    <cellStyle name="_우_우주센터투찰_송학하수품의(설계넣고)_무안-광주2공구(협력)수정_구기동레포츠센타제출" xfId="1027"/>
    <cellStyle name="_우_우주센터투찰_송학하수품의(설계넣고)_무안-광주2공구(협력)수정_용답동오피스텔가실행" xfId="1028"/>
    <cellStyle name="_우_우주센터투찰_송학하수품의(설계넣고)_번암견적의뢰(협력)" xfId="1029"/>
    <cellStyle name="_우_우주센터투찰_송학하수품의(설계넣고)_번암견적의뢰(협력)_구기동(제출)(95.0)(031121)" xfId="1030"/>
    <cellStyle name="_우_우주센터투찰_송학하수품의(설계넣고)_번암견적의뢰(협력)_구기동레포츠센타제출" xfId="1031"/>
    <cellStyle name="_우_우주센터투찰_송학하수품의(설계넣고)_번암견적의뢰(협력)_용답동오피스텔가실행" xfId="1032"/>
    <cellStyle name="_우_우주센터투찰_송학하수품의(설계넣고)_삽교천개수공사(03.30)" xfId="2134"/>
    <cellStyle name="_우_우주센터투찰_송학하수품의(설계넣고)_삽교천개수공사(03.30)_구일초(06.17)-부대" xfId="2135"/>
    <cellStyle name="_우_우주센터투찰_송학하수품의(설계넣고)_삽교천개수공사(03.30)_남성지구(05.26)" xfId="2136"/>
    <cellStyle name="_우_우주센터투찰_송학하수품의(설계넣고)_삽교천개수공사(03.30)_동산초(06.1)" xfId="2137"/>
    <cellStyle name="_우_우주센터투찰_송학하수품의(설계넣고)_삽교천개수공사(03.30)_삽교천개수공사(03.30)" xfId="2138"/>
    <cellStyle name="_우_우주센터투찰_송학하수품의(설계넣고)_삽교천개수공사(03.30)_안산남부경찰서(06.16)-부대" xfId="2139"/>
    <cellStyle name="_우_우주센터투찰_송학하수품의(설계넣고)_삽교천개수공사(03.30)_제주제성교(05.27)" xfId="2140"/>
    <cellStyle name="_우_우주센터투찰_송학하수품의(설계넣고)_삽교천개수공사(03.30)_행목지구하천환경(05.25)" xfId="2141"/>
    <cellStyle name="_우_우주센터투찰_송학하수품의(설계넣고)_용답동오피스텔가실행" xfId="1033"/>
    <cellStyle name="_우_우주센터투찰_송학하수품의(설계넣고)_적상무주IC도로(1공구)" xfId="1034"/>
    <cellStyle name="_우_우주센터투찰_송학하수품의(설계넣고)_적상무주IC도로(1공구)_구기동(제출)(95.0)(031121)" xfId="1035"/>
    <cellStyle name="_우_우주센터투찰_송학하수품의(설계넣고)_적상무주IC도로(1공구)_구기동레포츠센타제출" xfId="1036"/>
    <cellStyle name="_우_우주센터투찰_송학하수품의(설계넣고)_적상무주IC도로(1공구)_용답동오피스텔가실행" xfId="1037"/>
    <cellStyle name="_우_우주센터투찰_용답동오피스텔가실행" xfId="1038"/>
    <cellStyle name="_우_우주센터투찰_적상무주IC도로(1공구)" xfId="1039"/>
    <cellStyle name="_우_우주센터투찰_적상무주IC도로(1공구)_구기동(제출)(95.0)(031121)" xfId="1040"/>
    <cellStyle name="_우_우주센터투찰_적상무주IC도로(1공구)_구기동레포츠센타제출" xfId="1041"/>
    <cellStyle name="_우_우주센터투찰_적상무주IC도로(1공구)_용답동오피스텔가실행" xfId="1042"/>
    <cellStyle name="_우_적상무주IC도로(1공구)" xfId="1043"/>
    <cellStyle name="_우_적상무주IC도로(1공구)_구기동(제출)(95.0)(031121)" xfId="1044"/>
    <cellStyle name="_우_적상무주IC도로(1공구)_구기동레포츠센타제출" xfId="1045"/>
    <cellStyle name="_우_적상무주IC도로(1공구)_용답동오피스텔가실행" xfId="1046"/>
    <cellStyle name="_우매05" xfId="6528"/>
    <cellStyle name="_우매05_2002년도BP양식수정(SOC팀수정부결안1101)" xfId="6529"/>
    <cellStyle name="_우매05_2002년도BP양식수정(SOC팀수정부결안1101)_본부별 경영전략 보고 양식" xfId="6530"/>
    <cellStyle name="_우매05_2002년도BP양식주정" xfId="6531"/>
    <cellStyle name="_우매05_2002년도BP양식주정_2002년도BP양식주정" xfId="6532"/>
    <cellStyle name="_우매05_2002년도BP양식주정_2002년도BP양식주정_2002년도BP양식수정(SOC팀수정부결안1101)" xfId="6533"/>
    <cellStyle name="_우매05_2002년도BP양식주정_2002년도BP양식주정_2002년도BP양식수정(SOC팀수정부결안1101)_본부별 경영전략 보고 양식" xfId="6534"/>
    <cellStyle name="_우매05_2002년도BP양식주정_2002년도BP양식주정_본부별 경영전략 보고 양식" xfId="6535"/>
    <cellStyle name="_우매05_2002년도BP양식주정_본부별 경영전략 보고 양식" xfId="6536"/>
    <cellStyle name="_우매05_본부별 경영전략 보고 양식" xfId="6537"/>
    <cellStyle name="_우매05_사업진척점검회의(2001. 8)" xfId="6538"/>
    <cellStyle name="_우매05_사업진척점검회의(2001. 8)_2002년도BP양식수정(SOC팀수정부결안1101)" xfId="6539"/>
    <cellStyle name="_우매05_사업진척점검회의(2001. 8)_2002년도BP양식수정(SOC팀수정부결안1101)_본부별 경영전략 보고 양식" xfId="6540"/>
    <cellStyle name="_우매05_사업진척점검회의(2001. 8)_2002년도BP양식주정" xfId="6541"/>
    <cellStyle name="_우매05_사업진척점검회의(2001. 8)_2002년도BP양식주정_2002년도BP양식주정" xfId="6542"/>
    <cellStyle name="_우매05_사업진척점검회의(2001. 8)_2002년도BP양식주정_2002년도BP양식주정_2002년도BP양식수정(SOC팀수정부결안1101)" xfId="6543"/>
    <cellStyle name="_우매05_사업진척점검회의(2001. 8)_2002년도BP양식주정_2002년도BP양식주정_2002년도BP양식수정(SOC팀수정부결안1101)_본부별 경영전략 보고 양식" xfId="6544"/>
    <cellStyle name="_우매05_사업진척점검회의(2001. 8)_2002년도BP양식주정_2002년도BP양식주정_본부별 경영전략 보고 양식" xfId="6545"/>
    <cellStyle name="_우매05_사업진척점검회의(2001. 8)_2002년도BP양식주정_본부별 경영전략 보고 양식" xfId="6546"/>
    <cellStyle name="_우매05_사업진척점검회의(2001. 8)_본부별 경영전략 보고 양식" xfId="6547"/>
    <cellStyle name="_우매05_선운흥덕실행" xfId="6548"/>
    <cellStyle name="_우매05_선운흥덕실행_2002년도BP양식수정(SOC팀수정부결안1101)" xfId="6549"/>
    <cellStyle name="_우매05_선운흥덕실행_2002년도BP양식수정(SOC팀수정부결안1101)_본부별 경영전략 보고 양식" xfId="6550"/>
    <cellStyle name="_우매05_선운흥덕실행_2002년도BP양식주정" xfId="6551"/>
    <cellStyle name="_우매05_선운흥덕실행_2002년도BP양식주정_2002년도BP양식주정" xfId="6552"/>
    <cellStyle name="_우매05_선운흥덕실행_2002년도BP양식주정_2002년도BP양식주정_2002년도BP양식수정(SOC팀수정부결안1101)" xfId="6553"/>
    <cellStyle name="_우매05_선운흥덕실행_2002년도BP양식주정_2002년도BP양식주정_2002년도BP양식수정(SOC팀수정부결안1101)_본부별 경영전략 보고 양식" xfId="6554"/>
    <cellStyle name="_우매05_선운흥덕실행_2002년도BP양식주정_2002년도BP양식주정_본부별 경영전략 보고 양식" xfId="6555"/>
    <cellStyle name="_우매05_선운흥덕실행_2002년도BP양식주정_본부별 경영전략 보고 양식" xfId="6556"/>
    <cellStyle name="_우매05_선운흥덕실행_본부별 경영전략 보고 양식" xfId="6557"/>
    <cellStyle name="_우매05_선운흥덕실행_사업진척점검회의(2001. 8)" xfId="6558"/>
    <cellStyle name="_우매05_선운흥덕실행_사업진척점검회의(2001. 8)_2002년도BP양식수정(SOC팀수정부결안1101)" xfId="6559"/>
    <cellStyle name="_우매05_선운흥덕실행_사업진척점검회의(2001. 8)_2002년도BP양식수정(SOC팀수정부결안1101)_본부별 경영전략 보고 양식" xfId="6560"/>
    <cellStyle name="_우매05_선운흥덕실행_사업진척점검회의(2001. 8)_2002년도BP양식주정" xfId="6561"/>
    <cellStyle name="_우매05_선운흥덕실행_사업진척점검회의(2001. 8)_2002년도BP양식주정_2002년도BP양식주정" xfId="6562"/>
    <cellStyle name="_우매05_선운흥덕실행_사업진척점검회의(2001. 8)_2002년도BP양식주정_2002년도BP양식주정_2002년도BP양식수정(SOC팀수정부결안1101)" xfId="6563"/>
    <cellStyle name="_우매05_선운흥덕실행_사업진척점검회의(2001. 8)_2002년도BP양식주정_2002년도BP양식주정_2002년도BP양식수정(SOC팀수정부결안1101)_본부별 경영전략 보고 양식" xfId="6564"/>
    <cellStyle name="_우매05_선운흥덕실행_사업진척점검회의(2001. 8)_2002년도BP양식주정_2002년도BP양식주정_본부별 경영전략 보고 양식" xfId="6565"/>
    <cellStyle name="_우매05_선운흥덕실행_사업진척점검회의(2001. 8)_2002년도BP양식주정_본부별 경영전략 보고 양식" xfId="6566"/>
    <cellStyle name="_우매05_선운흥덕실행_사업진척점검회의(2001. 8)_본부별 경영전략 보고 양식" xfId="6567"/>
    <cellStyle name="_우주센" xfId="1047"/>
    <cellStyle name="_우주센_광주평동실행" xfId="1048"/>
    <cellStyle name="_우주센_광주평동실행_구기동(제출)(95.0)(031121)" xfId="1049"/>
    <cellStyle name="_우주센_광주평동실행_구기동레포츠센타제출" xfId="1050"/>
    <cellStyle name="_우주센_광주평동실행_번암견적의뢰(협력)" xfId="1051"/>
    <cellStyle name="_우주센_광주평동실행_번암견적의뢰(협력)_구기동(제출)(95.0)(031121)" xfId="1052"/>
    <cellStyle name="_우주센_광주평동실행_번암견적의뢰(협력)_구기동레포츠센타제출" xfId="1053"/>
    <cellStyle name="_우주센_광주평동실행_번암견적의뢰(협력)_용답동오피스텔가실행" xfId="1054"/>
    <cellStyle name="_우주센_광주평동실행_용답동오피스텔가실행" xfId="1055"/>
    <cellStyle name="_우주센_광주평동투찰" xfId="2142"/>
    <cellStyle name="_우주센_광주평동투찰_삽교천개수공사(03.30)" xfId="2143"/>
    <cellStyle name="_우주센_광주평동투찰_삽교천개수공사(03.30)_구일초(06.17)-부대" xfId="2144"/>
    <cellStyle name="_우주센_광주평동투찰_삽교천개수공사(03.30)_남성지구(05.26)" xfId="2145"/>
    <cellStyle name="_우주센_광주평동투찰_삽교천개수공사(03.30)_동산초(06.1)" xfId="2146"/>
    <cellStyle name="_우주센_광주평동투찰_삽교천개수공사(03.30)_삽교천개수공사(03.30)" xfId="2147"/>
    <cellStyle name="_우주센_광주평동투찰_삽교천개수공사(03.30)_안산남부경찰서(06.16)-부대" xfId="2148"/>
    <cellStyle name="_우주센_광주평동투찰_삽교천개수공사(03.30)_제주제성교(05.27)" xfId="2149"/>
    <cellStyle name="_우주센_광주평동투찰_삽교천개수공사(03.30)_행목지구하천환경(05.25)" xfId="2150"/>
    <cellStyle name="_우주센_광주평동품의1" xfId="1056"/>
    <cellStyle name="_우주센_광주평동품의1_구기동(제출)(95.0)(031121)" xfId="1057"/>
    <cellStyle name="_우주센_광주평동품의1_구기동레포츠센타제출" xfId="1058"/>
    <cellStyle name="_우주센_광주평동품의1_무안-광주2공구(협력)수정" xfId="1059"/>
    <cellStyle name="_우주센_광주평동품의1_무안-광주2공구(협력)수정_구기동(제출)(95.0)(031121)" xfId="1060"/>
    <cellStyle name="_우주센_광주평동품의1_무안-광주2공구(협력)수정_구기동레포츠센타제출" xfId="1061"/>
    <cellStyle name="_우주센_광주평동품의1_무안-광주2공구(협력)수정_용답동오피스텔가실행" xfId="1062"/>
    <cellStyle name="_우주센_광주평동품의1_번암견적의뢰(협력)" xfId="1063"/>
    <cellStyle name="_우주센_광주평동품의1_번암견적의뢰(협력)_구기동(제출)(95.0)(031121)" xfId="1064"/>
    <cellStyle name="_우주센_광주평동품의1_번암견적의뢰(협력)_구기동레포츠센타제출" xfId="1065"/>
    <cellStyle name="_우주센_광주평동품의1_번암견적의뢰(협력)_용답동오피스텔가실행" xfId="1066"/>
    <cellStyle name="_우주센_광주평동품의1_삽교천개수공사(03.30)" xfId="2151"/>
    <cellStyle name="_우주센_광주평동품의1_삽교천개수공사(03.30)_구일초(06.17)-부대" xfId="2152"/>
    <cellStyle name="_우주센_광주평동품의1_삽교천개수공사(03.30)_남성지구(05.26)" xfId="2153"/>
    <cellStyle name="_우주센_광주평동품의1_삽교천개수공사(03.30)_동산초(06.1)" xfId="2154"/>
    <cellStyle name="_우주센_광주평동품의1_삽교천개수공사(03.30)_삽교천개수공사(03.30)" xfId="2155"/>
    <cellStyle name="_우주센_광주평동품의1_삽교천개수공사(03.30)_안산남부경찰서(06.16)-부대" xfId="2156"/>
    <cellStyle name="_우주센_광주평동품의1_삽교천개수공사(03.30)_제주제성교(05.27)" xfId="2157"/>
    <cellStyle name="_우주센_광주평동품의1_삽교천개수공사(03.30)_행목지구하천환경(05.25)" xfId="2158"/>
    <cellStyle name="_우주센_광주평동품의1_용답동오피스텔가실행" xfId="1067"/>
    <cellStyle name="_우주센_광주평동품의1_적상무주IC도로(1공구)" xfId="1068"/>
    <cellStyle name="_우주센_광주평동품의1_적상무주IC도로(1공구)_구기동(제출)(95.0)(031121)" xfId="1069"/>
    <cellStyle name="_우주센_광주평동품의1_적상무주IC도로(1공구)_구기동레포츠센타제출" xfId="1070"/>
    <cellStyle name="_우주센_광주평동품의1_적상무주IC도로(1공구)_용답동오피스텔가실행" xfId="1071"/>
    <cellStyle name="_우주센_구기동(제출)(95.0)(031121)" xfId="1072"/>
    <cellStyle name="_우주센_구기동레포츠센타제출" xfId="1073"/>
    <cellStyle name="_우주센_기장하수실행1" xfId="1074"/>
    <cellStyle name="_우주센_기장하수실행1_구기동(제출)(95.0)(031121)" xfId="1075"/>
    <cellStyle name="_우주센_기장하수실행1_구기동레포츠센타제출" xfId="1076"/>
    <cellStyle name="_우주센_기장하수실행1_번암견적의뢰(협력)" xfId="1077"/>
    <cellStyle name="_우주센_기장하수실행1_번암견적의뢰(협력)_구기동(제출)(95.0)(031121)" xfId="1078"/>
    <cellStyle name="_우주센_기장하수실행1_번암견적의뢰(협력)_구기동레포츠센타제출" xfId="1079"/>
    <cellStyle name="_우주센_기장하수실행1_번암견적의뢰(협력)_용답동오피스텔가실행" xfId="1080"/>
    <cellStyle name="_우주센_기장하수실행1_용답동오피스텔가실행" xfId="1081"/>
    <cellStyle name="_우주센_무안-광주2공구(협력)수정" xfId="1082"/>
    <cellStyle name="_우주센_무안-광주2공구(협력)수정_구기동(제출)(95.0)(031121)" xfId="1083"/>
    <cellStyle name="_우주센_무안-광주2공구(협력)수정_구기동레포츠센타제출" xfId="1084"/>
    <cellStyle name="_우주센_무안-광주2공구(협력)수정_용답동오피스텔가실행" xfId="1085"/>
    <cellStyle name="_우주센_번암견적의뢰(협력)" xfId="1086"/>
    <cellStyle name="_우주센_번암견적의뢰(협력)_구기동(제출)(95.0)(031121)" xfId="1087"/>
    <cellStyle name="_우주센_번암견적의뢰(협력)_구기동레포츠센타제출" xfId="1088"/>
    <cellStyle name="_우주센_번암견적의뢰(협력)_용답동오피스텔가실행" xfId="1089"/>
    <cellStyle name="_우주센_삽교천개수공사(03.30)" xfId="2159"/>
    <cellStyle name="_우주센_삽교천개수공사(03.30)_구일초(06.17)-부대" xfId="2160"/>
    <cellStyle name="_우주센_삽교천개수공사(03.30)_남성지구(05.26)" xfId="2161"/>
    <cellStyle name="_우주센_삽교천개수공사(03.30)_동산초(06.1)" xfId="2162"/>
    <cellStyle name="_우주센_삽교천개수공사(03.30)_삽교천개수공사(03.30)" xfId="2163"/>
    <cellStyle name="_우주센_삽교천개수공사(03.30)_안산남부경찰서(06.16)-부대" xfId="2164"/>
    <cellStyle name="_우주센_삽교천개수공사(03.30)_제주제성교(05.27)" xfId="2165"/>
    <cellStyle name="_우주센_삽교천개수공사(03.30)_행목지구하천환경(05.25)" xfId="2166"/>
    <cellStyle name="_우주센_송학실행안" xfId="1090"/>
    <cellStyle name="_우주센_송학실행안_구기동(제출)(95.0)(031121)" xfId="1091"/>
    <cellStyle name="_우주센_송학실행안_구기동레포츠센타제출" xfId="1092"/>
    <cellStyle name="_우주센_송학실행안_번암견적의뢰(협력)" xfId="1093"/>
    <cellStyle name="_우주센_송학실행안_번암견적의뢰(협력)_구기동(제출)(95.0)(031121)" xfId="1094"/>
    <cellStyle name="_우주센_송학실행안_번암견적의뢰(협력)_구기동레포츠센타제출" xfId="1095"/>
    <cellStyle name="_우주센_송학실행안_번암견적의뢰(협력)_용답동오피스텔가실행" xfId="1096"/>
    <cellStyle name="_우주센_송학실행안_용답동오피스텔가실행" xfId="1097"/>
    <cellStyle name="_우주센_송학하수투찰" xfId="1098"/>
    <cellStyle name="_우주센_송학하수투찰_구기동(제출)(95.0)(031121)" xfId="1099"/>
    <cellStyle name="_우주센_송학하수투찰_구기동레포츠센타제출" xfId="1100"/>
    <cellStyle name="_우주센_송학하수투찰_번암견적의뢰(협력)" xfId="1101"/>
    <cellStyle name="_우주센_송학하수투찰_번암견적의뢰(협력)_구기동(제출)(95.0)(031121)" xfId="1102"/>
    <cellStyle name="_우주센_송학하수투찰_번암견적의뢰(협력)_구기동레포츠센타제출" xfId="1103"/>
    <cellStyle name="_우주센_송학하수투찰_번암견적의뢰(협력)_용답동오피스텔가실행" xfId="1104"/>
    <cellStyle name="_우주센_송학하수투찰_용답동오피스텔가실행" xfId="1105"/>
    <cellStyle name="_우주센_송학하수품의(설계넣고)" xfId="1106"/>
    <cellStyle name="_우주센_송학하수품의(설계넣고)_구기동(제출)(95.0)(031121)" xfId="1107"/>
    <cellStyle name="_우주센_송학하수품의(설계넣고)_구기동레포츠센타제출" xfId="1108"/>
    <cellStyle name="_우주센_송학하수품의(설계넣고)_무안-광주2공구(협력)수정" xfId="1109"/>
    <cellStyle name="_우주센_송학하수품의(설계넣고)_무안-광주2공구(협력)수정_구기동(제출)(95.0)(031121)" xfId="1110"/>
    <cellStyle name="_우주센_송학하수품의(설계넣고)_무안-광주2공구(협력)수정_구기동레포츠센타제출" xfId="1111"/>
    <cellStyle name="_우주센_송학하수품의(설계넣고)_무안-광주2공구(협력)수정_용답동오피스텔가실행" xfId="1112"/>
    <cellStyle name="_우주센_송학하수품의(설계넣고)_번암견적의뢰(협력)" xfId="1113"/>
    <cellStyle name="_우주센_송학하수품의(설계넣고)_번암견적의뢰(협력)_구기동(제출)(95.0)(031121)" xfId="1114"/>
    <cellStyle name="_우주센_송학하수품의(설계넣고)_번암견적의뢰(협력)_구기동레포츠센타제출" xfId="1115"/>
    <cellStyle name="_우주센_송학하수품의(설계넣고)_번암견적의뢰(협력)_용답동오피스텔가실행" xfId="1116"/>
    <cellStyle name="_우주센_송학하수품의(설계넣고)_삽교천개수공사(03.30)" xfId="2167"/>
    <cellStyle name="_우주센_송학하수품의(설계넣고)_삽교천개수공사(03.30)_구일초(06.17)-부대" xfId="2168"/>
    <cellStyle name="_우주센_송학하수품의(설계넣고)_삽교천개수공사(03.30)_남성지구(05.26)" xfId="2169"/>
    <cellStyle name="_우주센_송학하수품의(설계넣고)_삽교천개수공사(03.30)_동산초(06.1)" xfId="2170"/>
    <cellStyle name="_우주센_송학하수품의(설계넣고)_삽교천개수공사(03.30)_삽교천개수공사(03.30)" xfId="2171"/>
    <cellStyle name="_우주센_송학하수품의(설계넣고)_삽교천개수공사(03.30)_안산남부경찰서(06.16)-부대" xfId="2172"/>
    <cellStyle name="_우주센_송학하수품의(설계넣고)_삽교천개수공사(03.30)_제주제성교(05.27)" xfId="2173"/>
    <cellStyle name="_우주센_송학하수품의(설계넣고)_삽교천개수공사(03.30)_행목지구하천환경(05.25)" xfId="2174"/>
    <cellStyle name="_우주센_송학하수품의(설계넣고)_용답동오피스텔가실행" xfId="1117"/>
    <cellStyle name="_우주센_송학하수품의(설계넣고)_적상무주IC도로(1공구)" xfId="1118"/>
    <cellStyle name="_우주센_송학하수품의(설계넣고)_적상무주IC도로(1공구)_구기동(제출)(95.0)(031121)" xfId="1119"/>
    <cellStyle name="_우주센_송학하수품의(설계넣고)_적상무주IC도로(1공구)_구기동레포츠센타제출" xfId="1120"/>
    <cellStyle name="_우주센_송학하수품의(설계넣고)_적상무주IC도로(1공구)_용답동오피스텔가실행" xfId="1121"/>
    <cellStyle name="_우주센_용답동오피스텔가실행" xfId="1122"/>
    <cellStyle name="_우주센_우주센터투찰" xfId="1123"/>
    <cellStyle name="_우주센_우주센터투찰_광주평동실행" xfId="1124"/>
    <cellStyle name="_우주센_우주센터투찰_광주평동실행_구기동(제출)(95.0)(031121)" xfId="1125"/>
    <cellStyle name="_우주센_우주센터투찰_광주평동실행_구기동레포츠센타제출" xfId="1126"/>
    <cellStyle name="_우주센_우주센터투찰_광주평동실행_번암견적의뢰(협력)" xfId="1127"/>
    <cellStyle name="_우주센_우주센터투찰_광주평동실행_번암견적의뢰(협력)_구기동(제출)(95.0)(031121)" xfId="1128"/>
    <cellStyle name="_우주센_우주센터투찰_광주평동실행_번암견적의뢰(협력)_구기동레포츠센타제출" xfId="1129"/>
    <cellStyle name="_우주센_우주센터투찰_광주평동실행_번암견적의뢰(협력)_용답동오피스텔가실행" xfId="1130"/>
    <cellStyle name="_우주센_우주센터투찰_광주평동실행_용답동오피스텔가실행" xfId="1131"/>
    <cellStyle name="_우주센_우주센터투찰_광주평동투찰" xfId="2175"/>
    <cellStyle name="_우주센_우주센터투찰_광주평동투찰_삽교천개수공사(03.30)" xfId="2176"/>
    <cellStyle name="_우주센_우주센터투찰_광주평동투찰_삽교천개수공사(03.30)_구일초(06.17)-부대" xfId="2177"/>
    <cellStyle name="_우주센_우주센터투찰_광주평동투찰_삽교천개수공사(03.30)_남성지구(05.26)" xfId="2178"/>
    <cellStyle name="_우주센_우주센터투찰_광주평동투찰_삽교천개수공사(03.30)_동산초(06.1)" xfId="2179"/>
    <cellStyle name="_우주센_우주센터투찰_광주평동투찰_삽교천개수공사(03.30)_삽교천개수공사(03.30)" xfId="2180"/>
    <cellStyle name="_우주센_우주센터투찰_광주평동투찰_삽교천개수공사(03.30)_안산남부경찰서(06.16)-부대" xfId="2181"/>
    <cellStyle name="_우주센_우주센터투찰_광주평동투찰_삽교천개수공사(03.30)_제주제성교(05.27)" xfId="2182"/>
    <cellStyle name="_우주센_우주센터투찰_광주평동투찰_삽교천개수공사(03.30)_행목지구하천환경(05.25)" xfId="2183"/>
    <cellStyle name="_우주센_우주센터투찰_광주평동품의1" xfId="1132"/>
    <cellStyle name="_우주센_우주센터투찰_광주평동품의1_구기동(제출)(95.0)(031121)" xfId="1133"/>
    <cellStyle name="_우주센_우주센터투찰_광주평동품의1_구기동레포츠센타제출" xfId="1134"/>
    <cellStyle name="_우주센_우주센터투찰_광주평동품의1_무안-광주2공구(협력)수정" xfId="1135"/>
    <cellStyle name="_우주센_우주센터투찰_광주평동품의1_무안-광주2공구(협력)수정_구기동(제출)(95.0)(031121)" xfId="1136"/>
    <cellStyle name="_우주센_우주센터투찰_광주평동품의1_무안-광주2공구(협력)수정_구기동레포츠센타제출" xfId="1137"/>
    <cellStyle name="_우주센_우주센터투찰_광주평동품의1_무안-광주2공구(협력)수정_용답동오피스텔가실행" xfId="1138"/>
    <cellStyle name="_우주센_우주센터투찰_광주평동품의1_번암견적의뢰(협력)" xfId="1139"/>
    <cellStyle name="_우주센_우주센터투찰_광주평동품의1_번암견적의뢰(협력)_구기동(제출)(95.0)(031121)" xfId="1140"/>
    <cellStyle name="_우주센_우주센터투찰_광주평동품의1_번암견적의뢰(협력)_구기동레포츠센타제출" xfId="1141"/>
    <cellStyle name="_우주센_우주센터투찰_광주평동품의1_번암견적의뢰(협력)_용답동오피스텔가실행" xfId="1142"/>
    <cellStyle name="_우주센_우주센터투찰_광주평동품의1_삽교천개수공사(03.30)" xfId="2184"/>
    <cellStyle name="_우주센_우주센터투찰_광주평동품의1_삽교천개수공사(03.30)_구일초(06.17)-부대" xfId="2185"/>
    <cellStyle name="_우주센_우주센터투찰_광주평동품의1_삽교천개수공사(03.30)_남성지구(05.26)" xfId="2186"/>
    <cellStyle name="_우주센_우주센터투찰_광주평동품의1_삽교천개수공사(03.30)_동산초(06.1)" xfId="2187"/>
    <cellStyle name="_우주센_우주센터투찰_광주평동품의1_삽교천개수공사(03.30)_삽교천개수공사(03.30)" xfId="2188"/>
    <cellStyle name="_우주센_우주센터투찰_광주평동품의1_삽교천개수공사(03.30)_안산남부경찰서(06.16)-부대" xfId="2189"/>
    <cellStyle name="_우주센_우주센터투찰_광주평동품의1_삽교천개수공사(03.30)_제주제성교(05.27)" xfId="2190"/>
    <cellStyle name="_우주센_우주센터투찰_광주평동품의1_삽교천개수공사(03.30)_행목지구하천환경(05.25)" xfId="2191"/>
    <cellStyle name="_우주센_우주센터투찰_광주평동품의1_용답동오피스텔가실행" xfId="1143"/>
    <cellStyle name="_우주센_우주센터투찰_광주평동품의1_적상무주IC도로(1공구)" xfId="1144"/>
    <cellStyle name="_우주센_우주센터투찰_광주평동품의1_적상무주IC도로(1공구)_구기동(제출)(95.0)(031121)" xfId="1145"/>
    <cellStyle name="_우주센_우주센터투찰_광주평동품의1_적상무주IC도로(1공구)_구기동레포츠센타제출" xfId="1146"/>
    <cellStyle name="_우주센_우주센터투찰_광주평동품의1_적상무주IC도로(1공구)_용답동오피스텔가실행" xfId="1147"/>
    <cellStyle name="_우주센_우주센터투찰_구기동(제출)(95.0)(031121)" xfId="1148"/>
    <cellStyle name="_우주센_우주센터투찰_구기동레포츠센타제출" xfId="1149"/>
    <cellStyle name="_우주센_우주센터투찰_기장하수실행1" xfId="1150"/>
    <cellStyle name="_우주센_우주센터투찰_기장하수실행1_구기동(제출)(95.0)(031121)" xfId="1151"/>
    <cellStyle name="_우주센_우주센터투찰_기장하수실행1_구기동레포츠센타제출" xfId="1152"/>
    <cellStyle name="_우주센_우주센터투찰_기장하수실행1_번암견적의뢰(협력)" xfId="1153"/>
    <cellStyle name="_우주센_우주센터투찰_기장하수실행1_번암견적의뢰(협력)_구기동(제출)(95.0)(031121)" xfId="1154"/>
    <cellStyle name="_우주센_우주센터투찰_기장하수실행1_번암견적의뢰(협력)_구기동레포츠센타제출" xfId="1155"/>
    <cellStyle name="_우주센_우주센터투찰_기장하수실행1_번암견적의뢰(협력)_용답동오피스텔가실행" xfId="1156"/>
    <cellStyle name="_우주센_우주센터투찰_기장하수실행1_용답동오피스텔가실행" xfId="1157"/>
    <cellStyle name="_우주센_우주센터투찰_무안-광주2공구(협력)수정" xfId="1158"/>
    <cellStyle name="_우주센_우주센터투찰_무안-광주2공구(협력)수정_구기동(제출)(95.0)(031121)" xfId="1159"/>
    <cellStyle name="_우주센_우주센터투찰_무안-광주2공구(협력)수정_구기동레포츠센타제출" xfId="1160"/>
    <cellStyle name="_우주센_우주센터투찰_무안-광주2공구(협력)수정_용답동오피스텔가실행" xfId="1161"/>
    <cellStyle name="_우주센_우주센터투찰_번암견적의뢰(협력)" xfId="1162"/>
    <cellStyle name="_우주센_우주센터투찰_번암견적의뢰(협력)_구기동(제출)(95.0)(031121)" xfId="1163"/>
    <cellStyle name="_우주센_우주센터투찰_번암견적의뢰(협력)_구기동레포츠센타제출" xfId="1164"/>
    <cellStyle name="_우주센_우주센터투찰_번암견적의뢰(협력)_용답동오피스텔가실행" xfId="1165"/>
    <cellStyle name="_우주센_우주센터투찰_삽교천개수공사(03.30)" xfId="2192"/>
    <cellStyle name="_우주센_우주센터투찰_삽교천개수공사(03.30)_구일초(06.17)-부대" xfId="2193"/>
    <cellStyle name="_우주센_우주센터투찰_삽교천개수공사(03.30)_남성지구(05.26)" xfId="2194"/>
    <cellStyle name="_우주센_우주센터투찰_삽교천개수공사(03.30)_동산초(06.1)" xfId="2195"/>
    <cellStyle name="_우주센_우주센터투찰_삽교천개수공사(03.30)_삽교천개수공사(03.30)" xfId="2196"/>
    <cellStyle name="_우주센_우주센터투찰_삽교천개수공사(03.30)_안산남부경찰서(06.16)-부대" xfId="2197"/>
    <cellStyle name="_우주센_우주센터투찰_삽교천개수공사(03.30)_제주제성교(05.27)" xfId="2198"/>
    <cellStyle name="_우주센_우주센터투찰_삽교천개수공사(03.30)_행목지구하천환경(05.25)" xfId="2199"/>
    <cellStyle name="_우주센_우주센터투찰_송학실행안" xfId="1166"/>
    <cellStyle name="_우주센_우주센터투찰_송학실행안_구기동(제출)(95.0)(031121)" xfId="1167"/>
    <cellStyle name="_우주센_우주센터투찰_송학실행안_구기동레포츠센타제출" xfId="1168"/>
    <cellStyle name="_우주센_우주센터투찰_송학실행안_번암견적의뢰(협력)" xfId="1169"/>
    <cellStyle name="_우주센_우주센터투찰_송학실행안_번암견적의뢰(협력)_구기동(제출)(95.0)(031121)" xfId="1170"/>
    <cellStyle name="_우주센_우주센터투찰_송학실행안_번암견적의뢰(협력)_구기동레포츠센타제출" xfId="1171"/>
    <cellStyle name="_우주센_우주센터투찰_송학실행안_번암견적의뢰(협력)_용답동오피스텔가실행" xfId="1172"/>
    <cellStyle name="_우주센_우주센터투찰_송학실행안_용답동오피스텔가실행" xfId="1173"/>
    <cellStyle name="_우주센_우주센터투찰_송학하수투찰" xfId="1174"/>
    <cellStyle name="_우주센_우주센터투찰_송학하수투찰_구기동(제출)(95.0)(031121)" xfId="1175"/>
    <cellStyle name="_우주센_우주센터투찰_송학하수투찰_구기동레포츠센타제출" xfId="1176"/>
    <cellStyle name="_우주센_우주센터투찰_송학하수투찰_번암견적의뢰(협력)" xfId="1177"/>
    <cellStyle name="_우주센_우주센터투찰_송학하수투찰_번암견적의뢰(협력)_구기동(제출)(95.0)(031121)" xfId="1178"/>
    <cellStyle name="_우주센_우주센터투찰_송학하수투찰_번암견적의뢰(협력)_구기동레포츠센타제출" xfId="1179"/>
    <cellStyle name="_우주센_우주센터투찰_송학하수투찰_번암견적의뢰(협력)_용답동오피스텔가실행" xfId="1180"/>
    <cellStyle name="_우주센_우주센터투찰_송학하수투찰_용답동오피스텔가실행" xfId="1181"/>
    <cellStyle name="_우주센_우주센터투찰_송학하수품의(설계넣고)" xfId="1182"/>
    <cellStyle name="_우주센_우주센터투찰_송학하수품의(설계넣고)_구기동(제출)(95.0)(031121)" xfId="1183"/>
    <cellStyle name="_우주센_우주센터투찰_송학하수품의(설계넣고)_구기동레포츠센타제출" xfId="1184"/>
    <cellStyle name="_우주센_우주센터투찰_송학하수품의(설계넣고)_무안-광주2공구(협력)수정" xfId="1185"/>
    <cellStyle name="_우주센_우주센터투찰_송학하수품의(설계넣고)_무안-광주2공구(협력)수정_구기동(제출)(95.0)(031121)" xfId="1186"/>
    <cellStyle name="_우주센_우주센터투찰_송학하수품의(설계넣고)_무안-광주2공구(협력)수정_구기동레포츠센타제출" xfId="1187"/>
    <cellStyle name="_우주센_우주센터투찰_송학하수품의(설계넣고)_무안-광주2공구(협력)수정_용답동오피스텔가실행" xfId="1188"/>
    <cellStyle name="_우주센_우주센터투찰_송학하수품의(설계넣고)_번암견적의뢰(협력)" xfId="1189"/>
    <cellStyle name="_우주센_우주센터투찰_송학하수품의(설계넣고)_번암견적의뢰(협력)_구기동(제출)(95.0)(031121)" xfId="1190"/>
    <cellStyle name="_우주센_우주센터투찰_송학하수품의(설계넣고)_번암견적의뢰(협력)_구기동레포츠센타제출" xfId="1191"/>
    <cellStyle name="_우주센_우주센터투찰_송학하수품의(설계넣고)_번암견적의뢰(협력)_용답동오피스텔가실행" xfId="1192"/>
    <cellStyle name="_우주센_우주센터투찰_송학하수품의(설계넣고)_삽교천개수공사(03.30)" xfId="2200"/>
    <cellStyle name="_우주센_우주센터투찰_송학하수품의(설계넣고)_삽교천개수공사(03.30)_구일초(06.17)-부대" xfId="2201"/>
    <cellStyle name="_우주센_우주센터투찰_송학하수품의(설계넣고)_삽교천개수공사(03.30)_남성지구(05.26)" xfId="2202"/>
    <cellStyle name="_우주센_우주센터투찰_송학하수품의(설계넣고)_삽교천개수공사(03.30)_동산초(06.1)" xfId="2203"/>
    <cellStyle name="_우주센_우주센터투찰_송학하수품의(설계넣고)_삽교천개수공사(03.30)_삽교천개수공사(03.30)" xfId="2204"/>
    <cellStyle name="_우주센_우주센터투찰_송학하수품의(설계넣고)_삽교천개수공사(03.30)_안산남부경찰서(06.16)-부대" xfId="2205"/>
    <cellStyle name="_우주센_우주센터투찰_송학하수품의(설계넣고)_삽교천개수공사(03.30)_제주제성교(05.27)" xfId="2206"/>
    <cellStyle name="_우주센_우주센터투찰_송학하수품의(설계넣고)_삽교천개수공사(03.30)_행목지구하천환경(05.25)" xfId="2207"/>
    <cellStyle name="_우주센_우주센터투찰_송학하수품의(설계넣고)_용답동오피스텔가실행" xfId="1193"/>
    <cellStyle name="_우주센_우주센터투찰_송학하수품의(설계넣고)_적상무주IC도로(1공구)" xfId="1194"/>
    <cellStyle name="_우주센_우주센터투찰_송학하수품의(설계넣고)_적상무주IC도로(1공구)_구기동(제출)(95.0)(031121)" xfId="1195"/>
    <cellStyle name="_우주센_우주센터투찰_송학하수품의(설계넣고)_적상무주IC도로(1공구)_구기동레포츠센타제출" xfId="1196"/>
    <cellStyle name="_우주센_우주센터투찰_송학하수품의(설계넣고)_적상무주IC도로(1공구)_용답동오피스텔가실행" xfId="1197"/>
    <cellStyle name="_우주센_우주센터투찰_용답동오피스텔가실행" xfId="1198"/>
    <cellStyle name="_우주센_우주센터투찰_적상무주IC도로(1공구)" xfId="1199"/>
    <cellStyle name="_우주센_우주센터투찰_적상무주IC도로(1공구)_구기동(제출)(95.0)(031121)" xfId="1200"/>
    <cellStyle name="_우주센_우주센터투찰_적상무주IC도로(1공구)_구기동레포츠센타제출" xfId="1201"/>
    <cellStyle name="_우주센_우주센터투찰_적상무주IC도로(1공구)_용답동오피스텔가실행" xfId="1202"/>
    <cellStyle name="_우주센_적상무주IC도로(1공구)" xfId="1203"/>
    <cellStyle name="_우주센_적상무주IC도로(1공구)_구기동(제출)(95.0)(031121)" xfId="1204"/>
    <cellStyle name="_우주센_적상무주IC도로(1공구)_구기동레포츠센타제출" xfId="1205"/>
    <cellStyle name="_우주센_적상무주IC도로(1공구)_용답동오피스텔가실행" xfId="1206"/>
    <cellStyle name="_운영비산정모델_전북대_Ver4.0" xfId="4253"/>
    <cellStyle name="_운전자본 가정I" xfId="6568"/>
    <cellStyle name="_울산신항실시협약재무무델" xfId="6569"/>
    <cellStyle name="_울산신항실시협약재무무델_BNP 2-3 FM_v4_0424_2" xfId="6570"/>
    <cellStyle name="_울산신항실시협약재무무델_BNP 2-3 FM_v4_0424_2_BNP 2-3 pubicFM_0430_7" xfId="6571"/>
    <cellStyle name="_울산신항실시협약재무무델_BNP 2-3 FM_v4_0424_2_BNP 2-3 pubicFM_0430_7_BNP 2-3_public FM_050530_v1" xfId="6572"/>
    <cellStyle name="_울산신항실시협약재무무델_BNP 2-3 FM_v4_0424_2_BNP 2-3 pubicFM_0430_7_BNP 2-3_재무모델-협상결과반영-051222" xfId="6573"/>
    <cellStyle name="_울산신항실시협약재무무델_BNP 2-3 FM_v4_0424_2_BNP 2-3 pubicFM_0430_7_BNP 2-3_재무모델-협상결과반영-051222-보완" xfId="6574"/>
    <cellStyle name="_울산신항실시협약재무무델_BNP 2-3 FM_v4_0424_2_BNP 2-3 pubicFM_0430_7_BNP 2-3_재무모델-협상결과반영-060124" xfId="6575"/>
    <cellStyle name="_울산신항실시협약재무무델_BNP 2-3 FM_v4_0424_2_BNP 2-3 pubicFM_0430_7_부산신항투자심사050525" xfId="6576"/>
    <cellStyle name="_울산신항실시협약재무무델_BNP 2-3 FM_v4_0424_2_BNP 2-3 public FM_280505_v2" xfId="6577"/>
    <cellStyle name="_울산신항실시협약재무무델_BNP 2-3 FM_v4_0424_2_BNP 2-3 public FM_280505_v2_BNP 2-3_public FM_050530_v1" xfId="6578"/>
    <cellStyle name="_울산신항실시협약재무무델_BNP 2-3 FM_v4_0424_2_BNP 2-3 public FM_280505_v2_BNP 2-3_재무모델-협상결과반영-051222" xfId="6579"/>
    <cellStyle name="_울산신항실시협약재무무델_BNP 2-3 FM_v4_0424_2_BNP 2-3 public FM_280505_v2_BNP 2-3_재무모델-협상결과반영-051222-보완" xfId="6580"/>
    <cellStyle name="_울산신항실시협약재무무델_BNP 2-3 FM_v4_0424_2_BNP 2-3 public FM_280505_v2_BNP 2-3_재무모델-협상결과반영-060124" xfId="6581"/>
    <cellStyle name="_울산신항실시협약재무무델_BNP 2-3 FM_v4_0424_2_BNP 2-3_public FM_290505_v3_1" xfId="6582"/>
    <cellStyle name="_울산신항실시협약재무무델_BNP 2-3 FM_v4_0424_2_BNP 2-3_public FM_290505_v3_1_BNP 2-3_재무모델-협상결과반영-051222" xfId="6583"/>
    <cellStyle name="_울산신항실시협약재무무델_BNP 2-3 FM_v4_0424_2_BNP 2-3_public FM_290505_v3_1_BNP 2-3_재무모델-협상결과반영-051222-보완" xfId="6584"/>
    <cellStyle name="_울산신항실시협약재무무델_BNP 2-3 FM_v4_0424_2_BNP 2-3_public FM_290505_v3_1_BNP 2-3_재무모델-협상결과반영-060124" xfId="6585"/>
    <cellStyle name="_울산신항실시협약재무무델_BNP 2-3_public FM_050530_v1" xfId="6586"/>
    <cellStyle name="_울산신항실시협약재무무델_BNP 2-3_재무모델-협상결과반영-051222" xfId="6587"/>
    <cellStyle name="_울산신항실시협약재무무델_BNP 2-3_재무모델-협상결과반영-051222-보완" xfId="6588"/>
    <cellStyle name="_울산신항실시협약재무무델_BNP 2-3_재무모델-협상결과반영-060124" xfId="6589"/>
    <cellStyle name="_울산신항실시협약재무무델_부산신항투자심사050525" xfId="6590"/>
    <cellStyle name="_원가계산" xfId="6591"/>
    <cellStyle name="_원가분석(카작마감-2)" xfId="6592"/>
    <cellStyle name="_원덕근덕" xfId="6593"/>
    <cellStyle name="_원덕근덕_2002년도BP양식수정(SOC팀수정부결안1101)" xfId="6594"/>
    <cellStyle name="_원덕근덕_2002년도BP양식수정(SOC팀수정부결안1101)_본부별 경영전략 보고 양식" xfId="6595"/>
    <cellStyle name="_원덕근덕_2002년도BP양식주정" xfId="6596"/>
    <cellStyle name="_원덕근덕_2002년도BP양식주정_2002년도BP양식주정" xfId="6597"/>
    <cellStyle name="_원덕근덕_2002년도BP양식주정_2002년도BP양식주정_2002년도BP양식수정(SOC팀수정부결안1101)" xfId="6598"/>
    <cellStyle name="_원덕근덕_2002년도BP양식주정_2002년도BP양식주정_2002년도BP양식수정(SOC팀수정부결안1101)_본부별 경영전략 보고 양식" xfId="6599"/>
    <cellStyle name="_원덕근덕_2002년도BP양식주정_2002년도BP양식주정_본부별 경영전략 보고 양식" xfId="6600"/>
    <cellStyle name="_원덕근덕_2002년도BP양식주정_본부별 경영전략 보고 양식" xfId="6601"/>
    <cellStyle name="_원덕근덕_본부별 경영전략 보고 양식" xfId="6602"/>
    <cellStyle name="_원덕근덕_사업진척점검회의(2001. 8)" xfId="6603"/>
    <cellStyle name="_원덕근덕_사업진척점검회의(2001. 8)_2002년도BP양식수정(SOC팀수정부결안1101)" xfId="6604"/>
    <cellStyle name="_원덕근덕_사업진척점검회의(2001. 8)_2002년도BP양식수정(SOC팀수정부결안1101)_본부별 경영전략 보고 양식" xfId="6605"/>
    <cellStyle name="_원덕근덕_사업진척점검회의(2001. 8)_2002년도BP양식주정" xfId="6606"/>
    <cellStyle name="_원덕근덕_사업진척점검회의(2001. 8)_2002년도BP양식주정_2002년도BP양식주정" xfId="6607"/>
    <cellStyle name="_원덕근덕_사업진척점검회의(2001. 8)_2002년도BP양식주정_2002년도BP양식주정_2002년도BP양식수정(SOC팀수정부결안1101)" xfId="6608"/>
    <cellStyle name="_원덕근덕_사업진척점검회의(2001. 8)_2002년도BP양식주정_2002년도BP양식주정_2002년도BP양식수정(SOC팀수정부결안1101)_본부별 경영전략 보고 양식" xfId="6609"/>
    <cellStyle name="_원덕근덕_사업진척점검회의(2001. 8)_2002년도BP양식주정_2002년도BP양식주정_본부별 경영전략 보고 양식" xfId="6610"/>
    <cellStyle name="_원덕근덕_사업진척점검회의(2001. 8)_2002년도BP양식주정_본부별 경영전략 보고 양식" xfId="6611"/>
    <cellStyle name="_원덕근덕_사업진척점검회의(2001. 8)_본부별 경영전략 보고 양식" xfId="6612"/>
    <cellStyle name="_원덕투찰" xfId="6613"/>
    <cellStyle name="_원덕투찰_2002년도BP양식수정(SOC팀수정부결안1101)" xfId="6614"/>
    <cellStyle name="_원덕투찰_2002년도BP양식수정(SOC팀수정부결안1101)_본부별 경영전략 보고 양식" xfId="6615"/>
    <cellStyle name="_원덕투찰_2002년도BP양식주정" xfId="6616"/>
    <cellStyle name="_원덕투찰_2002년도BP양식주정_2002년도BP양식주정" xfId="6617"/>
    <cellStyle name="_원덕투찰_2002년도BP양식주정_2002년도BP양식주정_2002년도BP양식수정(SOC팀수정부결안1101)" xfId="6618"/>
    <cellStyle name="_원덕투찰_2002년도BP양식주정_2002년도BP양식주정_2002년도BP양식수정(SOC팀수정부결안1101)_본부별 경영전략 보고 양식" xfId="6619"/>
    <cellStyle name="_원덕투찰_2002년도BP양식주정_2002년도BP양식주정_본부별 경영전략 보고 양식" xfId="6620"/>
    <cellStyle name="_원덕투찰_2002년도BP양식주정_본부별 경영전략 보고 양식" xfId="6621"/>
    <cellStyle name="_원덕투찰_본부별 경영전략 보고 양식" xfId="6622"/>
    <cellStyle name="_원덕투찰_사업진척점검회의(2001. 8)" xfId="6623"/>
    <cellStyle name="_원덕투찰_사업진척점검회의(2001. 8)_2002년도BP양식수정(SOC팀수정부결안1101)" xfId="6624"/>
    <cellStyle name="_원덕투찰_사업진척점검회의(2001. 8)_2002년도BP양식수정(SOC팀수정부결안1101)_본부별 경영전략 보고 양식" xfId="6625"/>
    <cellStyle name="_원덕투찰_사업진척점검회의(2001. 8)_2002년도BP양식주정" xfId="6626"/>
    <cellStyle name="_원덕투찰_사업진척점검회의(2001. 8)_2002년도BP양식주정_2002년도BP양식주정" xfId="6627"/>
    <cellStyle name="_원덕투찰_사업진척점검회의(2001. 8)_2002년도BP양식주정_2002년도BP양식주정_2002년도BP양식수정(SOC팀수정부결안1101)" xfId="6628"/>
    <cellStyle name="_원덕투찰_사업진척점검회의(2001. 8)_2002년도BP양식주정_2002년도BP양식주정_2002년도BP양식수정(SOC팀수정부결안1101)_본부별 경영전략 보고 양식" xfId="6629"/>
    <cellStyle name="_원덕투찰_사업진척점검회의(2001. 8)_2002년도BP양식주정_2002년도BP양식주정_본부별 경영전략 보고 양식" xfId="6630"/>
    <cellStyle name="_원덕투찰_사업진척점검회의(2001. 8)_2002년도BP양식주정_본부별 경영전략 보고 양식" xfId="6631"/>
    <cellStyle name="_원덕투찰_사업진척점검회의(2001. 8)_본부별 경영전략 보고 양식" xfId="6632"/>
    <cellStyle name="_유경욱SW_미수수익0203" xfId="6633"/>
    <cellStyle name="_유경욱SW_미수수익0212" xfId="6634"/>
    <cellStyle name="_유경욱SW_미수수익0301" xfId="6635"/>
    <cellStyle name="_유경욱SW_미수수익0303" xfId="6636"/>
    <cellStyle name="_유경욱SW_미수수익0304" xfId="6637"/>
    <cellStyle name="_유경욱SW_미수수익0306" xfId="6638"/>
    <cellStyle name="_유경욱SW_미수수익0307" xfId="6639"/>
    <cellStyle name="_유경욱SW_미수수익계상분2003" xfId="6640"/>
    <cellStyle name="_유니와이드_보안솔루션" xfId="4254"/>
    <cellStyle name="_유아 - 수정철골내역(실행)대림" xfId="6641"/>
    <cellStyle name="_유지보수비" xfId="4255"/>
    <cellStyle name="_유지보수비(간주초)수정" xfId="4256"/>
    <cellStyle name="_유지보수비(동방중)" xfId="4257"/>
    <cellStyle name="_유지보수비(동방중)수정" xfId="4258"/>
    <cellStyle name="_유지보수비(은봉고)수정" xfId="4259"/>
    <cellStyle name="_유지보수비(주안동초)" xfId="4260"/>
    <cellStyle name="_유지보수비(주안동초)수정" xfId="4261"/>
    <cellStyle name="_유지보수비(학익서초)" xfId="4262"/>
    <cellStyle name="_유지보수비(학인서초)" xfId="4263"/>
    <cellStyle name="_유지보수비PFI(간주초)수정" xfId="4264"/>
    <cellStyle name="_유지보수비PFI(동방중)수정" xfId="4265"/>
    <cellStyle name="_유지보수비PFI(은봉고)수정" xfId="4266"/>
    <cellStyle name="_유지보수비PSC(동방중)수정" xfId="4267"/>
    <cellStyle name="_유첨3(서식)" xfId="6642"/>
    <cellStyle name="_유첨3(서식)_1" xfId="6643"/>
    <cellStyle name="_율촌복합철골견적-입찰" xfId="6644"/>
    <cellStyle name="_은봉고" xfId="4268"/>
    <cellStyle name="_은평공원테니스장정비공사" xfId="6645"/>
    <cellStyle name="_의왕 왕송저수지 조성사업 환경재해영향평가용역" xfId="4269"/>
    <cellStyle name="_이양능주(2공구)bid전기" xfId="2208"/>
    <cellStyle name="_이양능주(2공구)bid전기_삽교천개수공사(03.30)" xfId="2209"/>
    <cellStyle name="_이양능주(2공구)bid전기_삽교천개수공사(03.30)_구일초(06.17)-부대" xfId="2210"/>
    <cellStyle name="_이양능주(2공구)bid전기_삽교천개수공사(03.30)_남성지구(05.26)" xfId="2211"/>
    <cellStyle name="_이양능주(2공구)bid전기_삽교천개수공사(03.30)_동산초(06.1)" xfId="2212"/>
    <cellStyle name="_이양능주(2공구)bid전기_삽교천개수공사(03.30)_삽교천개수공사(03.30)" xfId="2213"/>
    <cellStyle name="_이양능주(2공구)bid전기_삽교천개수공사(03.30)_안산남부경찰서(06.16)-부대" xfId="2214"/>
    <cellStyle name="_이양능주(2공구)bid전기_삽교천개수공사(03.30)_제주제성교(05.27)" xfId="2215"/>
    <cellStyle name="_이양능주(2공구)bid전기_삽교천개수공사(03.30)_행목지구하천환경(05.25)" xfId="2216"/>
    <cellStyle name="_이자내역(고양삼송 080124)" xfId="6646"/>
    <cellStyle name="_이자비용" xfId="6647"/>
    <cellStyle name="_인사팀" xfId="6648"/>
    <cellStyle name="_인사팀12월cc(수정)" xfId="6649"/>
    <cellStyle name="_인센티브" xfId="6650"/>
    <cellStyle name="_인원계획표 " xfId="1207"/>
    <cellStyle name="_인원계획표 _'04용지,대여금계획(1031)" xfId="6651"/>
    <cellStyle name="_인원계획표 _2001입찰분석" xfId="6652"/>
    <cellStyle name="_인원계획표 _2001입찰분석_2002년도BP양식수정(SOC팀수정부결안1101)" xfId="6653"/>
    <cellStyle name="_인원계획표 _2001입찰분석_2002년도BP양식수정(SOC팀수정부결안1101)_본부별 경영전략 보고 양식" xfId="6654"/>
    <cellStyle name="_인원계획표 _2001입찰분석_2002년도BP양식주정" xfId="6655"/>
    <cellStyle name="_인원계획표 _2001입찰분석_2002년도BP양식주정_2002년도BP양식주정" xfId="6656"/>
    <cellStyle name="_인원계획표 _2001입찰분석_2002년도BP양식주정_2002년도BP양식주정_2002년도BP양식수정(SOC팀수정부결안1101)" xfId="6657"/>
    <cellStyle name="_인원계획표 _2001입찰분석_2002년도BP양식주정_2002년도BP양식주정_2002년도BP양식수정(SOC팀수정부결안1101)_본부별 경영전략 보고 양식" xfId="6658"/>
    <cellStyle name="_인원계획표 _2001입찰분석_2002년도BP양식주정_2002년도BP양식주정_본부별 경영전략 보고 양식" xfId="6659"/>
    <cellStyle name="_인원계획표 _2001입찰분석_2002년도BP양식주정_본부별 경영전략 보고 양식" xfId="6660"/>
    <cellStyle name="_인원계획표 _2001입찰분석_본부별 경영전략 보고 양식" xfId="6661"/>
    <cellStyle name="_인원계획표 _2001입찰분석_사업진척점검회의(2001. 8)" xfId="6662"/>
    <cellStyle name="_인원계획표 _2001입찰분석_사업진척점검회의(2001. 8)_2002년도BP양식수정(SOC팀수정부결안1101)" xfId="6663"/>
    <cellStyle name="_인원계획표 _2001입찰분석_사업진척점검회의(2001. 8)_2002년도BP양식수정(SOC팀수정부결안1101)_본부별 경영전략 보고 양식" xfId="6664"/>
    <cellStyle name="_인원계획표 _2001입찰분석_사업진척점검회의(2001. 8)_2002년도BP양식주정" xfId="6665"/>
    <cellStyle name="_인원계획표 _2001입찰분석_사업진척점검회의(2001. 8)_2002년도BP양식주정_2002년도BP양식주정" xfId="6666"/>
    <cellStyle name="_인원계획표 _2001입찰분석_사업진척점검회의(2001. 8)_2002년도BP양식주정_2002년도BP양식주정_2002년도BP양식수정(SOC팀수정부결안1101)" xfId="6667"/>
    <cellStyle name="_인원계획표 _2001입찰분석_사업진척점검회의(2001. 8)_2002년도BP양식주정_2002년도BP양식주정_2002년도BP양식수정(SOC팀수정부결안1101)_본부별 경영전략 보고 양식" xfId="6668"/>
    <cellStyle name="_인원계획표 _2001입찰분석_사업진척점검회의(2001. 8)_2002년도BP양식주정_2002년도BP양식주정_본부별 경영전략 보고 양식" xfId="6669"/>
    <cellStyle name="_인원계획표 _2001입찰분석_사업진척점검회의(2001. 8)_2002년도BP양식주정_본부별 경영전략 보고 양식" xfId="6670"/>
    <cellStyle name="_인원계획표 _2001입찰분석_사업진척점검회의(2001. 8)_본부별 경영전략 보고 양식" xfId="6671"/>
    <cellStyle name="_인원계획표 _2002년도BP양식수정(SOC팀수정부결안1101)" xfId="6672"/>
    <cellStyle name="_인원계획표 _2002년도BP양식수정(SOC팀수정부결안1101)_본부별 경영전략 보고 양식" xfId="6673"/>
    <cellStyle name="_인원계획표 _2002년도BP양식주정" xfId="6674"/>
    <cellStyle name="_인원계획표 _2002년도BP양식주정_2002년도BP양식주정" xfId="6675"/>
    <cellStyle name="_인원계획표 _2002년도BP양식주정_2002년도BP양식주정_2002년도BP양식수정(SOC팀수정부결안1101)" xfId="6676"/>
    <cellStyle name="_인원계획표 _2002년도BP양식주정_2002년도BP양식주정_2002년도BP양식수정(SOC팀수정부결안1101)_본부별 경영전략 보고 양식" xfId="6677"/>
    <cellStyle name="_인원계획표 _2002년도BP양식주정_2002년도BP양식주정_본부별 경영전략 보고 양식" xfId="6678"/>
    <cellStyle name="_인원계획표 _2002년도BP양식주정_본부별 경영전략 보고 양식" xfId="6679"/>
    <cellStyle name="_인원계획표 _2002년사업실적(추정)2003사업계획양식" xfId="6680"/>
    <cellStyle name="_인원계획표 _2002년사업실적(추정)2003사업계획양식_'04용지,대여금계획(1031)" xfId="6681"/>
    <cellStyle name="_인원계획표 _2002년사업실적(추정)2003사업계획양식_2004 수금계획(1031)" xfId="6682"/>
    <cellStyle name="_인원계획표 _2002년사업실적(추정)2003사업계획양식_2004 용지,대여금계획(1113)" xfId="6683"/>
    <cellStyle name="_인원계획표 _2002년사업실적(추정)2003사업계획양식_2004년 BDT4사업계획" xfId="6684"/>
    <cellStyle name="_인원계획표 _2002년사업실적(추정)2003사업계획양식_2004년 사업계획(사업개발5)" xfId="6685"/>
    <cellStyle name="_인원계획표 _2002년사업실적(추정)2003사업계획양식_2004년 사업계획(재개발2팀)" xfId="6686"/>
    <cellStyle name="_인원계획표 _2002년사업실적(추정)2003사업계획양식_2004년 사업계획(재개발2팀-대여금)" xfId="6687"/>
    <cellStyle name="_인원계획표 _2002년사업실적(추정)2003사업계획양식_2004년 영업본부 사업계획(1031)" xfId="6688"/>
    <cellStyle name="_인원계획표 _2002년사업실적(추정)2003사업계획양식_2004년 용지,대여금계획" xfId="6689"/>
    <cellStyle name="_인원계획표 _2002년사업실적(추정)2003사업계획양식_2004년 재개발1팀 사업계획(1031)" xfId="6690"/>
    <cellStyle name="_인원계획표 _2002년사업실적(추정)2003사업계획양식_2004년 재개발1팀 사업계획(본부장결재案)1031" xfId="6691"/>
    <cellStyle name="_인원계획표 _2002년사업실적(추정)2003사업계획양식_2004년 재개발1팀(031124)" xfId="6692"/>
    <cellStyle name="_인원계획표 _2002년사업실적(추정)2003사업계획양식_2004년대여금계획(案)진짜최종" xfId="6693"/>
    <cellStyle name="_인원계획표 _2002년사업실적(추정)2003사업계획양식_사업계획수립양식총괄" xfId="6694"/>
    <cellStyle name="_인원계획표 _2002년사업실적(추정)2003사업계획양식_재개발팀 대여금 자료(수정분)입니다." xfId="6695"/>
    <cellStyle name="_인원계획표 _2002년사업실적(추정)2003사업계획양식_재개발팀 대여금 자료(수정분)입니다.(2002년,2003년1~9월포함)(최종자료)" xfId="6696"/>
    <cellStyle name="_인원계획표 _2002년사업실적(추정)2003사업계획양식_토목본부사업계획" xfId="6697"/>
    <cellStyle name="_인원계획표 _2002년사업실적(추정)2003사업계획양식_토목본부사업계획_'04용지,대여금계획(1031)" xfId="6698"/>
    <cellStyle name="_인원계획표 _2002년사업실적(추정)2003사업계획양식_토목본부사업계획_2004 수금계획(1031)" xfId="6699"/>
    <cellStyle name="_인원계획표 _2002년사업실적(추정)2003사업계획양식_토목본부사업계획_2004 용지,대여금계획(1113)" xfId="6700"/>
    <cellStyle name="_인원계획표 _2002년사업실적(추정)2003사업계획양식_토목본부사업계획_2004년 BDT4사업계획" xfId="6701"/>
    <cellStyle name="_인원계획표 _2002년사업실적(추정)2003사업계획양식_토목본부사업계획_2004년 사업계획(사업개발5)" xfId="6702"/>
    <cellStyle name="_인원계획표 _2002년사업실적(추정)2003사업계획양식_토목본부사업계획_2004년 사업계획(재개발2팀)" xfId="6703"/>
    <cellStyle name="_인원계획표 _2002년사업실적(추정)2003사업계획양식_토목본부사업계획_2004년 사업계획(재개발2팀-대여금)" xfId="6704"/>
    <cellStyle name="_인원계획표 _2002년사업실적(추정)2003사업계획양식_토목본부사업계획_2004년 영업본부 사업계획(1031)" xfId="6705"/>
    <cellStyle name="_인원계획표 _2002년사업실적(추정)2003사업계획양식_토목본부사업계획_2004년 용지,대여금계획" xfId="6706"/>
    <cellStyle name="_인원계획표 _2002년사업실적(추정)2003사업계획양식_토목본부사업계획_2004년 재개발1팀 사업계획(1031)" xfId="6707"/>
    <cellStyle name="_인원계획표 _2002년사업실적(추정)2003사업계획양식_토목본부사업계획_2004년 재개발1팀 사업계획(본부장결재案)1031" xfId="6708"/>
    <cellStyle name="_인원계획표 _2002년사업실적(추정)2003사업계획양식_토목본부사업계획_2004년 재개발1팀(031124)" xfId="6709"/>
    <cellStyle name="_인원계획표 _2002년사업실적(추정)2003사업계획양식_토목본부사업계획_2004년대여금계획(案)진짜최종" xfId="6710"/>
    <cellStyle name="_인원계획표 _2002년사업실적(추정)2003사업계획양식_토목본부사업계획_사업계획수립양식총괄" xfId="6711"/>
    <cellStyle name="_인원계획표 _2002년사업실적(추정)2003사업계획양식_토목본부사업계획_재개발팀 대여금 자료(수정분)입니다." xfId="6712"/>
    <cellStyle name="_인원계획표 _2002년사업실적(추정)2003사업계획양식_토목본부사업계획_재개발팀 대여금 자료(수정분)입니다.(2002년,2003년1~9월포함)(최종자료)" xfId="6713"/>
    <cellStyle name="_인원계획표 _2002년사업실적(추정)2003사업계획양식_토목본부사업계획_토목사업본부사업계획2" xfId="6714"/>
    <cellStyle name="_인원계획표 _2002년사업실적(추정)2003사업계획양식_토목본부사업계획_토목사업본부사업계획2_'04용지,대여금계획(1031)" xfId="6715"/>
    <cellStyle name="_인원계획표 _2002년사업실적(추정)2003사업계획양식_토목본부사업계획_토목사업본부사업계획2_2004 수금계획(1031)" xfId="6716"/>
    <cellStyle name="_인원계획표 _2002년사업실적(추정)2003사업계획양식_토목본부사업계획_토목사업본부사업계획2_2004 용지,대여금계획(1113)" xfId="6717"/>
    <cellStyle name="_인원계획표 _2002년사업실적(추정)2003사업계획양식_토목본부사업계획_토목사업본부사업계획2_2004년 BDT4사업계획" xfId="6718"/>
    <cellStyle name="_인원계획표 _2002년사업실적(추정)2003사업계획양식_토목본부사업계획_토목사업본부사업계획2_2004년 사업계획(사업개발5)" xfId="6719"/>
    <cellStyle name="_인원계획표 _2002년사업실적(추정)2003사업계획양식_토목본부사업계획_토목사업본부사업계획2_2004년 사업계획(재개발2팀)" xfId="6720"/>
    <cellStyle name="_인원계획표 _2002년사업실적(추정)2003사업계획양식_토목본부사업계획_토목사업본부사업계획2_2004년 사업계획(재개발2팀-대여금)" xfId="6721"/>
    <cellStyle name="_인원계획표 _2002년사업실적(추정)2003사업계획양식_토목본부사업계획_토목사업본부사업계획2_2004년 영업본부 사업계획(1031)" xfId="6722"/>
    <cellStyle name="_인원계획표 _2002년사업실적(추정)2003사업계획양식_토목본부사업계획_토목사업본부사업계획2_2004년 용지,대여금계획" xfId="6723"/>
    <cellStyle name="_인원계획표 _2002년사업실적(추정)2003사업계획양식_토목본부사업계획_토목사업본부사업계획2_2004년 재개발1팀 사업계획(1031)" xfId="6724"/>
    <cellStyle name="_인원계획표 _2002년사업실적(추정)2003사업계획양식_토목본부사업계획_토목사업본부사업계획2_2004년 재개발1팀 사업계획(본부장결재案)1031" xfId="6725"/>
    <cellStyle name="_인원계획표 _2002년사업실적(추정)2003사업계획양식_토목본부사업계획_토목사업본부사업계획2_2004년 재개발1팀(031124)" xfId="6726"/>
    <cellStyle name="_인원계획표 _2002년사업실적(추정)2003사업계획양식_토목본부사업계획_토목사업본부사업계획2_2004년대여금계획(案)진짜최종" xfId="6727"/>
    <cellStyle name="_인원계획표 _2002년사업실적(추정)2003사업계획양식_토목본부사업계획_토목사업본부사업계획2_사업계획수립양식총괄" xfId="6728"/>
    <cellStyle name="_인원계획표 _2002년사업실적(추정)2003사업계획양식_토목본부사업계획_토목사업본부사업계획2_재개발팀 대여금 자료(수정분)입니다." xfId="6729"/>
    <cellStyle name="_인원계획표 _2002년사업실적(추정)2003사업계획양식_토목본부사업계획_토목사업본부사업계획2_재개발팀 대여금 자료(수정분)입니다.(2002년,2003년1~9월포함)(최종자료)" xfId="6730"/>
    <cellStyle name="_인원계획표 _2002년사업실적(추정)2003사업계획양식_토목사업본부사업계획2" xfId="6731"/>
    <cellStyle name="_인원계획표 _2002년사업실적(추정)2003사업계획양식_토목사업본부사업계획2_'04용지,대여금계획(1031)" xfId="6732"/>
    <cellStyle name="_인원계획표 _2002년사업실적(추정)2003사업계획양식_토목사업본부사업계획2_2004 수금계획(1031)" xfId="6733"/>
    <cellStyle name="_인원계획표 _2002년사업실적(추정)2003사업계획양식_토목사업본부사업계획2_2004 용지,대여금계획(1113)" xfId="6734"/>
    <cellStyle name="_인원계획표 _2002년사업실적(추정)2003사업계획양식_토목사업본부사업계획2_2004년 BDT4사업계획" xfId="6735"/>
    <cellStyle name="_인원계획표 _2002년사업실적(추정)2003사업계획양식_토목사업본부사업계획2_2004년 사업계획(사업개발5)" xfId="6736"/>
    <cellStyle name="_인원계획표 _2002년사업실적(추정)2003사업계획양식_토목사업본부사업계획2_2004년 사업계획(재개발2팀)" xfId="6737"/>
    <cellStyle name="_인원계획표 _2002년사업실적(추정)2003사업계획양식_토목사업본부사업계획2_2004년 사업계획(재개발2팀-대여금)" xfId="6738"/>
    <cellStyle name="_인원계획표 _2002년사업실적(추정)2003사업계획양식_토목사업본부사업계획2_2004년 영업본부 사업계획(1031)" xfId="6739"/>
    <cellStyle name="_인원계획표 _2002년사업실적(추정)2003사업계획양식_토목사업본부사업계획2_2004년 용지,대여금계획" xfId="6740"/>
    <cellStyle name="_인원계획표 _2002년사업실적(추정)2003사업계획양식_토목사업본부사업계획2_2004년 재개발1팀 사업계획(1031)" xfId="6741"/>
    <cellStyle name="_인원계획표 _2002년사업실적(추정)2003사업계획양식_토목사업본부사업계획2_2004년 재개발1팀 사업계획(본부장결재案)1031" xfId="6742"/>
    <cellStyle name="_인원계획표 _2002년사업실적(추정)2003사업계획양식_토목사업본부사업계획2_2004년 재개발1팀(031124)" xfId="6743"/>
    <cellStyle name="_인원계획표 _2002년사업실적(추정)2003사업계획양식_토목사업본부사업계획2_2004년대여금계획(案)진짜최종" xfId="6744"/>
    <cellStyle name="_인원계획표 _2002년사업실적(추정)2003사업계획양식_토목사업본부사업계획2_사업계획수립양식총괄" xfId="6745"/>
    <cellStyle name="_인원계획표 _2002년사업실적(추정)2003사업계획양식_토목사업본부사업계획2_재개발팀 대여금 자료(수정분)입니다." xfId="6746"/>
    <cellStyle name="_인원계획표 _2002년사업실적(추정)2003사업계획양식_토목사업본부사업계획2_재개발팀 대여금 자료(수정분)입니다.(2002년,2003년1~9월포함)(최종자료)" xfId="6747"/>
    <cellStyle name="_인원계획표 _2002년사업실적(추정)2003사업계획양식_토목사업본부사업계획3" xfId="6748"/>
    <cellStyle name="_인원계획표 _2002년사업실적(추정)2003사업계획양식_토목사업본부사업계획3_'04용지,대여금계획(1031)" xfId="6749"/>
    <cellStyle name="_인원계획표 _2002년사업실적(추정)2003사업계획양식_토목사업본부사업계획3_2004 수금계획(1031)" xfId="6750"/>
    <cellStyle name="_인원계획표 _2002년사업실적(추정)2003사업계획양식_토목사업본부사업계획3_2004 용지,대여금계획(1113)" xfId="6751"/>
    <cellStyle name="_인원계획표 _2002년사업실적(추정)2003사업계획양식_토목사업본부사업계획3_2004년 BDT4사업계획" xfId="6752"/>
    <cellStyle name="_인원계획표 _2002년사업실적(추정)2003사업계획양식_토목사업본부사업계획3_2004년 사업계획(사업개발5)" xfId="6753"/>
    <cellStyle name="_인원계획표 _2002년사업실적(추정)2003사업계획양식_토목사업본부사업계획3_2004년 사업계획(재개발2팀)" xfId="6754"/>
    <cellStyle name="_인원계획표 _2002년사업실적(추정)2003사업계획양식_토목사업본부사업계획3_2004년 사업계획(재개발2팀-대여금)" xfId="6755"/>
    <cellStyle name="_인원계획표 _2002년사업실적(추정)2003사업계획양식_토목사업본부사업계획3_2004년 영업본부 사업계획(1031)" xfId="6756"/>
    <cellStyle name="_인원계획표 _2002년사업실적(추정)2003사업계획양식_토목사업본부사업계획3_2004년 용지,대여금계획" xfId="6757"/>
    <cellStyle name="_인원계획표 _2002년사업실적(추정)2003사업계획양식_토목사업본부사업계획3_2004년 재개발1팀 사업계획(1031)" xfId="6758"/>
    <cellStyle name="_인원계획표 _2002년사업실적(추정)2003사업계획양식_토목사업본부사업계획3_2004년 재개발1팀 사업계획(본부장결재案)1031" xfId="6759"/>
    <cellStyle name="_인원계획표 _2002년사업실적(추정)2003사업계획양식_토목사업본부사업계획3_2004년 재개발1팀(031124)" xfId="6760"/>
    <cellStyle name="_인원계획표 _2002년사업실적(추정)2003사업계획양식_토목사업본부사업계획3_2004년대여금계획(案)진짜최종" xfId="6761"/>
    <cellStyle name="_인원계획표 _2002년사업실적(추정)2003사업계획양식_토목사업본부사업계획3_사업계획수립양식총괄" xfId="6762"/>
    <cellStyle name="_인원계획표 _2002년사업실적(추정)2003사업계획양식_토목사업본부사업계획3_재개발팀 대여금 자료(수정분)입니다." xfId="6763"/>
    <cellStyle name="_인원계획표 _2002년사업실적(추정)2003사업계획양식_토목사업본부사업계획3_재개발팀 대여금 자료(수정분)입니다.(2002년,2003년1~9월포함)(최종자료)" xfId="6764"/>
    <cellStyle name="_인원계획표 _2002년사업실적(추정)2003사업계획양식_토목사업본부사업계획4-41" xfId="6765"/>
    <cellStyle name="_인원계획표 _2002년사업실적(추정)2003사업계획양식_토목사업본부사업계획4-41_'04용지,대여금계획(1031)" xfId="6766"/>
    <cellStyle name="_인원계획표 _2002년사업실적(추정)2003사업계획양식_토목사업본부사업계획4-41_2004 수금계획(1031)" xfId="6767"/>
    <cellStyle name="_인원계획표 _2002년사업실적(추정)2003사업계획양식_토목사업본부사업계획4-41_2004 용지,대여금계획(1113)" xfId="6768"/>
    <cellStyle name="_인원계획표 _2002년사업실적(추정)2003사업계획양식_토목사업본부사업계획4-41_2004년 BDT4사업계획" xfId="6769"/>
    <cellStyle name="_인원계획표 _2002년사업실적(추정)2003사업계획양식_토목사업본부사업계획4-41_2004년 사업계획(사업개발5)" xfId="6770"/>
    <cellStyle name="_인원계획표 _2002년사업실적(추정)2003사업계획양식_토목사업본부사업계획4-41_2004년 사업계획(재개발2팀)" xfId="6771"/>
    <cellStyle name="_인원계획표 _2002년사업실적(추정)2003사업계획양식_토목사업본부사업계획4-41_2004년 사업계획(재개발2팀-대여금)" xfId="6772"/>
    <cellStyle name="_인원계획표 _2002년사업실적(추정)2003사업계획양식_토목사업본부사업계획4-41_2004년 영업본부 사업계획(1031)" xfId="6773"/>
    <cellStyle name="_인원계획표 _2002년사업실적(추정)2003사업계획양식_토목사업본부사업계획4-41_2004년 용지,대여금계획" xfId="6774"/>
    <cellStyle name="_인원계획표 _2002년사업실적(추정)2003사업계획양식_토목사업본부사업계획4-41_2004년 재개발1팀 사업계획(1031)" xfId="6775"/>
    <cellStyle name="_인원계획표 _2002년사업실적(추정)2003사업계획양식_토목사업본부사업계획4-41_2004년 재개발1팀 사업계획(본부장결재案)1031" xfId="6776"/>
    <cellStyle name="_인원계획표 _2002년사업실적(추정)2003사업계획양식_토목사업본부사업계획4-41_2004년 재개발1팀(031124)" xfId="6777"/>
    <cellStyle name="_인원계획표 _2002년사업실적(추정)2003사업계획양식_토목사업본부사업계획4-41_2004년대여금계획(案)진짜최종" xfId="6778"/>
    <cellStyle name="_인원계획표 _2002년사업실적(추정)2003사업계획양식_토목사업본부사업계획4-41_사업계획수립양식총괄" xfId="6779"/>
    <cellStyle name="_인원계획표 _2002년사업실적(추정)2003사업계획양식_토목사업본부사업계획4-41_재개발팀 대여금 자료(수정분)입니다." xfId="6780"/>
    <cellStyle name="_인원계획표 _2002년사업실적(추정)2003사업계획양식_토목사업본부사업계획4-41_재개발팀 대여금 자료(수정분)입니다.(2002년,2003년1~9월포함)(최종자료)" xfId="6781"/>
    <cellStyle name="_인원계획표 _2002년사업실적(추정)2003사업계획양식-최초" xfId="6782"/>
    <cellStyle name="_인원계획표 _2002년사업실적(추정)2003사업계획양식-최초_'04용지,대여금계획(1031)" xfId="6783"/>
    <cellStyle name="_인원계획표 _2002년사업실적(추정)2003사업계획양식-최초_2004 수금계획(1031)" xfId="6784"/>
    <cellStyle name="_인원계획표 _2002년사업실적(추정)2003사업계획양식-최초_2004 용지,대여금계획(1113)" xfId="6785"/>
    <cellStyle name="_인원계획표 _2002년사업실적(추정)2003사업계획양식-최초_2004년 BDT4사업계획" xfId="6786"/>
    <cellStyle name="_인원계획표 _2002년사업실적(추정)2003사업계획양식-최초_2004년 사업계획(사업개발5)" xfId="6787"/>
    <cellStyle name="_인원계획표 _2002년사업실적(추정)2003사업계획양식-최초_2004년 사업계획(재개발2팀)" xfId="6788"/>
    <cellStyle name="_인원계획표 _2002년사업실적(추정)2003사업계획양식-최초_2004년 사업계획(재개발2팀-대여금)" xfId="6789"/>
    <cellStyle name="_인원계획표 _2002년사업실적(추정)2003사업계획양식-최초_2004년 영업본부 사업계획(1031)" xfId="6790"/>
    <cellStyle name="_인원계획표 _2002년사업실적(추정)2003사업계획양식-최초_2004년 용지,대여금계획" xfId="6791"/>
    <cellStyle name="_인원계획표 _2002년사업실적(추정)2003사업계획양식-최초_2004년 재개발1팀 사업계획(1031)" xfId="6792"/>
    <cellStyle name="_인원계획표 _2002년사업실적(추정)2003사업계획양식-최초_2004년 재개발1팀 사업계획(본부장결재案)1031" xfId="6793"/>
    <cellStyle name="_인원계획표 _2002년사업실적(추정)2003사업계획양식-최초_2004년 재개발1팀(031124)" xfId="6794"/>
    <cellStyle name="_인원계획표 _2002년사업실적(추정)2003사업계획양식-최초_2004년대여금계획(案)진짜최종" xfId="6795"/>
    <cellStyle name="_인원계획표 _2002년사업실적(추정)2003사업계획양식-최초_사업계획수립양식총괄" xfId="6796"/>
    <cellStyle name="_인원계획표 _2002년사업실적(추정)2003사업계획양식-최초_재개발팀 대여금 자료(수정분)입니다." xfId="6797"/>
    <cellStyle name="_인원계획표 _2002년사업실적(추정)2003사업계획양식-최초_재개발팀 대여금 자료(수정분)입니다.(2002년,2003년1~9월포함)(최종자료)" xfId="6798"/>
    <cellStyle name="_인원계획표 _2002년사업실적(추정)2003사업계획양식-최초_토목본부사업계획" xfId="6799"/>
    <cellStyle name="_인원계획표 _2002년사업실적(추정)2003사업계획양식-최초_토목본부사업계획_'04용지,대여금계획(1031)" xfId="6800"/>
    <cellStyle name="_인원계획표 _2002년사업실적(추정)2003사업계획양식-최초_토목본부사업계획_2004 수금계획(1031)" xfId="6801"/>
    <cellStyle name="_인원계획표 _2002년사업실적(추정)2003사업계획양식-최초_토목본부사업계획_2004 용지,대여금계획(1113)" xfId="6802"/>
    <cellStyle name="_인원계획표 _2002년사업실적(추정)2003사업계획양식-최초_토목본부사업계획_2004년 BDT4사업계획" xfId="6803"/>
    <cellStyle name="_인원계획표 _2002년사업실적(추정)2003사업계획양식-최초_토목본부사업계획_2004년 사업계획(사업개발5)" xfId="6804"/>
    <cellStyle name="_인원계획표 _2002년사업실적(추정)2003사업계획양식-최초_토목본부사업계획_2004년 사업계획(재개발2팀)" xfId="6805"/>
    <cellStyle name="_인원계획표 _2002년사업실적(추정)2003사업계획양식-최초_토목본부사업계획_2004년 사업계획(재개발2팀-대여금)" xfId="6806"/>
    <cellStyle name="_인원계획표 _2002년사업실적(추정)2003사업계획양식-최초_토목본부사업계획_2004년 영업본부 사업계획(1031)" xfId="6807"/>
    <cellStyle name="_인원계획표 _2002년사업실적(추정)2003사업계획양식-최초_토목본부사업계획_2004년 용지,대여금계획" xfId="6808"/>
    <cellStyle name="_인원계획표 _2002년사업실적(추정)2003사업계획양식-최초_토목본부사업계획_2004년 재개발1팀 사업계획(1031)" xfId="6809"/>
    <cellStyle name="_인원계획표 _2002년사업실적(추정)2003사업계획양식-최초_토목본부사업계획_2004년 재개발1팀 사업계획(본부장결재案)1031" xfId="6810"/>
    <cellStyle name="_인원계획표 _2002년사업실적(추정)2003사업계획양식-최초_토목본부사업계획_2004년 재개발1팀(031124)" xfId="6811"/>
    <cellStyle name="_인원계획표 _2002년사업실적(추정)2003사업계획양식-최초_토목본부사업계획_2004년대여금계획(案)진짜최종" xfId="6812"/>
    <cellStyle name="_인원계획표 _2002년사업실적(추정)2003사업계획양식-최초_토목본부사업계획_사업계획수립양식총괄" xfId="6813"/>
    <cellStyle name="_인원계획표 _2002년사업실적(추정)2003사업계획양식-최초_토목본부사업계획_재개발팀 대여금 자료(수정분)입니다." xfId="6814"/>
    <cellStyle name="_인원계획표 _2002년사업실적(추정)2003사업계획양식-최초_토목본부사업계획_재개발팀 대여금 자료(수정분)입니다.(2002년,2003년1~9월포함)(최종자료)" xfId="6815"/>
    <cellStyle name="_인원계획표 _2002년사업실적(추정)2003사업계획양식-최초_토목본부사업계획_토목사업본부사업계획2" xfId="6816"/>
    <cellStyle name="_인원계획표 _2002년사업실적(추정)2003사업계획양식-최초_토목본부사업계획_토목사업본부사업계획2_'04용지,대여금계획(1031)" xfId="6817"/>
    <cellStyle name="_인원계획표 _2002년사업실적(추정)2003사업계획양식-최초_토목본부사업계획_토목사업본부사업계획2_2004 수금계획(1031)" xfId="6818"/>
    <cellStyle name="_인원계획표 _2002년사업실적(추정)2003사업계획양식-최초_토목본부사업계획_토목사업본부사업계획2_2004 용지,대여금계획(1113)" xfId="6819"/>
    <cellStyle name="_인원계획표 _2002년사업실적(추정)2003사업계획양식-최초_토목본부사업계획_토목사업본부사업계획2_2004년 BDT4사업계획" xfId="6820"/>
    <cellStyle name="_인원계획표 _2002년사업실적(추정)2003사업계획양식-최초_토목본부사업계획_토목사업본부사업계획2_2004년 사업계획(사업개발5)" xfId="6821"/>
    <cellStyle name="_인원계획표 _2002년사업실적(추정)2003사업계획양식-최초_토목본부사업계획_토목사업본부사업계획2_2004년 사업계획(재개발2팀)" xfId="6822"/>
    <cellStyle name="_인원계획표 _2002년사업실적(추정)2003사업계획양식-최초_토목본부사업계획_토목사업본부사업계획2_2004년 사업계획(재개발2팀-대여금)" xfId="6823"/>
    <cellStyle name="_인원계획표 _2002년사업실적(추정)2003사업계획양식-최초_토목본부사업계획_토목사업본부사업계획2_2004년 영업본부 사업계획(1031)" xfId="6824"/>
    <cellStyle name="_인원계획표 _2002년사업실적(추정)2003사업계획양식-최초_토목본부사업계획_토목사업본부사업계획2_2004년 용지,대여금계획" xfId="6825"/>
    <cellStyle name="_인원계획표 _2002년사업실적(추정)2003사업계획양식-최초_토목본부사업계획_토목사업본부사업계획2_2004년 재개발1팀 사업계획(1031)" xfId="6826"/>
    <cellStyle name="_인원계획표 _2002년사업실적(추정)2003사업계획양식-최초_토목본부사업계획_토목사업본부사업계획2_2004년 재개발1팀 사업계획(본부장결재案)1031" xfId="6827"/>
    <cellStyle name="_인원계획표 _2002년사업실적(추정)2003사업계획양식-최초_토목본부사업계획_토목사업본부사업계획2_2004년 재개발1팀(031124)" xfId="6828"/>
    <cellStyle name="_인원계획표 _2002년사업실적(추정)2003사업계획양식-최초_토목본부사업계획_토목사업본부사업계획2_2004년대여금계획(案)진짜최종" xfId="6829"/>
    <cellStyle name="_인원계획표 _2002년사업실적(추정)2003사업계획양식-최초_토목본부사업계획_토목사업본부사업계획2_사업계획수립양식총괄" xfId="6830"/>
    <cellStyle name="_인원계획표 _2002년사업실적(추정)2003사업계획양식-최초_토목본부사업계획_토목사업본부사업계획2_재개발팀 대여금 자료(수정분)입니다." xfId="6831"/>
    <cellStyle name="_인원계획표 _2002년사업실적(추정)2003사업계획양식-최초_토목본부사업계획_토목사업본부사업계획2_재개발팀 대여금 자료(수정분)입니다.(2002년,2003년1~9월포함)(최종자료)" xfId="6832"/>
    <cellStyle name="_인원계획표 _2002년사업실적(추정)2003사업계획양식-최초_토목사업본부사업계획2" xfId="6833"/>
    <cellStyle name="_인원계획표 _2002년사업실적(추정)2003사업계획양식-최초_토목사업본부사업계획2_'04용지,대여금계획(1031)" xfId="6834"/>
    <cellStyle name="_인원계획표 _2002년사업실적(추정)2003사업계획양식-최초_토목사업본부사업계획2_2004 수금계획(1031)" xfId="6835"/>
    <cellStyle name="_인원계획표 _2002년사업실적(추정)2003사업계획양식-최초_토목사업본부사업계획2_2004 용지,대여금계획(1113)" xfId="6836"/>
    <cellStyle name="_인원계획표 _2002년사업실적(추정)2003사업계획양식-최초_토목사업본부사업계획2_2004년 BDT4사업계획" xfId="6837"/>
    <cellStyle name="_인원계획표 _2002년사업실적(추정)2003사업계획양식-최초_토목사업본부사업계획2_2004년 사업계획(사업개발5)" xfId="6838"/>
    <cellStyle name="_인원계획표 _2002년사업실적(추정)2003사업계획양식-최초_토목사업본부사업계획2_2004년 사업계획(재개발2팀)" xfId="6839"/>
    <cellStyle name="_인원계획표 _2002년사업실적(추정)2003사업계획양식-최초_토목사업본부사업계획2_2004년 사업계획(재개발2팀-대여금)" xfId="6840"/>
    <cellStyle name="_인원계획표 _2002년사업실적(추정)2003사업계획양식-최초_토목사업본부사업계획2_2004년 영업본부 사업계획(1031)" xfId="6841"/>
    <cellStyle name="_인원계획표 _2002년사업실적(추정)2003사업계획양식-최초_토목사업본부사업계획2_2004년 용지,대여금계획" xfId="6842"/>
    <cellStyle name="_인원계획표 _2002년사업실적(추정)2003사업계획양식-최초_토목사업본부사업계획2_2004년 재개발1팀 사업계획(1031)" xfId="6843"/>
    <cellStyle name="_인원계획표 _2002년사업실적(추정)2003사업계획양식-최초_토목사업본부사업계획2_2004년 재개발1팀 사업계획(본부장결재案)1031" xfId="6844"/>
    <cellStyle name="_인원계획표 _2002년사업실적(추정)2003사업계획양식-최초_토목사업본부사업계획2_2004년 재개발1팀(031124)" xfId="6845"/>
    <cellStyle name="_인원계획표 _2002년사업실적(추정)2003사업계획양식-최초_토목사업본부사업계획2_2004년대여금계획(案)진짜최종" xfId="6846"/>
    <cellStyle name="_인원계획표 _2002년사업실적(추정)2003사업계획양식-최초_토목사업본부사업계획2_사업계획수립양식총괄" xfId="6847"/>
    <cellStyle name="_인원계획표 _2002년사업실적(추정)2003사업계획양식-최초_토목사업본부사업계획2_재개발팀 대여금 자료(수정분)입니다." xfId="6848"/>
    <cellStyle name="_인원계획표 _2002년사업실적(추정)2003사업계획양식-최초_토목사업본부사업계획2_재개발팀 대여금 자료(수정분)입니다.(2002년,2003년1~9월포함)(최종자료)" xfId="6849"/>
    <cellStyle name="_인원계획표 _2002년사업실적(추정)2003사업계획양식-최초_토목사업본부사업계획3" xfId="6850"/>
    <cellStyle name="_인원계획표 _2002년사업실적(추정)2003사업계획양식-최초_토목사업본부사업계획3_'04용지,대여금계획(1031)" xfId="6851"/>
    <cellStyle name="_인원계획표 _2002년사업실적(추정)2003사업계획양식-최초_토목사업본부사업계획3_2004 수금계획(1031)" xfId="6852"/>
    <cellStyle name="_인원계획표 _2002년사업실적(추정)2003사업계획양식-최초_토목사업본부사업계획3_2004 용지,대여금계획(1113)" xfId="6853"/>
    <cellStyle name="_인원계획표 _2002년사업실적(추정)2003사업계획양식-최초_토목사업본부사업계획3_2004년 BDT4사업계획" xfId="6854"/>
    <cellStyle name="_인원계획표 _2002년사업실적(추정)2003사업계획양식-최초_토목사업본부사업계획3_2004년 사업계획(사업개발5)" xfId="6855"/>
    <cellStyle name="_인원계획표 _2002년사업실적(추정)2003사업계획양식-최초_토목사업본부사업계획3_2004년 사업계획(재개발2팀)" xfId="6856"/>
    <cellStyle name="_인원계획표 _2002년사업실적(추정)2003사업계획양식-최초_토목사업본부사업계획3_2004년 사업계획(재개발2팀-대여금)" xfId="6857"/>
    <cellStyle name="_인원계획표 _2002년사업실적(추정)2003사업계획양식-최초_토목사업본부사업계획3_2004년 영업본부 사업계획(1031)" xfId="6858"/>
    <cellStyle name="_인원계획표 _2002년사업실적(추정)2003사업계획양식-최초_토목사업본부사업계획3_2004년 용지,대여금계획" xfId="6859"/>
    <cellStyle name="_인원계획표 _2002년사업실적(추정)2003사업계획양식-최초_토목사업본부사업계획3_2004년 재개발1팀 사업계획(1031)" xfId="6860"/>
    <cellStyle name="_인원계획표 _2002년사업실적(추정)2003사업계획양식-최초_토목사업본부사업계획3_2004년 재개발1팀 사업계획(본부장결재案)1031" xfId="6861"/>
    <cellStyle name="_인원계획표 _2002년사업실적(추정)2003사업계획양식-최초_토목사업본부사업계획3_2004년 재개발1팀(031124)" xfId="6862"/>
    <cellStyle name="_인원계획표 _2002년사업실적(추정)2003사업계획양식-최초_토목사업본부사업계획3_2004년대여금계획(案)진짜최종" xfId="6863"/>
    <cellStyle name="_인원계획표 _2002년사업실적(추정)2003사업계획양식-최초_토목사업본부사업계획3_사업계획수립양식총괄" xfId="6864"/>
    <cellStyle name="_인원계획표 _2002년사업실적(추정)2003사업계획양식-최초_토목사업본부사업계획3_재개발팀 대여금 자료(수정분)입니다." xfId="6865"/>
    <cellStyle name="_인원계획표 _2002년사업실적(추정)2003사업계획양식-최초_토목사업본부사업계획3_재개발팀 대여금 자료(수정분)입니다.(2002년,2003년1~9월포함)(최종자료)" xfId="6866"/>
    <cellStyle name="_인원계획표 _2002년사업실적(추정)2003사업계획양식-최초_토목사업본부사업계획4-41" xfId="6867"/>
    <cellStyle name="_인원계획표 _2002년사업실적(추정)2003사업계획양식-최초_토목사업본부사업계획4-41_'04용지,대여금계획(1031)" xfId="6868"/>
    <cellStyle name="_인원계획표 _2002년사업실적(추정)2003사업계획양식-최초_토목사업본부사업계획4-41_2004 수금계획(1031)" xfId="6869"/>
    <cellStyle name="_인원계획표 _2002년사업실적(추정)2003사업계획양식-최초_토목사업본부사업계획4-41_2004 용지,대여금계획(1113)" xfId="6870"/>
    <cellStyle name="_인원계획표 _2002년사업실적(추정)2003사업계획양식-최초_토목사업본부사업계획4-41_2004년 BDT4사업계획" xfId="6871"/>
    <cellStyle name="_인원계획표 _2002년사업실적(추정)2003사업계획양식-최초_토목사업본부사업계획4-41_2004년 사업계획(사업개발5)" xfId="6872"/>
    <cellStyle name="_인원계획표 _2002년사업실적(추정)2003사업계획양식-최초_토목사업본부사업계획4-41_2004년 사업계획(재개발2팀)" xfId="6873"/>
    <cellStyle name="_인원계획표 _2002년사업실적(추정)2003사업계획양식-최초_토목사업본부사업계획4-41_2004년 사업계획(재개발2팀-대여금)" xfId="6874"/>
    <cellStyle name="_인원계획표 _2002년사업실적(추정)2003사업계획양식-최초_토목사업본부사업계획4-41_2004년 영업본부 사업계획(1031)" xfId="6875"/>
    <cellStyle name="_인원계획표 _2002년사업실적(추정)2003사업계획양식-최초_토목사업본부사업계획4-41_2004년 용지,대여금계획" xfId="6876"/>
    <cellStyle name="_인원계획표 _2002년사업실적(추정)2003사업계획양식-최초_토목사업본부사업계획4-41_2004년 재개발1팀 사업계획(1031)" xfId="6877"/>
    <cellStyle name="_인원계획표 _2002년사업실적(추정)2003사업계획양식-최초_토목사업본부사업계획4-41_2004년 재개발1팀 사업계획(본부장결재案)1031" xfId="6878"/>
    <cellStyle name="_인원계획표 _2002년사업실적(추정)2003사업계획양식-최초_토목사업본부사업계획4-41_2004년 재개발1팀(031124)" xfId="6879"/>
    <cellStyle name="_인원계획표 _2002년사업실적(추정)2003사업계획양식-최초_토목사업본부사업계획4-41_2004년대여금계획(案)진짜최종" xfId="6880"/>
    <cellStyle name="_인원계획표 _2002년사업실적(추정)2003사업계획양식-최초_토목사업본부사업계획4-41_사업계획수립양식총괄" xfId="6881"/>
    <cellStyle name="_인원계획표 _2002년사업실적(추정)2003사업계획양식-최초_토목사업본부사업계획4-41_재개발팀 대여금 자료(수정분)입니다." xfId="6882"/>
    <cellStyle name="_인원계획표 _2002년사업실적(추정)2003사업계획양식-최초_토목사업본부사업계획4-41_재개발팀 대여금 자료(수정분)입니다.(2002년,2003년1~9월포함)(최종자료)" xfId="6883"/>
    <cellStyle name="_인원계획표 _2003년 착준공현황" xfId="6884"/>
    <cellStyle name="_인원계획표 _2003년 착준공현황_'04용지,대여금계획(1031)" xfId="6885"/>
    <cellStyle name="_인원계획표 _2003년 착준공현황_2004 용지,대여금계획(1113)" xfId="6886"/>
    <cellStyle name="_인원계획표 _2003년 착준공현황_2004년 BDT4사업계획" xfId="6887"/>
    <cellStyle name="_인원계획표 _2003년 착준공현황_2004년 사업계획(사업개발5)" xfId="6888"/>
    <cellStyle name="_인원계획표 _2003년 착준공현황_2004년 사업계획(재개발2팀)" xfId="6889"/>
    <cellStyle name="_인원계획표 _2003년 착준공현황_2004년 사업계획(재개발2팀-대여금)" xfId="6890"/>
    <cellStyle name="_인원계획표 _2003년 착준공현황_2004년 영업본부 사업계획(1031)" xfId="6891"/>
    <cellStyle name="_인원계획표 _2003년 착준공현황_2004년 용지,대여금계획" xfId="6892"/>
    <cellStyle name="_인원계획표 _2003년 착준공현황_2004년 재개발1팀 사업계획(1031)" xfId="6893"/>
    <cellStyle name="_인원계획표 _2003년 착준공현황_2004년 재개발1팀 사업계획(본부장결재案)1031" xfId="6894"/>
    <cellStyle name="_인원계획표 _2003년 착준공현황_2004년 재개발1팀(031124)" xfId="6895"/>
    <cellStyle name="_인원계획표 _2003년 착준공현황_2004년대여금계획(案)진짜최종" xfId="6896"/>
    <cellStyle name="_인원계획표 _2003년 착준공현황_재개발팀 대여금 자료(수정분)입니다." xfId="6897"/>
    <cellStyle name="_인원계획표 _2003년 착준공현황_재개발팀 대여금 자료(수정분)입니다.(2002년,2003년1~9월포함)(최종자료)" xfId="6898"/>
    <cellStyle name="_인원계획표 _2004 수금계획(1031)" xfId="6899"/>
    <cellStyle name="_인원계획표 _2004 용지,대여금계획(1113)" xfId="6900"/>
    <cellStyle name="_인원계획표 _2004년 BDT4사업계획" xfId="6901"/>
    <cellStyle name="_인원계획표 _2004년 사업계획(사업개발5)" xfId="6902"/>
    <cellStyle name="_인원계획표 _2004년 사업계획(재개발2팀)" xfId="6903"/>
    <cellStyle name="_인원계획표 _2004년 사업계획(재개발2팀-대여금)" xfId="6904"/>
    <cellStyle name="_인원계획표 _2004년 영업본부 사업계획(1031)" xfId="6905"/>
    <cellStyle name="_인원계획표 _2004년 용지,대여금계획" xfId="6906"/>
    <cellStyle name="_인원계획표 _2004년 재개발1팀 사업계획(1031)" xfId="6907"/>
    <cellStyle name="_인원계획표 _2004년 재개발1팀 사업계획(본부장결재案)1031" xfId="6908"/>
    <cellStyle name="_인원계획표 _2004년 재개발1팀(031124)" xfId="6909"/>
    <cellStyle name="_인원계획표 _2004년대여금계획(案)진짜최종" xfId="6910"/>
    <cellStyle name="_인원계획표 _계약고,01,02,03,04년매출정리2(최종)" xfId="6911"/>
    <cellStyle name="_인원계획표 _계약고,01,02,03,04년매출정리2(최종)_'04용지,대여금계획(1031)" xfId="6912"/>
    <cellStyle name="_인원계획표 _계약고,01,02,03,04년매출정리2(최종)_2004 수금계획(1031)" xfId="6913"/>
    <cellStyle name="_인원계획표 _계약고,01,02,03,04년매출정리2(최종)_2004 용지,대여금계획(1113)" xfId="6914"/>
    <cellStyle name="_인원계획표 _계약고,01,02,03,04년매출정리2(최종)_2004년 BDT4사업계획" xfId="6915"/>
    <cellStyle name="_인원계획표 _계약고,01,02,03,04년매출정리2(최종)_2004년 사업계획(사업개발5)" xfId="6916"/>
    <cellStyle name="_인원계획표 _계약고,01,02,03,04년매출정리2(최종)_2004년 사업계획(재개발2팀)" xfId="6917"/>
    <cellStyle name="_인원계획표 _계약고,01,02,03,04년매출정리2(최종)_2004년 사업계획(재개발2팀-대여금)" xfId="6918"/>
    <cellStyle name="_인원계획표 _계약고,01,02,03,04년매출정리2(최종)_2004년 영업본부 사업계획(1031)" xfId="6919"/>
    <cellStyle name="_인원계획표 _계약고,01,02,03,04년매출정리2(최종)_2004년 용지,대여금계획" xfId="6920"/>
    <cellStyle name="_인원계획표 _계약고,01,02,03,04년매출정리2(최종)_2004년 재개발1팀 사업계획(1031)" xfId="6921"/>
    <cellStyle name="_인원계획표 _계약고,01,02,03,04년매출정리2(최종)_2004년 재개발1팀 사업계획(본부장결재案)1031" xfId="6922"/>
    <cellStyle name="_인원계획표 _계약고,01,02,03,04년매출정리2(최종)_2004년 재개발1팀(031124)" xfId="6923"/>
    <cellStyle name="_인원계획표 _계약고,01,02,03,04년매출정리2(최종)_2004년대여금계획(案)진짜최종" xfId="6924"/>
    <cellStyle name="_인원계획표 _계약고,01,02,03,04년매출정리2(최종)_사업계획수립양식총괄" xfId="6925"/>
    <cellStyle name="_인원계획표 _계약고,01,02,03,04년매출정리2(최종)_재개발팀 대여금 자료(수정분)입니다." xfId="6926"/>
    <cellStyle name="_인원계획표 _계약고,01,02,03,04년매출정리2(최종)_재개발팀 대여금 자료(수정분)입니다.(2002년,2003년1~9월포함)(최종자료)" xfId="6927"/>
    <cellStyle name="_인원계획표 _광주평동실행" xfId="1208"/>
    <cellStyle name="_인원계획표 _광주평동실행_구기동(제출)(95.0)(031121)" xfId="1209"/>
    <cellStyle name="_인원계획표 _광주평동실행_구기동레포츠센타제출" xfId="1210"/>
    <cellStyle name="_인원계획표 _광주평동실행_번암견적의뢰(협력)" xfId="1211"/>
    <cellStyle name="_인원계획표 _광주평동실행_번암견적의뢰(협력)_구기동(제출)(95.0)(031121)" xfId="1212"/>
    <cellStyle name="_인원계획표 _광주평동실행_번암견적의뢰(협력)_구기동레포츠센타제출" xfId="1213"/>
    <cellStyle name="_인원계획표 _광주평동실행_번암견적의뢰(협력)_용답동오피스텔가실행" xfId="1214"/>
    <cellStyle name="_인원계획표 _광주평동실행_용답동오피스텔가실행" xfId="1215"/>
    <cellStyle name="_인원계획표 _광주평동투찰" xfId="2217"/>
    <cellStyle name="_인원계획표 _광주평동투찰_삽교천개수공사(03.30)" xfId="2218"/>
    <cellStyle name="_인원계획표 _광주평동투찰_삽교천개수공사(03.30)_구일초(06.17)-부대" xfId="2219"/>
    <cellStyle name="_인원계획표 _광주평동투찰_삽교천개수공사(03.30)_남성지구(05.26)" xfId="2220"/>
    <cellStyle name="_인원계획표 _광주평동투찰_삽교천개수공사(03.30)_동산초(06.1)" xfId="2221"/>
    <cellStyle name="_인원계획표 _광주평동투찰_삽교천개수공사(03.30)_삽교천개수공사(03.30)" xfId="2222"/>
    <cellStyle name="_인원계획표 _광주평동투찰_삽교천개수공사(03.30)_안산남부경찰서(06.16)-부대" xfId="2223"/>
    <cellStyle name="_인원계획표 _광주평동투찰_삽교천개수공사(03.30)_제주제성교(05.27)" xfId="2224"/>
    <cellStyle name="_인원계획표 _광주평동투찰_삽교천개수공사(03.30)_행목지구하천환경(05.25)" xfId="2225"/>
    <cellStyle name="_인원계획표 _광주평동품의1" xfId="1216"/>
    <cellStyle name="_인원계획표 _광주평동품의1_구기동(제출)(95.0)(031121)" xfId="1217"/>
    <cellStyle name="_인원계획표 _광주평동품의1_구기동레포츠센타제출" xfId="1218"/>
    <cellStyle name="_인원계획표 _광주평동품의1_무안-광주2공구(협력)수정" xfId="1219"/>
    <cellStyle name="_인원계획표 _광주평동품의1_무안-광주2공구(협력)수정_구기동(제출)(95.0)(031121)" xfId="1220"/>
    <cellStyle name="_인원계획표 _광주평동품의1_무안-광주2공구(협력)수정_구기동레포츠센타제출" xfId="1221"/>
    <cellStyle name="_인원계획표 _광주평동품의1_무안-광주2공구(협력)수정_용답동오피스텔가실행" xfId="1222"/>
    <cellStyle name="_인원계획표 _광주평동품의1_번암견적의뢰(협력)" xfId="1223"/>
    <cellStyle name="_인원계획표 _광주평동품의1_번암견적의뢰(협력)_구기동(제출)(95.0)(031121)" xfId="1224"/>
    <cellStyle name="_인원계획표 _광주평동품의1_번암견적의뢰(협력)_구기동레포츠센타제출" xfId="1225"/>
    <cellStyle name="_인원계획표 _광주평동품의1_번암견적의뢰(협력)_용답동오피스텔가실행" xfId="1226"/>
    <cellStyle name="_인원계획표 _광주평동품의1_삽교천개수공사(03.30)" xfId="2226"/>
    <cellStyle name="_인원계획표 _광주평동품의1_삽교천개수공사(03.30)_구일초(06.17)-부대" xfId="2227"/>
    <cellStyle name="_인원계획표 _광주평동품의1_삽교천개수공사(03.30)_남성지구(05.26)" xfId="2228"/>
    <cellStyle name="_인원계획표 _광주평동품의1_삽교천개수공사(03.30)_동산초(06.1)" xfId="2229"/>
    <cellStyle name="_인원계획표 _광주평동품의1_삽교천개수공사(03.30)_삽교천개수공사(03.30)" xfId="2230"/>
    <cellStyle name="_인원계획표 _광주평동품의1_삽교천개수공사(03.30)_안산남부경찰서(06.16)-부대" xfId="2231"/>
    <cellStyle name="_인원계획표 _광주평동품의1_삽교천개수공사(03.30)_제주제성교(05.27)" xfId="2232"/>
    <cellStyle name="_인원계획표 _광주평동품의1_삽교천개수공사(03.30)_행목지구하천환경(05.25)" xfId="2233"/>
    <cellStyle name="_인원계획표 _광주평동품의1_용답동오피스텔가실행" xfId="1227"/>
    <cellStyle name="_인원계획표 _광주평동품의1_적상무주IC도로(1공구)" xfId="1228"/>
    <cellStyle name="_인원계획표 _광주평동품의1_적상무주IC도로(1공구)_구기동(제출)(95.0)(031121)" xfId="1229"/>
    <cellStyle name="_인원계획표 _광주평동품의1_적상무주IC도로(1공구)_구기동레포츠센타제출" xfId="1230"/>
    <cellStyle name="_인원계획표 _광주평동품의1_적상무주IC도로(1공구)_용답동오피스텔가실행" xfId="1231"/>
    <cellStyle name="_인원계획표 _구기동(제출)(95.0)(031121)" xfId="1232"/>
    <cellStyle name="_인원계획표 _구기동레포츠센타제출" xfId="1233"/>
    <cellStyle name="_인원계획표 _기장하수실행1" xfId="1234"/>
    <cellStyle name="_인원계획표 _기장하수실행1_구기동(제출)(95.0)(031121)" xfId="1235"/>
    <cellStyle name="_인원계획표 _기장하수실행1_구기동레포츠센타제출" xfId="1236"/>
    <cellStyle name="_인원계획표 _기장하수실행1_번암견적의뢰(협력)" xfId="1237"/>
    <cellStyle name="_인원계획표 _기장하수실행1_번암견적의뢰(협력)_구기동(제출)(95.0)(031121)" xfId="1238"/>
    <cellStyle name="_인원계획표 _기장하수실행1_번암견적의뢰(협력)_구기동레포츠센타제출" xfId="1239"/>
    <cellStyle name="_인원계획표 _기장하수실행1_번암견적의뢰(협력)_용답동오피스텔가실행" xfId="1240"/>
    <cellStyle name="_인원계획표 _기장하수실행1_용답동오피스텔가실행" xfId="1241"/>
    <cellStyle name="_인원계획표 _김해작업중" xfId="6928"/>
    <cellStyle name="_인원계획표 _김해작업중_2002년도BP양식수정(SOC팀수정부결안1101)" xfId="6929"/>
    <cellStyle name="_인원계획표 _김해작업중_2002년도BP양식수정(SOC팀수정부결안1101)_본부별 경영전략 보고 양식" xfId="6930"/>
    <cellStyle name="_인원계획표 _김해작업중_2002년도BP양식주정" xfId="6931"/>
    <cellStyle name="_인원계획표 _김해작업중_2002년도BP양식주정_2002년도BP양식주정" xfId="6932"/>
    <cellStyle name="_인원계획표 _김해작업중_2002년도BP양식주정_2002년도BP양식주정_2002년도BP양식수정(SOC팀수정부결안1101)" xfId="6933"/>
    <cellStyle name="_인원계획표 _김해작업중_2002년도BP양식주정_2002년도BP양식주정_2002년도BP양식수정(SOC팀수정부결안1101)_본부별 경영전략 보고 양식" xfId="6934"/>
    <cellStyle name="_인원계획표 _김해작업중_2002년도BP양식주정_2002년도BP양식주정_본부별 경영전략 보고 양식" xfId="6935"/>
    <cellStyle name="_인원계획표 _김해작업중_2002년도BP양식주정_본부별 경영전략 보고 양식" xfId="6936"/>
    <cellStyle name="_인원계획표 _김해작업중_본부별 경영전략 보고 양식" xfId="6937"/>
    <cellStyle name="_인원계획표 _김해작업중_사업진척점검회의(2001. 8)" xfId="6938"/>
    <cellStyle name="_인원계획표 _김해작업중_사업진척점검회의(2001. 8)_2002년도BP양식수정(SOC팀수정부결안1101)" xfId="6939"/>
    <cellStyle name="_인원계획표 _김해작업중_사업진척점검회의(2001. 8)_2002년도BP양식수정(SOC팀수정부결안1101)_본부별 경영전략 보고 양식" xfId="6940"/>
    <cellStyle name="_인원계획표 _김해작업중_사업진척점검회의(2001. 8)_2002년도BP양식주정" xfId="6941"/>
    <cellStyle name="_인원계획표 _김해작업중_사업진척점검회의(2001. 8)_2002년도BP양식주정_2002년도BP양식주정" xfId="6942"/>
    <cellStyle name="_인원계획표 _김해작업중_사업진척점검회의(2001. 8)_2002년도BP양식주정_2002년도BP양식주정_2002년도BP양식수정(SOC팀수정부결안1101)" xfId="6943"/>
    <cellStyle name="_인원계획표 _김해작업중_사업진척점검회의(2001. 8)_2002년도BP양식주정_2002년도BP양식주정_2002년도BP양식수정(SOC팀수정부결안1101)_본부별 경영전략 보고 양식" xfId="6944"/>
    <cellStyle name="_인원계획표 _김해작업중_사업진척점검회의(2001. 8)_2002년도BP양식주정_2002년도BP양식주정_본부별 경영전략 보고 양식" xfId="6945"/>
    <cellStyle name="_인원계획표 _김해작업중_사업진척점검회의(2001. 8)_2002년도BP양식주정_본부별 경영전략 보고 양식" xfId="6946"/>
    <cellStyle name="_인원계획표 _김해작업중_사업진척점검회의(2001. 8)_본부별 경영전략 보고 양식" xfId="6947"/>
    <cellStyle name="_인원계획표 _김해작업중_선운흥덕실행" xfId="6948"/>
    <cellStyle name="_인원계획표 _김해작업중_선운흥덕실행_2002년도BP양식수정(SOC팀수정부결안1101)" xfId="6949"/>
    <cellStyle name="_인원계획표 _김해작업중_선운흥덕실행_2002년도BP양식수정(SOC팀수정부결안1101)_본부별 경영전략 보고 양식" xfId="6950"/>
    <cellStyle name="_인원계획표 _김해작업중_선운흥덕실행_2002년도BP양식주정" xfId="6951"/>
    <cellStyle name="_인원계획표 _김해작업중_선운흥덕실행_2002년도BP양식주정_2002년도BP양식주정" xfId="6952"/>
    <cellStyle name="_인원계획표 _김해작업중_선운흥덕실행_2002년도BP양식주정_2002년도BP양식주정_2002년도BP양식수정(SOC팀수정부결안1101)" xfId="6953"/>
    <cellStyle name="_인원계획표 _김해작업중_선운흥덕실행_2002년도BP양식주정_2002년도BP양식주정_2002년도BP양식수정(SOC팀수정부결안1101)_본부별 경영전략 보고 양식" xfId="6954"/>
    <cellStyle name="_인원계획표 _김해작업중_선운흥덕실행_2002년도BP양식주정_2002년도BP양식주정_본부별 경영전략 보고 양식" xfId="6955"/>
    <cellStyle name="_인원계획표 _김해작업중_선운흥덕실행_2002년도BP양식주정_본부별 경영전략 보고 양식" xfId="6956"/>
    <cellStyle name="_인원계획표 _김해작업중_선운흥덕실행_본부별 경영전략 보고 양식" xfId="6957"/>
    <cellStyle name="_인원계획표 _김해작업중_선운흥덕실행_사업진척점검회의(2001. 8)" xfId="6958"/>
    <cellStyle name="_인원계획표 _김해작업중_선운흥덕실행_사업진척점검회의(2001. 8)_2002년도BP양식수정(SOC팀수정부결안1101)" xfId="6959"/>
    <cellStyle name="_인원계획표 _김해작업중_선운흥덕실행_사업진척점검회의(2001. 8)_2002년도BP양식수정(SOC팀수정부결안1101)_본부별 경영전략 보고 양식" xfId="6960"/>
    <cellStyle name="_인원계획표 _김해작업중_선운흥덕실행_사업진척점검회의(2001. 8)_2002년도BP양식주정" xfId="6961"/>
    <cellStyle name="_인원계획표 _김해작업중_선운흥덕실행_사업진척점검회의(2001. 8)_2002년도BP양식주정_2002년도BP양식주정" xfId="6962"/>
    <cellStyle name="_인원계획표 _김해작업중_선운흥덕실행_사업진척점검회의(2001. 8)_2002년도BP양식주정_2002년도BP양식주정_2002년도BP양식수정(SOC팀수정부결안1101)" xfId="6963"/>
    <cellStyle name="_인원계획표 _김해작업중_선운흥덕실행_사업진척점검회의(2001. 8)_2002년도BP양식주정_2002년도BP양식주정_2002년도BP양식수정(SOC팀수정부결안1101)_본부별 경영전략 보고 양식" xfId="6964"/>
    <cellStyle name="_인원계획표 _김해작업중_선운흥덕실행_사업진척점검회의(2001. 8)_2002년도BP양식주정_2002년도BP양식주정_본부별 경영전략 보고 양식" xfId="6965"/>
    <cellStyle name="_인원계획표 _김해작업중_선운흥덕실행_사업진척점검회의(2001. 8)_2002년도BP양식주정_본부별 경영전략 보고 양식" xfId="6966"/>
    <cellStyle name="_인원계획표 _김해작업중_선운흥덕실행_사업진척점검회의(2001. 8)_본부별 경영전략 보고 양식" xfId="6967"/>
    <cellStyle name="_인원계획표 _동원작업중" xfId="6968"/>
    <cellStyle name="_인원계획표 _동원작업중_2002년도BP양식수정(SOC팀수정부결안1101)" xfId="6969"/>
    <cellStyle name="_인원계획표 _동원작업중_2002년도BP양식수정(SOC팀수정부결안1101)_본부별 경영전략 보고 양식" xfId="6970"/>
    <cellStyle name="_인원계획표 _동원작업중_2002년도BP양식주정" xfId="6971"/>
    <cellStyle name="_인원계획표 _동원작업중_2002년도BP양식주정_2002년도BP양식주정" xfId="6972"/>
    <cellStyle name="_인원계획표 _동원작업중_2002년도BP양식주정_2002년도BP양식주정_2002년도BP양식수정(SOC팀수정부결안1101)" xfId="6973"/>
    <cellStyle name="_인원계획표 _동원작업중_2002년도BP양식주정_2002년도BP양식주정_2002년도BP양식수정(SOC팀수정부결안1101)_본부별 경영전략 보고 양식" xfId="6974"/>
    <cellStyle name="_인원계획표 _동원작업중_2002년도BP양식주정_2002년도BP양식주정_본부별 경영전략 보고 양식" xfId="6975"/>
    <cellStyle name="_인원계획표 _동원작업중_2002년도BP양식주정_본부별 경영전략 보고 양식" xfId="6976"/>
    <cellStyle name="_인원계획표 _동원작업중_본부별 경영전략 보고 양식" xfId="6977"/>
    <cellStyle name="_인원계획표 _동원작업중_사업진척점검회의(2001. 8)" xfId="6978"/>
    <cellStyle name="_인원계획표 _동원작업중_사업진척점검회의(2001. 8)_2002년도BP양식수정(SOC팀수정부결안1101)" xfId="6979"/>
    <cellStyle name="_인원계획표 _동원작업중_사업진척점검회의(2001. 8)_2002년도BP양식수정(SOC팀수정부결안1101)_본부별 경영전략 보고 양식" xfId="6980"/>
    <cellStyle name="_인원계획표 _동원작업중_사업진척점검회의(2001. 8)_2002년도BP양식주정" xfId="6981"/>
    <cellStyle name="_인원계획표 _동원작업중_사업진척점검회의(2001. 8)_2002년도BP양식주정_2002년도BP양식주정" xfId="6982"/>
    <cellStyle name="_인원계획표 _동원작업중_사업진척점검회의(2001. 8)_2002년도BP양식주정_2002년도BP양식주정_2002년도BP양식수정(SOC팀수정부결안1101)" xfId="6983"/>
    <cellStyle name="_인원계획표 _동원작업중_사업진척점검회의(2001. 8)_2002년도BP양식주정_2002년도BP양식주정_2002년도BP양식수정(SOC팀수정부결안1101)_본부별 경영전략 보고 양식" xfId="6984"/>
    <cellStyle name="_인원계획표 _동원작업중_사업진척점검회의(2001. 8)_2002년도BP양식주정_2002년도BP양식주정_본부별 경영전략 보고 양식" xfId="6985"/>
    <cellStyle name="_인원계획표 _동원작업중_사업진척점검회의(2001. 8)_2002년도BP양식주정_본부별 경영전략 보고 양식" xfId="6986"/>
    <cellStyle name="_인원계획표 _동원작업중_사업진척점검회의(2001. 8)_본부별 경영전략 보고 양식" xfId="6987"/>
    <cellStyle name="_인원계획표 _동원작업중_선운흥덕실행" xfId="6988"/>
    <cellStyle name="_인원계획표 _동원작업중_선운흥덕실행_2002년도BP양식수정(SOC팀수정부결안1101)" xfId="6989"/>
    <cellStyle name="_인원계획표 _동원작업중_선운흥덕실행_2002년도BP양식수정(SOC팀수정부결안1101)_본부별 경영전략 보고 양식" xfId="6990"/>
    <cellStyle name="_인원계획표 _동원작업중_선운흥덕실행_2002년도BP양식주정" xfId="6991"/>
    <cellStyle name="_인원계획표 _동원작업중_선운흥덕실행_2002년도BP양식주정_2002년도BP양식주정" xfId="6992"/>
    <cellStyle name="_인원계획표 _동원작업중_선운흥덕실행_2002년도BP양식주정_2002년도BP양식주정_2002년도BP양식수정(SOC팀수정부결안1101)" xfId="6993"/>
    <cellStyle name="_인원계획표 _동원작업중_선운흥덕실행_2002년도BP양식주정_2002년도BP양식주정_2002년도BP양식수정(SOC팀수정부결안1101)_본부별 경영전략 보고 양식" xfId="6994"/>
    <cellStyle name="_인원계획표 _동원작업중_선운흥덕실행_2002년도BP양식주정_2002년도BP양식주정_본부별 경영전략 보고 양식" xfId="6995"/>
    <cellStyle name="_인원계획표 _동원작업중_선운흥덕실행_2002년도BP양식주정_본부별 경영전략 보고 양식" xfId="6996"/>
    <cellStyle name="_인원계획표 _동원작업중_선운흥덕실행_본부별 경영전략 보고 양식" xfId="6997"/>
    <cellStyle name="_인원계획표 _동원작업중_선운흥덕실행_사업진척점검회의(2001. 8)" xfId="6998"/>
    <cellStyle name="_인원계획표 _동원작업중_선운흥덕실행_사업진척점검회의(2001. 8)_2002년도BP양식수정(SOC팀수정부결안1101)" xfId="6999"/>
    <cellStyle name="_인원계획표 _동원작업중_선운흥덕실행_사업진척점검회의(2001. 8)_2002년도BP양식수정(SOC팀수정부결안1101)_본부별 경영전략 보고 양식" xfId="7000"/>
    <cellStyle name="_인원계획표 _동원작업중_선운흥덕실행_사업진척점검회의(2001. 8)_2002년도BP양식주정" xfId="7001"/>
    <cellStyle name="_인원계획표 _동원작업중_선운흥덕실행_사업진척점검회의(2001. 8)_2002년도BP양식주정_2002년도BP양식주정" xfId="7002"/>
    <cellStyle name="_인원계획표 _동원작업중_선운흥덕실행_사업진척점검회의(2001. 8)_2002년도BP양식주정_2002년도BP양식주정_2002년도BP양식수정(SOC팀수정부결안1101)" xfId="7003"/>
    <cellStyle name="_인원계획표 _동원작업중_선운흥덕실행_사업진척점검회의(2001. 8)_2002년도BP양식주정_2002년도BP양식주정_2002년도BP양식수정(SOC팀수정부결안1101)_본부별 경영전략 보고 양식" xfId="7004"/>
    <cellStyle name="_인원계획표 _동원작업중_선운흥덕실행_사업진척점검회의(2001. 8)_2002년도BP양식주정_2002년도BP양식주정_본부별 경영전략 보고 양식" xfId="7005"/>
    <cellStyle name="_인원계획표 _동원작업중_선운흥덕실행_사업진척점검회의(2001. 8)_2002년도BP양식주정_본부별 경영전략 보고 양식" xfId="7006"/>
    <cellStyle name="_인원계획표 _동원작업중_선운흥덕실행_사업진척점검회의(2001. 8)_본부별 경영전략 보고 양식" xfId="7007"/>
    <cellStyle name="_인원계획표 _무안-광주2공구(협력)수정" xfId="1242"/>
    <cellStyle name="_인원계획표 _무안-광주2공구(협력)수정_구기동(제출)(95.0)(031121)" xfId="1243"/>
    <cellStyle name="_인원계획표 _무안-광주2공구(협력)수정_구기동레포츠센타제출" xfId="1244"/>
    <cellStyle name="_인원계획표 _무안-광주2공구(협력)수정_용답동오피스텔가실행" xfId="1245"/>
    <cellStyle name="_인원계획표 _번암견적의뢰(협력)" xfId="1246"/>
    <cellStyle name="_인원계획표 _번암견적의뢰(협력)_구기동(제출)(95.0)(031121)" xfId="1247"/>
    <cellStyle name="_인원계획표 _번암견적의뢰(협력)_구기동레포츠센타제출" xfId="1248"/>
    <cellStyle name="_인원계획표 _번암견적의뢰(협력)_용답동오피스텔가실행" xfId="1249"/>
    <cellStyle name="_인원계획표 _본부별 경영전략 보고 양식" xfId="7008"/>
    <cellStyle name="_인원계획표 _사본 - 2004년 전략경영계획(1126)" xfId="7009"/>
    <cellStyle name="_인원계획표 _사업계획수립양식총괄" xfId="7010"/>
    <cellStyle name="_인원계획표 _사업진척점검회의(2001. 8)" xfId="7011"/>
    <cellStyle name="_인원계획표 _사업진척점검회의(2001. 8)_2002년도BP양식수정(SOC팀수정부결안1101)" xfId="7012"/>
    <cellStyle name="_인원계획표 _사업진척점검회의(2001. 8)_2002년도BP양식수정(SOC팀수정부결안1101)_본부별 경영전략 보고 양식" xfId="7013"/>
    <cellStyle name="_인원계획표 _사업진척점검회의(2001. 8)_2002년도BP양식주정" xfId="7014"/>
    <cellStyle name="_인원계획표 _사업진척점검회의(2001. 8)_2002년도BP양식주정_2002년도BP양식주정" xfId="7015"/>
    <cellStyle name="_인원계획표 _사업진척점검회의(2001. 8)_2002년도BP양식주정_2002년도BP양식주정_2002년도BP양식수정(SOC팀수정부결안1101)" xfId="7016"/>
    <cellStyle name="_인원계획표 _사업진척점검회의(2001. 8)_2002년도BP양식주정_2002년도BP양식주정_2002년도BP양식수정(SOC팀수정부결안1101)_본부별 경영전략 보고 양식" xfId="7017"/>
    <cellStyle name="_인원계획표 _사업진척점검회의(2001. 8)_2002년도BP양식주정_2002년도BP양식주정_본부별 경영전략 보고 양식" xfId="7018"/>
    <cellStyle name="_인원계획표 _사업진척점검회의(2001. 8)_2002년도BP양식주정_본부별 경영전략 보고 양식" xfId="7019"/>
    <cellStyle name="_인원계획표 _사업진척점검회의(2001. 8)_본부별 경영전략 보고 양식" xfId="7020"/>
    <cellStyle name="_인원계획표 _삽교천개수공사(03.30)" xfId="2234"/>
    <cellStyle name="_인원계획표 _삽교천개수공사(03.30)_구일초(06.17)-부대" xfId="2235"/>
    <cellStyle name="_인원계획표 _삽교천개수공사(03.30)_남성지구(05.26)" xfId="2236"/>
    <cellStyle name="_인원계획표 _삽교천개수공사(03.30)_동산초(06.1)" xfId="2237"/>
    <cellStyle name="_인원계획표 _삽교천개수공사(03.30)_삽교천개수공사(03.30)" xfId="2238"/>
    <cellStyle name="_인원계획표 _삽교천개수공사(03.30)_안산남부경찰서(06.16)-부대" xfId="2239"/>
    <cellStyle name="_인원계획표 _삽교천개수공사(03.30)_제주제성교(05.27)" xfId="2240"/>
    <cellStyle name="_인원계획표 _삽교천개수공사(03.30)_행목지구하천환경(05.25)" xfId="2241"/>
    <cellStyle name="_인원계획표 _송학실행안" xfId="1250"/>
    <cellStyle name="_인원계획표 _송학실행안_구기동(제출)(95.0)(031121)" xfId="1251"/>
    <cellStyle name="_인원계획표 _송학실행안_구기동레포츠센타제출" xfId="1252"/>
    <cellStyle name="_인원계획표 _송학실행안_번암견적의뢰(협력)" xfId="1253"/>
    <cellStyle name="_인원계획표 _송학실행안_번암견적의뢰(협력)_구기동(제출)(95.0)(031121)" xfId="1254"/>
    <cellStyle name="_인원계획표 _송학실행안_번암견적의뢰(협력)_구기동레포츠센타제출" xfId="1255"/>
    <cellStyle name="_인원계획표 _송학실행안_번암견적의뢰(협력)_용답동오피스텔가실행" xfId="1256"/>
    <cellStyle name="_인원계획표 _송학실행안_용답동오피스텔가실행" xfId="1257"/>
    <cellStyle name="_인원계획표 _송학하수투찰" xfId="1258"/>
    <cellStyle name="_인원계획표 _송학하수투찰_구기동(제출)(95.0)(031121)" xfId="1259"/>
    <cellStyle name="_인원계획표 _송학하수투찰_구기동레포츠센타제출" xfId="1260"/>
    <cellStyle name="_인원계획표 _송학하수투찰_번암견적의뢰(협력)" xfId="1261"/>
    <cellStyle name="_인원계획표 _송학하수투찰_번암견적의뢰(협력)_구기동(제출)(95.0)(031121)" xfId="1262"/>
    <cellStyle name="_인원계획표 _송학하수투찰_번암견적의뢰(협력)_구기동레포츠센타제출" xfId="1263"/>
    <cellStyle name="_인원계획표 _송학하수투찰_번암견적의뢰(협력)_용답동오피스텔가실행" xfId="1264"/>
    <cellStyle name="_인원계획표 _송학하수투찰_용답동오피스텔가실행" xfId="1265"/>
    <cellStyle name="_인원계획표 _송학하수품의(설계넣고)" xfId="1266"/>
    <cellStyle name="_인원계획표 _송학하수품의(설계넣고)_구기동(제출)(95.0)(031121)" xfId="1267"/>
    <cellStyle name="_인원계획표 _송학하수품의(설계넣고)_구기동레포츠센타제출" xfId="1268"/>
    <cellStyle name="_인원계획표 _송학하수품의(설계넣고)_무안-광주2공구(협력)수정" xfId="1269"/>
    <cellStyle name="_인원계획표 _송학하수품의(설계넣고)_무안-광주2공구(협력)수정_구기동(제출)(95.0)(031121)" xfId="1270"/>
    <cellStyle name="_인원계획표 _송학하수품의(설계넣고)_무안-광주2공구(협력)수정_구기동레포츠센타제출" xfId="1271"/>
    <cellStyle name="_인원계획표 _송학하수품의(설계넣고)_무안-광주2공구(협력)수정_용답동오피스텔가실행" xfId="1272"/>
    <cellStyle name="_인원계획표 _송학하수품의(설계넣고)_번암견적의뢰(협력)" xfId="1273"/>
    <cellStyle name="_인원계획표 _송학하수품의(설계넣고)_번암견적의뢰(협력)_구기동(제출)(95.0)(031121)" xfId="1274"/>
    <cellStyle name="_인원계획표 _송학하수품의(설계넣고)_번암견적의뢰(협력)_구기동레포츠센타제출" xfId="1275"/>
    <cellStyle name="_인원계획표 _송학하수품의(설계넣고)_번암견적의뢰(협력)_용답동오피스텔가실행" xfId="1276"/>
    <cellStyle name="_인원계획표 _송학하수품의(설계넣고)_삽교천개수공사(03.30)" xfId="2242"/>
    <cellStyle name="_인원계획표 _송학하수품의(설계넣고)_삽교천개수공사(03.30)_구일초(06.17)-부대" xfId="2243"/>
    <cellStyle name="_인원계획표 _송학하수품의(설계넣고)_삽교천개수공사(03.30)_남성지구(05.26)" xfId="2244"/>
    <cellStyle name="_인원계획표 _송학하수품의(설계넣고)_삽교천개수공사(03.30)_동산초(06.1)" xfId="2245"/>
    <cellStyle name="_인원계획표 _송학하수품의(설계넣고)_삽교천개수공사(03.30)_삽교천개수공사(03.30)" xfId="2246"/>
    <cellStyle name="_인원계획표 _송학하수품의(설계넣고)_삽교천개수공사(03.30)_안산남부경찰서(06.16)-부대" xfId="2247"/>
    <cellStyle name="_인원계획표 _송학하수품의(설계넣고)_삽교천개수공사(03.30)_제주제성교(05.27)" xfId="2248"/>
    <cellStyle name="_인원계획표 _송학하수품의(설계넣고)_삽교천개수공사(03.30)_행목지구하천환경(05.25)" xfId="2249"/>
    <cellStyle name="_인원계획표 _송학하수품의(설계넣고)_용답동오피스텔가실행" xfId="1277"/>
    <cellStyle name="_인원계획표 _송학하수품의(설계넣고)_적상무주IC도로(1공구)" xfId="1278"/>
    <cellStyle name="_인원계획표 _송학하수품의(설계넣고)_적상무주IC도로(1공구)_구기동(제출)(95.0)(031121)" xfId="1279"/>
    <cellStyle name="_인원계획표 _송학하수품의(설계넣고)_적상무주IC도로(1공구)_구기동레포츠센타제출" xfId="1280"/>
    <cellStyle name="_인원계획표 _송학하수품의(설계넣고)_적상무주IC도로(1공구)_용답동오피스텔가실행" xfId="1281"/>
    <cellStyle name="_인원계획표 _신령영천1_입찰" xfId="7021"/>
    <cellStyle name="_인원계획표 _용답동오피스텔가실행" xfId="1282"/>
    <cellStyle name="_인원계획표 _원덕근덕" xfId="7022"/>
    <cellStyle name="_인원계획표 _원덕근덕_2002년도BP양식수정(SOC팀수정부결안1101)" xfId="7023"/>
    <cellStyle name="_인원계획표 _원덕근덕_2002년도BP양식수정(SOC팀수정부결안1101)_본부별 경영전략 보고 양식" xfId="7024"/>
    <cellStyle name="_인원계획표 _원덕근덕_2002년도BP양식주정" xfId="7025"/>
    <cellStyle name="_인원계획표 _원덕근덕_2002년도BP양식주정_2002년도BP양식주정" xfId="7026"/>
    <cellStyle name="_인원계획표 _원덕근덕_2002년도BP양식주정_2002년도BP양식주정_2002년도BP양식수정(SOC팀수정부결안1101)" xfId="7027"/>
    <cellStyle name="_인원계획표 _원덕근덕_2002년도BP양식주정_2002년도BP양식주정_2002년도BP양식수정(SOC팀수정부결안1101)_본부별 경영전략 보고 양식" xfId="7028"/>
    <cellStyle name="_인원계획표 _원덕근덕_2002년도BP양식주정_2002년도BP양식주정_본부별 경영전략 보고 양식" xfId="7029"/>
    <cellStyle name="_인원계획표 _원덕근덕_2002년도BP양식주정_본부별 경영전략 보고 양식" xfId="7030"/>
    <cellStyle name="_인원계획표 _원덕근덕_본부별 경영전략 보고 양식" xfId="7031"/>
    <cellStyle name="_인원계획표 _원덕근덕_사업진척점검회의(2001. 8)" xfId="7032"/>
    <cellStyle name="_인원계획표 _원덕근덕_사업진척점검회의(2001. 8)_2002년도BP양식수정(SOC팀수정부결안1101)" xfId="7033"/>
    <cellStyle name="_인원계획표 _원덕근덕_사업진척점검회의(2001. 8)_2002년도BP양식수정(SOC팀수정부결안1101)_본부별 경영전략 보고 양식" xfId="7034"/>
    <cellStyle name="_인원계획표 _원덕근덕_사업진척점검회의(2001. 8)_2002년도BP양식주정" xfId="7035"/>
    <cellStyle name="_인원계획표 _원덕근덕_사업진척점검회의(2001. 8)_2002년도BP양식주정_2002년도BP양식주정" xfId="7036"/>
    <cellStyle name="_인원계획표 _원덕근덕_사업진척점검회의(2001. 8)_2002년도BP양식주정_2002년도BP양식주정_2002년도BP양식수정(SOC팀수정부결안1101)" xfId="7037"/>
    <cellStyle name="_인원계획표 _원덕근덕_사업진척점검회의(2001. 8)_2002년도BP양식주정_2002년도BP양식주정_2002년도BP양식수정(SOC팀수정부결안1101)_본부별 경영전략 보고 양식" xfId="7038"/>
    <cellStyle name="_인원계획표 _원덕근덕_사업진척점검회의(2001. 8)_2002년도BP양식주정_2002년도BP양식주정_본부별 경영전략 보고 양식" xfId="7039"/>
    <cellStyle name="_인원계획표 _원덕근덕_사업진척점검회의(2001. 8)_2002년도BP양식주정_본부별 경영전략 보고 양식" xfId="7040"/>
    <cellStyle name="_인원계획표 _원덕근덕_사업진척점검회의(2001. 8)_본부별 경영전략 보고 양식" xfId="7041"/>
    <cellStyle name="_인원계획표 _원덕투찰" xfId="7042"/>
    <cellStyle name="_인원계획표 _원덕투찰_2002년도BP양식수정(SOC팀수정부결안1101)" xfId="7043"/>
    <cellStyle name="_인원계획표 _원덕투찰_2002년도BP양식수정(SOC팀수정부결안1101)_본부별 경영전략 보고 양식" xfId="7044"/>
    <cellStyle name="_인원계획표 _원덕투찰_2002년도BP양식주정" xfId="7045"/>
    <cellStyle name="_인원계획표 _원덕투찰_2002년도BP양식주정_2002년도BP양식주정" xfId="7046"/>
    <cellStyle name="_인원계획표 _원덕투찰_2002년도BP양식주정_2002년도BP양식주정_2002년도BP양식수정(SOC팀수정부결안1101)" xfId="7047"/>
    <cellStyle name="_인원계획표 _원덕투찰_2002년도BP양식주정_2002년도BP양식주정_2002년도BP양식수정(SOC팀수정부결안1101)_본부별 경영전략 보고 양식" xfId="7048"/>
    <cellStyle name="_인원계획표 _원덕투찰_2002년도BP양식주정_2002년도BP양식주정_본부별 경영전략 보고 양식" xfId="7049"/>
    <cellStyle name="_인원계획표 _원덕투찰_2002년도BP양식주정_본부별 경영전략 보고 양식" xfId="7050"/>
    <cellStyle name="_인원계획표 _원덕투찰_본부별 경영전략 보고 양식" xfId="7051"/>
    <cellStyle name="_인원계획표 _원덕투찰_사업진척점검회의(2001. 8)" xfId="7052"/>
    <cellStyle name="_인원계획표 _원덕투찰_사업진척점검회의(2001. 8)_2002년도BP양식수정(SOC팀수정부결안1101)" xfId="7053"/>
    <cellStyle name="_인원계획표 _원덕투찰_사업진척점검회의(2001. 8)_2002년도BP양식수정(SOC팀수정부결안1101)_본부별 경영전략 보고 양식" xfId="7054"/>
    <cellStyle name="_인원계획표 _원덕투찰_사업진척점검회의(2001. 8)_2002년도BP양식주정" xfId="7055"/>
    <cellStyle name="_인원계획표 _원덕투찰_사업진척점검회의(2001. 8)_2002년도BP양식주정_2002년도BP양식주정" xfId="7056"/>
    <cellStyle name="_인원계획표 _원덕투찰_사업진척점검회의(2001. 8)_2002년도BP양식주정_2002년도BP양식주정_2002년도BP양식수정(SOC팀수정부결안1101)" xfId="7057"/>
    <cellStyle name="_인원계획표 _원덕투찰_사업진척점검회의(2001. 8)_2002년도BP양식주정_2002년도BP양식주정_2002년도BP양식수정(SOC팀수정부결안1101)_본부별 경영전략 보고 양식" xfId="7058"/>
    <cellStyle name="_인원계획표 _원덕투찰_사업진척점검회의(2001. 8)_2002년도BP양식주정_2002년도BP양식주정_본부별 경영전략 보고 양식" xfId="7059"/>
    <cellStyle name="_인원계획표 _원덕투찰_사업진척점검회의(2001. 8)_2002년도BP양식주정_본부별 경영전략 보고 양식" xfId="7060"/>
    <cellStyle name="_인원계획표 _원덕투찰_사업진척점검회의(2001. 8)_본부별 경영전략 보고 양식" xfId="7061"/>
    <cellStyle name="_인원계획표 _재개발팀 대여금 자료(수정분)입니다." xfId="7062"/>
    <cellStyle name="_인원계획표 _재개발팀 대여금 자료(수정분)입니다.(2002년,2003년1~9월포함)(최종자료)" xfId="7063"/>
    <cellStyle name="_인원계획표 _적격 " xfId="1283"/>
    <cellStyle name="_인원계획표 _적격 _광주평동실행" xfId="1284"/>
    <cellStyle name="_인원계획표 _적격 _광주평동실행_구기동(제출)(95.0)(031121)" xfId="1285"/>
    <cellStyle name="_인원계획표 _적격 _광주평동실행_구기동레포츠센타제출" xfId="1286"/>
    <cellStyle name="_인원계획표 _적격 _광주평동실행_번암견적의뢰(협력)" xfId="1287"/>
    <cellStyle name="_인원계획표 _적격 _광주평동실행_번암견적의뢰(협력)_구기동(제출)(95.0)(031121)" xfId="1288"/>
    <cellStyle name="_인원계획표 _적격 _광주평동실행_번암견적의뢰(협력)_구기동레포츠센타제출" xfId="1289"/>
    <cellStyle name="_인원계획표 _적격 _광주평동실행_번암견적의뢰(협력)_용답동오피스텔가실행" xfId="1290"/>
    <cellStyle name="_인원계획표 _적격 _광주평동실행_용답동오피스텔가실행" xfId="1291"/>
    <cellStyle name="_인원계획표 _적격 _광주평동투찰" xfId="2250"/>
    <cellStyle name="_인원계획표 _적격 _광주평동투찰_삽교천개수공사(03.30)" xfId="2251"/>
    <cellStyle name="_인원계획표 _적격 _광주평동투찰_삽교천개수공사(03.30)_구일초(06.17)-부대" xfId="2252"/>
    <cellStyle name="_인원계획표 _적격 _광주평동투찰_삽교천개수공사(03.30)_남성지구(05.26)" xfId="2253"/>
    <cellStyle name="_인원계획표 _적격 _광주평동투찰_삽교천개수공사(03.30)_동산초(06.1)" xfId="2254"/>
    <cellStyle name="_인원계획표 _적격 _광주평동투찰_삽교천개수공사(03.30)_삽교천개수공사(03.30)" xfId="2255"/>
    <cellStyle name="_인원계획표 _적격 _광주평동투찰_삽교천개수공사(03.30)_안산남부경찰서(06.16)-부대" xfId="2256"/>
    <cellStyle name="_인원계획표 _적격 _광주평동투찰_삽교천개수공사(03.30)_제주제성교(05.27)" xfId="2257"/>
    <cellStyle name="_인원계획표 _적격 _광주평동투찰_삽교천개수공사(03.30)_행목지구하천환경(05.25)" xfId="2258"/>
    <cellStyle name="_인원계획표 _적격 _광주평동품의1" xfId="1292"/>
    <cellStyle name="_인원계획표 _적격 _광주평동품의1_구기동(제출)(95.0)(031121)" xfId="1293"/>
    <cellStyle name="_인원계획표 _적격 _광주평동품의1_구기동레포츠센타제출" xfId="1294"/>
    <cellStyle name="_인원계획표 _적격 _광주평동품의1_무안-광주2공구(협력)수정" xfId="1295"/>
    <cellStyle name="_인원계획표 _적격 _광주평동품의1_무안-광주2공구(협력)수정_구기동(제출)(95.0)(031121)" xfId="1296"/>
    <cellStyle name="_인원계획표 _적격 _광주평동품의1_무안-광주2공구(협력)수정_구기동레포츠센타제출" xfId="1297"/>
    <cellStyle name="_인원계획표 _적격 _광주평동품의1_무안-광주2공구(협력)수정_용답동오피스텔가실행" xfId="1298"/>
    <cellStyle name="_인원계획표 _적격 _광주평동품의1_번암견적의뢰(협력)" xfId="1299"/>
    <cellStyle name="_인원계획표 _적격 _광주평동품의1_번암견적의뢰(협력)_구기동(제출)(95.0)(031121)" xfId="1300"/>
    <cellStyle name="_인원계획표 _적격 _광주평동품의1_번암견적의뢰(협력)_구기동레포츠센타제출" xfId="1301"/>
    <cellStyle name="_인원계획표 _적격 _광주평동품의1_번암견적의뢰(협력)_용답동오피스텔가실행" xfId="1302"/>
    <cellStyle name="_인원계획표 _적격 _광주평동품의1_삽교천개수공사(03.30)" xfId="2259"/>
    <cellStyle name="_인원계획표 _적격 _광주평동품의1_삽교천개수공사(03.30)_구일초(06.17)-부대" xfId="2260"/>
    <cellStyle name="_인원계획표 _적격 _광주평동품의1_삽교천개수공사(03.30)_남성지구(05.26)" xfId="2261"/>
    <cellStyle name="_인원계획표 _적격 _광주평동품의1_삽교천개수공사(03.30)_동산초(06.1)" xfId="2262"/>
    <cellStyle name="_인원계획표 _적격 _광주평동품의1_삽교천개수공사(03.30)_삽교천개수공사(03.30)" xfId="2263"/>
    <cellStyle name="_인원계획표 _적격 _광주평동품의1_삽교천개수공사(03.30)_안산남부경찰서(06.16)-부대" xfId="2264"/>
    <cellStyle name="_인원계획표 _적격 _광주평동품의1_삽교천개수공사(03.30)_제주제성교(05.27)" xfId="2265"/>
    <cellStyle name="_인원계획표 _적격 _광주평동품의1_삽교천개수공사(03.30)_행목지구하천환경(05.25)" xfId="2266"/>
    <cellStyle name="_인원계획표 _적격 _광주평동품의1_용답동오피스텔가실행" xfId="1303"/>
    <cellStyle name="_인원계획표 _적격 _광주평동품의1_적상무주IC도로(1공구)" xfId="1304"/>
    <cellStyle name="_인원계획표 _적격 _광주평동품의1_적상무주IC도로(1공구)_구기동(제출)(95.0)(031121)" xfId="1305"/>
    <cellStyle name="_인원계획표 _적격 _광주평동품의1_적상무주IC도로(1공구)_구기동레포츠센타제출" xfId="1306"/>
    <cellStyle name="_인원계획표 _적격 _광주평동품의1_적상무주IC도로(1공구)_용답동오피스텔가실행" xfId="1307"/>
    <cellStyle name="_인원계획표 _적격 _구기동(제출)(95.0)(031121)" xfId="1308"/>
    <cellStyle name="_인원계획표 _적격 _구기동레포츠센타제출" xfId="1309"/>
    <cellStyle name="_인원계획표 _적격 _기장하수실행1" xfId="1310"/>
    <cellStyle name="_인원계획표 _적격 _기장하수실행1_구기동(제출)(95.0)(031121)" xfId="1311"/>
    <cellStyle name="_인원계획표 _적격 _기장하수실행1_구기동레포츠센타제출" xfId="1312"/>
    <cellStyle name="_인원계획표 _적격 _기장하수실행1_번암견적의뢰(협력)" xfId="1313"/>
    <cellStyle name="_인원계획표 _적격 _기장하수실행1_번암견적의뢰(협력)_구기동(제출)(95.0)(031121)" xfId="1314"/>
    <cellStyle name="_인원계획표 _적격 _기장하수실행1_번암견적의뢰(협력)_구기동레포츠센타제출" xfId="1315"/>
    <cellStyle name="_인원계획표 _적격 _기장하수실행1_번암견적의뢰(협력)_용답동오피스텔가실행" xfId="1316"/>
    <cellStyle name="_인원계획표 _적격 _기장하수실행1_용답동오피스텔가실행" xfId="1317"/>
    <cellStyle name="_인원계획표 _적격 _무안-광주2공구(협력)수정" xfId="1318"/>
    <cellStyle name="_인원계획표 _적격 _무안-광주2공구(협력)수정_구기동(제출)(95.0)(031121)" xfId="1319"/>
    <cellStyle name="_인원계획표 _적격 _무안-광주2공구(협력)수정_구기동레포츠센타제출" xfId="1320"/>
    <cellStyle name="_인원계획표 _적격 _무안-광주2공구(협력)수정_용답동오피스텔가실행" xfId="1321"/>
    <cellStyle name="_인원계획표 _적격 _번암견적의뢰(협력)" xfId="1322"/>
    <cellStyle name="_인원계획표 _적격 _번암견적의뢰(협력)_구기동(제출)(95.0)(031121)" xfId="1323"/>
    <cellStyle name="_인원계획표 _적격 _번암견적의뢰(협력)_구기동레포츠센타제출" xfId="1324"/>
    <cellStyle name="_인원계획표 _적격 _번암견적의뢰(협력)_용답동오피스텔가실행" xfId="1325"/>
    <cellStyle name="_인원계획표 _적격 _삽교천개수공사(03.30)" xfId="2267"/>
    <cellStyle name="_인원계획표 _적격 _삽교천개수공사(03.30)_구일초(06.17)-부대" xfId="2268"/>
    <cellStyle name="_인원계획표 _적격 _삽교천개수공사(03.30)_남성지구(05.26)" xfId="2269"/>
    <cellStyle name="_인원계획표 _적격 _삽교천개수공사(03.30)_동산초(06.1)" xfId="2270"/>
    <cellStyle name="_인원계획표 _적격 _삽교천개수공사(03.30)_삽교천개수공사(03.30)" xfId="2271"/>
    <cellStyle name="_인원계획표 _적격 _삽교천개수공사(03.30)_안산남부경찰서(06.16)-부대" xfId="2272"/>
    <cellStyle name="_인원계획표 _적격 _삽교천개수공사(03.30)_제주제성교(05.27)" xfId="2273"/>
    <cellStyle name="_인원계획표 _적격 _삽교천개수공사(03.30)_행목지구하천환경(05.25)" xfId="2274"/>
    <cellStyle name="_인원계획표 _적격 _송학실행안" xfId="1326"/>
    <cellStyle name="_인원계획표 _적격 _송학실행안_구기동(제출)(95.0)(031121)" xfId="1327"/>
    <cellStyle name="_인원계획표 _적격 _송학실행안_구기동레포츠센타제출" xfId="1328"/>
    <cellStyle name="_인원계획표 _적격 _송학실행안_번암견적의뢰(협력)" xfId="1329"/>
    <cellStyle name="_인원계획표 _적격 _송학실행안_번암견적의뢰(협력)_구기동(제출)(95.0)(031121)" xfId="1330"/>
    <cellStyle name="_인원계획표 _적격 _송학실행안_번암견적의뢰(협력)_구기동레포츠센타제출" xfId="1331"/>
    <cellStyle name="_인원계획표 _적격 _송학실행안_번암견적의뢰(협력)_용답동오피스텔가실행" xfId="1332"/>
    <cellStyle name="_인원계획표 _적격 _송학실행안_용답동오피스텔가실행" xfId="1333"/>
    <cellStyle name="_인원계획표 _적격 _송학하수투찰" xfId="1334"/>
    <cellStyle name="_인원계획표 _적격 _송학하수투찰_구기동(제출)(95.0)(031121)" xfId="1335"/>
    <cellStyle name="_인원계획표 _적격 _송학하수투찰_구기동레포츠센타제출" xfId="1336"/>
    <cellStyle name="_인원계획표 _적격 _송학하수투찰_번암견적의뢰(협력)" xfId="1337"/>
    <cellStyle name="_인원계획표 _적격 _송학하수투찰_번암견적의뢰(협력)_구기동(제출)(95.0)(031121)" xfId="1338"/>
    <cellStyle name="_인원계획표 _적격 _송학하수투찰_번암견적의뢰(협력)_구기동레포츠센타제출" xfId="1339"/>
    <cellStyle name="_인원계획표 _적격 _송학하수투찰_번암견적의뢰(협력)_용답동오피스텔가실행" xfId="1340"/>
    <cellStyle name="_인원계획표 _적격 _송학하수투찰_용답동오피스텔가실행" xfId="1341"/>
    <cellStyle name="_인원계획표 _적격 _송학하수품의(설계넣고)" xfId="1342"/>
    <cellStyle name="_인원계획표 _적격 _송학하수품의(설계넣고)_구기동(제출)(95.0)(031121)" xfId="1343"/>
    <cellStyle name="_인원계획표 _적격 _송학하수품의(설계넣고)_구기동레포츠센타제출" xfId="1344"/>
    <cellStyle name="_인원계획표 _적격 _송학하수품의(설계넣고)_무안-광주2공구(협력)수정" xfId="1345"/>
    <cellStyle name="_인원계획표 _적격 _송학하수품의(설계넣고)_무안-광주2공구(협력)수정_구기동(제출)(95.0)(031121)" xfId="1346"/>
    <cellStyle name="_인원계획표 _적격 _송학하수품의(설계넣고)_무안-광주2공구(협력)수정_구기동레포츠센타제출" xfId="1347"/>
    <cellStyle name="_인원계획표 _적격 _송학하수품의(설계넣고)_무안-광주2공구(협력)수정_용답동오피스텔가실행" xfId="1348"/>
    <cellStyle name="_인원계획표 _적격 _송학하수품의(설계넣고)_번암견적의뢰(협력)" xfId="1349"/>
    <cellStyle name="_인원계획표 _적격 _송학하수품의(설계넣고)_번암견적의뢰(협력)_구기동(제출)(95.0)(031121)" xfId="1350"/>
    <cellStyle name="_인원계획표 _적격 _송학하수품의(설계넣고)_번암견적의뢰(협력)_구기동레포츠센타제출" xfId="1351"/>
    <cellStyle name="_인원계획표 _적격 _송학하수품의(설계넣고)_번암견적의뢰(협력)_용답동오피스텔가실행" xfId="1352"/>
    <cellStyle name="_인원계획표 _적격 _송학하수품의(설계넣고)_삽교천개수공사(03.30)" xfId="2275"/>
    <cellStyle name="_인원계획표 _적격 _송학하수품의(설계넣고)_삽교천개수공사(03.30)_구일초(06.17)-부대" xfId="2276"/>
    <cellStyle name="_인원계획표 _적격 _송학하수품의(설계넣고)_삽교천개수공사(03.30)_남성지구(05.26)" xfId="2277"/>
    <cellStyle name="_인원계획표 _적격 _송학하수품의(설계넣고)_삽교천개수공사(03.30)_동산초(06.1)" xfId="2278"/>
    <cellStyle name="_인원계획표 _적격 _송학하수품의(설계넣고)_삽교천개수공사(03.30)_삽교천개수공사(03.30)" xfId="2279"/>
    <cellStyle name="_인원계획표 _적격 _송학하수품의(설계넣고)_삽교천개수공사(03.30)_안산남부경찰서(06.16)-부대" xfId="2280"/>
    <cellStyle name="_인원계획표 _적격 _송학하수품의(설계넣고)_삽교천개수공사(03.30)_제주제성교(05.27)" xfId="2281"/>
    <cellStyle name="_인원계획표 _적격 _송학하수품의(설계넣고)_삽교천개수공사(03.30)_행목지구하천환경(05.25)" xfId="2282"/>
    <cellStyle name="_인원계획표 _적격 _송학하수품의(설계넣고)_용답동오피스텔가실행" xfId="1353"/>
    <cellStyle name="_인원계획표 _적격 _송학하수품의(설계넣고)_적상무주IC도로(1공구)" xfId="1354"/>
    <cellStyle name="_인원계획표 _적격 _송학하수품의(설계넣고)_적상무주IC도로(1공구)_구기동(제출)(95.0)(031121)" xfId="1355"/>
    <cellStyle name="_인원계획표 _적격 _송학하수품의(설계넣고)_적상무주IC도로(1공구)_구기동레포츠센타제출" xfId="1356"/>
    <cellStyle name="_인원계획표 _적격 _송학하수품의(설계넣고)_적상무주IC도로(1공구)_용답동오피스텔가실행" xfId="1357"/>
    <cellStyle name="_인원계획표 _적격 _용답동오피스텔가실행" xfId="1358"/>
    <cellStyle name="_인원계획표 _적격 _적상무주IC도로(1공구)" xfId="1359"/>
    <cellStyle name="_인원계획표 _적격 _적상무주IC도로(1공구)_구기동(제출)(95.0)(031121)" xfId="1360"/>
    <cellStyle name="_인원계획표 _적격 _적상무주IC도로(1공구)_구기동레포츠센타제출" xfId="1361"/>
    <cellStyle name="_인원계획표 _적격 _적상무주IC도로(1공구)_용답동오피스텔가실행" xfId="1362"/>
    <cellStyle name="_인원계획표 _적상무주IC도로(1공구)" xfId="1363"/>
    <cellStyle name="_인원계획표 _적상무주IC도로(1공구)_구기동(제출)(95.0)(031121)" xfId="1364"/>
    <cellStyle name="_인원계획표 _적상무주IC도로(1공구)_구기동레포츠센타제출" xfId="1365"/>
    <cellStyle name="_인원계획표 _적상무주IC도로(1공구)_용답동오피스텔가실행" xfId="1366"/>
    <cellStyle name="_인원계획표 _토목사업본부사업계획2" xfId="7064"/>
    <cellStyle name="_인원계획표 _토목사업본부사업계획2_'04용지,대여금계획(1031)" xfId="7065"/>
    <cellStyle name="_인원계획표 _토목사업본부사업계획2_2004 수금계획(1031)" xfId="7066"/>
    <cellStyle name="_인원계획표 _토목사업본부사업계획2_2004 용지,대여금계획(1113)" xfId="7067"/>
    <cellStyle name="_인원계획표 _토목사업본부사업계획2_2004년 BDT4사업계획" xfId="7068"/>
    <cellStyle name="_인원계획표 _토목사업본부사업계획2_2004년 사업계획(사업개발5)" xfId="7069"/>
    <cellStyle name="_인원계획표 _토목사업본부사업계획2_2004년 사업계획(재개발2팀)" xfId="7070"/>
    <cellStyle name="_인원계획표 _토목사업본부사업계획2_2004년 사업계획(재개발2팀-대여금)" xfId="7071"/>
    <cellStyle name="_인원계획표 _토목사업본부사업계획2_2004년 영업본부 사업계획(1031)" xfId="7072"/>
    <cellStyle name="_인원계획표 _토목사업본부사업계획2_2004년 용지,대여금계획" xfId="7073"/>
    <cellStyle name="_인원계획표 _토목사업본부사업계획2_2004년 재개발1팀 사업계획(1031)" xfId="7074"/>
    <cellStyle name="_인원계획표 _토목사업본부사업계획2_2004년 재개발1팀 사업계획(본부장결재案)1031" xfId="7075"/>
    <cellStyle name="_인원계획표 _토목사업본부사업계획2_2004년 재개발1팀(031124)" xfId="7076"/>
    <cellStyle name="_인원계획표 _토목사업본부사업계획2_2004년대여금계획(案)진짜최종" xfId="7077"/>
    <cellStyle name="_인원계획표 _토목사업본부사업계획2_사업계획수립양식총괄" xfId="7078"/>
    <cellStyle name="_인원계획표 _토목사업본부사업계획2_재개발팀 대여금 자료(수정분)입니다." xfId="7079"/>
    <cellStyle name="_인원계획표 _토목사업본부사업계획2_재개발팀 대여금 자료(수정분)입니다.(2002년,2003년1~9월포함)(최종자료)" xfId="7080"/>
    <cellStyle name="_인원계획표 _투찰(안덕대정)" xfId="7081"/>
    <cellStyle name="_인원계획표 _투찰(안덕대정)_투찰_대둔산" xfId="7082"/>
    <cellStyle name="_인원계획표 _투찰(안덕대정)1" xfId="7083"/>
    <cellStyle name="_인원계획표 _투찰(안덕대정)1_투찰_대둔산" xfId="7084"/>
    <cellStyle name="_인원계획표 _투찰_대둔산" xfId="7085"/>
    <cellStyle name="_인원계획표 _투찰내역" xfId="7086"/>
    <cellStyle name="_인원계획표 _호남권투찰1" xfId="7087"/>
    <cellStyle name="_인천복합화력" xfId="7088"/>
    <cellStyle name="_임원회의(Q1 Forecast)_0206" xfId="7089"/>
    <cellStyle name="_입찰표지 " xfId="1367"/>
    <cellStyle name="_입찰표지 _'04용지,대여금계획(1031)" xfId="7090"/>
    <cellStyle name="_입찰표지 _2001입찰분석" xfId="7091"/>
    <cellStyle name="_입찰표지 _2001입찰분석_2002년도BP양식수정(SOC팀수정부결안1101)" xfId="7092"/>
    <cellStyle name="_입찰표지 _2001입찰분석_2002년도BP양식수정(SOC팀수정부결안1101)_본부별 경영전략 보고 양식" xfId="7093"/>
    <cellStyle name="_입찰표지 _2001입찰분석_2002년도BP양식주정" xfId="7094"/>
    <cellStyle name="_입찰표지 _2001입찰분석_2002년도BP양식주정_2002년도BP양식주정" xfId="7095"/>
    <cellStyle name="_입찰표지 _2001입찰분석_2002년도BP양식주정_2002년도BP양식주정_2002년도BP양식수정(SOC팀수정부결안1101)" xfId="7096"/>
    <cellStyle name="_입찰표지 _2001입찰분석_2002년도BP양식주정_2002년도BP양식주정_2002년도BP양식수정(SOC팀수정부결안1101)_본부별 경영전략 보고 양식" xfId="7097"/>
    <cellStyle name="_입찰표지 _2001입찰분석_2002년도BP양식주정_2002년도BP양식주정_본부별 경영전략 보고 양식" xfId="7098"/>
    <cellStyle name="_입찰표지 _2001입찰분석_2002년도BP양식주정_본부별 경영전략 보고 양식" xfId="7099"/>
    <cellStyle name="_입찰표지 _2001입찰분석_본부별 경영전략 보고 양식" xfId="7100"/>
    <cellStyle name="_입찰표지 _2001입찰분석_사업진척점검회의(2001. 8)" xfId="7101"/>
    <cellStyle name="_입찰표지 _2001입찰분석_사업진척점검회의(2001. 8)_2002년도BP양식수정(SOC팀수정부결안1101)" xfId="7102"/>
    <cellStyle name="_입찰표지 _2001입찰분석_사업진척점검회의(2001. 8)_2002년도BP양식수정(SOC팀수정부결안1101)_본부별 경영전략 보고 양식" xfId="7103"/>
    <cellStyle name="_입찰표지 _2001입찰분석_사업진척점검회의(2001. 8)_2002년도BP양식주정" xfId="7104"/>
    <cellStyle name="_입찰표지 _2001입찰분석_사업진척점검회의(2001. 8)_2002년도BP양식주정_2002년도BP양식주정" xfId="7105"/>
    <cellStyle name="_입찰표지 _2001입찰분석_사업진척점검회의(2001. 8)_2002년도BP양식주정_2002년도BP양식주정_2002년도BP양식수정(SOC팀수정부결안1101)" xfId="7106"/>
    <cellStyle name="_입찰표지 _2001입찰분석_사업진척점검회의(2001. 8)_2002년도BP양식주정_2002년도BP양식주정_2002년도BP양식수정(SOC팀수정부결안1101)_본부별 경영전략 보고 양식" xfId="7107"/>
    <cellStyle name="_입찰표지 _2001입찰분석_사업진척점검회의(2001. 8)_2002년도BP양식주정_2002년도BP양식주정_본부별 경영전략 보고 양식" xfId="7108"/>
    <cellStyle name="_입찰표지 _2001입찰분석_사업진척점검회의(2001. 8)_2002년도BP양식주정_본부별 경영전략 보고 양식" xfId="7109"/>
    <cellStyle name="_입찰표지 _2001입찰분석_사업진척점검회의(2001. 8)_본부별 경영전략 보고 양식" xfId="7110"/>
    <cellStyle name="_입찰표지 _2002년도BP양식수정(SOC팀수정부결안1101)" xfId="7111"/>
    <cellStyle name="_입찰표지 _2002년도BP양식수정(SOC팀수정부결안1101)_본부별 경영전략 보고 양식" xfId="7112"/>
    <cellStyle name="_입찰표지 _2002년도BP양식주정" xfId="7113"/>
    <cellStyle name="_입찰표지 _2002년도BP양식주정_2002년도BP양식주정" xfId="7114"/>
    <cellStyle name="_입찰표지 _2002년도BP양식주정_2002년도BP양식주정_2002년도BP양식수정(SOC팀수정부결안1101)" xfId="7115"/>
    <cellStyle name="_입찰표지 _2002년도BP양식주정_2002년도BP양식주정_2002년도BP양식수정(SOC팀수정부결안1101)_본부별 경영전략 보고 양식" xfId="7116"/>
    <cellStyle name="_입찰표지 _2002년도BP양식주정_2002년도BP양식주정_본부별 경영전략 보고 양식" xfId="7117"/>
    <cellStyle name="_입찰표지 _2002년도BP양식주정_본부별 경영전략 보고 양식" xfId="7118"/>
    <cellStyle name="_입찰표지 _2002년사업실적(추정)2003사업계획양식" xfId="7119"/>
    <cellStyle name="_입찰표지 _2002년사업실적(추정)2003사업계획양식_'04용지,대여금계획(1031)" xfId="7120"/>
    <cellStyle name="_입찰표지 _2002년사업실적(추정)2003사업계획양식_2004 수금계획(1031)" xfId="7121"/>
    <cellStyle name="_입찰표지 _2002년사업실적(추정)2003사업계획양식_2004 용지,대여금계획(1113)" xfId="7122"/>
    <cellStyle name="_입찰표지 _2002년사업실적(추정)2003사업계획양식_2004년 BDT4사업계획" xfId="7123"/>
    <cellStyle name="_입찰표지 _2002년사업실적(추정)2003사업계획양식_2004년 사업계획(사업개발5)" xfId="7124"/>
    <cellStyle name="_입찰표지 _2002년사업실적(추정)2003사업계획양식_2004년 사업계획(재개발2팀)" xfId="7125"/>
    <cellStyle name="_입찰표지 _2002년사업실적(추정)2003사업계획양식_2004년 사업계획(재개발2팀-대여금)" xfId="7126"/>
    <cellStyle name="_입찰표지 _2002년사업실적(추정)2003사업계획양식_2004년 영업본부 사업계획(1031)" xfId="7127"/>
    <cellStyle name="_입찰표지 _2002년사업실적(추정)2003사업계획양식_2004년 용지,대여금계획" xfId="7128"/>
    <cellStyle name="_입찰표지 _2002년사업실적(추정)2003사업계획양식_2004년 재개발1팀 사업계획(1031)" xfId="7129"/>
    <cellStyle name="_입찰표지 _2002년사업실적(추정)2003사업계획양식_2004년 재개발1팀 사업계획(본부장결재案)1031" xfId="7130"/>
    <cellStyle name="_입찰표지 _2002년사업실적(추정)2003사업계획양식_2004년 재개발1팀(031124)" xfId="7131"/>
    <cellStyle name="_입찰표지 _2002년사업실적(추정)2003사업계획양식_2004년대여금계획(案)진짜최종" xfId="7132"/>
    <cellStyle name="_입찰표지 _2002년사업실적(추정)2003사업계획양식_사업계획수립양식총괄" xfId="7133"/>
    <cellStyle name="_입찰표지 _2002년사업실적(추정)2003사업계획양식_재개발팀 대여금 자료(수정분)입니다." xfId="7134"/>
    <cellStyle name="_입찰표지 _2002년사업실적(추정)2003사업계획양식_재개발팀 대여금 자료(수정분)입니다.(2002년,2003년1~9월포함)(최종자료)" xfId="7135"/>
    <cellStyle name="_입찰표지 _2002년사업실적(추정)2003사업계획양식_토목본부사업계획" xfId="7136"/>
    <cellStyle name="_입찰표지 _2002년사업실적(추정)2003사업계획양식_토목본부사업계획_'04용지,대여금계획(1031)" xfId="7137"/>
    <cellStyle name="_입찰표지 _2002년사업실적(추정)2003사업계획양식_토목본부사업계획_2004 수금계획(1031)" xfId="7138"/>
    <cellStyle name="_입찰표지 _2002년사업실적(추정)2003사업계획양식_토목본부사업계획_2004 용지,대여금계획(1113)" xfId="7139"/>
    <cellStyle name="_입찰표지 _2002년사업실적(추정)2003사업계획양식_토목본부사업계획_2004년 BDT4사업계획" xfId="7140"/>
    <cellStyle name="_입찰표지 _2002년사업실적(추정)2003사업계획양식_토목본부사업계획_2004년 사업계획(사업개발5)" xfId="7141"/>
    <cellStyle name="_입찰표지 _2002년사업실적(추정)2003사업계획양식_토목본부사업계획_2004년 사업계획(재개발2팀)" xfId="7142"/>
    <cellStyle name="_입찰표지 _2002년사업실적(추정)2003사업계획양식_토목본부사업계획_2004년 사업계획(재개발2팀-대여금)" xfId="7143"/>
    <cellStyle name="_입찰표지 _2002년사업실적(추정)2003사업계획양식_토목본부사업계획_2004년 영업본부 사업계획(1031)" xfId="7144"/>
    <cellStyle name="_입찰표지 _2002년사업실적(추정)2003사업계획양식_토목본부사업계획_2004년 용지,대여금계획" xfId="7145"/>
    <cellStyle name="_입찰표지 _2002년사업실적(추정)2003사업계획양식_토목본부사업계획_2004년 재개발1팀 사업계획(1031)" xfId="7146"/>
    <cellStyle name="_입찰표지 _2002년사업실적(추정)2003사업계획양식_토목본부사업계획_2004년 재개발1팀 사업계획(본부장결재案)1031" xfId="7147"/>
    <cellStyle name="_입찰표지 _2002년사업실적(추정)2003사업계획양식_토목본부사업계획_2004년 재개발1팀(031124)" xfId="7148"/>
    <cellStyle name="_입찰표지 _2002년사업실적(추정)2003사업계획양식_토목본부사업계획_2004년대여금계획(案)진짜최종" xfId="7149"/>
    <cellStyle name="_입찰표지 _2002년사업실적(추정)2003사업계획양식_토목본부사업계획_사업계획수립양식총괄" xfId="7150"/>
    <cellStyle name="_입찰표지 _2002년사업실적(추정)2003사업계획양식_토목본부사업계획_재개발팀 대여금 자료(수정분)입니다." xfId="7151"/>
    <cellStyle name="_입찰표지 _2002년사업실적(추정)2003사업계획양식_토목본부사업계획_재개발팀 대여금 자료(수정분)입니다.(2002년,2003년1~9월포함)(최종자료)" xfId="7152"/>
    <cellStyle name="_입찰표지 _2002년사업실적(추정)2003사업계획양식_토목본부사업계획_토목사업본부사업계획2" xfId="7153"/>
    <cellStyle name="_입찰표지 _2002년사업실적(추정)2003사업계획양식_토목본부사업계획_토목사업본부사업계획2_'04용지,대여금계획(1031)" xfId="7154"/>
    <cellStyle name="_입찰표지 _2002년사업실적(추정)2003사업계획양식_토목본부사업계획_토목사업본부사업계획2_2004 수금계획(1031)" xfId="7155"/>
    <cellStyle name="_입찰표지 _2002년사업실적(추정)2003사업계획양식_토목본부사업계획_토목사업본부사업계획2_2004 용지,대여금계획(1113)" xfId="7156"/>
    <cellStyle name="_입찰표지 _2002년사업실적(추정)2003사업계획양식_토목본부사업계획_토목사업본부사업계획2_2004년 BDT4사업계획" xfId="7157"/>
    <cellStyle name="_입찰표지 _2002년사업실적(추정)2003사업계획양식_토목본부사업계획_토목사업본부사업계획2_2004년 사업계획(사업개발5)" xfId="7158"/>
    <cellStyle name="_입찰표지 _2002년사업실적(추정)2003사업계획양식_토목본부사업계획_토목사업본부사업계획2_2004년 사업계획(재개발2팀)" xfId="7159"/>
    <cellStyle name="_입찰표지 _2002년사업실적(추정)2003사업계획양식_토목본부사업계획_토목사업본부사업계획2_2004년 사업계획(재개발2팀-대여금)" xfId="7160"/>
    <cellStyle name="_입찰표지 _2002년사업실적(추정)2003사업계획양식_토목본부사업계획_토목사업본부사업계획2_2004년 영업본부 사업계획(1031)" xfId="7161"/>
    <cellStyle name="_입찰표지 _2002년사업실적(추정)2003사업계획양식_토목본부사업계획_토목사업본부사업계획2_2004년 용지,대여금계획" xfId="7162"/>
    <cellStyle name="_입찰표지 _2002년사업실적(추정)2003사업계획양식_토목본부사업계획_토목사업본부사업계획2_2004년 재개발1팀 사업계획(1031)" xfId="7163"/>
    <cellStyle name="_입찰표지 _2002년사업실적(추정)2003사업계획양식_토목본부사업계획_토목사업본부사업계획2_2004년 재개발1팀 사업계획(본부장결재案)1031" xfId="7164"/>
    <cellStyle name="_입찰표지 _2002년사업실적(추정)2003사업계획양식_토목본부사업계획_토목사업본부사업계획2_2004년 재개발1팀(031124)" xfId="7165"/>
    <cellStyle name="_입찰표지 _2002년사업실적(추정)2003사업계획양식_토목본부사업계획_토목사업본부사업계획2_2004년대여금계획(案)진짜최종" xfId="7166"/>
    <cellStyle name="_입찰표지 _2002년사업실적(추정)2003사업계획양식_토목본부사업계획_토목사업본부사업계획2_사업계획수립양식총괄" xfId="7167"/>
    <cellStyle name="_입찰표지 _2002년사업실적(추정)2003사업계획양식_토목본부사업계획_토목사업본부사업계획2_재개발팀 대여금 자료(수정분)입니다." xfId="7168"/>
    <cellStyle name="_입찰표지 _2002년사업실적(추정)2003사업계획양식_토목본부사업계획_토목사업본부사업계획2_재개발팀 대여금 자료(수정분)입니다.(2002년,2003년1~9월포함)(최종자료)" xfId="7169"/>
    <cellStyle name="_입찰표지 _2002년사업실적(추정)2003사업계획양식_토목사업본부사업계획2" xfId="7170"/>
    <cellStyle name="_입찰표지 _2002년사업실적(추정)2003사업계획양식_토목사업본부사업계획2_'04용지,대여금계획(1031)" xfId="7171"/>
    <cellStyle name="_입찰표지 _2002년사업실적(추정)2003사업계획양식_토목사업본부사업계획2_2004 수금계획(1031)" xfId="7172"/>
    <cellStyle name="_입찰표지 _2002년사업실적(추정)2003사업계획양식_토목사업본부사업계획2_2004 용지,대여금계획(1113)" xfId="7173"/>
    <cellStyle name="_입찰표지 _2002년사업실적(추정)2003사업계획양식_토목사업본부사업계획2_2004년 BDT4사업계획" xfId="7174"/>
    <cellStyle name="_입찰표지 _2002년사업실적(추정)2003사업계획양식_토목사업본부사업계획2_2004년 사업계획(사업개발5)" xfId="7175"/>
    <cellStyle name="_입찰표지 _2002년사업실적(추정)2003사업계획양식_토목사업본부사업계획2_2004년 사업계획(재개발2팀)" xfId="7176"/>
    <cellStyle name="_입찰표지 _2002년사업실적(추정)2003사업계획양식_토목사업본부사업계획2_2004년 사업계획(재개발2팀-대여금)" xfId="7177"/>
    <cellStyle name="_입찰표지 _2002년사업실적(추정)2003사업계획양식_토목사업본부사업계획2_2004년 영업본부 사업계획(1031)" xfId="7178"/>
    <cellStyle name="_입찰표지 _2002년사업실적(추정)2003사업계획양식_토목사업본부사업계획2_2004년 용지,대여금계획" xfId="7179"/>
    <cellStyle name="_입찰표지 _2002년사업실적(추정)2003사업계획양식_토목사업본부사업계획2_2004년 재개발1팀 사업계획(1031)" xfId="7180"/>
    <cellStyle name="_입찰표지 _2002년사업실적(추정)2003사업계획양식_토목사업본부사업계획2_2004년 재개발1팀 사업계획(본부장결재案)1031" xfId="7181"/>
    <cellStyle name="_입찰표지 _2002년사업실적(추정)2003사업계획양식_토목사업본부사업계획2_2004년 재개발1팀(031124)" xfId="7182"/>
    <cellStyle name="_입찰표지 _2002년사업실적(추정)2003사업계획양식_토목사업본부사업계획2_2004년대여금계획(案)진짜최종" xfId="7183"/>
    <cellStyle name="_입찰표지 _2002년사업실적(추정)2003사업계획양식_토목사업본부사업계획2_사업계획수립양식총괄" xfId="7184"/>
    <cellStyle name="_입찰표지 _2002년사업실적(추정)2003사업계획양식_토목사업본부사업계획2_재개발팀 대여금 자료(수정분)입니다." xfId="7185"/>
    <cellStyle name="_입찰표지 _2002년사업실적(추정)2003사업계획양식_토목사업본부사업계획2_재개발팀 대여금 자료(수정분)입니다.(2002년,2003년1~9월포함)(최종자료)" xfId="7186"/>
    <cellStyle name="_입찰표지 _2002년사업실적(추정)2003사업계획양식_토목사업본부사업계획3" xfId="7187"/>
    <cellStyle name="_입찰표지 _2002년사업실적(추정)2003사업계획양식_토목사업본부사업계획3_'04용지,대여금계획(1031)" xfId="7188"/>
    <cellStyle name="_입찰표지 _2002년사업실적(추정)2003사업계획양식_토목사업본부사업계획3_2004 수금계획(1031)" xfId="7189"/>
    <cellStyle name="_입찰표지 _2002년사업실적(추정)2003사업계획양식_토목사업본부사업계획3_2004 용지,대여금계획(1113)" xfId="7190"/>
    <cellStyle name="_입찰표지 _2002년사업실적(추정)2003사업계획양식_토목사업본부사업계획3_2004년 BDT4사업계획" xfId="7191"/>
    <cellStyle name="_입찰표지 _2002년사업실적(추정)2003사업계획양식_토목사업본부사업계획3_2004년 사업계획(사업개발5)" xfId="7192"/>
    <cellStyle name="_입찰표지 _2002년사업실적(추정)2003사업계획양식_토목사업본부사업계획3_2004년 사업계획(재개발2팀)" xfId="7193"/>
    <cellStyle name="_입찰표지 _2002년사업실적(추정)2003사업계획양식_토목사업본부사업계획3_2004년 사업계획(재개발2팀-대여금)" xfId="7194"/>
    <cellStyle name="_입찰표지 _2002년사업실적(추정)2003사업계획양식_토목사업본부사업계획3_2004년 영업본부 사업계획(1031)" xfId="7195"/>
    <cellStyle name="_입찰표지 _2002년사업실적(추정)2003사업계획양식_토목사업본부사업계획3_2004년 용지,대여금계획" xfId="7196"/>
    <cellStyle name="_입찰표지 _2002년사업실적(추정)2003사업계획양식_토목사업본부사업계획3_2004년 재개발1팀 사업계획(1031)" xfId="7197"/>
    <cellStyle name="_입찰표지 _2002년사업실적(추정)2003사업계획양식_토목사업본부사업계획3_2004년 재개발1팀 사업계획(본부장결재案)1031" xfId="7198"/>
    <cellStyle name="_입찰표지 _2002년사업실적(추정)2003사업계획양식_토목사업본부사업계획3_2004년 재개발1팀(031124)" xfId="7199"/>
    <cellStyle name="_입찰표지 _2002년사업실적(추정)2003사업계획양식_토목사업본부사업계획3_2004년대여금계획(案)진짜최종" xfId="7200"/>
    <cellStyle name="_입찰표지 _2002년사업실적(추정)2003사업계획양식_토목사업본부사업계획3_사업계획수립양식총괄" xfId="7201"/>
    <cellStyle name="_입찰표지 _2002년사업실적(추정)2003사업계획양식_토목사업본부사업계획3_재개발팀 대여금 자료(수정분)입니다." xfId="7202"/>
    <cellStyle name="_입찰표지 _2002년사업실적(추정)2003사업계획양식_토목사업본부사업계획3_재개발팀 대여금 자료(수정분)입니다.(2002년,2003년1~9월포함)(최종자료)" xfId="7203"/>
    <cellStyle name="_입찰표지 _2002년사업실적(추정)2003사업계획양식_토목사업본부사업계획4-41" xfId="7204"/>
    <cellStyle name="_입찰표지 _2002년사업실적(추정)2003사업계획양식_토목사업본부사업계획4-41_'04용지,대여금계획(1031)" xfId="7205"/>
    <cellStyle name="_입찰표지 _2002년사업실적(추정)2003사업계획양식_토목사업본부사업계획4-41_2004 수금계획(1031)" xfId="7206"/>
    <cellStyle name="_입찰표지 _2002년사업실적(추정)2003사업계획양식_토목사업본부사업계획4-41_2004 용지,대여금계획(1113)" xfId="7207"/>
    <cellStyle name="_입찰표지 _2002년사업실적(추정)2003사업계획양식_토목사업본부사업계획4-41_2004년 BDT4사업계획" xfId="7208"/>
    <cellStyle name="_입찰표지 _2002년사업실적(추정)2003사업계획양식_토목사업본부사업계획4-41_2004년 사업계획(사업개발5)" xfId="7209"/>
    <cellStyle name="_입찰표지 _2002년사업실적(추정)2003사업계획양식_토목사업본부사업계획4-41_2004년 사업계획(재개발2팀)" xfId="7210"/>
    <cellStyle name="_입찰표지 _2002년사업실적(추정)2003사업계획양식_토목사업본부사업계획4-41_2004년 사업계획(재개발2팀-대여금)" xfId="7211"/>
    <cellStyle name="_입찰표지 _2002년사업실적(추정)2003사업계획양식_토목사업본부사업계획4-41_2004년 영업본부 사업계획(1031)" xfId="7212"/>
    <cellStyle name="_입찰표지 _2002년사업실적(추정)2003사업계획양식_토목사업본부사업계획4-41_2004년 용지,대여금계획" xfId="7213"/>
    <cellStyle name="_입찰표지 _2002년사업실적(추정)2003사업계획양식_토목사업본부사업계획4-41_2004년 재개발1팀 사업계획(1031)" xfId="7214"/>
    <cellStyle name="_입찰표지 _2002년사업실적(추정)2003사업계획양식_토목사업본부사업계획4-41_2004년 재개발1팀 사업계획(본부장결재案)1031" xfId="7215"/>
    <cellStyle name="_입찰표지 _2002년사업실적(추정)2003사업계획양식_토목사업본부사업계획4-41_2004년 재개발1팀(031124)" xfId="7216"/>
    <cellStyle name="_입찰표지 _2002년사업실적(추정)2003사업계획양식_토목사업본부사업계획4-41_2004년대여금계획(案)진짜최종" xfId="7217"/>
    <cellStyle name="_입찰표지 _2002년사업실적(추정)2003사업계획양식_토목사업본부사업계획4-41_사업계획수립양식총괄" xfId="7218"/>
    <cellStyle name="_입찰표지 _2002년사업실적(추정)2003사업계획양식_토목사업본부사업계획4-41_재개발팀 대여금 자료(수정분)입니다." xfId="7219"/>
    <cellStyle name="_입찰표지 _2002년사업실적(추정)2003사업계획양식_토목사업본부사업계획4-41_재개발팀 대여금 자료(수정분)입니다.(2002년,2003년1~9월포함)(최종자료)" xfId="7220"/>
    <cellStyle name="_입찰표지 _2002년사업실적(추정)2003사업계획양식-최초" xfId="7221"/>
    <cellStyle name="_입찰표지 _2002년사업실적(추정)2003사업계획양식-최초_'04용지,대여금계획(1031)" xfId="7222"/>
    <cellStyle name="_입찰표지 _2002년사업실적(추정)2003사업계획양식-최초_2004 수금계획(1031)" xfId="7223"/>
    <cellStyle name="_입찰표지 _2002년사업실적(추정)2003사업계획양식-최초_2004 용지,대여금계획(1113)" xfId="7224"/>
    <cellStyle name="_입찰표지 _2002년사업실적(추정)2003사업계획양식-최초_2004년 BDT4사업계획" xfId="7225"/>
    <cellStyle name="_입찰표지 _2002년사업실적(추정)2003사업계획양식-최초_2004년 사업계획(사업개발5)" xfId="7226"/>
    <cellStyle name="_입찰표지 _2002년사업실적(추정)2003사업계획양식-최초_2004년 사업계획(재개발2팀)" xfId="7227"/>
    <cellStyle name="_입찰표지 _2002년사업실적(추정)2003사업계획양식-최초_2004년 사업계획(재개발2팀-대여금)" xfId="7228"/>
    <cellStyle name="_입찰표지 _2002년사업실적(추정)2003사업계획양식-최초_2004년 영업본부 사업계획(1031)" xfId="7229"/>
    <cellStyle name="_입찰표지 _2002년사업실적(추정)2003사업계획양식-최초_2004년 용지,대여금계획" xfId="7230"/>
    <cellStyle name="_입찰표지 _2002년사업실적(추정)2003사업계획양식-최초_2004년 재개발1팀 사업계획(1031)" xfId="7231"/>
    <cellStyle name="_입찰표지 _2002년사업실적(추정)2003사업계획양식-최초_2004년 재개발1팀 사업계획(본부장결재案)1031" xfId="7232"/>
    <cellStyle name="_입찰표지 _2002년사업실적(추정)2003사업계획양식-최초_2004년 재개발1팀(031124)" xfId="7233"/>
    <cellStyle name="_입찰표지 _2002년사업실적(추정)2003사업계획양식-최초_2004년대여금계획(案)진짜최종" xfId="7234"/>
    <cellStyle name="_입찰표지 _2002년사업실적(추정)2003사업계획양식-최초_사업계획수립양식총괄" xfId="7235"/>
    <cellStyle name="_입찰표지 _2002년사업실적(추정)2003사업계획양식-최초_재개발팀 대여금 자료(수정분)입니다." xfId="7236"/>
    <cellStyle name="_입찰표지 _2002년사업실적(추정)2003사업계획양식-최초_재개발팀 대여금 자료(수정분)입니다.(2002년,2003년1~9월포함)(최종자료)" xfId="7237"/>
    <cellStyle name="_입찰표지 _2002년사업실적(추정)2003사업계획양식-최초_토목본부사업계획" xfId="7238"/>
    <cellStyle name="_입찰표지 _2002년사업실적(추정)2003사업계획양식-최초_토목본부사업계획_'04용지,대여금계획(1031)" xfId="7239"/>
    <cellStyle name="_입찰표지 _2002년사업실적(추정)2003사업계획양식-최초_토목본부사업계획_2004 수금계획(1031)" xfId="7240"/>
    <cellStyle name="_입찰표지 _2002년사업실적(추정)2003사업계획양식-최초_토목본부사업계획_2004 용지,대여금계획(1113)" xfId="7241"/>
    <cellStyle name="_입찰표지 _2002년사업실적(추정)2003사업계획양식-최초_토목본부사업계획_2004년 BDT4사업계획" xfId="7242"/>
    <cellStyle name="_입찰표지 _2002년사업실적(추정)2003사업계획양식-최초_토목본부사업계획_2004년 사업계획(사업개발5)" xfId="7243"/>
    <cellStyle name="_입찰표지 _2002년사업실적(추정)2003사업계획양식-최초_토목본부사업계획_2004년 사업계획(재개발2팀)" xfId="7244"/>
    <cellStyle name="_입찰표지 _2002년사업실적(추정)2003사업계획양식-최초_토목본부사업계획_2004년 사업계획(재개발2팀-대여금)" xfId="7245"/>
    <cellStyle name="_입찰표지 _2002년사업실적(추정)2003사업계획양식-최초_토목본부사업계획_2004년 영업본부 사업계획(1031)" xfId="7246"/>
    <cellStyle name="_입찰표지 _2002년사업실적(추정)2003사업계획양식-최초_토목본부사업계획_2004년 용지,대여금계획" xfId="7247"/>
    <cellStyle name="_입찰표지 _2002년사업실적(추정)2003사업계획양식-최초_토목본부사업계획_2004년 재개발1팀 사업계획(1031)" xfId="7248"/>
    <cellStyle name="_입찰표지 _2002년사업실적(추정)2003사업계획양식-최초_토목본부사업계획_2004년 재개발1팀 사업계획(본부장결재案)1031" xfId="7249"/>
    <cellStyle name="_입찰표지 _2002년사업실적(추정)2003사업계획양식-최초_토목본부사업계획_2004년 재개발1팀(031124)" xfId="7250"/>
    <cellStyle name="_입찰표지 _2002년사업실적(추정)2003사업계획양식-최초_토목본부사업계획_2004년대여금계획(案)진짜최종" xfId="7251"/>
    <cellStyle name="_입찰표지 _2002년사업실적(추정)2003사업계획양식-최초_토목본부사업계획_사업계획수립양식총괄" xfId="7252"/>
    <cellStyle name="_입찰표지 _2002년사업실적(추정)2003사업계획양식-최초_토목본부사업계획_재개발팀 대여금 자료(수정분)입니다." xfId="7253"/>
    <cellStyle name="_입찰표지 _2002년사업실적(추정)2003사업계획양식-최초_토목본부사업계획_재개발팀 대여금 자료(수정분)입니다.(2002년,2003년1~9월포함)(최종자료)" xfId="7254"/>
    <cellStyle name="_입찰표지 _2002년사업실적(추정)2003사업계획양식-최초_토목본부사업계획_토목사업본부사업계획2" xfId="7255"/>
    <cellStyle name="_입찰표지 _2002년사업실적(추정)2003사업계획양식-최초_토목본부사업계획_토목사업본부사업계획2_'04용지,대여금계획(1031)" xfId="7256"/>
    <cellStyle name="_입찰표지 _2002년사업실적(추정)2003사업계획양식-최초_토목본부사업계획_토목사업본부사업계획2_2004 수금계획(1031)" xfId="7257"/>
    <cellStyle name="_입찰표지 _2002년사업실적(추정)2003사업계획양식-최초_토목본부사업계획_토목사업본부사업계획2_2004 용지,대여금계획(1113)" xfId="7258"/>
    <cellStyle name="_입찰표지 _2002년사업실적(추정)2003사업계획양식-최초_토목본부사업계획_토목사업본부사업계획2_2004년 BDT4사업계획" xfId="7259"/>
    <cellStyle name="_입찰표지 _2002년사업실적(추정)2003사업계획양식-최초_토목본부사업계획_토목사업본부사업계획2_2004년 사업계획(사업개발5)" xfId="7260"/>
    <cellStyle name="_입찰표지 _2002년사업실적(추정)2003사업계획양식-최초_토목본부사업계획_토목사업본부사업계획2_2004년 사업계획(재개발2팀)" xfId="7261"/>
    <cellStyle name="_입찰표지 _2002년사업실적(추정)2003사업계획양식-최초_토목본부사업계획_토목사업본부사업계획2_2004년 사업계획(재개발2팀-대여금)" xfId="7262"/>
    <cellStyle name="_입찰표지 _2002년사업실적(추정)2003사업계획양식-최초_토목본부사업계획_토목사업본부사업계획2_2004년 영업본부 사업계획(1031)" xfId="7263"/>
    <cellStyle name="_입찰표지 _2002년사업실적(추정)2003사업계획양식-최초_토목본부사업계획_토목사업본부사업계획2_2004년 용지,대여금계획" xfId="7264"/>
    <cellStyle name="_입찰표지 _2002년사업실적(추정)2003사업계획양식-최초_토목본부사업계획_토목사업본부사업계획2_2004년 재개발1팀 사업계획(1031)" xfId="7265"/>
    <cellStyle name="_입찰표지 _2002년사업실적(추정)2003사업계획양식-최초_토목본부사업계획_토목사업본부사업계획2_2004년 재개발1팀 사업계획(본부장결재案)1031" xfId="7266"/>
    <cellStyle name="_입찰표지 _2002년사업실적(추정)2003사업계획양식-최초_토목본부사업계획_토목사업본부사업계획2_2004년 재개발1팀(031124)" xfId="7267"/>
    <cellStyle name="_입찰표지 _2002년사업실적(추정)2003사업계획양식-최초_토목본부사업계획_토목사업본부사업계획2_2004년대여금계획(案)진짜최종" xfId="7268"/>
    <cellStyle name="_입찰표지 _2002년사업실적(추정)2003사업계획양식-최초_토목본부사업계획_토목사업본부사업계획2_사업계획수립양식총괄" xfId="7269"/>
    <cellStyle name="_입찰표지 _2002년사업실적(추정)2003사업계획양식-최초_토목본부사업계획_토목사업본부사업계획2_재개발팀 대여금 자료(수정분)입니다." xfId="7270"/>
    <cellStyle name="_입찰표지 _2002년사업실적(추정)2003사업계획양식-최초_토목본부사업계획_토목사업본부사업계획2_재개발팀 대여금 자료(수정분)입니다.(2002년,2003년1~9월포함)(최종자료)" xfId="7271"/>
    <cellStyle name="_입찰표지 _2002년사업실적(추정)2003사업계획양식-최초_토목사업본부사업계획2" xfId="7272"/>
    <cellStyle name="_입찰표지 _2002년사업실적(추정)2003사업계획양식-최초_토목사업본부사업계획2_'04용지,대여금계획(1031)" xfId="7273"/>
    <cellStyle name="_입찰표지 _2002년사업실적(추정)2003사업계획양식-최초_토목사업본부사업계획2_2004 수금계획(1031)" xfId="7274"/>
    <cellStyle name="_입찰표지 _2002년사업실적(추정)2003사업계획양식-최초_토목사업본부사업계획2_2004 용지,대여금계획(1113)" xfId="7275"/>
    <cellStyle name="_입찰표지 _2002년사업실적(추정)2003사업계획양식-최초_토목사업본부사업계획2_2004년 BDT4사업계획" xfId="7276"/>
    <cellStyle name="_입찰표지 _2002년사업실적(추정)2003사업계획양식-최초_토목사업본부사업계획2_2004년 사업계획(사업개발5)" xfId="7277"/>
    <cellStyle name="_입찰표지 _2002년사업실적(추정)2003사업계획양식-최초_토목사업본부사업계획2_2004년 사업계획(재개발2팀)" xfId="7278"/>
    <cellStyle name="_입찰표지 _2002년사업실적(추정)2003사업계획양식-최초_토목사업본부사업계획2_2004년 사업계획(재개발2팀-대여금)" xfId="7279"/>
    <cellStyle name="_입찰표지 _2002년사업실적(추정)2003사업계획양식-최초_토목사업본부사업계획2_2004년 영업본부 사업계획(1031)" xfId="7280"/>
    <cellStyle name="_입찰표지 _2002년사업실적(추정)2003사업계획양식-최초_토목사업본부사업계획2_2004년 용지,대여금계획" xfId="7281"/>
    <cellStyle name="_입찰표지 _2002년사업실적(추정)2003사업계획양식-최초_토목사업본부사업계획2_2004년 재개발1팀 사업계획(1031)" xfId="7282"/>
    <cellStyle name="_입찰표지 _2002년사업실적(추정)2003사업계획양식-최초_토목사업본부사업계획2_2004년 재개발1팀 사업계획(본부장결재案)1031" xfId="7283"/>
    <cellStyle name="_입찰표지 _2002년사업실적(추정)2003사업계획양식-최초_토목사업본부사업계획2_2004년 재개발1팀(031124)" xfId="7284"/>
    <cellStyle name="_입찰표지 _2002년사업실적(추정)2003사업계획양식-최초_토목사업본부사업계획2_2004년대여금계획(案)진짜최종" xfId="7285"/>
    <cellStyle name="_입찰표지 _2002년사업실적(추정)2003사업계획양식-최초_토목사업본부사업계획2_사업계획수립양식총괄" xfId="7286"/>
    <cellStyle name="_입찰표지 _2002년사업실적(추정)2003사업계획양식-최초_토목사업본부사업계획2_재개발팀 대여금 자료(수정분)입니다." xfId="7287"/>
    <cellStyle name="_입찰표지 _2002년사업실적(추정)2003사업계획양식-최초_토목사업본부사업계획2_재개발팀 대여금 자료(수정분)입니다.(2002년,2003년1~9월포함)(최종자료)" xfId="7288"/>
    <cellStyle name="_입찰표지 _2002년사업실적(추정)2003사업계획양식-최초_토목사업본부사업계획3" xfId="7289"/>
    <cellStyle name="_입찰표지 _2002년사업실적(추정)2003사업계획양식-최초_토목사업본부사업계획3_'04용지,대여금계획(1031)" xfId="7290"/>
    <cellStyle name="_입찰표지 _2002년사업실적(추정)2003사업계획양식-최초_토목사업본부사업계획3_2004 수금계획(1031)" xfId="7291"/>
    <cellStyle name="_입찰표지 _2002년사업실적(추정)2003사업계획양식-최초_토목사업본부사업계획3_2004 용지,대여금계획(1113)" xfId="7292"/>
    <cellStyle name="_입찰표지 _2002년사업실적(추정)2003사업계획양식-최초_토목사업본부사업계획3_2004년 BDT4사업계획" xfId="7293"/>
    <cellStyle name="_입찰표지 _2002년사업실적(추정)2003사업계획양식-최초_토목사업본부사업계획3_2004년 사업계획(사업개발5)" xfId="7294"/>
    <cellStyle name="_입찰표지 _2002년사업실적(추정)2003사업계획양식-최초_토목사업본부사업계획3_2004년 사업계획(재개발2팀)" xfId="7295"/>
    <cellStyle name="_입찰표지 _2002년사업실적(추정)2003사업계획양식-최초_토목사업본부사업계획3_2004년 사업계획(재개발2팀-대여금)" xfId="7296"/>
    <cellStyle name="_입찰표지 _2002년사업실적(추정)2003사업계획양식-최초_토목사업본부사업계획3_2004년 영업본부 사업계획(1031)" xfId="7297"/>
    <cellStyle name="_입찰표지 _2002년사업실적(추정)2003사업계획양식-최초_토목사업본부사업계획3_2004년 용지,대여금계획" xfId="7298"/>
    <cellStyle name="_입찰표지 _2002년사업실적(추정)2003사업계획양식-최초_토목사업본부사업계획3_2004년 재개발1팀 사업계획(1031)" xfId="7299"/>
    <cellStyle name="_입찰표지 _2002년사업실적(추정)2003사업계획양식-최초_토목사업본부사업계획3_2004년 재개발1팀 사업계획(본부장결재案)1031" xfId="7300"/>
    <cellStyle name="_입찰표지 _2002년사업실적(추정)2003사업계획양식-최초_토목사업본부사업계획3_2004년 재개발1팀(031124)" xfId="7301"/>
    <cellStyle name="_입찰표지 _2002년사업실적(추정)2003사업계획양식-최초_토목사업본부사업계획3_2004년대여금계획(案)진짜최종" xfId="7302"/>
    <cellStyle name="_입찰표지 _2002년사업실적(추정)2003사업계획양식-최초_토목사업본부사업계획3_사업계획수립양식총괄" xfId="7303"/>
    <cellStyle name="_입찰표지 _2002년사업실적(추정)2003사업계획양식-최초_토목사업본부사업계획3_재개발팀 대여금 자료(수정분)입니다." xfId="7304"/>
    <cellStyle name="_입찰표지 _2002년사업실적(추정)2003사업계획양식-최초_토목사업본부사업계획3_재개발팀 대여금 자료(수정분)입니다.(2002년,2003년1~9월포함)(최종자료)" xfId="7305"/>
    <cellStyle name="_입찰표지 _2002년사업실적(추정)2003사업계획양식-최초_토목사업본부사업계획4-41" xfId="7306"/>
    <cellStyle name="_입찰표지 _2002년사업실적(추정)2003사업계획양식-최초_토목사업본부사업계획4-41_'04용지,대여금계획(1031)" xfId="7307"/>
    <cellStyle name="_입찰표지 _2002년사업실적(추정)2003사업계획양식-최초_토목사업본부사업계획4-41_2004 수금계획(1031)" xfId="7308"/>
    <cellStyle name="_입찰표지 _2002년사업실적(추정)2003사업계획양식-최초_토목사업본부사업계획4-41_2004 용지,대여금계획(1113)" xfId="7309"/>
    <cellStyle name="_입찰표지 _2002년사업실적(추정)2003사업계획양식-최초_토목사업본부사업계획4-41_2004년 BDT4사업계획" xfId="7310"/>
    <cellStyle name="_입찰표지 _2002년사업실적(추정)2003사업계획양식-최초_토목사업본부사업계획4-41_2004년 사업계획(사업개발5)" xfId="7311"/>
    <cellStyle name="_입찰표지 _2002년사업실적(추정)2003사업계획양식-최초_토목사업본부사업계획4-41_2004년 사업계획(재개발2팀)" xfId="7312"/>
    <cellStyle name="_입찰표지 _2002년사업실적(추정)2003사업계획양식-최초_토목사업본부사업계획4-41_2004년 사업계획(재개발2팀-대여금)" xfId="7313"/>
    <cellStyle name="_입찰표지 _2002년사업실적(추정)2003사업계획양식-최초_토목사업본부사업계획4-41_2004년 영업본부 사업계획(1031)" xfId="7314"/>
    <cellStyle name="_입찰표지 _2002년사업실적(추정)2003사업계획양식-최초_토목사업본부사업계획4-41_2004년 용지,대여금계획" xfId="7315"/>
    <cellStyle name="_입찰표지 _2002년사업실적(추정)2003사업계획양식-최초_토목사업본부사업계획4-41_2004년 재개발1팀 사업계획(1031)" xfId="7316"/>
    <cellStyle name="_입찰표지 _2002년사업실적(추정)2003사업계획양식-최초_토목사업본부사업계획4-41_2004년 재개발1팀 사업계획(본부장결재案)1031" xfId="7317"/>
    <cellStyle name="_입찰표지 _2002년사업실적(추정)2003사업계획양식-최초_토목사업본부사업계획4-41_2004년 재개발1팀(031124)" xfId="7318"/>
    <cellStyle name="_입찰표지 _2002년사업실적(추정)2003사업계획양식-최초_토목사업본부사업계획4-41_2004년대여금계획(案)진짜최종" xfId="7319"/>
    <cellStyle name="_입찰표지 _2002년사업실적(추정)2003사업계획양식-최초_토목사업본부사업계획4-41_사업계획수립양식총괄" xfId="7320"/>
    <cellStyle name="_입찰표지 _2002년사업실적(추정)2003사업계획양식-최초_토목사업본부사업계획4-41_재개발팀 대여금 자료(수정분)입니다." xfId="7321"/>
    <cellStyle name="_입찰표지 _2002년사업실적(추정)2003사업계획양식-최초_토목사업본부사업계획4-41_재개발팀 대여금 자료(수정분)입니다.(2002년,2003년1~9월포함)(최종자료)" xfId="7322"/>
    <cellStyle name="_입찰표지 _2003년 착준공현황" xfId="7323"/>
    <cellStyle name="_입찰표지 _2003년 착준공현황_'04용지,대여금계획(1031)" xfId="7324"/>
    <cellStyle name="_입찰표지 _2003년 착준공현황_2004 용지,대여금계획(1113)" xfId="7325"/>
    <cellStyle name="_입찰표지 _2003년 착준공현황_2004년 BDT4사업계획" xfId="7326"/>
    <cellStyle name="_입찰표지 _2003년 착준공현황_2004년 사업계획(사업개발5)" xfId="7327"/>
    <cellStyle name="_입찰표지 _2003년 착준공현황_2004년 사업계획(재개발2팀)" xfId="7328"/>
    <cellStyle name="_입찰표지 _2003년 착준공현황_2004년 사업계획(재개발2팀-대여금)" xfId="7329"/>
    <cellStyle name="_입찰표지 _2003년 착준공현황_2004년 영업본부 사업계획(1031)" xfId="7330"/>
    <cellStyle name="_입찰표지 _2003년 착준공현황_2004년 용지,대여금계획" xfId="7331"/>
    <cellStyle name="_입찰표지 _2003년 착준공현황_2004년 재개발1팀 사업계획(1031)" xfId="7332"/>
    <cellStyle name="_입찰표지 _2003년 착준공현황_2004년 재개발1팀 사업계획(본부장결재案)1031" xfId="7333"/>
    <cellStyle name="_입찰표지 _2003년 착준공현황_2004년 재개발1팀(031124)" xfId="7334"/>
    <cellStyle name="_입찰표지 _2003년 착준공현황_2004년대여금계획(案)진짜최종" xfId="7335"/>
    <cellStyle name="_입찰표지 _2003년 착준공현황_재개발팀 대여금 자료(수정분)입니다." xfId="7336"/>
    <cellStyle name="_입찰표지 _2003년 착준공현황_재개발팀 대여금 자료(수정분)입니다.(2002년,2003년1~9월포함)(최종자료)" xfId="7337"/>
    <cellStyle name="_입찰표지 _2004 수금계획(1031)" xfId="7338"/>
    <cellStyle name="_입찰표지 _2004 용지,대여금계획(1113)" xfId="7339"/>
    <cellStyle name="_입찰표지 _2004년 BDT4사업계획" xfId="7340"/>
    <cellStyle name="_입찰표지 _2004년 사업계획(사업개발5)" xfId="7341"/>
    <cellStyle name="_입찰표지 _2004년 사업계획(재개발2팀)" xfId="7342"/>
    <cellStyle name="_입찰표지 _2004년 사업계획(재개발2팀-대여금)" xfId="7343"/>
    <cellStyle name="_입찰표지 _2004년 영업본부 사업계획(1031)" xfId="7344"/>
    <cellStyle name="_입찰표지 _2004년 용지,대여금계획" xfId="7345"/>
    <cellStyle name="_입찰표지 _2004년 재개발1팀 사업계획(1031)" xfId="7346"/>
    <cellStyle name="_입찰표지 _2004년 재개발1팀 사업계획(본부장결재案)1031" xfId="7347"/>
    <cellStyle name="_입찰표지 _2004년 재개발1팀(031124)" xfId="7348"/>
    <cellStyle name="_입찰표지 _2004년대여금계획(案)진짜최종" xfId="7349"/>
    <cellStyle name="_입찰표지 _계약고,01,02,03,04년매출정리2(최종)" xfId="7350"/>
    <cellStyle name="_입찰표지 _계약고,01,02,03,04년매출정리2(최종)_'04용지,대여금계획(1031)" xfId="7351"/>
    <cellStyle name="_입찰표지 _계약고,01,02,03,04년매출정리2(최종)_2004 수금계획(1031)" xfId="7352"/>
    <cellStyle name="_입찰표지 _계약고,01,02,03,04년매출정리2(최종)_2004 용지,대여금계획(1113)" xfId="7353"/>
    <cellStyle name="_입찰표지 _계약고,01,02,03,04년매출정리2(최종)_2004년 BDT4사업계획" xfId="7354"/>
    <cellStyle name="_입찰표지 _계약고,01,02,03,04년매출정리2(최종)_2004년 사업계획(사업개발5)" xfId="7355"/>
    <cellStyle name="_입찰표지 _계약고,01,02,03,04년매출정리2(최종)_2004년 사업계획(재개발2팀)" xfId="7356"/>
    <cellStyle name="_입찰표지 _계약고,01,02,03,04년매출정리2(최종)_2004년 사업계획(재개발2팀-대여금)" xfId="7357"/>
    <cellStyle name="_입찰표지 _계약고,01,02,03,04년매출정리2(최종)_2004년 영업본부 사업계획(1031)" xfId="7358"/>
    <cellStyle name="_입찰표지 _계약고,01,02,03,04년매출정리2(최종)_2004년 용지,대여금계획" xfId="7359"/>
    <cellStyle name="_입찰표지 _계약고,01,02,03,04년매출정리2(최종)_2004년 재개발1팀 사업계획(1031)" xfId="7360"/>
    <cellStyle name="_입찰표지 _계약고,01,02,03,04년매출정리2(최종)_2004년 재개발1팀 사업계획(본부장결재案)1031" xfId="7361"/>
    <cellStyle name="_입찰표지 _계약고,01,02,03,04년매출정리2(최종)_2004년 재개발1팀(031124)" xfId="7362"/>
    <cellStyle name="_입찰표지 _계약고,01,02,03,04년매출정리2(최종)_2004년대여금계획(案)진짜최종" xfId="7363"/>
    <cellStyle name="_입찰표지 _계약고,01,02,03,04년매출정리2(최종)_사업계획수립양식총괄" xfId="7364"/>
    <cellStyle name="_입찰표지 _계약고,01,02,03,04년매출정리2(최종)_재개발팀 대여금 자료(수정분)입니다." xfId="7365"/>
    <cellStyle name="_입찰표지 _계약고,01,02,03,04년매출정리2(최종)_재개발팀 대여금 자료(수정분)입니다.(2002년,2003년1~9월포함)(최종자료)" xfId="7366"/>
    <cellStyle name="_입찰표지 _광주평동실행" xfId="1368"/>
    <cellStyle name="_입찰표지 _광주평동실행_구기동(제출)(95.0)(031121)" xfId="1369"/>
    <cellStyle name="_입찰표지 _광주평동실행_구기동레포츠센타제출" xfId="1370"/>
    <cellStyle name="_입찰표지 _광주평동실행_번암견적의뢰(협력)" xfId="1371"/>
    <cellStyle name="_입찰표지 _광주평동실행_번암견적의뢰(협력)_구기동(제출)(95.0)(031121)" xfId="1372"/>
    <cellStyle name="_입찰표지 _광주평동실행_번암견적의뢰(협력)_구기동레포츠센타제출" xfId="1373"/>
    <cellStyle name="_입찰표지 _광주평동실행_번암견적의뢰(협력)_용답동오피스텔가실행" xfId="1374"/>
    <cellStyle name="_입찰표지 _광주평동실행_용답동오피스텔가실행" xfId="1375"/>
    <cellStyle name="_입찰표지 _광주평동투찰" xfId="2283"/>
    <cellStyle name="_입찰표지 _광주평동투찰_삽교천개수공사(03.30)" xfId="2284"/>
    <cellStyle name="_입찰표지 _광주평동투찰_삽교천개수공사(03.30)_구일초(06.17)-부대" xfId="2285"/>
    <cellStyle name="_입찰표지 _광주평동투찰_삽교천개수공사(03.30)_남성지구(05.26)" xfId="2286"/>
    <cellStyle name="_입찰표지 _광주평동투찰_삽교천개수공사(03.30)_동산초(06.1)" xfId="2287"/>
    <cellStyle name="_입찰표지 _광주평동투찰_삽교천개수공사(03.30)_삽교천개수공사(03.30)" xfId="2288"/>
    <cellStyle name="_입찰표지 _광주평동투찰_삽교천개수공사(03.30)_안산남부경찰서(06.16)-부대" xfId="2289"/>
    <cellStyle name="_입찰표지 _광주평동투찰_삽교천개수공사(03.30)_제주제성교(05.27)" xfId="2290"/>
    <cellStyle name="_입찰표지 _광주평동투찰_삽교천개수공사(03.30)_행목지구하천환경(05.25)" xfId="2291"/>
    <cellStyle name="_입찰표지 _광주평동품의1" xfId="1376"/>
    <cellStyle name="_입찰표지 _광주평동품의1_구기동(제출)(95.0)(031121)" xfId="1377"/>
    <cellStyle name="_입찰표지 _광주평동품의1_구기동레포츠센타제출" xfId="1378"/>
    <cellStyle name="_입찰표지 _광주평동품의1_무안-광주2공구(협력)수정" xfId="1379"/>
    <cellStyle name="_입찰표지 _광주평동품의1_무안-광주2공구(협력)수정_구기동(제출)(95.0)(031121)" xfId="1380"/>
    <cellStyle name="_입찰표지 _광주평동품의1_무안-광주2공구(협력)수정_구기동레포츠센타제출" xfId="1381"/>
    <cellStyle name="_입찰표지 _광주평동품의1_무안-광주2공구(협력)수정_용답동오피스텔가실행" xfId="1382"/>
    <cellStyle name="_입찰표지 _광주평동품의1_번암견적의뢰(협력)" xfId="1383"/>
    <cellStyle name="_입찰표지 _광주평동품의1_번암견적의뢰(협력)_구기동(제출)(95.0)(031121)" xfId="1384"/>
    <cellStyle name="_입찰표지 _광주평동품의1_번암견적의뢰(협력)_구기동레포츠센타제출" xfId="1385"/>
    <cellStyle name="_입찰표지 _광주평동품의1_번암견적의뢰(협력)_용답동오피스텔가실행" xfId="1386"/>
    <cellStyle name="_입찰표지 _광주평동품의1_삽교천개수공사(03.30)" xfId="2292"/>
    <cellStyle name="_입찰표지 _광주평동품의1_삽교천개수공사(03.30)_구일초(06.17)-부대" xfId="2293"/>
    <cellStyle name="_입찰표지 _광주평동품의1_삽교천개수공사(03.30)_남성지구(05.26)" xfId="2294"/>
    <cellStyle name="_입찰표지 _광주평동품의1_삽교천개수공사(03.30)_동산초(06.1)" xfId="2295"/>
    <cellStyle name="_입찰표지 _광주평동품의1_삽교천개수공사(03.30)_삽교천개수공사(03.30)" xfId="2296"/>
    <cellStyle name="_입찰표지 _광주평동품의1_삽교천개수공사(03.30)_안산남부경찰서(06.16)-부대" xfId="2297"/>
    <cellStyle name="_입찰표지 _광주평동품의1_삽교천개수공사(03.30)_제주제성교(05.27)" xfId="2298"/>
    <cellStyle name="_입찰표지 _광주평동품의1_삽교천개수공사(03.30)_행목지구하천환경(05.25)" xfId="2299"/>
    <cellStyle name="_입찰표지 _광주평동품의1_용답동오피스텔가실행" xfId="1387"/>
    <cellStyle name="_입찰표지 _광주평동품의1_적상무주IC도로(1공구)" xfId="1388"/>
    <cellStyle name="_입찰표지 _광주평동품의1_적상무주IC도로(1공구)_구기동(제출)(95.0)(031121)" xfId="1389"/>
    <cellStyle name="_입찰표지 _광주평동품의1_적상무주IC도로(1공구)_구기동레포츠센타제출" xfId="1390"/>
    <cellStyle name="_입찰표지 _광주평동품의1_적상무주IC도로(1공구)_용답동오피스텔가실행" xfId="1391"/>
    <cellStyle name="_입찰표지 _구기동(제출)(95.0)(031121)" xfId="1392"/>
    <cellStyle name="_입찰표지 _구기동레포츠센타제출" xfId="1393"/>
    <cellStyle name="_입찰표지 _기장하수실행1" xfId="1394"/>
    <cellStyle name="_입찰표지 _기장하수실행1_구기동(제출)(95.0)(031121)" xfId="1395"/>
    <cellStyle name="_입찰표지 _기장하수실행1_구기동레포츠센타제출" xfId="1396"/>
    <cellStyle name="_입찰표지 _기장하수실행1_번암견적의뢰(협력)" xfId="1397"/>
    <cellStyle name="_입찰표지 _기장하수실행1_번암견적의뢰(협력)_구기동(제출)(95.0)(031121)" xfId="1398"/>
    <cellStyle name="_입찰표지 _기장하수실행1_번암견적의뢰(협력)_구기동레포츠센타제출" xfId="1399"/>
    <cellStyle name="_입찰표지 _기장하수실행1_번암견적의뢰(협력)_용답동오피스텔가실행" xfId="1400"/>
    <cellStyle name="_입찰표지 _기장하수실행1_용답동오피스텔가실행" xfId="1401"/>
    <cellStyle name="_입찰표지 _김해작업중" xfId="7367"/>
    <cellStyle name="_입찰표지 _김해작업중_2002년도BP양식수정(SOC팀수정부결안1101)" xfId="7368"/>
    <cellStyle name="_입찰표지 _김해작업중_2002년도BP양식수정(SOC팀수정부결안1101)_본부별 경영전략 보고 양식" xfId="7369"/>
    <cellStyle name="_입찰표지 _김해작업중_2002년도BP양식주정" xfId="7370"/>
    <cellStyle name="_입찰표지 _김해작업중_2002년도BP양식주정_2002년도BP양식주정" xfId="7371"/>
    <cellStyle name="_입찰표지 _김해작업중_2002년도BP양식주정_2002년도BP양식주정_2002년도BP양식수정(SOC팀수정부결안1101)" xfId="7372"/>
    <cellStyle name="_입찰표지 _김해작업중_2002년도BP양식주정_2002년도BP양식주정_2002년도BP양식수정(SOC팀수정부결안1101)_본부별 경영전략 보고 양식" xfId="7373"/>
    <cellStyle name="_입찰표지 _김해작업중_2002년도BP양식주정_2002년도BP양식주정_본부별 경영전략 보고 양식" xfId="7374"/>
    <cellStyle name="_입찰표지 _김해작업중_2002년도BP양식주정_본부별 경영전략 보고 양식" xfId="7375"/>
    <cellStyle name="_입찰표지 _김해작업중_본부별 경영전략 보고 양식" xfId="7376"/>
    <cellStyle name="_입찰표지 _김해작업중_사업진척점검회의(2001. 8)" xfId="7377"/>
    <cellStyle name="_입찰표지 _김해작업중_사업진척점검회의(2001. 8)_2002년도BP양식수정(SOC팀수정부결안1101)" xfId="7378"/>
    <cellStyle name="_입찰표지 _김해작업중_사업진척점검회의(2001. 8)_2002년도BP양식수정(SOC팀수정부결안1101)_본부별 경영전략 보고 양식" xfId="7379"/>
    <cellStyle name="_입찰표지 _김해작업중_사업진척점검회의(2001. 8)_2002년도BP양식주정" xfId="7380"/>
    <cellStyle name="_입찰표지 _김해작업중_사업진척점검회의(2001. 8)_2002년도BP양식주정_2002년도BP양식주정" xfId="7381"/>
    <cellStyle name="_입찰표지 _김해작업중_사업진척점검회의(2001. 8)_2002년도BP양식주정_2002년도BP양식주정_2002년도BP양식수정(SOC팀수정부결안1101)" xfId="7382"/>
    <cellStyle name="_입찰표지 _김해작업중_사업진척점검회의(2001. 8)_2002년도BP양식주정_2002년도BP양식주정_2002년도BP양식수정(SOC팀수정부결안1101)_본부별 경영전략 보고 양식" xfId="7383"/>
    <cellStyle name="_입찰표지 _김해작업중_사업진척점검회의(2001. 8)_2002년도BP양식주정_2002년도BP양식주정_본부별 경영전략 보고 양식" xfId="7384"/>
    <cellStyle name="_입찰표지 _김해작업중_사업진척점검회의(2001. 8)_2002년도BP양식주정_본부별 경영전략 보고 양식" xfId="7385"/>
    <cellStyle name="_입찰표지 _김해작업중_사업진척점검회의(2001. 8)_본부별 경영전략 보고 양식" xfId="7386"/>
    <cellStyle name="_입찰표지 _김해작업중_선운흥덕실행" xfId="7387"/>
    <cellStyle name="_입찰표지 _김해작업중_선운흥덕실행_2002년도BP양식수정(SOC팀수정부결안1101)" xfId="7388"/>
    <cellStyle name="_입찰표지 _김해작업중_선운흥덕실행_2002년도BP양식수정(SOC팀수정부결안1101)_본부별 경영전략 보고 양식" xfId="7389"/>
    <cellStyle name="_입찰표지 _김해작업중_선운흥덕실행_2002년도BP양식주정" xfId="7390"/>
    <cellStyle name="_입찰표지 _김해작업중_선운흥덕실행_2002년도BP양식주정_2002년도BP양식주정" xfId="7391"/>
    <cellStyle name="_입찰표지 _김해작업중_선운흥덕실행_2002년도BP양식주정_2002년도BP양식주정_2002년도BP양식수정(SOC팀수정부결안1101)" xfId="7392"/>
    <cellStyle name="_입찰표지 _김해작업중_선운흥덕실행_2002년도BP양식주정_2002년도BP양식주정_2002년도BP양식수정(SOC팀수정부결안1101)_본부별 경영전략 보고 양식" xfId="7393"/>
    <cellStyle name="_입찰표지 _김해작업중_선운흥덕실행_2002년도BP양식주정_2002년도BP양식주정_본부별 경영전략 보고 양식" xfId="7394"/>
    <cellStyle name="_입찰표지 _김해작업중_선운흥덕실행_2002년도BP양식주정_본부별 경영전략 보고 양식" xfId="7395"/>
    <cellStyle name="_입찰표지 _김해작업중_선운흥덕실행_본부별 경영전략 보고 양식" xfId="7396"/>
    <cellStyle name="_입찰표지 _김해작업중_선운흥덕실행_사업진척점검회의(2001. 8)" xfId="7397"/>
    <cellStyle name="_입찰표지 _김해작업중_선운흥덕실행_사업진척점검회의(2001. 8)_2002년도BP양식수정(SOC팀수정부결안1101)" xfId="7398"/>
    <cellStyle name="_입찰표지 _김해작업중_선운흥덕실행_사업진척점검회의(2001. 8)_2002년도BP양식수정(SOC팀수정부결안1101)_본부별 경영전략 보고 양식" xfId="7399"/>
    <cellStyle name="_입찰표지 _김해작업중_선운흥덕실행_사업진척점검회의(2001. 8)_2002년도BP양식주정" xfId="7400"/>
    <cellStyle name="_입찰표지 _김해작업중_선운흥덕실행_사업진척점검회의(2001. 8)_2002년도BP양식주정_2002년도BP양식주정" xfId="7401"/>
    <cellStyle name="_입찰표지 _김해작업중_선운흥덕실행_사업진척점검회의(2001. 8)_2002년도BP양식주정_2002년도BP양식주정_2002년도BP양식수정(SOC팀수정부결안1101)" xfId="7402"/>
    <cellStyle name="_입찰표지 _김해작업중_선운흥덕실행_사업진척점검회의(2001. 8)_2002년도BP양식주정_2002년도BP양식주정_2002년도BP양식수정(SOC팀수정부결안1101)_본부별 경영전략 보고 양식" xfId="7403"/>
    <cellStyle name="_입찰표지 _김해작업중_선운흥덕실행_사업진척점검회의(2001. 8)_2002년도BP양식주정_2002년도BP양식주정_본부별 경영전략 보고 양식" xfId="7404"/>
    <cellStyle name="_입찰표지 _김해작업중_선운흥덕실행_사업진척점검회의(2001. 8)_2002년도BP양식주정_본부별 경영전략 보고 양식" xfId="7405"/>
    <cellStyle name="_입찰표지 _김해작업중_선운흥덕실행_사업진척점검회의(2001. 8)_본부별 경영전략 보고 양식" xfId="7406"/>
    <cellStyle name="_입찰표지 _동원작업중" xfId="7407"/>
    <cellStyle name="_입찰표지 _동원작업중_2002년도BP양식수정(SOC팀수정부결안1101)" xfId="7408"/>
    <cellStyle name="_입찰표지 _동원작업중_2002년도BP양식수정(SOC팀수정부결안1101)_본부별 경영전략 보고 양식" xfId="7409"/>
    <cellStyle name="_입찰표지 _동원작업중_2002년도BP양식주정" xfId="7410"/>
    <cellStyle name="_입찰표지 _동원작업중_2002년도BP양식주정_2002년도BP양식주정" xfId="7411"/>
    <cellStyle name="_입찰표지 _동원작업중_2002년도BP양식주정_2002년도BP양식주정_2002년도BP양식수정(SOC팀수정부결안1101)" xfId="7412"/>
    <cellStyle name="_입찰표지 _동원작업중_2002년도BP양식주정_2002년도BP양식주정_2002년도BP양식수정(SOC팀수정부결안1101)_본부별 경영전략 보고 양식" xfId="7413"/>
    <cellStyle name="_입찰표지 _동원작업중_2002년도BP양식주정_2002년도BP양식주정_본부별 경영전략 보고 양식" xfId="7414"/>
    <cellStyle name="_입찰표지 _동원작업중_2002년도BP양식주정_본부별 경영전략 보고 양식" xfId="7415"/>
    <cellStyle name="_입찰표지 _동원작업중_본부별 경영전략 보고 양식" xfId="7416"/>
    <cellStyle name="_입찰표지 _동원작업중_사업진척점검회의(2001. 8)" xfId="7417"/>
    <cellStyle name="_입찰표지 _동원작업중_사업진척점검회의(2001. 8)_2002년도BP양식수정(SOC팀수정부결안1101)" xfId="7418"/>
    <cellStyle name="_입찰표지 _동원작업중_사업진척점검회의(2001. 8)_2002년도BP양식수정(SOC팀수정부결안1101)_본부별 경영전략 보고 양식" xfId="7419"/>
    <cellStyle name="_입찰표지 _동원작업중_사업진척점검회의(2001. 8)_2002년도BP양식주정" xfId="7420"/>
    <cellStyle name="_입찰표지 _동원작업중_사업진척점검회의(2001. 8)_2002년도BP양식주정_2002년도BP양식주정" xfId="7421"/>
    <cellStyle name="_입찰표지 _동원작업중_사업진척점검회의(2001. 8)_2002년도BP양식주정_2002년도BP양식주정_2002년도BP양식수정(SOC팀수정부결안1101)" xfId="7422"/>
    <cellStyle name="_입찰표지 _동원작업중_사업진척점검회의(2001. 8)_2002년도BP양식주정_2002년도BP양식주정_2002년도BP양식수정(SOC팀수정부결안1101)_본부별 경영전략 보고 양식" xfId="7423"/>
    <cellStyle name="_입찰표지 _동원작업중_사업진척점검회의(2001. 8)_2002년도BP양식주정_2002년도BP양식주정_본부별 경영전략 보고 양식" xfId="7424"/>
    <cellStyle name="_입찰표지 _동원작업중_사업진척점검회의(2001. 8)_2002년도BP양식주정_본부별 경영전략 보고 양식" xfId="7425"/>
    <cellStyle name="_입찰표지 _동원작업중_사업진척점검회의(2001. 8)_본부별 경영전략 보고 양식" xfId="7426"/>
    <cellStyle name="_입찰표지 _동원작업중_선운흥덕실행" xfId="7427"/>
    <cellStyle name="_입찰표지 _동원작업중_선운흥덕실행_2002년도BP양식수정(SOC팀수정부결안1101)" xfId="7428"/>
    <cellStyle name="_입찰표지 _동원작업중_선운흥덕실행_2002년도BP양식수정(SOC팀수정부결안1101)_본부별 경영전략 보고 양식" xfId="7429"/>
    <cellStyle name="_입찰표지 _동원작업중_선운흥덕실행_2002년도BP양식주정" xfId="7430"/>
    <cellStyle name="_입찰표지 _동원작업중_선운흥덕실행_2002년도BP양식주정_2002년도BP양식주정" xfId="7431"/>
    <cellStyle name="_입찰표지 _동원작업중_선운흥덕실행_2002년도BP양식주정_2002년도BP양식주정_2002년도BP양식수정(SOC팀수정부결안1101)" xfId="7432"/>
    <cellStyle name="_입찰표지 _동원작업중_선운흥덕실행_2002년도BP양식주정_2002년도BP양식주정_2002년도BP양식수정(SOC팀수정부결안1101)_본부별 경영전략 보고 양식" xfId="7433"/>
    <cellStyle name="_입찰표지 _동원작업중_선운흥덕실행_2002년도BP양식주정_2002년도BP양식주정_본부별 경영전략 보고 양식" xfId="7434"/>
    <cellStyle name="_입찰표지 _동원작업중_선운흥덕실행_2002년도BP양식주정_본부별 경영전략 보고 양식" xfId="7435"/>
    <cellStyle name="_입찰표지 _동원작업중_선운흥덕실행_본부별 경영전략 보고 양식" xfId="7436"/>
    <cellStyle name="_입찰표지 _동원작업중_선운흥덕실행_사업진척점검회의(2001. 8)" xfId="7437"/>
    <cellStyle name="_입찰표지 _동원작업중_선운흥덕실행_사업진척점검회의(2001. 8)_2002년도BP양식수정(SOC팀수정부결안1101)" xfId="7438"/>
    <cellStyle name="_입찰표지 _동원작업중_선운흥덕실행_사업진척점검회의(2001. 8)_2002년도BP양식수정(SOC팀수정부결안1101)_본부별 경영전략 보고 양식" xfId="7439"/>
    <cellStyle name="_입찰표지 _동원작업중_선운흥덕실행_사업진척점검회의(2001. 8)_2002년도BP양식주정" xfId="7440"/>
    <cellStyle name="_입찰표지 _동원작업중_선운흥덕실행_사업진척점검회의(2001. 8)_2002년도BP양식주정_2002년도BP양식주정" xfId="7441"/>
    <cellStyle name="_입찰표지 _동원작업중_선운흥덕실행_사업진척점검회의(2001. 8)_2002년도BP양식주정_2002년도BP양식주정_2002년도BP양식수정(SOC팀수정부결안1101)" xfId="7442"/>
    <cellStyle name="_입찰표지 _동원작업중_선운흥덕실행_사업진척점검회의(2001. 8)_2002년도BP양식주정_2002년도BP양식주정_2002년도BP양식수정(SOC팀수정부결안1101)_본부별 경영전략 보고 양식" xfId="7443"/>
    <cellStyle name="_입찰표지 _동원작업중_선운흥덕실행_사업진척점검회의(2001. 8)_2002년도BP양식주정_2002년도BP양식주정_본부별 경영전략 보고 양식" xfId="7444"/>
    <cellStyle name="_입찰표지 _동원작업중_선운흥덕실행_사업진척점검회의(2001. 8)_2002년도BP양식주정_본부별 경영전략 보고 양식" xfId="7445"/>
    <cellStyle name="_입찰표지 _동원작업중_선운흥덕실행_사업진척점검회의(2001. 8)_본부별 경영전략 보고 양식" xfId="7446"/>
    <cellStyle name="_입찰표지 _무안-광주2공구(협력)수정" xfId="1402"/>
    <cellStyle name="_입찰표지 _무안-광주2공구(협력)수정_구기동(제출)(95.0)(031121)" xfId="1403"/>
    <cellStyle name="_입찰표지 _무안-광주2공구(협력)수정_구기동레포츠센타제출" xfId="1404"/>
    <cellStyle name="_입찰표지 _무안-광주2공구(협력)수정_용답동오피스텔가실행" xfId="1405"/>
    <cellStyle name="_입찰표지 _번암견적의뢰(협력)" xfId="1406"/>
    <cellStyle name="_입찰표지 _번암견적의뢰(협력)_구기동(제출)(95.0)(031121)" xfId="1407"/>
    <cellStyle name="_입찰표지 _번암견적의뢰(협력)_구기동레포츠센타제출" xfId="1408"/>
    <cellStyle name="_입찰표지 _번암견적의뢰(협력)_용답동오피스텔가실행" xfId="1409"/>
    <cellStyle name="_입찰표지 _본부별 경영전략 보고 양식" xfId="7447"/>
    <cellStyle name="_입찰표지 _사본 - 2004년 전략경영계획(1126)" xfId="7448"/>
    <cellStyle name="_입찰표지 _사업계획수립양식총괄" xfId="7449"/>
    <cellStyle name="_입찰표지 _사업진척점검회의(2001. 8)" xfId="7450"/>
    <cellStyle name="_입찰표지 _사업진척점검회의(2001. 8)_2002년도BP양식수정(SOC팀수정부결안1101)" xfId="7451"/>
    <cellStyle name="_입찰표지 _사업진척점검회의(2001. 8)_2002년도BP양식수정(SOC팀수정부결안1101)_본부별 경영전략 보고 양식" xfId="7452"/>
    <cellStyle name="_입찰표지 _사업진척점검회의(2001. 8)_2002년도BP양식주정" xfId="7453"/>
    <cellStyle name="_입찰표지 _사업진척점검회의(2001. 8)_2002년도BP양식주정_2002년도BP양식주정" xfId="7454"/>
    <cellStyle name="_입찰표지 _사업진척점검회의(2001. 8)_2002년도BP양식주정_2002년도BP양식주정_2002년도BP양식수정(SOC팀수정부결안1101)" xfId="7455"/>
    <cellStyle name="_입찰표지 _사업진척점검회의(2001. 8)_2002년도BP양식주정_2002년도BP양식주정_2002년도BP양식수정(SOC팀수정부결안1101)_본부별 경영전략 보고 양식" xfId="7456"/>
    <cellStyle name="_입찰표지 _사업진척점검회의(2001. 8)_2002년도BP양식주정_2002년도BP양식주정_본부별 경영전략 보고 양식" xfId="7457"/>
    <cellStyle name="_입찰표지 _사업진척점검회의(2001. 8)_2002년도BP양식주정_본부별 경영전략 보고 양식" xfId="7458"/>
    <cellStyle name="_입찰표지 _사업진척점검회의(2001. 8)_본부별 경영전략 보고 양식" xfId="7459"/>
    <cellStyle name="_입찰표지 _삽교천개수공사(03.30)" xfId="2300"/>
    <cellStyle name="_입찰표지 _삽교천개수공사(03.30)_구일초(06.17)-부대" xfId="2301"/>
    <cellStyle name="_입찰표지 _삽교천개수공사(03.30)_남성지구(05.26)" xfId="2302"/>
    <cellStyle name="_입찰표지 _삽교천개수공사(03.30)_동산초(06.1)" xfId="2303"/>
    <cellStyle name="_입찰표지 _삽교천개수공사(03.30)_삽교천개수공사(03.30)" xfId="2304"/>
    <cellStyle name="_입찰표지 _삽교천개수공사(03.30)_안산남부경찰서(06.16)-부대" xfId="2305"/>
    <cellStyle name="_입찰표지 _삽교천개수공사(03.30)_제주제성교(05.27)" xfId="2306"/>
    <cellStyle name="_입찰표지 _삽교천개수공사(03.30)_행목지구하천환경(05.25)" xfId="2307"/>
    <cellStyle name="_입찰표지 _송학실행안" xfId="1410"/>
    <cellStyle name="_입찰표지 _송학실행안_구기동(제출)(95.0)(031121)" xfId="1411"/>
    <cellStyle name="_입찰표지 _송학실행안_구기동레포츠센타제출" xfId="1412"/>
    <cellStyle name="_입찰표지 _송학실행안_번암견적의뢰(협력)" xfId="1413"/>
    <cellStyle name="_입찰표지 _송학실행안_번암견적의뢰(협력)_구기동(제출)(95.0)(031121)" xfId="1414"/>
    <cellStyle name="_입찰표지 _송학실행안_번암견적의뢰(협력)_구기동레포츠센타제출" xfId="1415"/>
    <cellStyle name="_입찰표지 _송학실행안_번암견적의뢰(협력)_용답동오피스텔가실행" xfId="1416"/>
    <cellStyle name="_입찰표지 _송학실행안_용답동오피스텔가실행" xfId="1417"/>
    <cellStyle name="_입찰표지 _송학하수투찰" xfId="1418"/>
    <cellStyle name="_입찰표지 _송학하수투찰_구기동(제출)(95.0)(031121)" xfId="1419"/>
    <cellStyle name="_입찰표지 _송학하수투찰_구기동레포츠센타제출" xfId="1420"/>
    <cellStyle name="_입찰표지 _송학하수투찰_번암견적의뢰(협력)" xfId="1421"/>
    <cellStyle name="_입찰표지 _송학하수투찰_번암견적의뢰(협력)_구기동(제출)(95.0)(031121)" xfId="1422"/>
    <cellStyle name="_입찰표지 _송학하수투찰_번암견적의뢰(협력)_구기동레포츠센타제출" xfId="1423"/>
    <cellStyle name="_입찰표지 _송학하수투찰_번암견적의뢰(협력)_용답동오피스텔가실행" xfId="1424"/>
    <cellStyle name="_입찰표지 _송학하수투찰_용답동오피스텔가실행" xfId="1425"/>
    <cellStyle name="_입찰표지 _송학하수품의(설계넣고)" xfId="1426"/>
    <cellStyle name="_입찰표지 _송학하수품의(설계넣고)_구기동(제출)(95.0)(031121)" xfId="1427"/>
    <cellStyle name="_입찰표지 _송학하수품의(설계넣고)_구기동레포츠센타제출" xfId="1428"/>
    <cellStyle name="_입찰표지 _송학하수품의(설계넣고)_무안-광주2공구(협력)수정" xfId="1429"/>
    <cellStyle name="_입찰표지 _송학하수품의(설계넣고)_무안-광주2공구(협력)수정_구기동(제출)(95.0)(031121)" xfId="1430"/>
    <cellStyle name="_입찰표지 _송학하수품의(설계넣고)_무안-광주2공구(협력)수정_구기동레포츠센타제출" xfId="1431"/>
    <cellStyle name="_입찰표지 _송학하수품의(설계넣고)_무안-광주2공구(협력)수정_용답동오피스텔가실행" xfId="1432"/>
    <cellStyle name="_입찰표지 _송학하수품의(설계넣고)_번암견적의뢰(협력)" xfId="1433"/>
    <cellStyle name="_입찰표지 _송학하수품의(설계넣고)_번암견적의뢰(협력)_구기동(제출)(95.0)(031121)" xfId="1434"/>
    <cellStyle name="_입찰표지 _송학하수품의(설계넣고)_번암견적의뢰(협력)_구기동레포츠센타제출" xfId="1435"/>
    <cellStyle name="_입찰표지 _송학하수품의(설계넣고)_번암견적의뢰(협력)_용답동오피스텔가실행" xfId="1436"/>
    <cellStyle name="_입찰표지 _송학하수품의(설계넣고)_삽교천개수공사(03.30)" xfId="2308"/>
    <cellStyle name="_입찰표지 _송학하수품의(설계넣고)_삽교천개수공사(03.30)_구일초(06.17)-부대" xfId="2309"/>
    <cellStyle name="_입찰표지 _송학하수품의(설계넣고)_삽교천개수공사(03.30)_남성지구(05.26)" xfId="2310"/>
    <cellStyle name="_입찰표지 _송학하수품의(설계넣고)_삽교천개수공사(03.30)_동산초(06.1)" xfId="2311"/>
    <cellStyle name="_입찰표지 _송학하수품의(설계넣고)_삽교천개수공사(03.30)_삽교천개수공사(03.30)" xfId="2312"/>
    <cellStyle name="_입찰표지 _송학하수품의(설계넣고)_삽교천개수공사(03.30)_안산남부경찰서(06.16)-부대" xfId="2313"/>
    <cellStyle name="_입찰표지 _송학하수품의(설계넣고)_삽교천개수공사(03.30)_제주제성교(05.27)" xfId="2314"/>
    <cellStyle name="_입찰표지 _송학하수품의(설계넣고)_삽교천개수공사(03.30)_행목지구하천환경(05.25)" xfId="2315"/>
    <cellStyle name="_입찰표지 _송학하수품의(설계넣고)_용답동오피스텔가실행" xfId="1437"/>
    <cellStyle name="_입찰표지 _송학하수품의(설계넣고)_적상무주IC도로(1공구)" xfId="1438"/>
    <cellStyle name="_입찰표지 _송학하수품의(설계넣고)_적상무주IC도로(1공구)_구기동(제출)(95.0)(031121)" xfId="1439"/>
    <cellStyle name="_입찰표지 _송학하수품의(설계넣고)_적상무주IC도로(1공구)_구기동레포츠센타제출" xfId="1440"/>
    <cellStyle name="_입찰표지 _송학하수품의(설계넣고)_적상무주IC도로(1공구)_용답동오피스텔가실행" xfId="1441"/>
    <cellStyle name="_입찰표지 _신령영천1_입찰" xfId="7460"/>
    <cellStyle name="_입찰표지 _용답동오피스텔가실행" xfId="1442"/>
    <cellStyle name="_입찰표지 _원덕근덕" xfId="7461"/>
    <cellStyle name="_입찰표지 _원덕근덕_2002년도BP양식수정(SOC팀수정부결안1101)" xfId="7462"/>
    <cellStyle name="_입찰표지 _원덕근덕_2002년도BP양식수정(SOC팀수정부결안1101)_본부별 경영전략 보고 양식" xfId="7463"/>
    <cellStyle name="_입찰표지 _원덕근덕_2002년도BP양식주정" xfId="7464"/>
    <cellStyle name="_입찰표지 _원덕근덕_2002년도BP양식주정_2002년도BP양식주정" xfId="7465"/>
    <cellStyle name="_입찰표지 _원덕근덕_2002년도BP양식주정_2002년도BP양식주정_2002년도BP양식수정(SOC팀수정부결안1101)" xfId="7466"/>
    <cellStyle name="_입찰표지 _원덕근덕_2002년도BP양식주정_2002년도BP양식주정_2002년도BP양식수정(SOC팀수정부결안1101)_본부별 경영전략 보고 양식" xfId="7467"/>
    <cellStyle name="_입찰표지 _원덕근덕_2002년도BP양식주정_2002년도BP양식주정_본부별 경영전략 보고 양식" xfId="7468"/>
    <cellStyle name="_입찰표지 _원덕근덕_2002년도BP양식주정_본부별 경영전략 보고 양식" xfId="7469"/>
    <cellStyle name="_입찰표지 _원덕근덕_본부별 경영전략 보고 양식" xfId="7470"/>
    <cellStyle name="_입찰표지 _원덕근덕_사업진척점검회의(2001. 8)" xfId="7471"/>
    <cellStyle name="_입찰표지 _원덕근덕_사업진척점검회의(2001. 8)_2002년도BP양식수정(SOC팀수정부결안1101)" xfId="7472"/>
    <cellStyle name="_입찰표지 _원덕근덕_사업진척점검회의(2001. 8)_2002년도BP양식수정(SOC팀수정부결안1101)_본부별 경영전략 보고 양식" xfId="7473"/>
    <cellStyle name="_입찰표지 _원덕근덕_사업진척점검회의(2001. 8)_2002년도BP양식주정" xfId="7474"/>
    <cellStyle name="_입찰표지 _원덕근덕_사업진척점검회의(2001. 8)_2002년도BP양식주정_2002년도BP양식주정" xfId="7475"/>
    <cellStyle name="_입찰표지 _원덕근덕_사업진척점검회의(2001. 8)_2002년도BP양식주정_2002년도BP양식주정_2002년도BP양식수정(SOC팀수정부결안1101)" xfId="7476"/>
    <cellStyle name="_입찰표지 _원덕근덕_사업진척점검회의(2001. 8)_2002년도BP양식주정_2002년도BP양식주정_2002년도BP양식수정(SOC팀수정부결안1101)_본부별 경영전략 보고 양식" xfId="7477"/>
    <cellStyle name="_입찰표지 _원덕근덕_사업진척점검회의(2001. 8)_2002년도BP양식주정_2002년도BP양식주정_본부별 경영전략 보고 양식" xfId="7478"/>
    <cellStyle name="_입찰표지 _원덕근덕_사업진척점검회의(2001. 8)_2002년도BP양식주정_본부별 경영전략 보고 양식" xfId="7479"/>
    <cellStyle name="_입찰표지 _원덕근덕_사업진척점검회의(2001. 8)_본부별 경영전략 보고 양식" xfId="7480"/>
    <cellStyle name="_입찰표지 _원덕투찰" xfId="7481"/>
    <cellStyle name="_입찰표지 _원덕투찰_2002년도BP양식수정(SOC팀수정부결안1101)" xfId="7482"/>
    <cellStyle name="_입찰표지 _원덕투찰_2002년도BP양식수정(SOC팀수정부결안1101)_본부별 경영전략 보고 양식" xfId="7483"/>
    <cellStyle name="_입찰표지 _원덕투찰_2002년도BP양식주정" xfId="7484"/>
    <cellStyle name="_입찰표지 _원덕투찰_2002년도BP양식주정_2002년도BP양식주정" xfId="7485"/>
    <cellStyle name="_입찰표지 _원덕투찰_2002년도BP양식주정_2002년도BP양식주정_2002년도BP양식수정(SOC팀수정부결안1101)" xfId="7486"/>
    <cellStyle name="_입찰표지 _원덕투찰_2002년도BP양식주정_2002년도BP양식주정_2002년도BP양식수정(SOC팀수정부결안1101)_본부별 경영전략 보고 양식" xfId="7487"/>
    <cellStyle name="_입찰표지 _원덕투찰_2002년도BP양식주정_2002년도BP양식주정_본부별 경영전략 보고 양식" xfId="7488"/>
    <cellStyle name="_입찰표지 _원덕투찰_2002년도BP양식주정_본부별 경영전략 보고 양식" xfId="7489"/>
    <cellStyle name="_입찰표지 _원덕투찰_본부별 경영전략 보고 양식" xfId="7490"/>
    <cellStyle name="_입찰표지 _원덕투찰_사업진척점검회의(2001. 8)" xfId="7491"/>
    <cellStyle name="_입찰표지 _원덕투찰_사업진척점검회의(2001. 8)_2002년도BP양식수정(SOC팀수정부결안1101)" xfId="7492"/>
    <cellStyle name="_입찰표지 _원덕투찰_사업진척점검회의(2001. 8)_2002년도BP양식수정(SOC팀수정부결안1101)_본부별 경영전략 보고 양식" xfId="7493"/>
    <cellStyle name="_입찰표지 _원덕투찰_사업진척점검회의(2001. 8)_2002년도BP양식주정" xfId="7494"/>
    <cellStyle name="_입찰표지 _원덕투찰_사업진척점검회의(2001. 8)_2002년도BP양식주정_2002년도BP양식주정" xfId="7495"/>
    <cellStyle name="_입찰표지 _원덕투찰_사업진척점검회의(2001. 8)_2002년도BP양식주정_2002년도BP양식주정_2002년도BP양식수정(SOC팀수정부결안1101)" xfId="7496"/>
    <cellStyle name="_입찰표지 _원덕투찰_사업진척점검회의(2001. 8)_2002년도BP양식주정_2002년도BP양식주정_2002년도BP양식수정(SOC팀수정부결안1101)_본부별 경영전략 보고 양식" xfId="7497"/>
    <cellStyle name="_입찰표지 _원덕투찰_사업진척점검회의(2001. 8)_2002년도BP양식주정_2002년도BP양식주정_본부별 경영전략 보고 양식" xfId="7498"/>
    <cellStyle name="_입찰표지 _원덕투찰_사업진척점검회의(2001. 8)_2002년도BP양식주정_본부별 경영전략 보고 양식" xfId="7499"/>
    <cellStyle name="_입찰표지 _원덕투찰_사업진척점검회의(2001. 8)_본부별 경영전략 보고 양식" xfId="7500"/>
    <cellStyle name="_입찰표지 _재개발팀 대여금 자료(수정분)입니다." xfId="7501"/>
    <cellStyle name="_입찰표지 _재개발팀 대여금 자료(수정분)입니다.(2002년,2003년1~9월포함)(최종자료)" xfId="7502"/>
    <cellStyle name="_입찰표지 _적상무주IC도로(1공구)" xfId="1443"/>
    <cellStyle name="_입찰표지 _적상무주IC도로(1공구)_구기동(제출)(95.0)(031121)" xfId="1444"/>
    <cellStyle name="_입찰표지 _적상무주IC도로(1공구)_구기동레포츠센타제출" xfId="1445"/>
    <cellStyle name="_입찰표지 _적상무주IC도로(1공구)_용답동오피스텔가실행" xfId="1446"/>
    <cellStyle name="_입찰표지 _토목사업본부사업계획2" xfId="7503"/>
    <cellStyle name="_입찰표지 _토목사업본부사업계획2_'04용지,대여금계획(1031)" xfId="7504"/>
    <cellStyle name="_입찰표지 _토목사업본부사업계획2_2004 수금계획(1031)" xfId="7505"/>
    <cellStyle name="_입찰표지 _토목사업본부사업계획2_2004 용지,대여금계획(1113)" xfId="7506"/>
    <cellStyle name="_입찰표지 _토목사업본부사업계획2_2004년 BDT4사업계획" xfId="7507"/>
    <cellStyle name="_입찰표지 _토목사업본부사업계획2_2004년 사업계획(사업개발5)" xfId="7508"/>
    <cellStyle name="_입찰표지 _토목사업본부사업계획2_2004년 사업계획(재개발2팀)" xfId="7509"/>
    <cellStyle name="_입찰표지 _토목사업본부사업계획2_2004년 사업계획(재개발2팀-대여금)" xfId="7510"/>
    <cellStyle name="_입찰표지 _토목사업본부사업계획2_2004년 영업본부 사업계획(1031)" xfId="7511"/>
    <cellStyle name="_입찰표지 _토목사업본부사업계획2_2004년 용지,대여금계획" xfId="7512"/>
    <cellStyle name="_입찰표지 _토목사업본부사업계획2_2004년 재개발1팀 사업계획(1031)" xfId="7513"/>
    <cellStyle name="_입찰표지 _토목사업본부사업계획2_2004년 재개발1팀 사업계획(본부장결재案)1031" xfId="7514"/>
    <cellStyle name="_입찰표지 _토목사업본부사업계획2_2004년 재개발1팀(031124)" xfId="7515"/>
    <cellStyle name="_입찰표지 _토목사업본부사업계획2_2004년대여금계획(案)진짜최종" xfId="7516"/>
    <cellStyle name="_입찰표지 _토목사업본부사업계획2_사업계획수립양식총괄" xfId="7517"/>
    <cellStyle name="_입찰표지 _토목사업본부사업계획2_재개발팀 대여금 자료(수정분)입니다." xfId="7518"/>
    <cellStyle name="_입찰표지 _토목사업본부사업계획2_재개발팀 대여금 자료(수정분)입니다.(2002년,2003년1~9월포함)(최종자료)" xfId="7519"/>
    <cellStyle name="_입찰표지 _투찰(안덕대정)" xfId="7520"/>
    <cellStyle name="_입찰표지 _투찰(안덕대정)_투찰_대둔산" xfId="7521"/>
    <cellStyle name="_입찰표지 _투찰(안덕대정)1" xfId="7522"/>
    <cellStyle name="_입찰표지 _투찰(안덕대정)1_투찰_대둔산" xfId="7523"/>
    <cellStyle name="_입찰표지 _투찰_대둔산" xfId="7524"/>
    <cellStyle name="_입찰표지 _투찰내역" xfId="7525"/>
    <cellStyle name="_입찰표지 _호남권투찰1" xfId="7526"/>
    <cellStyle name="_입찰표지(금액)" xfId="7527"/>
    <cellStyle name="_자금수지(9월) " xfId="7528"/>
    <cellStyle name="_자금수지_SCHEME5" xfId="7529"/>
    <cellStyle name="_자료" xfId="4270"/>
    <cellStyle name="_잡손실" xfId="7530"/>
    <cellStyle name="_잡이익" xfId="7531"/>
    <cellStyle name="_재고자산현황(2000~2002 분기별)" xfId="7532"/>
    <cellStyle name="_재무손익12월" xfId="7533"/>
    <cellStyle name="_재송동아파트변경가실행예산(0726)" xfId="1447"/>
    <cellStyle name="_적격 " xfId="1448"/>
    <cellStyle name="_적격 _광주평동실행" xfId="1449"/>
    <cellStyle name="_적격 _광주평동실행_구기동(제출)(95.0)(031121)" xfId="1450"/>
    <cellStyle name="_적격 _광주평동실행_구기동레포츠센타제출" xfId="1451"/>
    <cellStyle name="_적격 _광주평동실행_번암견적의뢰(협력)" xfId="1452"/>
    <cellStyle name="_적격 _광주평동실행_번암견적의뢰(협력)_구기동(제출)(95.0)(031121)" xfId="1453"/>
    <cellStyle name="_적격 _광주평동실행_번암견적의뢰(협력)_구기동레포츠센타제출" xfId="1454"/>
    <cellStyle name="_적격 _광주평동실행_번암견적의뢰(협력)_용답동오피스텔가실행" xfId="1455"/>
    <cellStyle name="_적격 _광주평동실행_용답동오피스텔가실행" xfId="1456"/>
    <cellStyle name="_적격 _광주평동투찰" xfId="2316"/>
    <cellStyle name="_적격 _광주평동투찰_삽교천개수공사(03.30)" xfId="2317"/>
    <cellStyle name="_적격 _광주평동투찰_삽교천개수공사(03.30)_구일초(06.17)-부대" xfId="2318"/>
    <cellStyle name="_적격 _광주평동투찰_삽교천개수공사(03.30)_남성지구(05.26)" xfId="2319"/>
    <cellStyle name="_적격 _광주평동투찰_삽교천개수공사(03.30)_동산초(06.1)" xfId="2320"/>
    <cellStyle name="_적격 _광주평동투찰_삽교천개수공사(03.30)_삽교천개수공사(03.30)" xfId="2321"/>
    <cellStyle name="_적격 _광주평동투찰_삽교천개수공사(03.30)_안산남부경찰서(06.16)-부대" xfId="2322"/>
    <cellStyle name="_적격 _광주평동투찰_삽교천개수공사(03.30)_제주제성교(05.27)" xfId="2323"/>
    <cellStyle name="_적격 _광주평동투찰_삽교천개수공사(03.30)_행목지구하천환경(05.25)" xfId="2324"/>
    <cellStyle name="_적격 _광주평동품의1" xfId="1457"/>
    <cellStyle name="_적격 _광주평동품의1_구기동(제출)(95.0)(031121)" xfId="1458"/>
    <cellStyle name="_적격 _광주평동품의1_구기동레포츠센타제출" xfId="1459"/>
    <cellStyle name="_적격 _광주평동품의1_무안-광주2공구(협력)수정" xfId="1460"/>
    <cellStyle name="_적격 _광주평동품의1_무안-광주2공구(협력)수정_구기동(제출)(95.0)(031121)" xfId="1461"/>
    <cellStyle name="_적격 _광주평동품의1_무안-광주2공구(협력)수정_구기동레포츠센타제출" xfId="1462"/>
    <cellStyle name="_적격 _광주평동품의1_무안-광주2공구(협력)수정_용답동오피스텔가실행" xfId="1463"/>
    <cellStyle name="_적격 _광주평동품의1_번암견적의뢰(협력)" xfId="1464"/>
    <cellStyle name="_적격 _광주평동품의1_번암견적의뢰(협력)_구기동(제출)(95.0)(031121)" xfId="1465"/>
    <cellStyle name="_적격 _광주평동품의1_번암견적의뢰(협력)_구기동레포츠센타제출" xfId="1466"/>
    <cellStyle name="_적격 _광주평동품의1_번암견적의뢰(협력)_용답동오피스텔가실행" xfId="1467"/>
    <cellStyle name="_적격 _광주평동품의1_삽교천개수공사(03.30)" xfId="2325"/>
    <cellStyle name="_적격 _광주평동품의1_삽교천개수공사(03.30)_구일초(06.17)-부대" xfId="2326"/>
    <cellStyle name="_적격 _광주평동품의1_삽교천개수공사(03.30)_남성지구(05.26)" xfId="2327"/>
    <cellStyle name="_적격 _광주평동품의1_삽교천개수공사(03.30)_동산초(06.1)" xfId="2328"/>
    <cellStyle name="_적격 _광주평동품의1_삽교천개수공사(03.30)_삽교천개수공사(03.30)" xfId="2329"/>
    <cellStyle name="_적격 _광주평동품의1_삽교천개수공사(03.30)_안산남부경찰서(06.16)-부대" xfId="2330"/>
    <cellStyle name="_적격 _광주평동품의1_삽교천개수공사(03.30)_제주제성교(05.27)" xfId="2331"/>
    <cellStyle name="_적격 _광주평동품의1_삽교천개수공사(03.30)_행목지구하천환경(05.25)" xfId="2332"/>
    <cellStyle name="_적격 _광주평동품의1_용답동오피스텔가실행" xfId="1468"/>
    <cellStyle name="_적격 _광주평동품의1_적상무주IC도로(1공구)" xfId="1469"/>
    <cellStyle name="_적격 _광주평동품의1_적상무주IC도로(1공구)_구기동(제출)(95.0)(031121)" xfId="1470"/>
    <cellStyle name="_적격 _광주평동품의1_적상무주IC도로(1공구)_구기동레포츠센타제출" xfId="1471"/>
    <cellStyle name="_적격 _광주평동품의1_적상무주IC도로(1공구)_용답동오피스텔가실행" xfId="1472"/>
    <cellStyle name="_적격 _구기동(제출)(95.0)(031121)" xfId="1473"/>
    <cellStyle name="_적격 _구기동레포츠센타제출" xfId="1474"/>
    <cellStyle name="_적격 _기장하수실행1" xfId="1475"/>
    <cellStyle name="_적격 _기장하수실행1_구기동(제출)(95.0)(031121)" xfId="1476"/>
    <cellStyle name="_적격 _기장하수실행1_구기동레포츠센타제출" xfId="1477"/>
    <cellStyle name="_적격 _기장하수실행1_번암견적의뢰(협력)" xfId="1478"/>
    <cellStyle name="_적격 _기장하수실행1_번암견적의뢰(협력)_구기동(제출)(95.0)(031121)" xfId="1479"/>
    <cellStyle name="_적격 _기장하수실행1_번암견적의뢰(협력)_구기동레포츠센타제출" xfId="1480"/>
    <cellStyle name="_적격 _기장하수실행1_번암견적의뢰(협력)_용답동오피스텔가실행" xfId="1481"/>
    <cellStyle name="_적격 _기장하수실행1_용답동오피스텔가실행" xfId="1482"/>
    <cellStyle name="_적격 _무안-광주2공구(협력)수정" xfId="1483"/>
    <cellStyle name="_적격 _무안-광주2공구(협력)수정_구기동(제출)(95.0)(031121)" xfId="1484"/>
    <cellStyle name="_적격 _무안-광주2공구(협력)수정_구기동레포츠센타제출" xfId="1485"/>
    <cellStyle name="_적격 _무안-광주2공구(협력)수정_용답동오피스텔가실행" xfId="1486"/>
    <cellStyle name="_적격 _번암견적의뢰(협력)" xfId="1487"/>
    <cellStyle name="_적격 _번암견적의뢰(협력)_구기동(제출)(95.0)(031121)" xfId="1488"/>
    <cellStyle name="_적격 _번암견적의뢰(협력)_구기동레포츠센타제출" xfId="1489"/>
    <cellStyle name="_적격 _번암견적의뢰(협력)_용답동오피스텔가실행" xfId="1490"/>
    <cellStyle name="_적격 _삽교천개수공사(03.30)" xfId="2333"/>
    <cellStyle name="_적격 _삽교천개수공사(03.30)_구일초(06.17)-부대" xfId="2334"/>
    <cellStyle name="_적격 _삽교천개수공사(03.30)_남성지구(05.26)" xfId="2335"/>
    <cellStyle name="_적격 _삽교천개수공사(03.30)_동산초(06.1)" xfId="2336"/>
    <cellStyle name="_적격 _삽교천개수공사(03.30)_삽교천개수공사(03.30)" xfId="2337"/>
    <cellStyle name="_적격 _삽교천개수공사(03.30)_안산남부경찰서(06.16)-부대" xfId="2338"/>
    <cellStyle name="_적격 _삽교천개수공사(03.30)_제주제성교(05.27)" xfId="2339"/>
    <cellStyle name="_적격 _삽교천개수공사(03.30)_행목지구하천환경(05.25)" xfId="2340"/>
    <cellStyle name="_적격 _송학실행안" xfId="1491"/>
    <cellStyle name="_적격 _송학실행안_구기동(제출)(95.0)(031121)" xfId="1492"/>
    <cellStyle name="_적격 _송학실행안_구기동레포츠센타제출" xfId="1493"/>
    <cellStyle name="_적격 _송학실행안_번암견적의뢰(협력)" xfId="1494"/>
    <cellStyle name="_적격 _송학실행안_번암견적의뢰(협력)_구기동(제출)(95.0)(031121)" xfId="1495"/>
    <cellStyle name="_적격 _송학실행안_번암견적의뢰(협력)_구기동레포츠센타제출" xfId="1496"/>
    <cellStyle name="_적격 _송학실행안_번암견적의뢰(협력)_용답동오피스텔가실행" xfId="1497"/>
    <cellStyle name="_적격 _송학실행안_용답동오피스텔가실행" xfId="1498"/>
    <cellStyle name="_적격 _송학하수투찰" xfId="1499"/>
    <cellStyle name="_적격 _송학하수투찰_구기동(제출)(95.0)(031121)" xfId="1500"/>
    <cellStyle name="_적격 _송학하수투찰_구기동레포츠센타제출" xfId="1501"/>
    <cellStyle name="_적격 _송학하수투찰_번암견적의뢰(협력)" xfId="1502"/>
    <cellStyle name="_적격 _송학하수투찰_번암견적의뢰(협력)_구기동(제출)(95.0)(031121)" xfId="1503"/>
    <cellStyle name="_적격 _송학하수투찰_번암견적의뢰(협력)_구기동레포츠센타제출" xfId="1504"/>
    <cellStyle name="_적격 _송학하수투찰_번암견적의뢰(협력)_용답동오피스텔가실행" xfId="1505"/>
    <cellStyle name="_적격 _송학하수투찰_용답동오피스텔가실행" xfId="1506"/>
    <cellStyle name="_적격 _송학하수품의(설계넣고)" xfId="1507"/>
    <cellStyle name="_적격 _송학하수품의(설계넣고)_구기동(제출)(95.0)(031121)" xfId="1508"/>
    <cellStyle name="_적격 _송학하수품의(설계넣고)_구기동레포츠센타제출" xfId="1509"/>
    <cellStyle name="_적격 _송학하수품의(설계넣고)_무안-광주2공구(협력)수정" xfId="1510"/>
    <cellStyle name="_적격 _송학하수품의(설계넣고)_무안-광주2공구(협력)수정_구기동(제출)(95.0)(031121)" xfId="1511"/>
    <cellStyle name="_적격 _송학하수품의(설계넣고)_무안-광주2공구(협력)수정_구기동레포츠센타제출" xfId="1512"/>
    <cellStyle name="_적격 _송학하수품의(설계넣고)_무안-광주2공구(협력)수정_용답동오피스텔가실행" xfId="1513"/>
    <cellStyle name="_적격 _송학하수품의(설계넣고)_번암견적의뢰(협력)" xfId="1514"/>
    <cellStyle name="_적격 _송학하수품의(설계넣고)_번암견적의뢰(협력)_구기동(제출)(95.0)(031121)" xfId="1515"/>
    <cellStyle name="_적격 _송학하수품의(설계넣고)_번암견적의뢰(협력)_구기동레포츠센타제출" xfId="1516"/>
    <cellStyle name="_적격 _송학하수품의(설계넣고)_번암견적의뢰(협력)_용답동오피스텔가실행" xfId="1517"/>
    <cellStyle name="_적격 _송학하수품의(설계넣고)_삽교천개수공사(03.30)" xfId="2341"/>
    <cellStyle name="_적격 _송학하수품의(설계넣고)_삽교천개수공사(03.30)_구일초(06.17)-부대" xfId="2342"/>
    <cellStyle name="_적격 _송학하수품의(설계넣고)_삽교천개수공사(03.30)_남성지구(05.26)" xfId="2343"/>
    <cellStyle name="_적격 _송학하수품의(설계넣고)_삽교천개수공사(03.30)_동산초(06.1)" xfId="2344"/>
    <cellStyle name="_적격 _송학하수품의(설계넣고)_삽교천개수공사(03.30)_삽교천개수공사(03.30)" xfId="2345"/>
    <cellStyle name="_적격 _송학하수품의(설계넣고)_삽교천개수공사(03.30)_안산남부경찰서(06.16)-부대" xfId="2346"/>
    <cellStyle name="_적격 _송학하수품의(설계넣고)_삽교천개수공사(03.30)_제주제성교(05.27)" xfId="2347"/>
    <cellStyle name="_적격 _송학하수품의(설계넣고)_삽교천개수공사(03.30)_행목지구하천환경(05.25)" xfId="2348"/>
    <cellStyle name="_적격 _송학하수품의(설계넣고)_용답동오피스텔가실행" xfId="1518"/>
    <cellStyle name="_적격 _송학하수품의(설계넣고)_적상무주IC도로(1공구)" xfId="1519"/>
    <cellStyle name="_적격 _송학하수품의(설계넣고)_적상무주IC도로(1공구)_구기동(제출)(95.0)(031121)" xfId="1520"/>
    <cellStyle name="_적격 _송학하수품의(설계넣고)_적상무주IC도로(1공구)_구기동레포츠센타제출" xfId="1521"/>
    <cellStyle name="_적격 _송학하수품의(설계넣고)_적상무주IC도로(1공구)_용답동오피스텔가실행" xfId="1522"/>
    <cellStyle name="_적격 _용답동오피스텔가실행" xfId="1523"/>
    <cellStyle name="_적격 _적상무주IC도로(1공구)" xfId="1524"/>
    <cellStyle name="_적격 _적상무주IC도로(1공구)_구기동(제출)(95.0)(031121)" xfId="1525"/>
    <cellStyle name="_적격 _적상무주IC도로(1공구)_구기동레포츠센타제출" xfId="1526"/>
    <cellStyle name="_적격 _적상무주IC도로(1공구)_용답동오피스텔가실행" xfId="1527"/>
    <cellStyle name="_적격 _집행갑지 " xfId="1528"/>
    <cellStyle name="_적격 _집행갑지 _광주평동실행" xfId="1529"/>
    <cellStyle name="_적격 _집행갑지 _광주평동실행_구기동(제출)(95.0)(031121)" xfId="1530"/>
    <cellStyle name="_적격 _집행갑지 _광주평동실행_구기동레포츠센타제출" xfId="1531"/>
    <cellStyle name="_적격 _집행갑지 _광주평동실행_번암견적의뢰(협력)" xfId="1532"/>
    <cellStyle name="_적격 _집행갑지 _광주평동실행_번암견적의뢰(협력)_구기동(제출)(95.0)(031121)" xfId="1533"/>
    <cellStyle name="_적격 _집행갑지 _광주평동실행_번암견적의뢰(협력)_구기동레포츠센타제출" xfId="1534"/>
    <cellStyle name="_적격 _집행갑지 _광주평동실행_번암견적의뢰(협력)_용답동오피스텔가실행" xfId="1535"/>
    <cellStyle name="_적격 _집행갑지 _광주평동실행_용답동오피스텔가실행" xfId="1536"/>
    <cellStyle name="_적격 _집행갑지 _광주평동투찰" xfId="2349"/>
    <cellStyle name="_적격 _집행갑지 _광주평동투찰_삽교천개수공사(03.30)" xfId="2350"/>
    <cellStyle name="_적격 _집행갑지 _광주평동투찰_삽교천개수공사(03.30)_구일초(06.17)-부대" xfId="2351"/>
    <cellStyle name="_적격 _집행갑지 _광주평동투찰_삽교천개수공사(03.30)_남성지구(05.26)" xfId="2352"/>
    <cellStyle name="_적격 _집행갑지 _광주평동투찰_삽교천개수공사(03.30)_동산초(06.1)" xfId="2353"/>
    <cellStyle name="_적격 _집행갑지 _광주평동투찰_삽교천개수공사(03.30)_삽교천개수공사(03.30)" xfId="2354"/>
    <cellStyle name="_적격 _집행갑지 _광주평동투찰_삽교천개수공사(03.30)_안산남부경찰서(06.16)-부대" xfId="2355"/>
    <cellStyle name="_적격 _집행갑지 _광주평동투찰_삽교천개수공사(03.30)_제주제성교(05.27)" xfId="2356"/>
    <cellStyle name="_적격 _집행갑지 _광주평동투찰_삽교천개수공사(03.30)_행목지구하천환경(05.25)" xfId="2357"/>
    <cellStyle name="_적격 _집행갑지 _광주평동품의1" xfId="1537"/>
    <cellStyle name="_적격 _집행갑지 _광주평동품의1_구기동(제출)(95.0)(031121)" xfId="1538"/>
    <cellStyle name="_적격 _집행갑지 _광주평동품의1_구기동레포츠센타제출" xfId="1539"/>
    <cellStyle name="_적격 _집행갑지 _광주평동품의1_무안-광주2공구(협력)수정" xfId="1540"/>
    <cellStyle name="_적격 _집행갑지 _광주평동품의1_무안-광주2공구(협력)수정_구기동(제출)(95.0)(031121)" xfId="1541"/>
    <cellStyle name="_적격 _집행갑지 _광주평동품의1_무안-광주2공구(협력)수정_구기동레포츠센타제출" xfId="1542"/>
    <cellStyle name="_적격 _집행갑지 _광주평동품의1_무안-광주2공구(협력)수정_용답동오피스텔가실행" xfId="1543"/>
    <cellStyle name="_적격 _집행갑지 _광주평동품의1_번암견적의뢰(협력)" xfId="1544"/>
    <cellStyle name="_적격 _집행갑지 _광주평동품의1_번암견적의뢰(협력)_구기동(제출)(95.0)(031121)" xfId="1545"/>
    <cellStyle name="_적격 _집행갑지 _광주평동품의1_번암견적의뢰(협력)_구기동레포츠센타제출" xfId="1546"/>
    <cellStyle name="_적격 _집행갑지 _광주평동품의1_번암견적의뢰(협력)_용답동오피스텔가실행" xfId="1547"/>
    <cellStyle name="_적격 _집행갑지 _광주평동품의1_삽교천개수공사(03.30)" xfId="2358"/>
    <cellStyle name="_적격 _집행갑지 _광주평동품의1_삽교천개수공사(03.30)_구일초(06.17)-부대" xfId="2359"/>
    <cellStyle name="_적격 _집행갑지 _광주평동품의1_삽교천개수공사(03.30)_남성지구(05.26)" xfId="2360"/>
    <cellStyle name="_적격 _집행갑지 _광주평동품의1_삽교천개수공사(03.30)_동산초(06.1)" xfId="2361"/>
    <cellStyle name="_적격 _집행갑지 _광주평동품의1_삽교천개수공사(03.30)_삽교천개수공사(03.30)" xfId="2362"/>
    <cellStyle name="_적격 _집행갑지 _광주평동품의1_삽교천개수공사(03.30)_안산남부경찰서(06.16)-부대" xfId="2363"/>
    <cellStyle name="_적격 _집행갑지 _광주평동품의1_삽교천개수공사(03.30)_제주제성교(05.27)" xfId="2364"/>
    <cellStyle name="_적격 _집행갑지 _광주평동품의1_삽교천개수공사(03.30)_행목지구하천환경(05.25)" xfId="2365"/>
    <cellStyle name="_적격 _집행갑지 _광주평동품의1_용답동오피스텔가실행" xfId="1548"/>
    <cellStyle name="_적격 _집행갑지 _광주평동품의1_적상무주IC도로(1공구)" xfId="1549"/>
    <cellStyle name="_적격 _집행갑지 _광주평동품의1_적상무주IC도로(1공구)_구기동(제출)(95.0)(031121)" xfId="1550"/>
    <cellStyle name="_적격 _집행갑지 _광주평동품의1_적상무주IC도로(1공구)_구기동레포츠센타제출" xfId="1551"/>
    <cellStyle name="_적격 _집행갑지 _광주평동품의1_적상무주IC도로(1공구)_용답동오피스텔가실행" xfId="1552"/>
    <cellStyle name="_적격 _집행갑지 _구기동(제출)(95.0)(031121)" xfId="1553"/>
    <cellStyle name="_적격 _집행갑지 _구기동레포츠센타제출" xfId="1554"/>
    <cellStyle name="_적격 _집행갑지 _기장하수실행1" xfId="1555"/>
    <cellStyle name="_적격 _집행갑지 _기장하수실행1_구기동(제출)(95.0)(031121)" xfId="1556"/>
    <cellStyle name="_적격 _집행갑지 _기장하수실행1_구기동레포츠센타제출" xfId="1557"/>
    <cellStyle name="_적격 _집행갑지 _기장하수실행1_번암견적의뢰(협력)" xfId="1558"/>
    <cellStyle name="_적격 _집행갑지 _기장하수실행1_번암견적의뢰(협력)_구기동(제출)(95.0)(031121)" xfId="1559"/>
    <cellStyle name="_적격 _집행갑지 _기장하수실행1_번암견적의뢰(협력)_구기동레포츠센타제출" xfId="1560"/>
    <cellStyle name="_적격 _집행갑지 _기장하수실행1_번암견적의뢰(협력)_용답동오피스텔가실행" xfId="1561"/>
    <cellStyle name="_적격 _집행갑지 _기장하수실행1_용답동오피스텔가실행" xfId="1562"/>
    <cellStyle name="_적격 _집행갑지 _무안-광주2공구(협력)수정" xfId="1563"/>
    <cellStyle name="_적격 _집행갑지 _무안-광주2공구(협력)수정_구기동(제출)(95.0)(031121)" xfId="1564"/>
    <cellStyle name="_적격 _집행갑지 _무안-광주2공구(협력)수정_구기동레포츠센타제출" xfId="1565"/>
    <cellStyle name="_적격 _집행갑지 _무안-광주2공구(협력)수정_용답동오피스텔가실행" xfId="1566"/>
    <cellStyle name="_적격 _집행갑지 _번암견적의뢰(협력)" xfId="1567"/>
    <cellStyle name="_적격 _집행갑지 _번암견적의뢰(협력)_구기동(제출)(95.0)(031121)" xfId="1568"/>
    <cellStyle name="_적격 _집행갑지 _번암견적의뢰(협력)_구기동레포츠센타제출" xfId="1569"/>
    <cellStyle name="_적격 _집행갑지 _번암견적의뢰(협력)_용답동오피스텔가실행" xfId="1570"/>
    <cellStyle name="_적격 _집행갑지 _삽교천개수공사(03.30)" xfId="2366"/>
    <cellStyle name="_적격 _집행갑지 _삽교천개수공사(03.30)_구일초(06.17)-부대" xfId="2367"/>
    <cellStyle name="_적격 _집행갑지 _삽교천개수공사(03.30)_남성지구(05.26)" xfId="2368"/>
    <cellStyle name="_적격 _집행갑지 _삽교천개수공사(03.30)_동산초(06.1)" xfId="2369"/>
    <cellStyle name="_적격 _집행갑지 _삽교천개수공사(03.30)_삽교천개수공사(03.30)" xfId="2370"/>
    <cellStyle name="_적격 _집행갑지 _삽교천개수공사(03.30)_안산남부경찰서(06.16)-부대" xfId="2371"/>
    <cellStyle name="_적격 _집행갑지 _삽교천개수공사(03.30)_제주제성교(05.27)" xfId="2372"/>
    <cellStyle name="_적격 _집행갑지 _삽교천개수공사(03.30)_행목지구하천환경(05.25)" xfId="2373"/>
    <cellStyle name="_적격 _집행갑지 _송학실행안" xfId="1571"/>
    <cellStyle name="_적격 _집행갑지 _송학실행안_구기동(제출)(95.0)(031121)" xfId="1572"/>
    <cellStyle name="_적격 _집행갑지 _송학실행안_구기동레포츠센타제출" xfId="1573"/>
    <cellStyle name="_적격 _집행갑지 _송학실행안_번암견적의뢰(협력)" xfId="1574"/>
    <cellStyle name="_적격 _집행갑지 _송학실행안_번암견적의뢰(협력)_구기동(제출)(95.0)(031121)" xfId="1575"/>
    <cellStyle name="_적격 _집행갑지 _송학실행안_번암견적의뢰(협력)_구기동레포츠센타제출" xfId="1576"/>
    <cellStyle name="_적격 _집행갑지 _송학실행안_번암견적의뢰(협력)_용답동오피스텔가실행" xfId="1577"/>
    <cellStyle name="_적격 _집행갑지 _송학실행안_용답동오피스텔가실행" xfId="1578"/>
    <cellStyle name="_적격 _집행갑지 _송학하수투찰" xfId="1579"/>
    <cellStyle name="_적격 _집행갑지 _송학하수투찰_구기동(제출)(95.0)(031121)" xfId="1580"/>
    <cellStyle name="_적격 _집행갑지 _송학하수투찰_구기동레포츠센타제출" xfId="1581"/>
    <cellStyle name="_적격 _집행갑지 _송학하수투찰_번암견적의뢰(협력)" xfId="1582"/>
    <cellStyle name="_적격 _집행갑지 _송학하수투찰_번암견적의뢰(협력)_구기동(제출)(95.0)(031121)" xfId="1583"/>
    <cellStyle name="_적격 _집행갑지 _송학하수투찰_번암견적의뢰(협력)_구기동레포츠센타제출" xfId="1584"/>
    <cellStyle name="_적격 _집행갑지 _송학하수투찰_번암견적의뢰(협력)_용답동오피스텔가실행" xfId="1585"/>
    <cellStyle name="_적격 _집행갑지 _송학하수투찰_용답동오피스텔가실행" xfId="1586"/>
    <cellStyle name="_적격 _집행갑지 _송학하수품의(설계넣고)" xfId="1587"/>
    <cellStyle name="_적격 _집행갑지 _송학하수품의(설계넣고)_구기동(제출)(95.0)(031121)" xfId="1588"/>
    <cellStyle name="_적격 _집행갑지 _송학하수품의(설계넣고)_구기동레포츠센타제출" xfId="1589"/>
    <cellStyle name="_적격 _집행갑지 _송학하수품의(설계넣고)_무안-광주2공구(협력)수정" xfId="1590"/>
    <cellStyle name="_적격 _집행갑지 _송학하수품의(설계넣고)_무안-광주2공구(협력)수정_구기동(제출)(95.0)(031121)" xfId="1591"/>
    <cellStyle name="_적격 _집행갑지 _송학하수품의(설계넣고)_무안-광주2공구(협력)수정_구기동레포츠센타제출" xfId="1592"/>
    <cellStyle name="_적격 _집행갑지 _송학하수품의(설계넣고)_무안-광주2공구(협력)수정_용답동오피스텔가실행" xfId="1593"/>
    <cellStyle name="_적격 _집행갑지 _송학하수품의(설계넣고)_번암견적의뢰(협력)" xfId="1594"/>
    <cellStyle name="_적격 _집행갑지 _송학하수품의(설계넣고)_번암견적의뢰(협력)_구기동(제출)(95.0)(031121)" xfId="1595"/>
    <cellStyle name="_적격 _집행갑지 _송학하수품의(설계넣고)_번암견적의뢰(협력)_구기동레포츠센타제출" xfId="1596"/>
    <cellStyle name="_적격 _집행갑지 _송학하수품의(설계넣고)_번암견적의뢰(협력)_용답동오피스텔가실행" xfId="1597"/>
    <cellStyle name="_적격 _집행갑지 _송학하수품의(설계넣고)_삽교천개수공사(03.30)" xfId="2374"/>
    <cellStyle name="_적격 _집행갑지 _송학하수품의(설계넣고)_삽교천개수공사(03.30)_구일초(06.17)-부대" xfId="2375"/>
    <cellStyle name="_적격 _집행갑지 _송학하수품의(설계넣고)_삽교천개수공사(03.30)_남성지구(05.26)" xfId="2376"/>
    <cellStyle name="_적격 _집행갑지 _송학하수품의(설계넣고)_삽교천개수공사(03.30)_동산초(06.1)" xfId="2377"/>
    <cellStyle name="_적격 _집행갑지 _송학하수품의(설계넣고)_삽교천개수공사(03.30)_삽교천개수공사(03.30)" xfId="2378"/>
    <cellStyle name="_적격 _집행갑지 _송학하수품의(설계넣고)_삽교천개수공사(03.30)_안산남부경찰서(06.16)-부대" xfId="2379"/>
    <cellStyle name="_적격 _집행갑지 _송학하수품의(설계넣고)_삽교천개수공사(03.30)_제주제성교(05.27)" xfId="2380"/>
    <cellStyle name="_적격 _집행갑지 _송학하수품의(설계넣고)_삽교천개수공사(03.30)_행목지구하천환경(05.25)" xfId="2381"/>
    <cellStyle name="_적격 _집행갑지 _송학하수품의(설계넣고)_용답동오피스텔가실행" xfId="1598"/>
    <cellStyle name="_적격 _집행갑지 _송학하수품의(설계넣고)_적상무주IC도로(1공구)" xfId="1599"/>
    <cellStyle name="_적격 _집행갑지 _송학하수품의(설계넣고)_적상무주IC도로(1공구)_구기동(제출)(95.0)(031121)" xfId="1600"/>
    <cellStyle name="_적격 _집행갑지 _송학하수품의(설계넣고)_적상무주IC도로(1공구)_구기동레포츠센타제출" xfId="1601"/>
    <cellStyle name="_적격 _집행갑지 _송학하수품의(설계넣고)_적상무주IC도로(1공구)_용답동오피스텔가실행" xfId="1602"/>
    <cellStyle name="_적격 _집행갑지 _용답동오피스텔가실행" xfId="1603"/>
    <cellStyle name="_적격 _집행갑지 _적상무주IC도로(1공구)" xfId="1604"/>
    <cellStyle name="_적격 _집행갑지 _적상무주IC도로(1공구)_구기동(제출)(95.0)(031121)" xfId="1605"/>
    <cellStyle name="_적격 _집행갑지 _적상무주IC도로(1공구)_구기동레포츠센타제출" xfId="1606"/>
    <cellStyle name="_적격 _집행갑지 _적상무주IC도로(1공구)_용답동오피스텔가실행" xfId="1607"/>
    <cellStyle name="_적격(화산) " xfId="1608"/>
    <cellStyle name="_적격(화산) _'04용지,대여금계획(1031)" xfId="7534"/>
    <cellStyle name="_적격(화산) _2001입찰분석" xfId="7535"/>
    <cellStyle name="_적격(화산) _2001입찰분석_2002년도BP양식수정(SOC팀수정부결안1101)" xfId="7536"/>
    <cellStyle name="_적격(화산) _2001입찰분석_2002년도BP양식수정(SOC팀수정부결안1101)_본부별 경영전략 보고 양식" xfId="7537"/>
    <cellStyle name="_적격(화산) _2001입찰분석_2002년도BP양식주정" xfId="7538"/>
    <cellStyle name="_적격(화산) _2001입찰분석_2002년도BP양식주정_2002년도BP양식주정" xfId="7539"/>
    <cellStyle name="_적격(화산) _2001입찰분석_2002년도BP양식주정_2002년도BP양식주정_2002년도BP양식수정(SOC팀수정부결안1101)" xfId="7540"/>
    <cellStyle name="_적격(화산) _2001입찰분석_2002년도BP양식주정_2002년도BP양식주정_2002년도BP양식수정(SOC팀수정부결안1101)_본부별 경영전략 보고 양식" xfId="7541"/>
    <cellStyle name="_적격(화산) _2001입찰분석_2002년도BP양식주정_2002년도BP양식주정_본부별 경영전략 보고 양식" xfId="7542"/>
    <cellStyle name="_적격(화산) _2001입찰분석_2002년도BP양식주정_본부별 경영전략 보고 양식" xfId="7543"/>
    <cellStyle name="_적격(화산) _2001입찰분석_본부별 경영전략 보고 양식" xfId="7544"/>
    <cellStyle name="_적격(화산) _2001입찰분석_사업진척점검회의(2001. 8)" xfId="7545"/>
    <cellStyle name="_적격(화산) _2001입찰분석_사업진척점검회의(2001. 8)_2002년도BP양식수정(SOC팀수정부결안1101)" xfId="7546"/>
    <cellStyle name="_적격(화산) _2001입찰분석_사업진척점검회의(2001. 8)_2002년도BP양식수정(SOC팀수정부결안1101)_본부별 경영전략 보고 양식" xfId="7547"/>
    <cellStyle name="_적격(화산) _2001입찰분석_사업진척점검회의(2001. 8)_2002년도BP양식주정" xfId="7548"/>
    <cellStyle name="_적격(화산) _2001입찰분석_사업진척점검회의(2001. 8)_2002년도BP양식주정_2002년도BP양식주정" xfId="7549"/>
    <cellStyle name="_적격(화산) _2001입찰분석_사업진척점검회의(2001. 8)_2002년도BP양식주정_2002년도BP양식주정_2002년도BP양식수정(SOC팀수정부결안1101)" xfId="7550"/>
    <cellStyle name="_적격(화산) _2001입찰분석_사업진척점검회의(2001. 8)_2002년도BP양식주정_2002년도BP양식주정_2002년도BP양식수정(SOC팀수정부결안1101)_본부별 경영전략 보고 양식" xfId="7551"/>
    <cellStyle name="_적격(화산) _2001입찰분석_사업진척점검회의(2001. 8)_2002년도BP양식주정_2002년도BP양식주정_본부별 경영전략 보고 양식" xfId="7552"/>
    <cellStyle name="_적격(화산) _2001입찰분석_사업진척점검회의(2001. 8)_2002년도BP양식주정_본부별 경영전략 보고 양식" xfId="7553"/>
    <cellStyle name="_적격(화산) _2001입찰분석_사업진척점검회의(2001. 8)_본부별 경영전략 보고 양식" xfId="7554"/>
    <cellStyle name="_적격(화산) _2002년도BP양식수정(SOC팀수정부결안1101)" xfId="7555"/>
    <cellStyle name="_적격(화산) _2002년도BP양식수정(SOC팀수정부결안1101)_본부별 경영전략 보고 양식" xfId="7556"/>
    <cellStyle name="_적격(화산) _2002년도BP양식주정" xfId="7557"/>
    <cellStyle name="_적격(화산) _2002년도BP양식주정_2002년도BP양식주정" xfId="7558"/>
    <cellStyle name="_적격(화산) _2002년도BP양식주정_2002년도BP양식주정_2002년도BP양식수정(SOC팀수정부결안1101)" xfId="7559"/>
    <cellStyle name="_적격(화산) _2002년도BP양식주정_2002년도BP양식주정_2002년도BP양식수정(SOC팀수정부결안1101)_본부별 경영전략 보고 양식" xfId="7560"/>
    <cellStyle name="_적격(화산) _2002년도BP양식주정_2002년도BP양식주정_본부별 경영전략 보고 양식" xfId="7561"/>
    <cellStyle name="_적격(화산) _2002년도BP양식주정_본부별 경영전략 보고 양식" xfId="7562"/>
    <cellStyle name="_적격(화산) _2002년사업실적(추정)2003사업계획양식" xfId="7563"/>
    <cellStyle name="_적격(화산) _2002년사업실적(추정)2003사업계획양식_'04용지,대여금계획(1031)" xfId="7564"/>
    <cellStyle name="_적격(화산) _2002년사업실적(추정)2003사업계획양식_2004 수금계획(1031)" xfId="7565"/>
    <cellStyle name="_적격(화산) _2002년사업실적(추정)2003사업계획양식_2004 용지,대여금계획(1113)" xfId="7566"/>
    <cellStyle name="_적격(화산) _2002년사업실적(추정)2003사업계획양식_2004년 BDT4사업계획" xfId="7567"/>
    <cellStyle name="_적격(화산) _2002년사업실적(추정)2003사업계획양식_2004년 사업계획(사업개발5)" xfId="7568"/>
    <cellStyle name="_적격(화산) _2002년사업실적(추정)2003사업계획양식_2004년 사업계획(재개발2팀)" xfId="7569"/>
    <cellStyle name="_적격(화산) _2002년사업실적(추정)2003사업계획양식_2004년 사업계획(재개발2팀-대여금)" xfId="7570"/>
    <cellStyle name="_적격(화산) _2002년사업실적(추정)2003사업계획양식_2004년 영업본부 사업계획(1031)" xfId="7571"/>
    <cellStyle name="_적격(화산) _2002년사업실적(추정)2003사업계획양식_2004년 용지,대여금계획" xfId="7572"/>
    <cellStyle name="_적격(화산) _2002년사업실적(추정)2003사업계획양식_2004년 재개발1팀 사업계획(1031)" xfId="7573"/>
    <cellStyle name="_적격(화산) _2002년사업실적(추정)2003사업계획양식_2004년 재개발1팀 사업계획(본부장결재案)1031" xfId="7574"/>
    <cellStyle name="_적격(화산) _2002년사업실적(추정)2003사업계획양식_2004년 재개발1팀(031124)" xfId="7575"/>
    <cellStyle name="_적격(화산) _2002년사업실적(추정)2003사업계획양식_2004년대여금계획(案)진짜최종" xfId="7576"/>
    <cellStyle name="_적격(화산) _2002년사업실적(추정)2003사업계획양식_사업계획수립양식총괄" xfId="7577"/>
    <cellStyle name="_적격(화산) _2002년사업실적(추정)2003사업계획양식_재개발팀 대여금 자료(수정분)입니다." xfId="7578"/>
    <cellStyle name="_적격(화산) _2002년사업실적(추정)2003사업계획양식_재개발팀 대여금 자료(수정분)입니다.(2002년,2003년1~9월포함)(최종자료)" xfId="7579"/>
    <cellStyle name="_적격(화산) _2002년사업실적(추정)2003사업계획양식_토목본부사업계획" xfId="7580"/>
    <cellStyle name="_적격(화산) _2002년사업실적(추정)2003사업계획양식_토목본부사업계획_'04용지,대여금계획(1031)" xfId="7581"/>
    <cellStyle name="_적격(화산) _2002년사업실적(추정)2003사업계획양식_토목본부사업계획_2004 수금계획(1031)" xfId="7582"/>
    <cellStyle name="_적격(화산) _2002년사업실적(추정)2003사업계획양식_토목본부사업계획_2004 용지,대여금계획(1113)" xfId="7583"/>
    <cellStyle name="_적격(화산) _2002년사업실적(추정)2003사업계획양식_토목본부사업계획_2004년 BDT4사업계획" xfId="7584"/>
    <cellStyle name="_적격(화산) _2002년사업실적(추정)2003사업계획양식_토목본부사업계획_2004년 사업계획(사업개발5)" xfId="7585"/>
    <cellStyle name="_적격(화산) _2002년사업실적(추정)2003사업계획양식_토목본부사업계획_2004년 사업계획(재개발2팀)" xfId="7586"/>
    <cellStyle name="_적격(화산) _2002년사업실적(추정)2003사업계획양식_토목본부사업계획_2004년 사업계획(재개발2팀-대여금)" xfId="7587"/>
    <cellStyle name="_적격(화산) _2002년사업실적(추정)2003사업계획양식_토목본부사업계획_2004년 영업본부 사업계획(1031)" xfId="7588"/>
    <cellStyle name="_적격(화산) _2002년사업실적(추정)2003사업계획양식_토목본부사업계획_2004년 용지,대여금계획" xfId="7589"/>
    <cellStyle name="_적격(화산) _2002년사업실적(추정)2003사업계획양식_토목본부사업계획_2004년 재개발1팀 사업계획(1031)" xfId="7590"/>
    <cellStyle name="_적격(화산) _2002년사업실적(추정)2003사업계획양식_토목본부사업계획_2004년 재개발1팀 사업계획(본부장결재案)1031" xfId="7591"/>
    <cellStyle name="_적격(화산) _2002년사업실적(추정)2003사업계획양식_토목본부사업계획_2004년 재개발1팀(031124)" xfId="7592"/>
    <cellStyle name="_적격(화산) _2002년사업실적(추정)2003사업계획양식_토목본부사업계획_2004년대여금계획(案)진짜최종" xfId="7593"/>
    <cellStyle name="_적격(화산) _2002년사업실적(추정)2003사업계획양식_토목본부사업계획_사업계획수립양식총괄" xfId="7594"/>
    <cellStyle name="_적격(화산) _2002년사업실적(추정)2003사업계획양식_토목본부사업계획_재개발팀 대여금 자료(수정분)입니다." xfId="7595"/>
    <cellStyle name="_적격(화산) _2002년사업실적(추정)2003사업계획양식_토목본부사업계획_재개발팀 대여금 자료(수정분)입니다.(2002년,2003년1~9월포함)(최종자료)" xfId="7596"/>
    <cellStyle name="_적격(화산) _2002년사업실적(추정)2003사업계획양식_토목본부사업계획_토목사업본부사업계획2" xfId="7597"/>
    <cellStyle name="_적격(화산) _2002년사업실적(추정)2003사업계획양식_토목본부사업계획_토목사업본부사업계획2_'04용지,대여금계획(1031)" xfId="7598"/>
    <cellStyle name="_적격(화산) _2002년사업실적(추정)2003사업계획양식_토목본부사업계획_토목사업본부사업계획2_2004 수금계획(1031)" xfId="7599"/>
    <cellStyle name="_적격(화산) _2002년사업실적(추정)2003사업계획양식_토목본부사업계획_토목사업본부사업계획2_2004 용지,대여금계획(1113)" xfId="7600"/>
    <cellStyle name="_적격(화산) _2002년사업실적(추정)2003사업계획양식_토목본부사업계획_토목사업본부사업계획2_2004년 BDT4사업계획" xfId="7601"/>
    <cellStyle name="_적격(화산) _2002년사업실적(추정)2003사업계획양식_토목본부사업계획_토목사업본부사업계획2_2004년 사업계획(사업개발5)" xfId="7602"/>
    <cellStyle name="_적격(화산) _2002년사업실적(추정)2003사업계획양식_토목본부사업계획_토목사업본부사업계획2_2004년 사업계획(재개발2팀)" xfId="7603"/>
    <cellStyle name="_적격(화산) _2002년사업실적(추정)2003사업계획양식_토목본부사업계획_토목사업본부사업계획2_2004년 사업계획(재개발2팀-대여금)" xfId="7604"/>
    <cellStyle name="_적격(화산) _2002년사업실적(추정)2003사업계획양식_토목본부사업계획_토목사업본부사업계획2_2004년 영업본부 사업계획(1031)" xfId="7605"/>
    <cellStyle name="_적격(화산) _2002년사업실적(추정)2003사업계획양식_토목본부사업계획_토목사업본부사업계획2_2004년 용지,대여금계획" xfId="7606"/>
    <cellStyle name="_적격(화산) _2002년사업실적(추정)2003사업계획양식_토목본부사업계획_토목사업본부사업계획2_2004년 재개발1팀 사업계획(1031)" xfId="7607"/>
    <cellStyle name="_적격(화산) _2002년사업실적(추정)2003사업계획양식_토목본부사업계획_토목사업본부사업계획2_2004년 재개발1팀 사업계획(본부장결재案)1031" xfId="7608"/>
    <cellStyle name="_적격(화산) _2002년사업실적(추정)2003사업계획양식_토목본부사업계획_토목사업본부사업계획2_2004년 재개발1팀(031124)" xfId="7609"/>
    <cellStyle name="_적격(화산) _2002년사업실적(추정)2003사업계획양식_토목본부사업계획_토목사업본부사업계획2_2004년대여금계획(案)진짜최종" xfId="7610"/>
    <cellStyle name="_적격(화산) _2002년사업실적(추정)2003사업계획양식_토목본부사업계획_토목사업본부사업계획2_사업계획수립양식총괄" xfId="7611"/>
    <cellStyle name="_적격(화산) _2002년사업실적(추정)2003사업계획양식_토목본부사업계획_토목사업본부사업계획2_재개발팀 대여금 자료(수정분)입니다." xfId="7612"/>
    <cellStyle name="_적격(화산) _2002년사업실적(추정)2003사업계획양식_토목본부사업계획_토목사업본부사업계획2_재개발팀 대여금 자료(수정분)입니다.(2002년,2003년1~9월포함)(최종자료)" xfId="7613"/>
    <cellStyle name="_적격(화산) _2002년사업실적(추정)2003사업계획양식_토목사업본부사업계획2" xfId="7614"/>
    <cellStyle name="_적격(화산) _2002년사업실적(추정)2003사업계획양식_토목사업본부사업계획2_'04용지,대여금계획(1031)" xfId="7615"/>
    <cellStyle name="_적격(화산) _2002년사업실적(추정)2003사업계획양식_토목사업본부사업계획2_2004 수금계획(1031)" xfId="7616"/>
    <cellStyle name="_적격(화산) _2002년사업실적(추정)2003사업계획양식_토목사업본부사업계획2_2004 용지,대여금계획(1113)" xfId="7617"/>
    <cellStyle name="_적격(화산) _2002년사업실적(추정)2003사업계획양식_토목사업본부사업계획2_2004년 BDT4사업계획" xfId="7618"/>
    <cellStyle name="_적격(화산) _2002년사업실적(추정)2003사업계획양식_토목사업본부사업계획2_2004년 사업계획(사업개발5)" xfId="7619"/>
    <cellStyle name="_적격(화산) _2002년사업실적(추정)2003사업계획양식_토목사업본부사업계획2_2004년 사업계획(재개발2팀)" xfId="7620"/>
    <cellStyle name="_적격(화산) _2002년사업실적(추정)2003사업계획양식_토목사업본부사업계획2_2004년 사업계획(재개발2팀-대여금)" xfId="7621"/>
    <cellStyle name="_적격(화산) _2002년사업실적(추정)2003사업계획양식_토목사업본부사업계획2_2004년 영업본부 사업계획(1031)" xfId="7622"/>
    <cellStyle name="_적격(화산) _2002년사업실적(추정)2003사업계획양식_토목사업본부사업계획2_2004년 용지,대여금계획" xfId="7623"/>
    <cellStyle name="_적격(화산) _2002년사업실적(추정)2003사업계획양식_토목사업본부사업계획2_2004년 재개발1팀 사업계획(1031)" xfId="7624"/>
    <cellStyle name="_적격(화산) _2002년사업실적(추정)2003사업계획양식_토목사업본부사업계획2_2004년 재개발1팀 사업계획(본부장결재案)1031" xfId="7625"/>
    <cellStyle name="_적격(화산) _2002년사업실적(추정)2003사업계획양식_토목사업본부사업계획2_2004년 재개발1팀(031124)" xfId="7626"/>
    <cellStyle name="_적격(화산) _2002년사업실적(추정)2003사업계획양식_토목사업본부사업계획2_2004년대여금계획(案)진짜최종" xfId="7627"/>
    <cellStyle name="_적격(화산) _2002년사업실적(추정)2003사업계획양식_토목사업본부사업계획2_사업계획수립양식총괄" xfId="7628"/>
    <cellStyle name="_적격(화산) _2002년사업실적(추정)2003사업계획양식_토목사업본부사업계획2_재개발팀 대여금 자료(수정분)입니다." xfId="7629"/>
    <cellStyle name="_적격(화산) _2002년사업실적(추정)2003사업계획양식_토목사업본부사업계획2_재개발팀 대여금 자료(수정분)입니다.(2002년,2003년1~9월포함)(최종자료)" xfId="7630"/>
    <cellStyle name="_적격(화산) _2002년사업실적(추정)2003사업계획양식_토목사업본부사업계획3" xfId="7631"/>
    <cellStyle name="_적격(화산) _2002년사업실적(추정)2003사업계획양식_토목사업본부사업계획3_'04용지,대여금계획(1031)" xfId="7632"/>
    <cellStyle name="_적격(화산) _2002년사업실적(추정)2003사업계획양식_토목사업본부사업계획3_2004 수금계획(1031)" xfId="7633"/>
    <cellStyle name="_적격(화산) _2002년사업실적(추정)2003사업계획양식_토목사업본부사업계획3_2004 용지,대여금계획(1113)" xfId="7634"/>
    <cellStyle name="_적격(화산) _2002년사업실적(추정)2003사업계획양식_토목사업본부사업계획3_2004년 BDT4사업계획" xfId="7635"/>
    <cellStyle name="_적격(화산) _2002년사업실적(추정)2003사업계획양식_토목사업본부사업계획3_2004년 사업계획(사업개발5)" xfId="7636"/>
    <cellStyle name="_적격(화산) _2002년사업실적(추정)2003사업계획양식_토목사업본부사업계획3_2004년 사업계획(재개발2팀)" xfId="7637"/>
    <cellStyle name="_적격(화산) _2002년사업실적(추정)2003사업계획양식_토목사업본부사업계획3_2004년 사업계획(재개발2팀-대여금)" xfId="7638"/>
    <cellStyle name="_적격(화산) _2002년사업실적(추정)2003사업계획양식_토목사업본부사업계획3_2004년 영업본부 사업계획(1031)" xfId="7639"/>
    <cellStyle name="_적격(화산) _2002년사업실적(추정)2003사업계획양식_토목사업본부사업계획3_2004년 용지,대여금계획" xfId="7640"/>
    <cellStyle name="_적격(화산) _2002년사업실적(추정)2003사업계획양식_토목사업본부사업계획3_2004년 재개발1팀 사업계획(1031)" xfId="7641"/>
    <cellStyle name="_적격(화산) _2002년사업실적(추정)2003사업계획양식_토목사업본부사업계획3_2004년 재개발1팀 사업계획(본부장결재案)1031" xfId="7642"/>
    <cellStyle name="_적격(화산) _2002년사업실적(추정)2003사업계획양식_토목사업본부사업계획3_2004년 재개발1팀(031124)" xfId="7643"/>
    <cellStyle name="_적격(화산) _2002년사업실적(추정)2003사업계획양식_토목사업본부사업계획3_2004년대여금계획(案)진짜최종" xfId="7644"/>
    <cellStyle name="_적격(화산) _2002년사업실적(추정)2003사업계획양식_토목사업본부사업계획3_사업계획수립양식총괄" xfId="7645"/>
    <cellStyle name="_적격(화산) _2002년사업실적(추정)2003사업계획양식_토목사업본부사업계획3_재개발팀 대여금 자료(수정분)입니다." xfId="7646"/>
    <cellStyle name="_적격(화산) _2002년사업실적(추정)2003사업계획양식_토목사업본부사업계획3_재개발팀 대여금 자료(수정분)입니다.(2002년,2003년1~9월포함)(최종자료)" xfId="7647"/>
    <cellStyle name="_적격(화산) _2002년사업실적(추정)2003사업계획양식_토목사업본부사업계획4-41" xfId="7648"/>
    <cellStyle name="_적격(화산) _2002년사업실적(추정)2003사업계획양식_토목사업본부사업계획4-41_'04용지,대여금계획(1031)" xfId="7649"/>
    <cellStyle name="_적격(화산) _2002년사업실적(추정)2003사업계획양식_토목사업본부사업계획4-41_2004 수금계획(1031)" xfId="7650"/>
    <cellStyle name="_적격(화산) _2002년사업실적(추정)2003사업계획양식_토목사업본부사업계획4-41_2004 용지,대여금계획(1113)" xfId="7651"/>
    <cellStyle name="_적격(화산) _2002년사업실적(추정)2003사업계획양식_토목사업본부사업계획4-41_2004년 BDT4사업계획" xfId="7652"/>
    <cellStyle name="_적격(화산) _2002년사업실적(추정)2003사업계획양식_토목사업본부사업계획4-41_2004년 사업계획(사업개발5)" xfId="7653"/>
    <cellStyle name="_적격(화산) _2002년사업실적(추정)2003사업계획양식_토목사업본부사업계획4-41_2004년 사업계획(재개발2팀)" xfId="7654"/>
    <cellStyle name="_적격(화산) _2002년사업실적(추정)2003사업계획양식_토목사업본부사업계획4-41_2004년 사업계획(재개발2팀-대여금)" xfId="7655"/>
    <cellStyle name="_적격(화산) _2002년사업실적(추정)2003사업계획양식_토목사업본부사업계획4-41_2004년 영업본부 사업계획(1031)" xfId="7656"/>
    <cellStyle name="_적격(화산) _2002년사업실적(추정)2003사업계획양식_토목사업본부사업계획4-41_2004년 용지,대여금계획" xfId="7657"/>
    <cellStyle name="_적격(화산) _2002년사업실적(추정)2003사업계획양식_토목사업본부사업계획4-41_2004년 재개발1팀 사업계획(1031)" xfId="7658"/>
    <cellStyle name="_적격(화산) _2002년사업실적(추정)2003사업계획양식_토목사업본부사업계획4-41_2004년 재개발1팀 사업계획(본부장결재案)1031" xfId="7659"/>
    <cellStyle name="_적격(화산) _2002년사업실적(추정)2003사업계획양식_토목사업본부사업계획4-41_2004년 재개발1팀(031124)" xfId="7660"/>
    <cellStyle name="_적격(화산) _2002년사업실적(추정)2003사업계획양식_토목사업본부사업계획4-41_2004년대여금계획(案)진짜최종" xfId="7661"/>
    <cellStyle name="_적격(화산) _2002년사업실적(추정)2003사업계획양식_토목사업본부사업계획4-41_사업계획수립양식총괄" xfId="7662"/>
    <cellStyle name="_적격(화산) _2002년사업실적(추정)2003사업계획양식_토목사업본부사업계획4-41_재개발팀 대여금 자료(수정분)입니다." xfId="7663"/>
    <cellStyle name="_적격(화산) _2002년사업실적(추정)2003사업계획양식_토목사업본부사업계획4-41_재개발팀 대여금 자료(수정분)입니다.(2002년,2003년1~9월포함)(최종자료)" xfId="7664"/>
    <cellStyle name="_적격(화산) _2002년사업실적(추정)2003사업계획양식-최초" xfId="7665"/>
    <cellStyle name="_적격(화산) _2002년사업실적(추정)2003사업계획양식-최초_'04용지,대여금계획(1031)" xfId="7666"/>
    <cellStyle name="_적격(화산) _2002년사업실적(추정)2003사업계획양식-최초_2004 수금계획(1031)" xfId="7667"/>
    <cellStyle name="_적격(화산) _2002년사업실적(추정)2003사업계획양식-최초_2004 용지,대여금계획(1113)" xfId="7668"/>
    <cellStyle name="_적격(화산) _2002년사업실적(추정)2003사업계획양식-최초_2004년 BDT4사업계획" xfId="7669"/>
    <cellStyle name="_적격(화산) _2002년사업실적(추정)2003사업계획양식-최초_2004년 사업계획(사업개발5)" xfId="7670"/>
    <cellStyle name="_적격(화산) _2002년사업실적(추정)2003사업계획양식-최초_2004년 사업계획(재개발2팀)" xfId="7671"/>
    <cellStyle name="_적격(화산) _2002년사업실적(추정)2003사업계획양식-최초_2004년 사업계획(재개발2팀-대여금)" xfId="7672"/>
    <cellStyle name="_적격(화산) _2002년사업실적(추정)2003사업계획양식-최초_2004년 영업본부 사업계획(1031)" xfId="7673"/>
    <cellStyle name="_적격(화산) _2002년사업실적(추정)2003사업계획양식-최초_2004년 용지,대여금계획" xfId="7674"/>
    <cellStyle name="_적격(화산) _2002년사업실적(추정)2003사업계획양식-최초_2004년 재개발1팀 사업계획(1031)" xfId="7675"/>
    <cellStyle name="_적격(화산) _2002년사업실적(추정)2003사업계획양식-최초_2004년 재개발1팀 사업계획(본부장결재案)1031" xfId="7676"/>
    <cellStyle name="_적격(화산) _2002년사업실적(추정)2003사업계획양식-최초_2004년 재개발1팀(031124)" xfId="7677"/>
    <cellStyle name="_적격(화산) _2002년사업실적(추정)2003사업계획양식-최초_2004년대여금계획(案)진짜최종" xfId="7678"/>
    <cellStyle name="_적격(화산) _2002년사업실적(추정)2003사업계획양식-최초_사업계획수립양식총괄" xfId="7679"/>
    <cellStyle name="_적격(화산) _2002년사업실적(추정)2003사업계획양식-최초_재개발팀 대여금 자료(수정분)입니다." xfId="7680"/>
    <cellStyle name="_적격(화산) _2002년사업실적(추정)2003사업계획양식-최초_재개발팀 대여금 자료(수정분)입니다.(2002년,2003년1~9월포함)(최종자료)" xfId="7681"/>
    <cellStyle name="_적격(화산) _2002년사업실적(추정)2003사업계획양식-최초_토목본부사업계획" xfId="7682"/>
    <cellStyle name="_적격(화산) _2002년사업실적(추정)2003사업계획양식-최초_토목본부사업계획_'04용지,대여금계획(1031)" xfId="7683"/>
    <cellStyle name="_적격(화산) _2002년사업실적(추정)2003사업계획양식-최초_토목본부사업계획_2004 수금계획(1031)" xfId="7684"/>
    <cellStyle name="_적격(화산) _2002년사업실적(추정)2003사업계획양식-최초_토목본부사업계획_2004 용지,대여금계획(1113)" xfId="7685"/>
    <cellStyle name="_적격(화산) _2002년사업실적(추정)2003사업계획양식-최초_토목본부사업계획_2004년 BDT4사업계획" xfId="7686"/>
    <cellStyle name="_적격(화산) _2002년사업실적(추정)2003사업계획양식-최초_토목본부사업계획_2004년 사업계획(사업개발5)" xfId="7687"/>
    <cellStyle name="_적격(화산) _2002년사업실적(추정)2003사업계획양식-최초_토목본부사업계획_2004년 사업계획(재개발2팀)" xfId="7688"/>
    <cellStyle name="_적격(화산) _2002년사업실적(추정)2003사업계획양식-최초_토목본부사업계획_2004년 사업계획(재개발2팀-대여금)" xfId="7689"/>
    <cellStyle name="_적격(화산) _2002년사업실적(추정)2003사업계획양식-최초_토목본부사업계획_2004년 영업본부 사업계획(1031)" xfId="7690"/>
    <cellStyle name="_적격(화산) _2002년사업실적(추정)2003사업계획양식-최초_토목본부사업계획_2004년 용지,대여금계획" xfId="7691"/>
    <cellStyle name="_적격(화산) _2002년사업실적(추정)2003사업계획양식-최초_토목본부사업계획_2004년 재개발1팀 사업계획(1031)" xfId="7692"/>
    <cellStyle name="_적격(화산) _2002년사업실적(추정)2003사업계획양식-최초_토목본부사업계획_2004년 재개발1팀 사업계획(본부장결재案)1031" xfId="7693"/>
    <cellStyle name="_적격(화산) _2002년사업실적(추정)2003사업계획양식-최초_토목본부사업계획_2004년 재개발1팀(031124)" xfId="7694"/>
    <cellStyle name="_적격(화산) _2002년사업실적(추정)2003사업계획양식-최초_토목본부사업계획_2004년대여금계획(案)진짜최종" xfId="7695"/>
    <cellStyle name="_적격(화산) _2002년사업실적(추정)2003사업계획양식-최초_토목본부사업계획_사업계획수립양식총괄" xfId="7696"/>
    <cellStyle name="_적격(화산) _2002년사업실적(추정)2003사업계획양식-최초_토목본부사업계획_재개발팀 대여금 자료(수정분)입니다." xfId="7697"/>
    <cellStyle name="_적격(화산) _2002년사업실적(추정)2003사업계획양식-최초_토목본부사업계획_재개발팀 대여금 자료(수정분)입니다.(2002년,2003년1~9월포함)(최종자료)" xfId="7698"/>
    <cellStyle name="_적격(화산) _2002년사업실적(추정)2003사업계획양식-최초_토목본부사업계획_토목사업본부사업계획2" xfId="7699"/>
    <cellStyle name="_적격(화산) _2002년사업실적(추정)2003사업계획양식-최초_토목본부사업계획_토목사업본부사업계획2_'04용지,대여금계획(1031)" xfId="7700"/>
    <cellStyle name="_적격(화산) _2002년사업실적(추정)2003사업계획양식-최초_토목본부사업계획_토목사업본부사업계획2_2004 수금계획(1031)" xfId="7701"/>
    <cellStyle name="_적격(화산) _2002년사업실적(추정)2003사업계획양식-최초_토목본부사업계획_토목사업본부사업계획2_2004 용지,대여금계획(1113)" xfId="7702"/>
    <cellStyle name="_적격(화산) _2002년사업실적(추정)2003사업계획양식-최초_토목본부사업계획_토목사업본부사업계획2_2004년 BDT4사업계획" xfId="7703"/>
    <cellStyle name="_적격(화산) _2002년사업실적(추정)2003사업계획양식-최초_토목본부사업계획_토목사업본부사업계획2_2004년 사업계획(사업개발5)" xfId="7704"/>
    <cellStyle name="_적격(화산) _2002년사업실적(추정)2003사업계획양식-최초_토목본부사업계획_토목사업본부사업계획2_2004년 사업계획(재개발2팀)" xfId="7705"/>
    <cellStyle name="_적격(화산) _2002년사업실적(추정)2003사업계획양식-최초_토목본부사업계획_토목사업본부사업계획2_2004년 사업계획(재개발2팀-대여금)" xfId="7706"/>
    <cellStyle name="_적격(화산) _2002년사업실적(추정)2003사업계획양식-최초_토목본부사업계획_토목사업본부사업계획2_2004년 영업본부 사업계획(1031)" xfId="7707"/>
    <cellStyle name="_적격(화산) _2002년사업실적(추정)2003사업계획양식-최초_토목본부사업계획_토목사업본부사업계획2_2004년 용지,대여금계획" xfId="7708"/>
    <cellStyle name="_적격(화산) _2002년사업실적(추정)2003사업계획양식-최초_토목본부사업계획_토목사업본부사업계획2_2004년 재개발1팀 사업계획(1031)" xfId="7709"/>
    <cellStyle name="_적격(화산) _2002년사업실적(추정)2003사업계획양식-최초_토목본부사업계획_토목사업본부사업계획2_2004년 재개발1팀 사업계획(본부장결재案)1031" xfId="7710"/>
    <cellStyle name="_적격(화산) _2002년사업실적(추정)2003사업계획양식-최초_토목본부사업계획_토목사업본부사업계획2_2004년 재개발1팀(031124)" xfId="7711"/>
    <cellStyle name="_적격(화산) _2002년사업실적(추정)2003사업계획양식-최초_토목본부사업계획_토목사업본부사업계획2_2004년대여금계획(案)진짜최종" xfId="7712"/>
    <cellStyle name="_적격(화산) _2002년사업실적(추정)2003사업계획양식-최초_토목본부사업계획_토목사업본부사업계획2_사업계획수립양식총괄" xfId="7713"/>
    <cellStyle name="_적격(화산) _2002년사업실적(추정)2003사업계획양식-최초_토목본부사업계획_토목사업본부사업계획2_재개발팀 대여금 자료(수정분)입니다." xfId="7714"/>
    <cellStyle name="_적격(화산) _2002년사업실적(추정)2003사업계획양식-최초_토목본부사업계획_토목사업본부사업계획2_재개발팀 대여금 자료(수정분)입니다.(2002년,2003년1~9월포함)(최종자료)" xfId="7715"/>
    <cellStyle name="_적격(화산) _2002년사업실적(추정)2003사업계획양식-최초_토목사업본부사업계획2" xfId="7716"/>
    <cellStyle name="_적격(화산) _2002년사업실적(추정)2003사업계획양식-최초_토목사업본부사업계획2_'04용지,대여금계획(1031)" xfId="7717"/>
    <cellStyle name="_적격(화산) _2002년사업실적(추정)2003사업계획양식-최초_토목사업본부사업계획2_2004 수금계획(1031)" xfId="7718"/>
    <cellStyle name="_적격(화산) _2002년사업실적(추정)2003사업계획양식-최초_토목사업본부사업계획2_2004 용지,대여금계획(1113)" xfId="7719"/>
    <cellStyle name="_적격(화산) _2002년사업실적(추정)2003사업계획양식-최초_토목사업본부사업계획2_2004년 BDT4사업계획" xfId="7720"/>
    <cellStyle name="_적격(화산) _2002년사업실적(추정)2003사업계획양식-최초_토목사업본부사업계획2_2004년 사업계획(사업개발5)" xfId="7721"/>
    <cellStyle name="_적격(화산) _2002년사업실적(추정)2003사업계획양식-최초_토목사업본부사업계획2_2004년 사업계획(재개발2팀)" xfId="7722"/>
    <cellStyle name="_적격(화산) _2002년사업실적(추정)2003사업계획양식-최초_토목사업본부사업계획2_2004년 사업계획(재개발2팀-대여금)" xfId="7723"/>
    <cellStyle name="_적격(화산) _2002년사업실적(추정)2003사업계획양식-최초_토목사업본부사업계획2_2004년 영업본부 사업계획(1031)" xfId="7724"/>
    <cellStyle name="_적격(화산) _2002년사업실적(추정)2003사업계획양식-최초_토목사업본부사업계획2_2004년 용지,대여금계획" xfId="7725"/>
    <cellStyle name="_적격(화산) _2002년사업실적(추정)2003사업계획양식-최초_토목사업본부사업계획2_2004년 재개발1팀 사업계획(1031)" xfId="7726"/>
    <cellStyle name="_적격(화산) _2002년사업실적(추정)2003사업계획양식-최초_토목사업본부사업계획2_2004년 재개발1팀 사업계획(본부장결재案)1031" xfId="7727"/>
    <cellStyle name="_적격(화산) _2002년사업실적(추정)2003사업계획양식-최초_토목사업본부사업계획2_2004년 재개발1팀(031124)" xfId="7728"/>
    <cellStyle name="_적격(화산) _2002년사업실적(추정)2003사업계획양식-최초_토목사업본부사업계획2_2004년대여금계획(案)진짜최종" xfId="7729"/>
    <cellStyle name="_적격(화산) _2002년사업실적(추정)2003사업계획양식-최초_토목사업본부사업계획2_사업계획수립양식총괄" xfId="7730"/>
    <cellStyle name="_적격(화산) _2002년사업실적(추정)2003사업계획양식-최초_토목사업본부사업계획2_재개발팀 대여금 자료(수정분)입니다." xfId="7731"/>
    <cellStyle name="_적격(화산) _2002년사업실적(추정)2003사업계획양식-최초_토목사업본부사업계획2_재개발팀 대여금 자료(수정분)입니다.(2002년,2003년1~9월포함)(최종자료)" xfId="7732"/>
    <cellStyle name="_적격(화산) _2002년사업실적(추정)2003사업계획양식-최초_토목사업본부사업계획3" xfId="7733"/>
    <cellStyle name="_적격(화산) _2002년사업실적(추정)2003사업계획양식-최초_토목사업본부사업계획3_'04용지,대여금계획(1031)" xfId="7734"/>
    <cellStyle name="_적격(화산) _2002년사업실적(추정)2003사업계획양식-최초_토목사업본부사업계획3_2004 수금계획(1031)" xfId="7735"/>
    <cellStyle name="_적격(화산) _2002년사업실적(추정)2003사업계획양식-최초_토목사업본부사업계획3_2004 용지,대여금계획(1113)" xfId="7736"/>
    <cellStyle name="_적격(화산) _2002년사업실적(추정)2003사업계획양식-최초_토목사업본부사업계획3_2004년 BDT4사업계획" xfId="7737"/>
    <cellStyle name="_적격(화산) _2002년사업실적(추정)2003사업계획양식-최초_토목사업본부사업계획3_2004년 사업계획(사업개발5)" xfId="7738"/>
    <cellStyle name="_적격(화산) _2002년사업실적(추정)2003사업계획양식-최초_토목사업본부사업계획3_2004년 사업계획(재개발2팀)" xfId="7739"/>
    <cellStyle name="_적격(화산) _2002년사업실적(추정)2003사업계획양식-최초_토목사업본부사업계획3_2004년 사업계획(재개발2팀-대여금)" xfId="7740"/>
    <cellStyle name="_적격(화산) _2002년사업실적(추정)2003사업계획양식-최초_토목사업본부사업계획3_2004년 영업본부 사업계획(1031)" xfId="7741"/>
    <cellStyle name="_적격(화산) _2002년사업실적(추정)2003사업계획양식-최초_토목사업본부사업계획3_2004년 용지,대여금계획" xfId="7742"/>
    <cellStyle name="_적격(화산) _2002년사업실적(추정)2003사업계획양식-최초_토목사업본부사업계획3_2004년 재개발1팀 사업계획(1031)" xfId="7743"/>
    <cellStyle name="_적격(화산) _2002년사업실적(추정)2003사업계획양식-최초_토목사업본부사업계획3_2004년 재개발1팀 사업계획(본부장결재案)1031" xfId="7744"/>
    <cellStyle name="_적격(화산) _2002년사업실적(추정)2003사업계획양식-최초_토목사업본부사업계획3_2004년 재개발1팀(031124)" xfId="7745"/>
    <cellStyle name="_적격(화산) _2002년사업실적(추정)2003사업계획양식-최초_토목사업본부사업계획3_2004년대여금계획(案)진짜최종" xfId="7746"/>
    <cellStyle name="_적격(화산) _2002년사업실적(추정)2003사업계획양식-최초_토목사업본부사업계획3_사업계획수립양식총괄" xfId="7747"/>
    <cellStyle name="_적격(화산) _2002년사업실적(추정)2003사업계획양식-최초_토목사업본부사업계획3_재개발팀 대여금 자료(수정분)입니다." xfId="7748"/>
    <cellStyle name="_적격(화산) _2002년사업실적(추정)2003사업계획양식-최초_토목사업본부사업계획3_재개발팀 대여금 자료(수정분)입니다.(2002년,2003년1~9월포함)(최종자료)" xfId="7749"/>
    <cellStyle name="_적격(화산) _2002년사업실적(추정)2003사업계획양식-최초_토목사업본부사업계획4-41" xfId="7750"/>
    <cellStyle name="_적격(화산) _2002년사업실적(추정)2003사업계획양식-최초_토목사업본부사업계획4-41_'04용지,대여금계획(1031)" xfId="7751"/>
    <cellStyle name="_적격(화산) _2002년사업실적(추정)2003사업계획양식-최초_토목사업본부사업계획4-41_2004 수금계획(1031)" xfId="7752"/>
    <cellStyle name="_적격(화산) _2002년사업실적(추정)2003사업계획양식-최초_토목사업본부사업계획4-41_2004 용지,대여금계획(1113)" xfId="7753"/>
    <cellStyle name="_적격(화산) _2002년사업실적(추정)2003사업계획양식-최초_토목사업본부사업계획4-41_2004년 BDT4사업계획" xfId="7754"/>
    <cellStyle name="_적격(화산) _2002년사업실적(추정)2003사업계획양식-최초_토목사업본부사업계획4-41_2004년 사업계획(사업개발5)" xfId="7755"/>
    <cellStyle name="_적격(화산) _2002년사업실적(추정)2003사업계획양식-최초_토목사업본부사업계획4-41_2004년 사업계획(재개발2팀)" xfId="7756"/>
    <cellStyle name="_적격(화산) _2002년사업실적(추정)2003사업계획양식-최초_토목사업본부사업계획4-41_2004년 사업계획(재개발2팀-대여금)" xfId="7757"/>
    <cellStyle name="_적격(화산) _2002년사업실적(추정)2003사업계획양식-최초_토목사업본부사업계획4-41_2004년 영업본부 사업계획(1031)" xfId="7758"/>
    <cellStyle name="_적격(화산) _2002년사업실적(추정)2003사업계획양식-최초_토목사업본부사업계획4-41_2004년 용지,대여금계획" xfId="7759"/>
    <cellStyle name="_적격(화산) _2002년사업실적(추정)2003사업계획양식-최초_토목사업본부사업계획4-41_2004년 재개발1팀 사업계획(1031)" xfId="7760"/>
    <cellStyle name="_적격(화산) _2002년사업실적(추정)2003사업계획양식-최초_토목사업본부사업계획4-41_2004년 재개발1팀 사업계획(본부장결재案)1031" xfId="7761"/>
    <cellStyle name="_적격(화산) _2002년사업실적(추정)2003사업계획양식-최초_토목사업본부사업계획4-41_2004년 재개발1팀(031124)" xfId="7762"/>
    <cellStyle name="_적격(화산) _2002년사업실적(추정)2003사업계획양식-최초_토목사업본부사업계획4-41_2004년대여금계획(案)진짜최종" xfId="7763"/>
    <cellStyle name="_적격(화산) _2002년사업실적(추정)2003사업계획양식-최초_토목사업본부사업계획4-41_사업계획수립양식총괄" xfId="7764"/>
    <cellStyle name="_적격(화산) _2002년사업실적(추정)2003사업계획양식-최초_토목사업본부사업계획4-41_재개발팀 대여금 자료(수정분)입니다." xfId="7765"/>
    <cellStyle name="_적격(화산) _2002년사업실적(추정)2003사업계획양식-최초_토목사업본부사업계획4-41_재개발팀 대여금 자료(수정분)입니다.(2002년,2003년1~9월포함)(최종자료)" xfId="7766"/>
    <cellStyle name="_적격(화산) _2003년 착준공현황" xfId="7767"/>
    <cellStyle name="_적격(화산) _2003년 착준공현황_'04용지,대여금계획(1031)" xfId="7768"/>
    <cellStyle name="_적격(화산) _2003년 착준공현황_2004 용지,대여금계획(1113)" xfId="7769"/>
    <cellStyle name="_적격(화산) _2003년 착준공현황_2004년 BDT4사업계획" xfId="7770"/>
    <cellStyle name="_적격(화산) _2003년 착준공현황_2004년 사업계획(사업개발5)" xfId="7771"/>
    <cellStyle name="_적격(화산) _2003년 착준공현황_2004년 사업계획(재개발2팀)" xfId="7772"/>
    <cellStyle name="_적격(화산) _2003년 착준공현황_2004년 사업계획(재개발2팀-대여금)" xfId="7773"/>
    <cellStyle name="_적격(화산) _2003년 착준공현황_2004년 영업본부 사업계획(1031)" xfId="7774"/>
    <cellStyle name="_적격(화산) _2003년 착준공현황_2004년 용지,대여금계획" xfId="7775"/>
    <cellStyle name="_적격(화산) _2003년 착준공현황_2004년 재개발1팀 사업계획(1031)" xfId="7776"/>
    <cellStyle name="_적격(화산) _2003년 착준공현황_2004년 재개발1팀 사업계획(본부장결재案)1031" xfId="7777"/>
    <cellStyle name="_적격(화산) _2003년 착준공현황_2004년 재개발1팀(031124)" xfId="7778"/>
    <cellStyle name="_적격(화산) _2003년 착준공현황_2004년대여금계획(案)진짜최종" xfId="7779"/>
    <cellStyle name="_적격(화산) _2003년 착준공현황_재개발팀 대여금 자료(수정분)입니다." xfId="7780"/>
    <cellStyle name="_적격(화산) _2003년 착준공현황_재개발팀 대여금 자료(수정분)입니다.(2002년,2003년1~9월포함)(최종자료)" xfId="7781"/>
    <cellStyle name="_적격(화산) _2004 수금계획(1031)" xfId="7782"/>
    <cellStyle name="_적격(화산) _2004 용지,대여금계획(1113)" xfId="7783"/>
    <cellStyle name="_적격(화산) _2004년 BDT4사업계획" xfId="7784"/>
    <cellStyle name="_적격(화산) _2004년 사업계획(사업개발5)" xfId="7785"/>
    <cellStyle name="_적격(화산) _2004년 사업계획(재개발2팀)" xfId="7786"/>
    <cellStyle name="_적격(화산) _2004년 사업계획(재개발2팀-대여금)" xfId="7787"/>
    <cellStyle name="_적격(화산) _2004년 영업본부 사업계획(1031)" xfId="7788"/>
    <cellStyle name="_적격(화산) _2004년 용지,대여금계획" xfId="7789"/>
    <cellStyle name="_적격(화산) _2004년 재개발1팀 사업계획(1031)" xfId="7790"/>
    <cellStyle name="_적격(화산) _2004년 재개발1팀 사업계획(본부장결재案)1031" xfId="7791"/>
    <cellStyle name="_적격(화산) _2004년 재개발1팀(031124)" xfId="7792"/>
    <cellStyle name="_적격(화산) _2004년대여금계획(案)진짜최종" xfId="7793"/>
    <cellStyle name="_적격(화산) _계약고,01,02,03,04년매출정리2(최종)" xfId="7794"/>
    <cellStyle name="_적격(화산) _계약고,01,02,03,04년매출정리2(최종)_'04용지,대여금계획(1031)" xfId="7795"/>
    <cellStyle name="_적격(화산) _계약고,01,02,03,04년매출정리2(최종)_2004 수금계획(1031)" xfId="7796"/>
    <cellStyle name="_적격(화산) _계약고,01,02,03,04년매출정리2(최종)_2004 용지,대여금계획(1113)" xfId="7797"/>
    <cellStyle name="_적격(화산) _계약고,01,02,03,04년매출정리2(최종)_2004년 BDT4사업계획" xfId="7798"/>
    <cellStyle name="_적격(화산) _계약고,01,02,03,04년매출정리2(최종)_2004년 사업계획(사업개발5)" xfId="7799"/>
    <cellStyle name="_적격(화산) _계약고,01,02,03,04년매출정리2(최종)_2004년 사업계획(재개발2팀)" xfId="7800"/>
    <cellStyle name="_적격(화산) _계약고,01,02,03,04년매출정리2(최종)_2004년 사업계획(재개발2팀-대여금)" xfId="7801"/>
    <cellStyle name="_적격(화산) _계약고,01,02,03,04년매출정리2(최종)_2004년 영업본부 사업계획(1031)" xfId="7802"/>
    <cellStyle name="_적격(화산) _계약고,01,02,03,04년매출정리2(최종)_2004년 용지,대여금계획" xfId="7803"/>
    <cellStyle name="_적격(화산) _계약고,01,02,03,04년매출정리2(최종)_2004년 재개발1팀 사업계획(1031)" xfId="7804"/>
    <cellStyle name="_적격(화산) _계약고,01,02,03,04년매출정리2(최종)_2004년 재개발1팀 사업계획(본부장결재案)1031" xfId="7805"/>
    <cellStyle name="_적격(화산) _계약고,01,02,03,04년매출정리2(최종)_2004년 재개발1팀(031124)" xfId="7806"/>
    <cellStyle name="_적격(화산) _계약고,01,02,03,04년매출정리2(최종)_2004년대여금계획(案)진짜최종" xfId="7807"/>
    <cellStyle name="_적격(화산) _계약고,01,02,03,04년매출정리2(최종)_사업계획수립양식총괄" xfId="7808"/>
    <cellStyle name="_적격(화산) _계약고,01,02,03,04년매출정리2(최종)_재개발팀 대여금 자료(수정분)입니다." xfId="7809"/>
    <cellStyle name="_적격(화산) _계약고,01,02,03,04년매출정리2(최종)_재개발팀 대여금 자료(수정분)입니다.(2002년,2003년1~9월포함)(최종자료)" xfId="7810"/>
    <cellStyle name="_적격(화산) _광주평동실행" xfId="1609"/>
    <cellStyle name="_적격(화산) _광주평동실행_구기동(제출)(95.0)(031121)" xfId="1610"/>
    <cellStyle name="_적격(화산) _광주평동실행_구기동레포츠센타제출" xfId="1611"/>
    <cellStyle name="_적격(화산) _광주평동실행_번암견적의뢰(협력)" xfId="1612"/>
    <cellStyle name="_적격(화산) _광주평동실행_번암견적의뢰(협력)_구기동(제출)(95.0)(031121)" xfId="1613"/>
    <cellStyle name="_적격(화산) _광주평동실행_번암견적의뢰(협력)_구기동레포츠센타제출" xfId="1614"/>
    <cellStyle name="_적격(화산) _광주평동실행_번암견적의뢰(협력)_용답동오피스텔가실행" xfId="1615"/>
    <cellStyle name="_적격(화산) _광주평동실행_용답동오피스텔가실행" xfId="1616"/>
    <cellStyle name="_적격(화산) _광주평동투찰" xfId="2382"/>
    <cellStyle name="_적격(화산) _광주평동투찰_삽교천개수공사(03.30)" xfId="2383"/>
    <cellStyle name="_적격(화산) _광주평동투찰_삽교천개수공사(03.30)_구일초(06.17)-부대" xfId="2384"/>
    <cellStyle name="_적격(화산) _광주평동투찰_삽교천개수공사(03.30)_남성지구(05.26)" xfId="2385"/>
    <cellStyle name="_적격(화산) _광주평동투찰_삽교천개수공사(03.30)_동산초(06.1)" xfId="2386"/>
    <cellStyle name="_적격(화산) _광주평동투찰_삽교천개수공사(03.30)_삽교천개수공사(03.30)" xfId="2387"/>
    <cellStyle name="_적격(화산) _광주평동투찰_삽교천개수공사(03.30)_안산남부경찰서(06.16)-부대" xfId="2388"/>
    <cellStyle name="_적격(화산) _광주평동투찰_삽교천개수공사(03.30)_제주제성교(05.27)" xfId="2389"/>
    <cellStyle name="_적격(화산) _광주평동투찰_삽교천개수공사(03.30)_행목지구하천환경(05.25)" xfId="2390"/>
    <cellStyle name="_적격(화산) _광주평동품의1" xfId="1617"/>
    <cellStyle name="_적격(화산) _광주평동품의1_구기동(제출)(95.0)(031121)" xfId="1618"/>
    <cellStyle name="_적격(화산) _광주평동품의1_구기동레포츠센타제출" xfId="1619"/>
    <cellStyle name="_적격(화산) _광주평동품의1_무안-광주2공구(협력)수정" xfId="1620"/>
    <cellStyle name="_적격(화산) _광주평동품의1_무안-광주2공구(협력)수정_구기동(제출)(95.0)(031121)" xfId="1621"/>
    <cellStyle name="_적격(화산) _광주평동품의1_무안-광주2공구(협력)수정_구기동레포츠센타제출" xfId="1622"/>
    <cellStyle name="_적격(화산) _광주평동품의1_무안-광주2공구(협력)수정_용답동오피스텔가실행" xfId="1623"/>
    <cellStyle name="_적격(화산) _광주평동품의1_번암견적의뢰(협력)" xfId="1624"/>
    <cellStyle name="_적격(화산) _광주평동품의1_번암견적의뢰(협력)_구기동(제출)(95.0)(031121)" xfId="1625"/>
    <cellStyle name="_적격(화산) _광주평동품의1_번암견적의뢰(협력)_구기동레포츠센타제출" xfId="1626"/>
    <cellStyle name="_적격(화산) _광주평동품의1_번암견적의뢰(협력)_용답동오피스텔가실행" xfId="1627"/>
    <cellStyle name="_적격(화산) _광주평동품의1_삽교천개수공사(03.30)" xfId="2391"/>
    <cellStyle name="_적격(화산) _광주평동품의1_삽교천개수공사(03.30)_구일초(06.17)-부대" xfId="2392"/>
    <cellStyle name="_적격(화산) _광주평동품의1_삽교천개수공사(03.30)_남성지구(05.26)" xfId="2393"/>
    <cellStyle name="_적격(화산) _광주평동품의1_삽교천개수공사(03.30)_동산초(06.1)" xfId="2394"/>
    <cellStyle name="_적격(화산) _광주평동품의1_삽교천개수공사(03.30)_삽교천개수공사(03.30)" xfId="2395"/>
    <cellStyle name="_적격(화산) _광주평동품의1_삽교천개수공사(03.30)_안산남부경찰서(06.16)-부대" xfId="2396"/>
    <cellStyle name="_적격(화산) _광주평동품의1_삽교천개수공사(03.30)_제주제성교(05.27)" xfId="2397"/>
    <cellStyle name="_적격(화산) _광주평동품의1_삽교천개수공사(03.30)_행목지구하천환경(05.25)" xfId="2398"/>
    <cellStyle name="_적격(화산) _광주평동품의1_용답동오피스텔가실행" xfId="1628"/>
    <cellStyle name="_적격(화산) _광주평동품의1_적상무주IC도로(1공구)" xfId="1629"/>
    <cellStyle name="_적격(화산) _광주평동품의1_적상무주IC도로(1공구)_구기동(제출)(95.0)(031121)" xfId="1630"/>
    <cellStyle name="_적격(화산) _광주평동품의1_적상무주IC도로(1공구)_구기동레포츠센타제출" xfId="1631"/>
    <cellStyle name="_적격(화산) _광주평동품의1_적상무주IC도로(1공구)_용답동오피스텔가실행" xfId="1632"/>
    <cellStyle name="_적격(화산) _구기동(제출)(95.0)(031121)" xfId="1633"/>
    <cellStyle name="_적격(화산) _구기동레포츠센타제출" xfId="1634"/>
    <cellStyle name="_적격(화산) _기장하수실행1" xfId="1635"/>
    <cellStyle name="_적격(화산) _기장하수실행1_구기동(제출)(95.0)(031121)" xfId="1636"/>
    <cellStyle name="_적격(화산) _기장하수실행1_구기동레포츠센타제출" xfId="1637"/>
    <cellStyle name="_적격(화산) _기장하수실행1_번암견적의뢰(협력)" xfId="1638"/>
    <cellStyle name="_적격(화산) _기장하수실행1_번암견적의뢰(협력)_구기동(제출)(95.0)(031121)" xfId="1639"/>
    <cellStyle name="_적격(화산) _기장하수실행1_번암견적의뢰(협력)_구기동레포츠센타제출" xfId="1640"/>
    <cellStyle name="_적격(화산) _기장하수실행1_번암견적의뢰(협력)_용답동오피스텔가실행" xfId="1641"/>
    <cellStyle name="_적격(화산) _기장하수실행1_용답동오피스텔가실행" xfId="1642"/>
    <cellStyle name="_적격(화산) _김해작업중" xfId="7811"/>
    <cellStyle name="_적격(화산) _김해작업중_2002년도BP양식수정(SOC팀수정부결안1101)" xfId="7812"/>
    <cellStyle name="_적격(화산) _김해작업중_2002년도BP양식수정(SOC팀수정부결안1101)_본부별 경영전략 보고 양식" xfId="7813"/>
    <cellStyle name="_적격(화산) _김해작업중_2002년도BP양식주정" xfId="7814"/>
    <cellStyle name="_적격(화산) _김해작업중_2002년도BP양식주정_2002년도BP양식주정" xfId="7815"/>
    <cellStyle name="_적격(화산) _김해작업중_2002년도BP양식주정_2002년도BP양식주정_2002년도BP양식수정(SOC팀수정부결안1101)" xfId="7816"/>
    <cellStyle name="_적격(화산) _김해작업중_2002년도BP양식주정_2002년도BP양식주정_2002년도BP양식수정(SOC팀수정부결안1101)_본부별 경영전략 보고 양식" xfId="7817"/>
    <cellStyle name="_적격(화산) _김해작업중_2002년도BP양식주정_2002년도BP양식주정_본부별 경영전략 보고 양식" xfId="7818"/>
    <cellStyle name="_적격(화산) _김해작업중_2002년도BP양식주정_본부별 경영전략 보고 양식" xfId="7819"/>
    <cellStyle name="_적격(화산) _김해작업중_본부별 경영전략 보고 양식" xfId="7820"/>
    <cellStyle name="_적격(화산) _김해작업중_사업진척점검회의(2001. 8)" xfId="7821"/>
    <cellStyle name="_적격(화산) _김해작업중_사업진척점검회의(2001. 8)_2002년도BP양식수정(SOC팀수정부결안1101)" xfId="7822"/>
    <cellStyle name="_적격(화산) _김해작업중_사업진척점검회의(2001. 8)_2002년도BP양식수정(SOC팀수정부결안1101)_본부별 경영전략 보고 양식" xfId="7823"/>
    <cellStyle name="_적격(화산) _김해작업중_사업진척점검회의(2001. 8)_2002년도BP양식주정" xfId="7824"/>
    <cellStyle name="_적격(화산) _김해작업중_사업진척점검회의(2001. 8)_2002년도BP양식주정_2002년도BP양식주정" xfId="7825"/>
    <cellStyle name="_적격(화산) _김해작업중_사업진척점검회의(2001. 8)_2002년도BP양식주정_2002년도BP양식주정_2002년도BP양식수정(SOC팀수정부결안1101)" xfId="7826"/>
    <cellStyle name="_적격(화산) _김해작업중_사업진척점검회의(2001. 8)_2002년도BP양식주정_2002년도BP양식주정_2002년도BP양식수정(SOC팀수정부결안1101)_본부별 경영전략 보고 양식" xfId="7827"/>
    <cellStyle name="_적격(화산) _김해작업중_사업진척점검회의(2001. 8)_2002년도BP양식주정_2002년도BP양식주정_본부별 경영전략 보고 양식" xfId="7828"/>
    <cellStyle name="_적격(화산) _김해작업중_사업진척점검회의(2001. 8)_2002년도BP양식주정_본부별 경영전략 보고 양식" xfId="7829"/>
    <cellStyle name="_적격(화산) _김해작업중_사업진척점검회의(2001. 8)_본부별 경영전략 보고 양식" xfId="7830"/>
    <cellStyle name="_적격(화산) _김해작업중_선운흥덕실행" xfId="7831"/>
    <cellStyle name="_적격(화산) _김해작업중_선운흥덕실행_2002년도BP양식수정(SOC팀수정부결안1101)" xfId="7832"/>
    <cellStyle name="_적격(화산) _김해작업중_선운흥덕실행_2002년도BP양식수정(SOC팀수정부결안1101)_본부별 경영전략 보고 양식" xfId="7833"/>
    <cellStyle name="_적격(화산) _김해작업중_선운흥덕실행_2002년도BP양식주정" xfId="7834"/>
    <cellStyle name="_적격(화산) _김해작업중_선운흥덕실행_2002년도BP양식주정_2002년도BP양식주정" xfId="7835"/>
    <cellStyle name="_적격(화산) _김해작업중_선운흥덕실행_2002년도BP양식주정_2002년도BP양식주정_2002년도BP양식수정(SOC팀수정부결안1101)" xfId="7836"/>
    <cellStyle name="_적격(화산) _김해작업중_선운흥덕실행_2002년도BP양식주정_2002년도BP양식주정_2002년도BP양식수정(SOC팀수정부결안1101)_본부별 경영전략 보고 양식" xfId="7837"/>
    <cellStyle name="_적격(화산) _김해작업중_선운흥덕실행_2002년도BP양식주정_2002년도BP양식주정_본부별 경영전략 보고 양식" xfId="7838"/>
    <cellStyle name="_적격(화산) _김해작업중_선운흥덕실행_2002년도BP양식주정_본부별 경영전략 보고 양식" xfId="7839"/>
    <cellStyle name="_적격(화산) _김해작업중_선운흥덕실행_본부별 경영전략 보고 양식" xfId="7840"/>
    <cellStyle name="_적격(화산) _김해작업중_선운흥덕실행_사업진척점검회의(2001. 8)" xfId="7841"/>
    <cellStyle name="_적격(화산) _김해작업중_선운흥덕실행_사업진척점검회의(2001. 8)_2002년도BP양식수정(SOC팀수정부결안1101)" xfId="7842"/>
    <cellStyle name="_적격(화산) _김해작업중_선운흥덕실행_사업진척점검회의(2001. 8)_2002년도BP양식수정(SOC팀수정부결안1101)_본부별 경영전략 보고 양식" xfId="7843"/>
    <cellStyle name="_적격(화산) _김해작업중_선운흥덕실행_사업진척점검회의(2001. 8)_2002년도BP양식주정" xfId="7844"/>
    <cellStyle name="_적격(화산) _김해작업중_선운흥덕실행_사업진척점검회의(2001. 8)_2002년도BP양식주정_2002년도BP양식주정" xfId="7845"/>
    <cellStyle name="_적격(화산) _김해작업중_선운흥덕실행_사업진척점검회의(2001. 8)_2002년도BP양식주정_2002년도BP양식주정_2002년도BP양식수정(SOC팀수정부결안1101)" xfId="7846"/>
    <cellStyle name="_적격(화산) _김해작업중_선운흥덕실행_사업진척점검회의(2001. 8)_2002년도BP양식주정_2002년도BP양식주정_2002년도BP양식수정(SOC팀수정부결안1101)_본부별 경영전략 보고 양식" xfId="7847"/>
    <cellStyle name="_적격(화산) _김해작업중_선운흥덕실행_사업진척점검회의(2001. 8)_2002년도BP양식주정_2002년도BP양식주정_본부별 경영전략 보고 양식" xfId="7848"/>
    <cellStyle name="_적격(화산) _김해작업중_선운흥덕실행_사업진척점검회의(2001. 8)_2002년도BP양식주정_본부별 경영전략 보고 양식" xfId="7849"/>
    <cellStyle name="_적격(화산) _김해작업중_선운흥덕실행_사업진척점검회의(2001. 8)_본부별 경영전략 보고 양식" xfId="7850"/>
    <cellStyle name="_적격(화산) _동원작업중" xfId="7851"/>
    <cellStyle name="_적격(화산) _동원작업중_2002년도BP양식수정(SOC팀수정부결안1101)" xfId="7852"/>
    <cellStyle name="_적격(화산) _동원작업중_2002년도BP양식수정(SOC팀수정부결안1101)_본부별 경영전략 보고 양식" xfId="7853"/>
    <cellStyle name="_적격(화산) _동원작업중_2002년도BP양식주정" xfId="7854"/>
    <cellStyle name="_적격(화산) _동원작업중_2002년도BP양식주정_2002년도BP양식주정" xfId="7855"/>
    <cellStyle name="_적격(화산) _동원작업중_2002년도BP양식주정_2002년도BP양식주정_2002년도BP양식수정(SOC팀수정부결안1101)" xfId="7856"/>
    <cellStyle name="_적격(화산) _동원작업중_2002년도BP양식주정_2002년도BP양식주정_2002년도BP양식수정(SOC팀수정부결안1101)_본부별 경영전략 보고 양식" xfId="7857"/>
    <cellStyle name="_적격(화산) _동원작업중_2002년도BP양식주정_2002년도BP양식주정_본부별 경영전략 보고 양식" xfId="7858"/>
    <cellStyle name="_적격(화산) _동원작업중_2002년도BP양식주정_본부별 경영전략 보고 양식" xfId="7859"/>
    <cellStyle name="_적격(화산) _동원작업중_본부별 경영전략 보고 양식" xfId="7860"/>
    <cellStyle name="_적격(화산) _동원작업중_사업진척점검회의(2001. 8)" xfId="7861"/>
    <cellStyle name="_적격(화산) _동원작업중_사업진척점검회의(2001. 8)_2002년도BP양식수정(SOC팀수정부결안1101)" xfId="7862"/>
    <cellStyle name="_적격(화산) _동원작업중_사업진척점검회의(2001. 8)_2002년도BP양식수정(SOC팀수정부결안1101)_본부별 경영전략 보고 양식" xfId="7863"/>
    <cellStyle name="_적격(화산) _동원작업중_사업진척점검회의(2001. 8)_2002년도BP양식주정" xfId="7864"/>
    <cellStyle name="_적격(화산) _동원작업중_사업진척점검회의(2001. 8)_2002년도BP양식주정_2002년도BP양식주정" xfId="7865"/>
    <cellStyle name="_적격(화산) _동원작업중_사업진척점검회의(2001. 8)_2002년도BP양식주정_2002년도BP양식주정_2002년도BP양식수정(SOC팀수정부결안1101)" xfId="7866"/>
    <cellStyle name="_적격(화산) _동원작업중_사업진척점검회의(2001. 8)_2002년도BP양식주정_2002년도BP양식주정_2002년도BP양식수정(SOC팀수정부결안1101)_본부별 경영전략 보고 양식" xfId="7867"/>
    <cellStyle name="_적격(화산) _동원작업중_사업진척점검회의(2001. 8)_2002년도BP양식주정_2002년도BP양식주정_본부별 경영전략 보고 양식" xfId="7868"/>
    <cellStyle name="_적격(화산) _동원작업중_사업진척점검회의(2001. 8)_2002년도BP양식주정_본부별 경영전략 보고 양식" xfId="7869"/>
    <cellStyle name="_적격(화산) _동원작업중_사업진척점검회의(2001. 8)_본부별 경영전략 보고 양식" xfId="7870"/>
    <cellStyle name="_적격(화산) _동원작업중_선운흥덕실행" xfId="7871"/>
    <cellStyle name="_적격(화산) _동원작업중_선운흥덕실행_2002년도BP양식수정(SOC팀수정부결안1101)" xfId="7872"/>
    <cellStyle name="_적격(화산) _동원작업중_선운흥덕실행_2002년도BP양식수정(SOC팀수정부결안1101)_본부별 경영전략 보고 양식" xfId="7873"/>
    <cellStyle name="_적격(화산) _동원작업중_선운흥덕실행_2002년도BP양식주정" xfId="7874"/>
    <cellStyle name="_적격(화산) _동원작업중_선운흥덕실행_2002년도BP양식주정_2002년도BP양식주정" xfId="7875"/>
    <cellStyle name="_적격(화산) _동원작업중_선운흥덕실행_2002년도BP양식주정_2002년도BP양식주정_2002년도BP양식수정(SOC팀수정부결안1101)" xfId="7876"/>
    <cellStyle name="_적격(화산) _동원작업중_선운흥덕실행_2002년도BP양식주정_2002년도BP양식주정_2002년도BP양식수정(SOC팀수정부결안1101)_본부별 경영전략 보고 양식" xfId="7877"/>
    <cellStyle name="_적격(화산) _동원작업중_선운흥덕실행_2002년도BP양식주정_2002년도BP양식주정_본부별 경영전략 보고 양식" xfId="7878"/>
    <cellStyle name="_적격(화산) _동원작업중_선운흥덕실행_2002년도BP양식주정_본부별 경영전략 보고 양식" xfId="7879"/>
    <cellStyle name="_적격(화산) _동원작업중_선운흥덕실행_본부별 경영전략 보고 양식" xfId="7880"/>
    <cellStyle name="_적격(화산) _동원작업중_선운흥덕실행_사업진척점검회의(2001. 8)" xfId="7881"/>
    <cellStyle name="_적격(화산) _동원작업중_선운흥덕실행_사업진척점검회의(2001. 8)_2002년도BP양식수정(SOC팀수정부결안1101)" xfId="7882"/>
    <cellStyle name="_적격(화산) _동원작업중_선운흥덕실행_사업진척점검회의(2001. 8)_2002년도BP양식수정(SOC팀수정부결안1101)_본부별 경영전략 보고 양식" xfId="7883"/>
    <cellStyle name="_적격(화산) _동원작업중_선운흥덕실행_사업진척점검회의(2001. 8)_2002년도BP양식주정" xfId="7884"/>
    <cellStyle name="_적격(화산) _동원작업중_선운흥덕실행_사업진척점검회의(2001. 8)_2002년도BP양식주정_2002년도BP양식주정" xfId="7885"/>
    <cellStyle name="_적격(화산) _동원작업중_선운흥덕실행_사업진척점검회의(2001. 8)_2002년도BP양식주정_2002년도BP양식주정_2002년도BP양식수정(SOC팀수정부결안1101)" xfId="7886"/>
    <cellStyle name="_적격(화산) _동원작업중_선운흥덕실행_사업진척점검회의(2001. 8)_2002년도BP양식주정_2002년도BP양식주정_2002년도BP양식수정(SOC팀수정부결안1101)_본부별 경영전략 보고 양식" xfId="7887"/>
    <cellStyle name="_적격(화산) _동원작업중_선운흥덕실행_사업진척점검회의(2001. 8)_2002년도BP양식주정_2002년도BP양식주정_본부별 경영전략 보고 양식" xfId="7888"/>
    <cellStyle name="_적격(화산) _동원작업중_선운흥덕실행_사업진척점검회의(2001. 8)_2002년도BP양식주정_본부별 경영전략 보고 양식" xfId="7889"/>
    <cellStyle name="_적격(화산) _동원작업중_선운흥덕실행_사업진척점검회의(2001. 8)_본부별 경영전략 보고 양식" xfId="7890"/>
    <cellStyle name="_적격(화산) _무안-광주2공구(협력)수정" xfId="1643"/>
    <cellStyle name="_적격(화산) _무안-광주2공구(협력)수정_구기동(제출)(95.0)(031121)" xfId="1644"/>
    <cellStyle name="_적격(화산) _무안-광주2공구(협력)수정_구기동레포츠센타제출" xfId="1645"/>
    <cellStyle name="_적격(화산) _무안-광주2공구(협력)수정_용답동오피스텔가실행" xfId="1646"/>
    <cellStyle name="_적격(화산) _번암견적의뢰(협력)" xfId="1647"/>
    <cellStyle name="_적격(화산) _번암견적의뢰(협력)_구기동(제출)(95.0)(031121)" xfId="1648"/>
    <cellStyle name="_적격(화산) _번암견적의뢰(협력)_구기동레포츠센타제출" xfId="1649"/>
    <cellStyle name="_적격(화산) _번암견적의뢰(협력)_용답동오피스텔가실행" xfId="1650"/>
    <cellStyle name="_적격(화산) _본부별 경영전략 보고 양식" xfId="7891"/>
    <cellStyle name="_적격(화산) _사본 - 2004년 전략경영계획(1126)" xfId="7892"/>
    <cellStyle name="_적격(화산) _사업계획수립양식총괄" xfId="7893"/>
    <cellStyle name="_적격(화산) _사업진척점검회의(2001. 8)" xfId="7894"/>
    <cellStyle name="_적격(화산) _사업진척점검회의(2001. 8)_2002년도BP양식수정(SOC팀수정부결안1101)" xfId="7895"/>
    <cellStyle name="_적격(화산) _사업진척점검회의(2001. 8)_2002년도BP양식수정(SOC팀수정부결안1101)_본부별 경영전략 보고 양식" xfId="7896"/>
    <cellStyle name="_적격(화산) _사업진척점검회의(2001. 8)_2002년도BP양식주정" xfId="7897"/>
    <cellStyle name="_적격(화산) _사업진척점검회의(2001. 8)_2002년도BP양식주정_2002년도BP양식주정" xfId="7898"/>
    <cellStyle name="_적격(화산) _사업진척점검회의(2001. 8)_2002년도BP양식주정_2002년도BP양식주정_2002년도BP양식수정(SOC팀수정부결안1101)" xfId="7899"/>
    <cellStyle name="_적격(화산) _사업진척점검회의(2001. 8)_2002년도BP양식주정_2002년도BP양식주정_2002년도BP양식수정(SOC팀수정부결안1101)_본부별 경영전략 보고 양식" xfId="7900"/>
    <cellStyle name="_적격(화산) _사업진척점검회의(2001. 8)_2002년도BP양식주정_2002년도BP양식주정_본부별 경영전략 보고 양식" xfId="7901"/>
    <cellStyle name="_적격(화산) _사업진척점검회의(2001. 8)_2002년도BP양식주정_본부별 경영전략 보고 양식" xfId="7902"/>
    <cellStyle name="_적격(화산) _사업진척점검회의(2001. 8)_본부별 경영전략 보고 양식" xfId="7903"/>
    <cellStyle name="_적격(화산) _삽교천개수공사(03.30)" xfId="2399"/>
    <cellStyle name="_적격(화산) _삽교천개수공사(03.30)_구일초(06.17)-부대" xfId="2400"/>
    <cellStyle name="_적격(화산) _삽교천개수공사(03.30)_남성지구(05.26)" xfId="2401"/>
    <cellStyle name="_적격(화산) _삽교천개수공사(03.30)_동산초(06.1)" xfId="2402"/>
    <cellStyle name="_적격(화산) _삽교천개수공사(03.30)_삽교천개수공사(03.30)" xfId="2403"/>
    <cellStyle name="_적격(화산) _삽교천개수공사(03.30)_안산남부경찰서(06.16)-부대" xfId="2404"/>
    <cellStyle name="_적격(화산) _삽교천개수공사(03.30)_제주제성교(05.27)" xfId="2405"/>
    <cellStyle name="_적격(화산) _삽교천개수공사(03.30)_행목지구하천환경(05.25)" xfId="2406"/>
    <cellStyle name="_적격(화산) _송학실행안" xfId="1651"/>
    <cellStyle name="_적격(화산) _송학실행안_구기동(제출)(95.0)(031121)" xfId="1652"/>
    <cellStyle name="_적격(화산) _송학실행안_구기동레포츠센타제출" xfId="1653"/>
    <cellStyle name="_적격(화산) _송학실행안_번암견적의뢰(협력)" xfId="1654"/>
    <cellStyle name="_적격(화산) _송학실행안_번암견적의뢰(협력)_구기동(제출)(95.0)(031121)" xfId="1655"/>
    <cellStyle name="_적격(화산) _송학실행안_번암견적의뢰(협력)_구기동레포츠센타제출" xfId="1656"/>
    <cellStyle name="_적격(화산) _송학실행안_번암견적의뢰(협력)_용답동오피스텔가실행" xfId="1657"/>
    <cellStyle name="_적격(화산) _송학실행안_용답동오피스텔가실행" xfId="1658"/>
    <cellStyle name="_적격(화산) _송학하수투찰" xfId="1659"/>
    <cellStyle name="_적격(화산) _송학하수투찰_구기동(제출)(95.0)(031121)" xfId="1660"/>
    <cellStyle name="_적격(화산) _송학하수투찰_구기동레포츠센타제출" xfId="1661"/>
    <cellStyle name="_적격(화산) _송학하수투찰_번암견적의뢰(협력)" xfId="1662"/>
    <cellStyle name="_적격(화산) _송학하수투찰_번암견적의뢰(협력)_구기동(제출)(95.0)(031121)" xfId="1663"/>
    <cellStyle name="_적격(화산) _송학하수투찰_번암견적의뢰(협력)_구기동레포츠센타제출" xfId="1664"/>
    <cellStyle name="_적격(화산) _송학하수투찰_번암견적의뢰(협력)_용답동오피스텔가실행" xfId="1665"/>
    <cellStyle name="_적격(화산) _송학하수투찰_용답동오피스텔가실행" xfId="1666"/>
    <cellStyle name="_적격(화산) _송학하수품의(설계넣고)" xfId="1667"/>
    <cellStyle name="_적격(화산) _송학하수품의(설계넣고)_구기동(제출)(95.0)(031121)" xfId="1668"/>
    <cellStyle name="_적격(화산) _송학하수품의(설계넣고)_구기동레포츠센타제출" xfId="1669"/>
    <cellStyle name="_적격(화산) _송학하수품의(설계넣고)_무안-광주2공구(협력)수정" xfId="1670"/>
    <cellStyle name="_적격(화산) _송학하수품의(설계넣고)_무안-광주2공구(협력)수정_구기동(제출)(95.0)(031121)" xfId="1671"/>
    <cellStyle name="_적격(화산) _송학하수품의(설계넣고)_무안-광주2공구(협력)수정_구기동레포츠센타제출" xfId="1672"/>
    <cellStyle name="_적격(화산) _송학하수품의(설계넣고)_무안-광주2공구(협력)수정_용답동오피스텔가실행" xfId="1673"/>
    <cellStyle name="_적격(화산) _송학하수품의(설계넣고)_번암견적의뢰(협력)" xfId="1674"/>
    <cellStyle name="_적격(화산) _송학하수품의(설계넣고)_번암견적의뢰(협력)_구기동(제출)(95.0)(031121)" xfId="1675"/>
    <cellStyle name="_적격(화산) _송학하수품의(설계넣고)_번암견적의뢰(협력)_구기동레포츠센타제출" xfId="1676"/>
    <cellStyle name="_적격(화산) _송학하수품의(설계넣고)_번암견적의뢰(협력)_용답동오피스텔가실행" xfId="1677"/>
    <cellStyle name="_적격(화산) _송학하수품의(설계넣고)_삽교천개수공사(03.30)" xfId="2407"/>
    <cellStyle name="_적격(화산) _송학하수품의(설계넣고)_삽교천개수공사(03.30)_구일초(06.17)-부대" xfId="2408"/>
    <cellStyle name="_적격(화산) _송학하수품의(설계넣고)_삽교천개수공사(03.30)_남성지구(05.26)" xfId="2409"/>
    <cellStyle name="_적격(화산) _송학하수품의(설계넣고)_삽교천개수공사(03.30)_동산초(06.1)" xfId="2410"/>
    <cellStyle name="_적격(화산) _송학하수품의(설계넣고)_삽교천개수공사(03.30)_삽교천개수공사(03.30)" xfId="2411"/>
    <cellStyle name="_적격(화산) _송학하수품의(설계넣고)_삽교천개수공사(03.30)_안산남부경찰서(06.16)-부대" xfId="2412"/>
    <cellStyle name="_적격(화산) _송학하수품의(설계넣고)_삽교천개수공사(03.30)_제주제성교(05.27)" xfId="2413"/>
    <cellStyle name="_적격(화산) _송학하수품의(설계넣고)_삽교천개수공사(03.30)_행목지구하천환경(05.25)" xfId="2414"/>
    <cellStyle name="_적격(화산) _송학하수품의(설계넣고)_용답동오피스텔가실행" xfId="1678"/>
    <cellStyle name="_적격(화산) _송학하수품의(설계넣고)_적상무주IC도로(1공구)" xfId="1679"/>
    <cellStyle name="_적격(화산) _송학하수품의(설계넣고)_적상무주IC도로(1공구)_구기동(제출)(95.0)(031121)" xfId="1680"/>
    <cellStyle name="_적격(화산) _송학하수품의(설계넣고)_적상무주IC도로(1공구)_구기동레포츠센타제출" xfId="1681"/>
    <cellStyle name="_적격(화산) _송학하수품의(설계넣고)_적상무주IC도로(1공구)_용답동오피스텔가실행" xfId="1682"/>
    <cellStyle name="_적격(화산) _신령영천1_입찰" xfId="7904"/>
    <cellStyle name="_적격(화산) _용답동오피스텔가실행" xfId="1683"/>
    <cellStyle name="_적격(화산) _원덕근덕" xfId="7905"/>
    <cellStyle name="_적격(화산) _원덕근덕_2002년도BP양식수정(SOC팀수정부결안1101)" xfId="7906"/>
    <cellStyle name="_적격(화산) _원덕근덕_2002년도BP양식수정(SOC팀수정부결안1101)_본부별 경영전략 보고 양식" xfId="7907"/>
    <cellStyle name="_적격(화산) _원덕근덕_2002년도BP양식주정" xfId="7908"/>
    <cellStyle name="_적격(화산) _원덕근덕_2002년도BP양식주정_2002년도BP양식주정" xfId="7909"/>
    <cellStyle name="_적격(화산) _원덕근덕_2002년도BP양식주정_2002년도BP양식주정_2002년도BP양식수정(SOC팀수정부결안1101)" xfId="7910"/>
    <cellStyle name="_적격(화산) _원덕근덕_2002년도BP양식주정_2002년도BP양식주정_2002년도BP양식수정(SOC팀수정부결안1101)_본부별 경영전략 보고 양식" xfId="7911"/>
    <cellStyle name="_적격(화산) _원덕근덕_2002년도BP양식주정_2002년도BP양식주정_본부별 경영전략 보고 양식" xfId="7912"/>
    <cellStyle name="_적격(화산) _원덕근덕_2002년도BP양식주정_본부별 경영전략 보고 양식" xfId="7913"/>
    <cellStyle name="_적격(화산) _원덕근덕_본부별 경영전략 보고 양식" xfId="7914"/>
    <cellStyle name="_적격(화산) _원덕근덕_사업진척점검회의(2001. 8)" xfId="7915"/>
    <cellStyle name="_적격(화산) _원덕근덕_사업진척점검회의(2001. 8)_2002년도BP양식수정(SOC팀수정부결안1101)" xfId="7916"/>
    <cellStyle name="_적격(화산) _원덕근덕_사업진척점검회의(2001. 8)_2002년도BP양식수정(SOC팀수정부결안1101)_본부별 경영전략 보고 양식" xfId="7917"/>
    <cellStyle name="_적격(화산) _원덕근덕_사업진척점검회의(2001. 8)_2002년도BP양식주정" xfId="7918"/>
    <cellStyle name="_적격(화산) _원덕근덕_사업진척점검회의(2001. 8)_2002년도BP양식주정_2002년도BP양식주정" xfId="7919"/>
    <cellStyle name="_적격(화산) _원덕근덕_사업진척점검회의(2001. 8)_2002년도BP양식주정_2002년도BP양식주정_2002년도BP양식수정(SOC팀수정부결안1101)" xfId="7920"/>
    <cellStyle name="_적격(화산) _원덕근덕_사업진척점검회의(2001. 8)_2002년도BP양식주정_2002년도BP양식주정_2002년도BP양식수정(SOC팀수정부결안1101)_본부별 경영전략 보고 양식" xfId="7921"/>
    <cellStyle name="_적격(화산) _원덕근덕_사업진척점검회의(2001. 8)_2002년도BP양식주정_2002년도BP양식주정_본부별 경영전략 보고 양식" xfId="7922"/>
    <cellStyle name="_적격(화산) _원덕근덕_사업진척점검회의(2001. 8)_2002년도BP양식주정_본부별 경영전략 보고 양식" xfId="7923"/>
    <cellStyle name="_적격(화산) _원덕근덕_사업진척점검회의(2001. 8)_본부별 경영전략 보고 양식" xfId="7924"/>
    <cellStyle name="_적격(화산) _원덕투찰" xfId="7925"/>
    <cellStyle name="_적격(화산) _원덕투찰_2002년도BP양식수정(SOC팀수정부결안1101)" xfId="7926"/>
    <cellStyle name="_적격(화산) _원덕투찰_2002년도BP양식수정(SOC팀수정부결안1101)_본부별 경영전략 보고 양식" xfId="7927"/>
    <cellStyle name="_적격(화산) _원덕투찰_2002년도BP양식주정" xfId="7928"/>
    <cellStyle name="_적격(화산) _원덕투찰_2002년도BP양식주정_2002년도BP양식주정" xfId="7929"/>
    <cellStyle name="_적격(화산) _원덕투찰_2002년도BP양식주정_2002년도BP양식주정_2002년도BP양식수정(SOC팀수정부결안1101)" xfId="7930"/>
    <cellStyle name="_적격(화산) _원덕투찰_2002년도BP양식주정_2002년도BP양식주정_2002년도BP양식수정(SOC팀수정부결안1101)_본부별 경영전략 보고 양식" xfId="7931"/>
    <cellStyle name="_적격(화산) _원덕투찰_2002년도BP양식주정_2002년도BP양식주정_본부별 경영전략 보고 양식" xfId="7932"/>
    <cellStyle name="_적격(화산) _원덕투찰_2002년도BP양식주정_본부별 경영전략 보고 양식" xfId="7933"/>
    <cellStyle name="_적격(화산) _원덕투찰_본부별 경영전략 보고 양식" xfId="7934"/>
    <cellStyle name="_적격(화산) _원덕투찰_사업진척점검회의(2001. 8)" xfId="7935"/>
    <cellStyle name="_적격(화산) _원덕투찰_사업진척점검회의(2001. 8)_2002년도BP양식수정(SOC팀수정부결안1101)" xfId="7936"/>
    <cellStyle name="_적격(화산) _원덕투찰_사업진척점검회의(2001. 8)_2002년도BP양식수정(SOC팀수정부결안1101)_본부별 경영전략 보고 양식" xfId="7937"/>
    <cellStyle name="_적격(화산) _원덕투찰_사업진척점검회의(2001. 8)_2002년도BP양식주정" xfId="7938"/>
    <cellStyle name="_적격(화산) _원덕투찰_사업진척점검회의(2001. 8)_2002년도BP양식주정_2002년도BP양식주정" xfId="7939"/>
    <cellStyle name="_적격(화산) _원덕투찰_사업진척점검회의(2001. 8)_2002년도BP양식주정_2002년도BP양식주정_2002년도BP양식수정(SOC팀수정부결안1101)" xfId="7940"/>
    <cellStyle name="_적격(화산) _원덕투찰_사업진척점검회의(2001. 8)_2002년도BP양식주정_2002년도BP양식주정_2002년도BP양식수정(SOC팀수정부결안1101)_본부별 경영전략 보고 양식" xfId="7941"/>
    <cellStyle name="_적격(화산) _원덕투찰_사업진척점검회의(2001. 8)_2002년도BP양식주정_2002년도BP양식주정_본부별 경영전략 보고 양식" xfId="7942"/>
    <cellStyle name="_적격(화산) _원덕투찰_사업진척점검회의(2001. 8)_2002년도BP양식주정_본부별 경영전략 보고 양식" xfId="7943"/>
    <cellStyle name="_적격(화산) _원덕투찰_사업진척점검회의(2001. 8)_본부별 경영전략 보고 양식" xfId="7944"/>
    <cellStyle name="_적격(화산) _재개발팀 대여금 자료(수정분)입니다." xfId="7945"/>
    <cellStyle name="_적격(화산) _재개발팀 대여금 자료(수정분)입니다.(2002년,2003년1~9월포함)(최종자료)" xfId="7946"/>
    <cellStyle name="_적격(화산) _적상무주IC도로(1공구)" xfId="1684"/>
    <cellStyle name="_적격(화산) _적상무주IC도로(1공구)_구기동(제출)(95.0)(031121)" xfId="1685"/>
    <cellStyle name="_적격(화산) _적상무주IC도로(1공구)_구기동레포츠센타제출" xfId="1686"/>
    <cellStyle name="_적격(화산) _적상무주IC도로(1공구)_용답동오피스텔가실행" xfId="1687"/>
    <cellStyle name="_적격(화산) _토목사업본부사업계획2" xfId="7947"/>
    <cellStyle name="_적격(화산) _토목사업본부사업계획2_'04용지,대여금계획(1031)" xfId="7948"/>
    <cellStyle name="_적격(화산) _토목사업본부사업계획2_2004 수금계획(1031)" xfId="7949"/>
    <cellStyle name="_적격(화산) _토목사업본부사업계획2_2004 용지,대여금계획(1113)" xfId="7950"/>
    <cellStyle name="_적격(화산) _토목사업본부사업계획2_2004년 BDT4사업계획" xfId="7951"/>
    <cellStyle name="_적격(화산) _토목사업본부사업계획2_2004년 사업계획(사업개발5)" xfId="7952"/>
    <cellStyle name="_적격(화산) _토목사업본부사업계획2_2004년 사업계획(재개발2팀)" xfId="7953"/>
    <cellStyle name="_적격(화산) _토목사업본부사업계획2_2004년 사업계획(재개발2팀-대여금)" xfId="7954"/>
    <cellStyle name="_적격(화산) _토목사업본부사업계획2_2004년 영업본부 사업계획(1031)" xfId="7955"/>
    <cellStyle name="_적격(화산) _토목사업본부사업계획2_2004년 용지,대여금계획" xfId="7956"/>
    <cellStyle name="_적격(화산) _토목사업본부사업계획2_2004년 재개발1팀 사업계획(1031)" xfId="7957"/>
    <cellStyle name="_적격(화산) _토목사업본부사업계획2_2004년 재개발1팀 사업계획(본부장결재案)1031" xfId="7958"/>
    <cellStyle name="_적격(화산) _토목사업본부사업계획2_2004년 재개발1팀(031124)" xfId="7959"/>
    <cellStyle name="_적격(화산) _토목사업본부사업계획2_2004년대여금계획(案)진짜최종" xfId="7960"/>
    <cellStyle name="_적격(화산) _토목사업본부사업계획2_사업계획수립양식총괄" xfId="7961"/>
    <cellStyle name="_적격(화산) _토목사업본부사업계획2_재개발팀 대여금 자료(수정분)입니다." xfId="7962"/>
    <cellStyle name="_적격(화산) _토목사업본부사업계획2_재개발팀 대여금 자료(수정분)입니다.(2002년,2003년1~9월포함)(최종자료)" xfId="7963"/>
    <cellStyle name="_적격(화산) _투찰(안덕대정)" xfId="7964"/>
    <cellStyle name="_적격(화산) _투찰(안덕대정)_투찰_대둔산" xfId="7965"/>
    <cellStyle name="_적격(화산) _투찰(안덕대정)1" xfId="7966"/>
    <cellStyle name="_적격(화산) _투찰(안덕대정)1_투찰_대둔산" xfId="7967"/>
    <cellStyle name="_적격(화산) _투찰_대둔산" xfId="7968"/>
    <cellStyle name="_적격(화산) _투찰내역" xfId="7969"/>
    <cellStyle name="_적격(화산) _호남권투찰1" xfId="7970"/>
    <cellStyle name="_전기" xfId="7971"/>
    <cellStyle name="_전도금명세" xfId="7972"/>
    <cellStyle name="_전사총괄자료(9월)" xfId="7973"/>
    <cellStyle name="_전자투자" xfId="7974"/>
    <cellStyle name="_전체사업(05년지목별)" xfId="4271"/>
    <cellStyle name="_점수표" xfId="7975"/>
    <cellStyle name="_정리 의문_2" xfId="7976"/>
    <cellStyle name="_정리 의문_3" xfId="7977"/>
    <cellStyle name="_정산표 및 수정분개" xfId="4272"/>
    <cellStyle name="_정산표&amp;AJE&amp;CF&amp;최종FS(아름진짜최종)" xfId="7978"/>
    <cellStyle name="_정산표및재무제표(200212)" xfId="7979"/>
    <cellStyle name="_정왕호수공원 도시계획시설결정 및 공원조성계획 수립용역" xfId="4273"/>
    <cellStyle name="_제1영업 2006 Q1포케스트 및 사업부 목표(0206)" xfId="7980"/>
    <cellStyle name="_제1영업_2006 Q2포케스트 (0420)" xfId="7981"/>
    <cellStyle name="_제1영업부" xfId="7982"/>
    <cellStyle name="_제3영업_060224_Q1" xfId="7983"/>
    <cellStyle name="_제3영업_060323_이상운차장님전송" xfId="7984"/>
    <cellStyle name="_제3영업_Forecast_Q3_20060622_전송" xfId="7985"/>
    <cellStyle name="_제3영업사업부_Q3_Q4_1013" xfId="7986"/>
    <cellStyle name="_제3영업사업부_Q3_Q4_1013_전송" xfId="7987"/>
    <cellStyle name="_제목" xfId="7988"/>
    <cellStyle name="_제목_내역서" xfId="7989"/>
    <cellStyle name="_제출용병천하수(지역관로1)" xfId="1688"/>
    <cellStyle name="_제출용병천하수(지역관로1)_광주평동실행" xfId="1689"/>
    <cellStyle name="_제출용병천하수(지역관로1)_광주평동실행_구기동(제출)(95.0)(031121)" xfId="1690"/>
    <cellStyle name="_제출용병천하수(지역관로1)_광주평동실행_구기동레포츠센타제출" xfId="1691"/>
    <cellStyle name="_제출용병천하수(지역관로1)_광주평동실행_번암견적의뢰(협력)" xfId="1692"/>
    <cellStyle name="_제출용병천하수(지역관로1)_광주평동실행_번암견적의뢰(협력)_구기동(제출)(95.0)(031121)" xfId="1693"/>
    <cellStyle name="_제출용병천하수(지역관로1)_광주평동실행_번암견적의뢰(협력)_구기동레포츠센타제출" xfId="1694"/>
    <cellStyle name="_제출용병천하수(지역관로1)_광주평동실행_번암견적의뢰(협력)_용답동오피스텔가실행" xfId="1695"/>
    <cellStyle name="_제출용병천하수(지역관로1)_광주평동실행_용답동오피스텔가실행" xfId="1696"/>
    <cellStyle name="_제출용병천하수(지역관로1)_광주평동투찰" xfId="2415"/>
    <cellStyle name="_제출용병천하수(지역관로1)_광주평동투찰_삽교천개수공사(03.30)" xfId="2416"/>
    <cellStyle name="_제출용병천하수(지역관로1)_광주평동투찰_삽교천개수공사(03.30)_구일초(06.17)-부대" xfId="2417"/>
    <cellStyle name="_제출용병천하수(지역관로1)_광주평동투찰_삽교천개수공사(03.30)_남성지구(05.26)" xfId="2418"/>
    <cellStyle name="_제출용병천하수(지역관로1)_광주평동투찰_삽교천개수공사(03.30)_동산초(06.1)" xfId="2419"/>
    <cellStyle name="_제출용병천하수(지역관로1)_광주평동투찰_삽교천개수공사(03.30)_삽교천개수공사(03.30)" xfId="2420"/>
    <cellStyle name="_제출용병천하수(지역관로1)_광주평동투찰_삽교천개수공사(03.30)_안산남부경찰서(06.16)-부대" xfId="2421"/>
    <cellStyle name="_제출용병천하수(지역관로1)_광주평동투찰_삽교천개수공사(03.30)_제주제성교(05.27)" xfId="2422"/>
    <cellStyle name="_제출용병천하수(지역관로1)_광주평동투찰_삽교천개수공사(03.30)_행목지구하천환경(05.25)" xfId="2423"/>
    <cellStyle name="_제출용병천하수(지역관로1)_광주평동품의1" xfId="1697"/>
    <cellStyle name="_제출용병천하수(지역관로1)_광주평동품의1_구기동(제출)(95.0)(031121)" xfId="1698"/>
    <cellStyle name="_제출용병천하수(지역관로1)_광주평동품의1_구기동레포츠센타제출" xfId="1699"/>
    <cellStyle name="_제출용병천하수(지역관로1)_광주평동품의1_무안-광주2공구(협력)수정" xfId="1700"/>
    <cellStyle name="_제출용병천하수(지역관로1)_광주평동품의1_무안-광주2공구(협력)수정_구기동(제출)(95.0)(031121)" xfId="1701"/>
    <cellStyle name="_제출용병천하수(지역관로1)_광주평동품의1_무안-광주2공구(협력)수정_구기동레포츠센타제출" xfId="1702"/>
    <cellStyle name="_제출용병천하수(지역관로1)_광주평동품의1_무안-광주2공구(협력)수정_용답동오피스텔가실행" xfId="1703"/>
    <cellStyle name="_제출용병천하수(지역관로1)_광주평동품의1_번암견적의뢰(협력)" xfId="1704"/>
    <cellStyle name="_제출용병천하수(지역관로1)_광주평동품의1_번암견적의뢰(협력)_구기동(제출)(95.0)(031121)" xfId="1705"/>
    <cellStyle name="_제출용병천하수(지역관로1)_광주평동품의1_번암견적의뢰(협력)_구기동레포츠센타제출" xfId="1706"/>
    <cellStyle name="_제출용병천하수(지역관로1)_광주평동품의1_번암견적의뢰(협력)_용답동오피스텔가실행" xfId="1707"/>
    <cellStyle name="_제출용병천하수(지역관로1)_광주평동품의1_삽교천개수공사(03.30)" xfId="2424"/>
    <cellStyle name="_제출용병천하수(지역관로1)_광주평동품의1_삽교천개수공사(03.30)_구일초(06.17)-부대" xfId="2425"/>
    <cellStyle name="_제출용병천하수(지역관로1)_광주평동품의1_삽교천개수공사(03.30)_남성지구(05.26)" xfId="2426"/>
    <cellStyle name="_제출용병천하수(지역관로1)_광주평동품의1_삽교천개수공사(03.30)_동산초(06.1)" xfId="2427"/>
    <cellStyle name="_제출용병천하수(지역관로1)_광주평동품의1_삽교천개수공사(03.30)_삽교천개수공사(03.30)" xfId="2428"/>
    <cellStyle name="_제출용병천하수(지역관로1)_광주평동품의1_삽교천개수공사(03.30)_안산남부경찰서(06.16)-부대" xfId="2429"/>
    <cellStyle name="_제출용병천하수(지역관로1)_광주평동품의1_삽교천개수공사(03.30)_제주제성교(05.27)" xfId="2430"/>
    <cellStyle name="_제출용병천하수(지역관로1)_광주평동품의1_삽교천개수공사(03.30)_행목지구하천환경(05.25)" xfId="2431"/>
    <cellStyle name="_제출용병천하수(지역관로1)_광주평동품의1_용답동오피스텔가실행" xfId="1708"/>
    <cellStyle name="_제출용병천하수(지역관로1)_광주평동품의1_적상무주IC도로(1공구)" xfId="1709"/>
    <cellStyle name="_제출용병천하수(지역관로1)_광주평동품의1_적상무주IC도로(1공구)_구기동(제출)(95.0)(031121)" xfId="1710"/>
    <cellStyle name="_제출용병천하수(지역관로1)_광주평동품의1_적상무주IC도로(1공구)_구기동레포츠센타제출" xfId="1711"/>
    <cellStyle name="_제출용병천하수(지역관로1)_광주평동품의1_적상무주IC도로(1공구)_용답동오피스텔가실행" xfId="1712"/>
    <cellStyle name="_제출용병천하수(지역관로1)_구기동(제출)(95.0)(031121)" xfId="1713"/>
    <cellStyle name="_제출용병천하수(지역관로1)_구기동레포츠센타제출" xfId="1714"/>
    <cellStyle name="_제출용병천하수(지역관로1)_기장하수실행1" xfId="1715"/>
    <cellStyle name="_제출용병천하수(지역관로1)_기장하수실행1_구기동(제출)(95.0)(031121)" xfId="1716"/>
    <cellStyle name="_제출용병천하수(지역관로1)_기장하수실행1_구기동레포츠센타제출" xfId="1717"/>
    <cellStyle name="_제출용병천하수(지역관로1)_기장하수실행1_번암견적의뢰(협력)" xfId="1718"/>
    <cellStyle name="_제출용병천하수(지역관로1)_기장하수실행1_번암견적의뢰(협력)_구기동(제출)(95.0)(031121)" xfId="1719"/>
    <cellStyle name="_제출용병천하수(지역관로1)_기장하수실행1_번암견적의뢰(협력)_구기동레포츠센타제출" xfId="1720"/>
    <cellStyle name="_제출용병천하수(지역관로1)_기장하수실행1_번암견적의뢰(협력)_용답동오피스텔가실행" xfId="1721"/>
    <cellStyle name="_제출용병천하수(지역관로1)_기장하수실행1_용답동오피스텔가실행" xfId="1722"/>
    <cellStyle name="_제출용병천하수(지역관로1)_무안-광주2공구(협력)수정" xfId="1723"/>
    <cellStyle name="_제출용병천하수(지역관로1)_무안-광주2공구(협력)수정_구기동(제출)(95.0)(031121)" xfId="1724"/>
    <cellStyle name="_제출용병천하수(지역관로1)_무안-광주2공구(협력)수정_구기동레포츠센타제출" xfId="1725"/>
    <cellStyle name="_제출용병천하수(지역관로1)_무안-광주2공구(협력)수정_용답동오피스텔가실행" xfId="1726"/>
    <cellStyle name="_제출용병천하수(지역관로1)_번암견적의뢰(협력)" xfId="1727"/>
    <cellStyle name="_제출용병천하수(지역관로1)_번암견적의뢰(협력)_구기동(제출)(95.0)(031121)" xfId="1728"/>
    <cellStyle name="_제출용병천하수(지역관로1)_번암견적의뢰(협력)_구기동레포츠센타제출" xfId="1729"/>
    <cellStyle name="_제출용병천하수(지역관로1)_번암견적의뢰(협력)_용답동오피스텔가실행" xfId="1730"/>
    <cellStyle name="_제출용병천하수(지역관로1)_삽교천개수공사(03.30)" xfId="2432"/>
    <cellStyle name="_제출용병천하수(지역관로1)_삽교천개수공사(03.30)_구일초(06.17)-부대" xfId="2433"/>
    <cellStyle name="_제출용병천하수(지역관로1)_삽교천개수공사(03.30)_남성지구(05.26)" xfId="2434"/>
    <cellStyle name="_제출용병천하수(지역관로1)_삽교천개수공사(03.30)_동산초(06.1)" xfId="2435"/>
    <cellStyle name="_제출용병천하수(지역관로1)_삽교천개수공사(03.30)_삽교천개수공사(03.30)" xfId="2436"/>
    <cellStyle name="_제출용병천하수(지역관로1)_삽교천개수공사(03.30)_안산남부경찰서(06.16)-부대" xfId="2437"/>
    <cellStyle name="_제출용병천하수(지역관로1)_삽교천개수공사(03.30)_제주제성교(05.27)" xfId="2438"/>
    <cellStyle name="_제출용병천하수(지역관로1)_삽교천개수공사(03.30)_행목지구하천환경(05.25)" xfId="2439"/>
    <cellStyle name="_제출용병천하수(지역관로1)_송학실행안" xfId="1731"/>
    <cellStyle name="_제출용병천하수(지역관로1)_송학실행안_구기동(제출)(95.0)(031121)" xfId="1732"/>
    <cellStyle name="_제출용병천하수(지역관로1)_송학실행안_구기동레포츠센타제출" xfId="1733"/>
    <cellStyle name="_제출용병천하수(지역관로1)_송학실행안_번암견적의뢰(협력)" xfId="1734"/>
    <cellStyle name="_제출용병천하수(지역관로1)_송학실행안_번암견적의뢰(협력)_구기동(제출)(95.0)(031121)" xfId="1735"/>
    <cellStyle name="_제출용병천하수(지역관로1)_송학실행안_번암견적의뢰(협력)_구기동레포츠센타제출" xfId="1736"/>
    <cellStyle name="_제출용병천하수(지역관로1)_송학실행안_번암견적의뢰(협력)_용답동오피스텔가실행" xfId="1737"/>
    <cellStyle name="_제출용병천하수(지역관로1)_송학실행안_용답동오피스텔가실행" xfId="1738"/>
    <cellStyle name="_제출용병천하수(지역관로1)_송학하수투찰" xfId="1739"/>
    <cellStyle name="_제출용병천하수(지역관로1)_송학하수투찰_구기동(제출)(95.0)(031121)" xfId="1740"/>
    <cellStyle name="_제출용병천하수(지역관로1)_송학하수투찰_구기동레포츠센타제출" xfId="1741"/>
    <cellStyle name="_제출용병천하수(지역관로1)_송학하수투찰_번암견적의뢰(협력)" xfId="1742"/>
    <cellStyle name="_제출용병천하수(지역관로1)_송학하수투찰_번암견적의뢰(협력)_구기동(제출)(95.0)(031121)" xfId="1743"/>
    <cellStyle name="_제출용병천하수(지역관로1)_송학하수투찰_번암견적의뢰(협력)_구기동레포츠센타제출" xfId="1744"/>
    <cellStyle name="_제출용병천하수(지역관로1)_송학하수투찰_번암견적의뢰(협력)_용답동오피스텔가실행" xfId="1745"/>
    <cellStyle name="_제출용병천하수(지역관로1)_송학하수투찰_용답동오피스텔가실행" xfId="1746"/>
    <cellStyle name="_제출용병천하수(지역관로1)_송학하수품의(설계넣고)" xfId="1747"/>
    <cellStyle name="_제출용병천하수(지역관로1)_송학하수품의(설계넣고)_구기동(제출)(95.0)(031121)" xfId="1748"/>
    <cellStyle name="_제출용병천하수(지역관로1)_송학하수품의(설계넣고)_구기동레포츠센타제출" xfId="1749"/>
    <cellStyle name="_제출용병천하수(지역관로1)_송학하수품의(설계넣고)_무안-광주2공구(협력)수정" xfId="1750"/>
    <cellStyle name="_제출용병천하수(지역관로1)_송학하수품의(설계넣고)_무안-광주2공구(협력)수정_구기동(제출)(95.0)(031121)" xfId="1751"/>
    <cellStyle name="_제출용병천하수(지역관로1)_송학하수품의(설계넣고)_무안-광주2공구(협력)수정_구기동레포츠센타제출" xfId="1752"/>
    <cellStyle name="_제출용병천하수(지역관로1)_송학하수품의(설계넣고)_무안-광주2공구(협력)수정_용답동오피스텔가실행" xfId="1753"/>
    <cellStyle name="_제출용병천하수(지역관로1)_송학하수품의(설계넣고)_번암견적의뢰(협력)" xfId="1754"/>
    <cellStyle name="_제출용병천하수(지역관로1)_송학하수품의(설계넣고)_번암견적의뢰(협력)_구기동(제출)(95.0)(031121)" xfId="1755"/>
    <cellStyle name="_제출용병천하수(지역관로1)_송학하수품의(설계넣고)_번암견적의뢰(협력)_구기동레포츠센타제출" xfId="1756"/>
    <cellStyle name="_제출용병천하수(지역관로1)_송학하수품의(설계넣고)_번암견적의뢰(협력)_용답동오피스텔가실행" xfId="1757"/>
    <cellStyle name="_제출용병천하수(지역관로1)_송학하수품의(설계넣고)_삽교천개수공사(03.30)" xfId="2440"/>
    <cellStyle name="_제출용병천하수(지역관로1)_송학하수품의(설계넣고)_삽교천개수공사(03.30)_구일초(06.17)-부대" xfId="2441"/>
    <cellStyle name="_제출용병천하수(지역관로1)_송학하수품의(설계넣고)_삽교천개수공사(03.30)_남성지구(05.26)" xfId="2442"/>
    <cellStyle name="_제출용병천하수(지역관로1)_송학하수품의(설계넣고)_삽교천개수공사(03.30)_동산초(06.1)" xfId="2443"/>
    <cellStyle name="_제출용병천하수(지역관로1)_송학하수품의(설계넣고)_삽교천개수공사(03.30)_삽교천개수공사(03.30)" xfId="2444"/>
    <cellStyle name="_제출용병천하수(지역관로1)_송학하수품의(설계넣고)_삽교천개수공사(03.30)_안산남부경찰서(06.16)-부대" xfId="2445"/>
    <cellStyle name="_제출용병천하수(지역관로1)_송학하수품의(설계넣고)_삽교천개수공사(03.30)_제주제성교(05.27)" xfId="2446"/>
    <cellStyle name="_제출용병천하수(지역관로1)_송학하수품의(설계넣고)_삽교천개수공사(03.30)_행목지구하천환경(05.25)" xfId="2447"/>
    <cellStyle name="_제출용병천하수(지역관로1)_송학하수품의(설계넣고)_용답동오피스텔가실행" xfId="1758"/>
    <cellStyle name="_제출용병천하수(지역관로1)_송학하수품의(설계넣고)_적상무주IC도로(1공구)" xfId="1759"/>
    <cellStyle name="_제출용병천하수(지역관로1)_송학하수품의(설계넣고)_적상무주IC도로(1공구)_구기동(제출)(95.0)(031121)" xfId="1760"/>
    <cellStyle name="_제출용병천하수(지역관로1)_송학하수품의(설계넣고)_적상무주IC도로(1공구)_구기동레포츠센타제출" xfId="1761"/>
    <cellStyle name="_제출용병천하수(지역관로1)_송학하수품의(설계넣고)_적상무주IC도로(1공구)_용답동오피스텔가실행" xfId="1762"/>
    <cellStyle name="_제출용병천하수(지역관로1)_용답동오피스텔가실행" xfId="1763"/>
    <cellStyle name="_제출용병천하수(지역관로1)_적상무주IC도로(1공구)" xfId="1764"/>
    <cellStyle name="_제출용병천하수(지역관로1)_적상무주IC도로(1공구)_구기동(제출)(95.0)(031121)" xfId="1765"/>
    <cellStyle name="_제출용병천하수(지역관로1)_적상무주IC도로(1공구)_구기동레포츠센타제출" xfId="1766"/>
    <cellStyle name="_제출용병천하수(지역관로1)_적상무주IC도로(1공구)_용답동오피스텔가실행" xfId="1767"/>
    <cellStyle name="_조원고" xfId="7990"/>
    <cellStyle name="_조정사항" xfId="7991"/>
    <cellStyle name="_주당순이익" xfId="4274"/>
    <cellStyle name="_주식매입선택권(2001년)" xfId="7992"/>
    <cellStyle name="_주식보상비용_보고용" xfId="7993"/>
    <cellStyle name="_증감분석양식" xfId="7994"/>
    <cellStyle name="_지정과제2차심의list" xfId="7995"/>
    <cellStyle name="_지정과제2차심의list_1" xfId="7996"/>
    <cellStyle name="_지정과제2차심의list_2" xfId="7997"/>
    <cellStyle name="_지정과제2차심의결과" xfId="7998"/>
    <cellStyle name="_지정과제2차심의결과(금액조정후최종)" xfId="7999"/>
    <cellStyle name="_지정과제2차심의결과(금액조정후최종)_1" xfId="8000"/>
    <cellStyle name="_지정과제2차심의결과_1" xfId="8001"/>
    <cellStyle name="_직급별 인당경비" xfId="8002"/>
    <cellStyle name="_진행율 결산명세서 포함" xfId="8003"/>
    <cellStyle name="_집계(영업팀)수정" xfId="8004"/>
    <cellStyle name="_집중관리(981231)" xfId="8005"/>
    <cellStyle name="_집중관리(981231)_1" xfId="8006"/>
    <cellStyle name="_집중관리(지정과제및 양식)" xfId="8007"/>
    <cellStyle name="_집중관리(지정과제및 양식)_1" xfId="8008"/>
    <cellStyle name="_집행갑지 " xfId="1768"/>
    <cellStyle name="_집행갑지 _광주평동실행" xfId="1769"/>
    <cellStyle name="_집행갑지 _광주평동실행_구기동(제출)(95.0)(031121)" xfId="1770"/>
    <cellStyle name="_집행갑지 _광주평동실행_구기동레포츠센타제출" xfId="1771"/>
    <cellStyle name="_집행갑지 _광주평동실행_번암견적의뢰(협력)" xfId="1772"/>
    <cellStyle name="_집행갑지 _광주평동실행_번암견적의뢰(협력)_구기동(제출)(95.0)(031121)" xfId="1773"/>
    <cellStyle name="_집행갑지 _광주평동실행_번암견적의뢰(협력)_구기동레포츠센타제출" xfId="1774"/>
    <cellStyle name="_집행갑지 _광주평동실행_번암견적의뢰(협력)_용답동오피스텔가실행" xfId="1775"/>
    <cellStyle name="_집행갑지 _광주평동실행_용답동오피스텔가실행" xfId="1776"/>
    <cellStyle name="_집행갑지 _광주평동투찰" xfId="2448"/>
    <cellStyle name="_집행갑지 _광주평동투찰_삽교천개수공사(03.30)" xfId="2449"/>
    <cellStyle name="_집행갑지 _광주평동투찰_삽교천개수공사(03.30)_구일초(06.17)-부대" xfId="2450"/>
    <cellStyle name="_집행갑지 _광주평동투찰_삽교천개수공사(03.30)_남성지구(05.26)" xfId="2451"/>
    <cellStyle name="_집행갑지 _광주평동투찰_삽교천개수공사(03.30)_동산초(06.1)" xfId="2452"/>
    <cellStyle name="_집행갑지 _광주평동투찰_삽교천개수공사(03.30)_삽교천개수공사(03.30)" xfId="2453"/>
    <cellStyle name="_집행갑지 _광주평동투찰_삽교천개수공사(03.30)_안산남부경찰서(06.16)-부대" xfId="2454"/>
    <cellStyle name="_집행갑지 _광주평동투찰_삽교천개수공사(03.30)_제주제성교(05.27)" xfId="2455"/>
    <cellStyle name="_집행갑지 _광주평동투찰_삽교천개수공사(03.30)_행목지구하천환경(05.25)" xfId="2456"/>
    <cellStyle name="_집행갑지 _광주평동품의1" xfId="1777"/>
    <cellStyle name="_집행갑지 _광주평동품의1_구기동(제출)(95.0)(031121)" xfId="1778"/>
    <cellStyle name="_집행갑지 _광주평동품의1_구기동레포츠센타제출" xfId="1779"/>
    <cellStyle name="_집행갑지 _광주평동품의1_무안-광주2공구(협력)수정" xfId="1780"/>
    <cellStyle name="_집행갑지 _광주평동품의1_무안-광주2공구(협력)수정_구기동(제출)(95.0)(031121)" xfId="1781"/>
    <cellStyle name="_집행갑지 _광주평동품의1_무안-광주2공구(협력)수정_구기동레포츠센타제출" xfId="1782"/>
    <cellStyle name="_집행갑지 _광주평동품의1_무안-광주2공구(협력)수정_용답동오피스텔가실행" xfId="1783"/>
    <cellStyle name="_집행갑지 _광주평동품의1_번암견적의뢰(협력)" xfId="1784"/>
    <cellStyle name="_집행갑지 _광주평동품의1_번암견적의뢰(협력)_구기동(제출)(95.0)(031121)" xfId="1785"/>
    <cellStyle name="_집행갑지 _광주평동품의1_번암견적의뢰(협력)_구기동레포츠센타제출" xfId="1786"/>
    <cellStyle name="_집행갑지 _광주평동품의1_번암견적의뢰(협력)_용답동오피스텔가실행" xfId="1787"/>
    <cellStyle name="_집행갑지 _광주평동품의1_삽교천개수공사(03.30)" xfId="2457"/>
    <cellStyle name="_집행갑지 _광주평동품의1_삽교천개수공사(03.30)_구일초(06.17)-부대" xfId="2458"/>
    <cellStyle name="_집행갑지 _광주평동품의1_삽교천개수공사(03.30)_남성지구(05.26)" xfId="2459"/>
    <cellStyle name="_집행갑지 _광주평동품의1_삽교천개수공사(03.30)_동산초(06.1)" xfId="2460"/>
    <cellStyle name="_집행갑지 _광주평동품의1_삽교천개수공사(03.30)_삽교천개수공사(03.30)" xfId="2461"/>
    <cellStyle name="_집행갑지 _광주평동품의1_삽교천개수공사(03.30)_안산남부경찰서(06.16)-부대" xfId="2462"/>
    <cellStyle name="_집행갑지 _광주평동품의1_삽교천개수공사(03.30)_제주제성교(05.27)" xfId="2463"/>
    <cellStyle name="_집행갑지 _광주평동품의1_삽교천개수공사(03.30)_행목지구하천환경(05.25)" xfId="2464"/>
    <cellStyle name="_집행갑지 _광주평동품의1_용답동오피스텔가실행" xfId="1788"/>
    <cellStyle name="_집행갑지 _광주평동품의1_적상무주IC도로(1공구)" xfId="1789"/>
    <cellStyle name="_집행갑지 _광주평동품의1_적상무주IC도로(1공구)_구기동(제출)(95.0)(031121)" xfId="1790"/>
    <cellStyle name="_집행갑지 _광주평동품의1_적상무주IC도로(1공구)_구기동레포츠센타제출" xfId="1791"/>
    <cellStyle name="_집행갑지 _광주평동품의1_적상무주IC도로(1공구)_용답동오피스텔가실행" xfId="1792"/>
    <cellStyle name="_집행갑지 _구기동(제출)(95.0)(031121)" xfId="1793"/>
    <cellStyle name="_집행갑지 _구기동레포츠센타제출" xfId="1794"/>
    <cellStyle name="_집행갑지 _기장하수실행1" xfId="1795"/>
    <cellStyle name="_집행갑지 _기장하수실행1_구기동(제출)(95.0)(031121)" xfId="1796"/>
    <cellStyle name="_집행갑지 _기장하수실행1_구기동레포츠센타제출" xfId="1797"/>
    <cellStyle name="_집행갑지 _기장하수실행1_번암견적의뢰(협력)" xfId="1798"/>
    <cellStyle name="_집행갑지 _기장하수실행1_번암견적의뢰(협력)_구기동(제출)(95.0)(031121)" xfId="1799"/>
    <cellStyle name="_집행갑지 _기장하수실행1_번암견적의뢰(협력)_구기동레포츠센타제출" xfId="1800"/>
    <cellStyle name="_집행갑지 _기장하수실행1_번암견적의뢰(협력)_용답동오피스텔가실행" xfId="1801"/>
    <cellStyle name="_집행갑지 _기장하수실행1_용답동오피스텔가실행" xfId="1802"/>
    <cellStyle name="_집행갑지 _무안-광주2공구(협력)수정" xfId="1803"/>
    <cellStyle name="_집행갑지 _무안-광주2공구(협력)수정_구기동(제출)(95.0)(031121)" xfId="1804"/>
    <cellStyle name="_집행갑지 _무안-광주2공구(협력)수정_구기동레포츠센타제출" xfId="1805"/>
    <cellStyle name="_집행갑지 _무안-광주2공구(협력)수정_용답동오피스텔가실행" xfId="1806"/>
    <cellStyle name="_집행갑지 _번암견적의뢰(협력)" xfId="1807"/>
    <cellStyle name="_집행갑지 _번암견적의뢰(협력)_구기동(제출)(95.0)(031121)" xfId="1808"/>
    <cellStyle name="_집행갑지 _번암견적의뢰(협력)_구기동레포츠센타제출" xfId="1809"/>
    <cellStyle name="_집행갑지 _번암견적의뢰(협력)_용답동오피스텔가실행" xfId="1810"/>
    <cellStyle name="_집행갑지 _삽교천개수공사(03.30)" xfId="2465"/>
    <cellStyle name="_집행갑지 _삽교천개수공사(03.30)_구일초(06.17)-부대" xfId="2466"/>
    <cellStyle name="_집행갑지 _삽교천개수공사(03.30)_남성지구(05.26)" xfId="2467"/>
    <cellStyle name="_집행갑지 _삽교천개수공사(03.30)_동산초(06.1)" xfId="2468"/>
    <cellStyle name="_집행갑지 _삽교천개수공사(03.30)_삽교천개수공사(03.30)" xfId="2469"/>
    <cellStyle name="_집행갑지 _삽교천개수공사(03.30)_안산남부경찰서(06.16)-부대" xfId="2470"/>
    <cellStyle name="_집행갑지 _삽교천개수공사(03.30)_제주제성교(05.27)" xfId="2471"/>
    <cellStyle name="_집행갑지 _삽교천개수공사(03.30)_행목지구하천환경(05.25)" xfId="2472"/>
    <cellStyle name="_집행갑지 _송학실행안" xfId="1811"/>
    <cellStyle name="_집행갑지 _송학실행안_구기동(제출)(95.0)(031121)" xfId="1812"/>
    <cellStyle name="_집행갑지 _송학실행안_구기동레포츠센타제출" xfId="1813"/>
    <cellStyle name="_집행갑지 _송학실행안_번암견적의뢰(협력)" xfId="1814"/>
    <cellStyle name="_집행갑지 _송학실행안_번암견적의뢰(협력)_구기동(제출)(95.0)(031121)" xfId="1815"/>
    <cellStyle name="_집행갑지 _송학실행안_번암견적의뢰(협력)_구기동레포츠센타제출" xfId="1816"/>
    <cellStyle name="_집행갑지 _송학실행안_번암견적의뢰(협력)_용답동오피스텔가실행" xfId="1817"/>
    <cellStyle name="_집행갑지 _송학실행안_용답동오피스텔가실행" xfId="1818"/>
    <cellStyle name="_집행갑지 _송학하수투찰" xfId="1819"/>
    <cellStyle name="_집행갑지 _송학하수투찰_구기동(제출)(95.0)(031121)" xfId="1820"/>
    <cellStyle name="_집행갑지 _송학하수투찰_구기동레포츠센타제출" xfId="1821"/>
    <cellStyle name="_집행갑지 _송학하수투찰_번암견적의뢰(협력)" xfId="1822"/>
    <cellStyle name="_집행갑지 _송학하수투찰_번암견적의뢰(협력)_구기동(제출)(95.0)(031121)" xfId="1823"/>
    <cellStyle name="_집행갑지 _송학하수투찰_번암견적의뢰(협력)_구기동레포츠센타제출" xfId="1824"/>
    <cellStyle name="_집행갑지 _송학하수투찰_번암견적의뢰(협력)_용답동오피스텔가실행" xfId="1825"/>
    <cellStyle name="_집행갑지 _송학하수투찰_용답동오피스텔가실행" xfId="1826"/>
    <cellStyle name="_집행갑지 _송학하수품의(설계넣고)" xfId="1827"/>
    <cellStyle name="_집행갑지 _송학하수품의(설계넣고)_구기동(제출)(95.0)(031121)" xfId="1828"/>
    <cellStyle name="_집행갑지 _송학하수품의(설계넣고)_구기동레포츠센타제출" xfId="1829"/>
    <cellStyle name="_집행갑지 _송학하수품의(설계넣고)_무안-광주2공구(협력)수정" xfId="1830"/>
    <cellStyle name="_집행갑지 _송학하수품의(설계넣고)_무안-광주2공구(협력)수정_구기동(제출)(95.0)(031121)" xfId="1831"/>
    <cellStyle name="_집행갑지 _송학하수품의(설계넣고)_무안-광주2공구(협력)수정_구기동레포츠센타제출" xfId="1832"/>
    <cellStyle name="_집행갑지 _송학하수품의(설계넣고)_무안-광주2공구(협력)수정_용답동오피스텔가실행" xfId="1833"/>
    <cellStyle name="_집행갑지 _송학하수품의(설계넣고)_번암견적의뢰(협력)" xfId="1834"/>
    <cellStyle name="_집행갑지 _송학하수품의(설계넣고)_번암견적의뢰(협력)_구기동(제출)(95.0)(031121)" xfId="1835"/>
    <cellStyle name="_집행갑지 _송학하수품의(설계넣고)_번암견적의뢰(협력)_구기동레포츠센타제출" xfId="1836"/>
    <cellStyle name="_집행갑지 _송학하수품의(설계넣고)_번암견적의뢰(협력)_용답동오피스텔가실행" xfId="1837"/>
    <cellStyle name="_집행갑지 _송학하수품의(설계넣고)_삽교천개수공사(03.30)" xfId="2473"/>
    <cellStyle name="_집행갑지 _송학하수품의(설계넣고)_삽교천개수공사(03.30)_구일초(06.17)-부대" xfId="2474"/>
    <cellStyle name="_집행갑지 _송학하수품의(설계넣고)_삽교천개수공사(03.30)_남성지구(05.26)" xfId="2475"/>
    <cellStyle name="_집행갑지 _송학하수품의(설계넣고)_삽교천개수공사(03.30)_동산초(06.1)" xfId="2476"/>
    <cellStyle name="_집행갑지 _송학하수품의(설계넣고)_삽교천개수공사(03.30)_삽교천개수공사(03.30)" xfId="2477"/>
    <cellStyle name="_집행갑지 _송학하수품의(설계넣고)_삽교천개수공사(03.30)_안산남부경찰서(06.16)-부대" xfId="2478"/>
    <cellStyle name="_집행갑지 _송학하수품의(설계넣고)_삽교천개수공사(03.30)_제주제성교(05.27)" xfId="2479"/>
    <cellStyle name="_집행갑지 _송학하수품의(설계넣고)_삽교천개수공사(03.30)_행목지구하천환경(05.25)" xfId="2480"/>
    <cellStyle name="_집행갑지 _송학하수품의(설계넣고)_용답동오피스텔가실행" xfId="1838"/>
    <cellStyle name="_집행갑지 _송학하수품의(설계넣고)_적상무주IC도로(1공구)" xfId="1839"/>
    <cellStyle name="_집행갑지 _송학하수품의(설계넣고)_적상무주IC도로(1공구)_구기동(제출)(95.0)(031121)" xfId="1840"/>
    <cellStyle name="_집행갑지 _송학하수품의(설계넣고)_적상무주IC도로(1공구)_구기동레포츠센타제출" xfId="1841"/>
    <cellStyle name="_집행갑지 _송학하수품의(설계넣고)_적상무주IC도로(1공구)_용답동오피스텔가실행" xfId="1842"/>
    <cellStyle name="_집행갑지 _용답동오피스텔가실행" xfId="1843"/>
    <cellStyle name="_집행갑지 _적상무주IC도로(1공구)" xfId="1844"/>
    <cellStyle name="_집행갑지 _적상무주IC도로(1공구)_구기동(제출)(95.0)(031121)" xfId="1845"/>
    <cellStyle name="_집행갑지 _적상무주IC도로(1공구)_구기동레포츠센타제출" xfId="1846"/>
    <cellStyle name="_집행갑지 _적상무주IC도로(1공구)_용답동오피스텔가실행" xfId="1847"/>
    <cellStyle name="_차입금보고자료" xfId="8009"/>
    <cellStyle name="_차입금현황(7월)" xfId="8010"/>
    <cellStyle name="_차체 (2)" xfId="4275"/>
    <cellStyle name="_차체 (2)_1" xfId="4276"/>
    <cellStyle name="_창원~부산도로" xfId="8011"/>
    <cellStyle name="_창원-부산(0407)" xfId="8012"/>
    <cellStyle name="_창원-부산(0407)_BNP 2-3 pubicFM_0430_7" xfId="8013"/>
    <cellStyle name="_창원-부산(0407)_BNP 2-3 pubicFM_0430_7_BNP 2-3_public FM_050530_v1" xfId="8014"/>
    <cellStyle name="_창원-부산(0407)_BNP 2-3 pubicFM_0430_7_BNP 2-3_재무모델-협상결과반영-051222" xfId="8015"/>
    <cellStyle name="_창원-부산(0407)_BNP 2-3 pubicFM_0430_7_BNP 2-3_재무모델-협상결과반영-051222-보완" xfId="8016"/>
    <cellStyle name="_창원-부산(0407)_BNP 2-3 pubicFM_0430_7_BNP 2-3_재무모델-협상결과반영-060124" xfId="8017"/>
    <cellStyle name="_창원-부산(0407)_BNP 2-3 pubicFM_0430_7_부산신항투자심사050525" xfId="8018"/>
    <cellStyle name="_창원-부산(0407)_BNP 2-3 public FM_280505_v2" xfId="8019"/>
    <cellStyle name="_창원-부산(0407)_BNP 2-3 public FM_280505_v2_BNP 2-3_public FM_050530_v1" xfId="8020"/>
    <cellStyle name="_창원-부산(0407)_BNP 2-3 public FM_280505_v2_BNP 2-3_재무모델-협상결과반영-051222" xfId="8021"/>
    <cellStyle name="_창원-부산(0407)_BNP 2-3 public FM_280505_v2_BNP 2-3_재무모델-협상결과반영-051222-보완" xfId="8022"/>
    <cellStyle name="_창원-부산(0407)_BNP 2-3 public FM_280505_v2_BNP 2-3_재무모델-협상결과반영-060124" xfId="8023"/>
    <cellStyle name="_창원-부산(0407)_BNP 2-3_public FM_290505_v3_1" xfId="8024"/>
    <cellStyle name="_창원-부산(0407)_BNP 2-3_public FM_290505_v3_1_BNP 2-3_재무모델-협상결과반영-051222" xfId="8025"/>
    <cellStyle name="_창원-부산(0407)_BNP 2-3_public FM_290505_v3_1_BNP 2-3_재무모델-협상결과반영-051222-보완" xfId="8026"/>
    <cellStyle name="_창원-부산(0407)_BNP 2-3_public FM_290505_v3_1_BNP 2-3_재무모델-협상결과반영-060124" xfId="8027"/>
    <cellStyle name="_창원-부산(0407)_부산신항_050421_SAC" xfId="8028"/>
    <cellStyle name="_창원-부산(0407)_부산신항_050421_SAC_BNP 2-3_public FM_050530_v1" xfId="8029"/>
    <cellStyle name="_창원-부산(0407)_부산신항_050421_SAC_BNP 2-3_재무모델-협상결과반영-051222" xfId="8030"/>
    <cellStyle name="_창원-부산(0407)_부산신항_050421_SAC_BNP 2-3_재무모델-협상결과반영-051222-보완" xfId="8031"/>
    <cellStyle name="_창원-부산(0407)_부산신항_050421_SAC_BNP 2-3_재무모델-협상결과반영-060124" xfId="8032"/>
    <cellStyle name="_창원-부산(0407)_부산신항_050421_SAC_부산신항투자심사050525" xfId="8033"/>
    <cellStyle name="_천안투자예산" xfId="8034"/>
    <cellStyle name="_철콘대비2" xfId="8035"/>
    <cellStyle name="_철콘대비2_1" xfId="8036"/>
    <cellStyle name="_철콘대비2_2" xfId="8037"/>
    <cellStyle name="_총괄표-2002반기(홍성훈)" xfId="8038"/>
    <cellStyle name="_총괄표-오미아군산" xfId="8039"/>
    <cellStyle name="_총괄표-오토넷(김경완)" xfId="8040"/>
    <cellStyle name="_총무부(인건비)" xfId="8041"/>
    <cellStyle name="_총무부(인건비)가" xfId="8042"/>
    <cellStyle name="_최저투찰" xfId="8043"/>
    <cellStyle name="_춘의동테크노파크" xfId="8044"/>
    <cellStyle name="_춘의테크노파크" xfId="8045"/>
    <cellStyle name="_충북지방경찰청" xfId="8046"/>
    <cellStyle name="_타조" xfId="8047"/>
    <cellStyle name="_태업" xfId="8048"/>
    <cellStyle name="_태인-원평2공구(협력)" xfId="1848"/>
    <cellStyle name="_태인-원평2공구(협력)_구기동(제출)(95.0)(031121)" xfId="1849"/>
    <cellStyle name="_태인-원평2공구(협력)_구기동레포츠센타제출" xfId="1850"/>
    <cellStyle name="_태인-원평2공구(협력)_용답동오피스텔가실행" xfId="1851"/>
    <cellStyle name="_태인-원평2공구(협력)_적상무주IC도로(1공구)" xfId="1852"/>
    <cellStyle name="_태인-원평2공구(협력)_적상무주IC도로(1공구)_구기동(제출)(95.0)(031121)" xfId="1853"/>
    <cellStyle name="_태인-원평2공구(협력)_적상무주IC도로(1공구)_구기동레포츠센타제출" xfId="1854"/>
    <cellStyle name="_태인-원평2공구(협력)_적상무주IC도로(1공구)_용답동오피스텔가실행" xfId="1855"/>
    <cellStyle name="_토목-가설전기견적" xfId="8049"/>
    <cellStyle name="_토목본부 경상이익(경영분석최종01실적)" xfId="8050"/>
    <cellStyle name="_토목사업본부2002년수주실적및계획" xfId="8051"/>
    <cellStyle name="_토목사업본부7월CC회의BACK-DATA" xfId="8052"/>
    <cellStyle name="_토목사업본부8월CC회의BACK-DATA" xfId="8053"/>
    <cellStyle name="_토목설계" xfId="1856"/>
    <cellStyle name="_토목설계_구기동(제출)(95.0)(031121)" xfId="1857"/>
    <cellStyle name="_토목설계_구기동레포츠센타제출" xfId="1858"/>
    <cellStyle name="_토목설계_용답동오피스텔가실행" xfId="1859"/>
    <cellStyle name="_토목설계팀수주현황" xfId="8054"/>
    <cellStyle name="_퇴직금추계액(2006)" xfId="8055"/>
    <cellStyle name="_퇴직금추계액(2006)_(2008) 손익계획 v080710" xfId="8056"/>
    <cellStyle name="_퇴직금추계액(2006)_(2008) 손익계획 v2.0" xfId="8057"/>
    <cellStyle name="_퇴직금추계액(2006)_(2008) 손익계획 v2.0_(2008) 손익계획 v080710" xfId="8058"/>
    <cellStyle name="_퇴직금추계액(2006)_(2008) 손익계획 v2.0_(2008) 손익계획 v7 2 (2)" xfId="8059"/>
    <cellStyle name="_퇴직금추계액(2006)_(2008) 손익계획 v7 2 (2)" xfId="8060"/>
    <cellStyle name="_퇴직금추계액(2006)3월" xfId="8061"/>
    <cellStyle name="_퇴직금추계액(2006)3월_(2008) 손익계획 v080710" xfId="8062"/>
    <cellStyle name="_퇴직금추계액(2006)3월_(2008) 손익계획 v2.0" xfId="8063"/>
    <cellStyle name="_퇴직금추계액(2006)3월_(2008) 손익계획 v2.0_(2008) 손익계획 v080710" xfId="8064"/>
    <cellStyle name="_퇴직금추계액(2006)3월_(2008) 손익계획 v2.0_(2008) 손익계획 v7 2 (2)" xfId="8065"/>
    <cellStyle name="_퇴직금추계액(2006)3월_(2008) 손익계획 v7 2 (2)" xfId="8066"/>
    <cellStyle name="_퇴직금추계액(2006년2월)" xfId="8067"/>
    <cellStyle name="_퇴직금추계액(2006년2월)_(2008) 손익계획 v080710" xfId="8068"/>
    <cellStyle name="_퇴직금추계액(2006년2월)_(2008) 손익계획 v2.0" xfId="8069"/>
    <cellStyle name="_퇴직금추계액(2006년2월)_(2008) 손익계획 v2.0_(2008) 손익계획 v080710" xfId="8070"/>
    <cellStyle name="_퇴직금추계액(2006년2월)_(2008) 손익계획 v2.0_(2008) 손익계획 v7 2 (2)" xfId="8071"/>
    <cellStyle name="_퇴직금추계액(2006년2월)_(2008) 손익계획 v7 2 (2)" xfId="8072"/>
    <cellStyle name="_퇴직급여(200601)" xfId="8073"/>
    <cellStyle name="_퇴직급여(200601)_(2008) 손익계획 v080710" xfId="8074"/>
    <cellStyle name="_퇴직급여(200601)_(2008) 손익계획 v2.0" xfId="8075"/>
    <cellStyle name="_퇴직급여(200601)_(2008) 손익계획 v2.0_(2008) 손익계획 v080710" xfId="8076"/>
    <cellStyle name="_퇴직급여(200601)_(2008) 손익계획 v2.0_(2008) 손익계획 v7 2 (2)" xfId="8077"/>
    <cellStyle name="_퇴직급여(200601)_(2008) 손익계획 v7 2 (2)" xfId="8078"/>
    <cellStyle name="_퇴충" xfId="8079"/>
    <cellStyle name="_퇴충LS" xfId="8080"/>
    <cellStyle name="_투자예수금0619" xfId="8081"/>
    <cellStyle name="_투찰(안덕대정)" xfId="8082"/>
    <cellStyle name="_투찰(안덕대정)_투찰_대둔산" xfId="8083"/>
    <cellStyle name="_투찰(안덕대정)1" xfId="8084"/>
    <cellStyle name="_투찰(안덕대정)1_투찰_대둔산" xfId="8085"/>
    <cellStyle name="_투찰내역" xfId="8086"/>
    <cellStyle name="_투찰내역R1" xfId="8087"/>
    <cellStyle name="_파생상품" xfId="8088"/>
    <cellStyle name="_파주공정표" xfId="8089"/>
    <cellStyle name="_파트너2QForecast(0421)" xfId="8090"/>
    <cellStyle name="_파트너사업부1Q Forecast(0327)" xfId="8091"/>
    <cellStyle name="_파트너사업부1QForecast(0224)" xfId="8092"/>
    <cellStyle name="_파트너사업부2QForecast(0518)" xfId="8093"/>
    <cellStyle name="_파트너사업부2QForecast(0608)" xfId="8094"/>
    <cellStyle name="_파트너사업부3QForecast(0626)" xfId="8095"/>
    <cellStyle name="_파트너사업부3QForecast(0828)" xfId="8096"/>
    <cellStyle name="_파트너사업부4QForecast(1016)" xfId="8097"/>
    <cellStyle name="_평내토평 재무모델_041001-1_v1" xfId="8098"/>
    <cellStyle name="_평내토평 재무모델_041001-1_v1_BNP 2-3 public FM_280505_v2" xfId="8099"/>
    <cellStyle name="_평내토평 재무모델_041001-1_v1_BNP 2-3 public FM_280505_v2_BNP 2-3_public FM_050530_v1" xfId="8100"/>
    <cellStyle name="_평내토평 재무모델_041001-1_v1_BNP 2-3 public FM_280505_v2_BNP 2-3_재무모델-협상결과반영-051222" xfId="8101"/>
    <cellStyle name="_평내토평 재무모델_041001-1_v1_BNP 2-3 public FM_280505_v2_BNP 2-3_재무모델-협상결과반영-051222-보완" xfId="8102"/>
    <cellStyle name="_평내토평 재무모델_041001-1_v1_BNP 2-3 public FM_280505_v2_BNP 2-3_재무모델-협상결과반영-060124" xfId="8103"/>
    <cellStyle name="_평내토평 재무모델_041001-1_v1_BNP 2-3_public FM_290505_v3_1" xfId="8104"/>
    <cellStyle name="_평내토평 재무모델_041001-1_v1_BNP 2-3_public FM_290505_v3_1_BNP 2-3_재무모델-협상결과반영-051222" xfId="8105"/>
    <cellStyle name="_평내토평 재무모델_041001-1_v1_BNP 2-3_public FM_290505_v3_1_BNP 2-3_재무모델-협상결과반영-051222-보완" xfId="8106"/>
    <cellStyle name="_평내토평 재무모델_041001-1_v1_BNP 2-3_public FM_290505_v3_1_BNP 2-3_재무모델-협상결과반영-060124" xfId="8107"/>
    <cellStyle name="_평촌예산" xfId="4277"/>
    <cellStyle name="_평택동부두부대사업재무모델(070130)-삼일-1(투입스케쥴수정)_0228_2" xfId="8108"/>
    <cellStyle name="_평택양곡부두_0503_투심(soc)" xfId="8109"/>
    <cellStyle name="_평택화학중대(본실행)" xfId="8110"/>
    <cellStyle name="_품셈" xfId="8111"/>
    <cellStyle name="_품셈_현대오일뱅크 철골공사" xfId="8112"/>
    <cellStyle name="_품의-조합세대마감재변경-20060410" xfId="8113"/>
    <cellStyle name="_품질개선사항(천안9월)" xfId="8114"/>
    <cellStyle name="_품질향상 (추가요청)" xfId="8115"/>
    <cellStyle name="_하도급 변경 요청 관련" xfId="8116"/>
    <cellStyle name="_하반기 포케스트(1012)" xfId="8117"/>
    <cellStyle name="_하반기 포케스트(1012) (3)" xfId="8118"/>
    <cellStyle name="_한전연구견적" xfId="8119"/>
    <cellStyle name="_해외지사재무제표(반기)" xfId="8120"/>
    <cellStyle name="_현가화기준" xfId="8121"/>
    <cellStyle name="_현대건설고촌도시개발사업" xfId="8122"/>
    <cellStyle name="_현장개요" xfId="8123"/>
    <cellStyle name="_호남선두계역외2개소연결통로" xfId="2481"/>
    <cellStyle name="_호남선전철화송정리역사111" xfId="2482"/>
    <cellStyle name="_호수SS내역서040920" xfId="8124"/>
    <cellStyle name="_홍민기SW_미수수익" xfId="8125"/>
    <cellStyle name="_홍민기SW_미수수익_결산" xfId="8126"/>
    <cellStyle name="_홍민기SW_양수도대금미수수익" xfId="8127"/>
    <cellStyle name="_홍보관수량참고(특성화설계서)" xfId="8128"/>
    <cellStyle name="_홍제초 수목이식(2차)" xfId="1860"/>
    <cellStyle name="_홍제토목" xfId="1861"/>
    <cellStyle name="_화성동탄내역서(0419)" xfId="1862"/>
    <cellStyle name="_화장실전기" xfId="8129"/>
    <cellStyle name="_흑석동 메가힐 견적내역(0404)" xfId="8130"/>
    <cellStyle name="``" xfId="4278"/>
    <cellStyle name="¡" xfId="8131"/>
    <cellStyle name="¡_20030218144011020-E1C865BF" xfId="8132"/>
    <cellStyle name="¡_20030218144011020-E1C865BF_현대오일뱅크 철골공사" xfId="8133"/>
    <cellStyle name="¡_사급재료비및운반비" xfId="8134"/>
    <cellStyle name="¡_사급재료비및운반비_현대오일뱅크 철골공사" xfId="8135"/>
    <cellStyle name="¡_수량및 단가 산출내용표" xfId="8136"/>
    <cellStyle name="¡_수량및 단가 산출내용표_현대오일뱅크 철골공사" xfId="8137"/>
    <cellStyle name="¡_영흥#3,4 보일러철골설치및마감(MC-01)FINAL" xfId="8138"/>
    <cellStyle name="¡_영흥#3,4 보일러철골설치및마감(MC-01)FINAL_현대오일뱅크 철골공사" xfId="8139"/>
    <cellStyle name="¡_영흥#3,4 옥내기기기초(AC-05)" xfId="8140"/>
    <cellStyle name="¡_영흥#3,4 옥내기기기초(AC-05)_현대오일뱅크 철골공사" xfId="8141"/>
    <cellStyle name="¡_영흥#3,4 터빈발전기기초(AC-04)" xfId="8142"/>
    <cellStyle name="¡_영흥#3,4 터빈발전기기초(AC-04)_현대오일뱅크 철골공사" xfId="8143"/>
    <cellStyle name="¡§i" xfId="8144"/>
    <cellStyle name="¡ër" xfId="8145"/>
    <cellStyle name="¨i" xfId="8146"/>
    <cellStyle name="¨ïo" xfId="8147"/>
    <cellStyle name="´þ" xfId="608"/>
    <cellStyle name="’E‰Y [0.00]_laroux" xfId="1863"/>
    <cellStyle name="’E‰Y_laroux" xfId="1864"/>
    <cellStyle name="¢®¡" xfId="8148"/>
    <cellStyle name="¢®e" xfId="8149"/>
    <cellStyle name="£ BP" xfId="8150"/>
    <cellStyle name="¤@?e_TEST-1 " xfId="19"/>
    <cellStyle name="¥ JY" xfId="8151"/>
    <cellStyle name="\MNPREF32.DLL&amp;" xfId="8152"/>
    <cellStyle name="+,-,0" xfId="1865"/>
    <cellStyle name="⥜준_제강원가최종_1" xfId="8153"/>
    <cellStyle name="△ []" xfId="1866"/>
    <cellStyle name="△ [0]" xfId="1867"/>
    <cellStyle name="△백분율" xfId="4279"/>
    <cellStyle name="△서식" xfId="8154"/>
    <cellStyle name="△콤마" xfId="4280"/>
    <cellStyle name="©öe" xfId="8155"/>
    <cellStyle name="°ia¤¼o " xfId="609"/>
    <cellStyle name="°ia¤aa " xfId="610"/>
    <cellStyle name="µÚ¿¡ ¿À´Â ÇÏÀÌÆÛ¸µÅ©" xfId="8156"/>
    <cellStyle name="•W_Book3" xfId="4281"/>
    <cellStyle name="?" xfId="8157"/>
    <cellStyle name="æøè [0.00" xfId="8158"/>
    <cellStyle name="æØè [0.00]_PRODUCT DETAIL Q1" xfId="8159"/>
    <cellStyle name="æøè_produ" xfId="8160"/>
    <cellStyle name="ÊÝ [0.00]_PRODUCT DETAIL Q1" xfId="4282"/>
    <cellStyle name="ÊÝ_PRODUCT DETAIL Q1" xfId="4283"/>
    <cellStyle name="W?_BOOKSHIP" xfId="4284"/>
    <cellStyle name="W_BOOKSHIP" xfId="8161"/>
    <cellStyle name="0" xfId="1868"/>
    <cellStyle name="0 2" xfId="3201"/>
    <cellStyle name="0 2 2" xfId="4615"/>
    <cellStyle name="0 2 3" xfId="4459"/>
    <cellStyle name="0 3" xfId="3566"/>
    <cellStyle name="0 3 2" xfId="4639"/>
    <cellStyle name="0 3 3" xfId="4993"/>
    <cellStyle name="0 4" xfId="3567"/>
    <cellStyle name="0 4 2" xfId="4640"/>
    <cellStyle name="0 4 3" xfId="4994"/>
    <cellStyle name="0,0_x000d__x000a_NA_x000d__x000a_" xfId="8162"/>
    <cellStyle name="0.0" xfId="1869"/>
    <cellStyle name="0.0 2" xfId="3202"/>
    <cellStyle name="0.0 2 2" xfId="4616"/>
    <cellStyle name="0.0 2 3" xfId="4458"/>
    <cellStyle name="0.0 2_분양(100%)" xfId="37705"/>
    <cellStyle name="0.0 3" xfId="3568"/>
    <cellStyle name="0.0 3 2" xfId="4641"/>
    <cellStyle name="0.0 3 3" xfId="4995"/>
    <cellStyle name="0.0 3_분양(100%)" xfId="37706"/>
    <cellStyle name="0.0 4" xfId="3569"/>
    <cellStyle name="0.0 4 2" xfId="4642"/>
    <cellStyle name="0.0 4 3" xfId="4996"/>
    <cellStyle name="0.0_분양(100%)" xfId="37704"/>
    <cellStyle name="0.00" xfId="1870"/>
    <cellStyle name="0.00 2" xfId="3203"/>
    <cellStyle name="0.00 2 2" xfId="4617"/>
    <cellStyle name="0.00 2 3" xfId="4457"/>
    <cellStyle name="0.00 2_분양(100%)" xfId="37708"/>
    <cellStyle name="0.00 3" xfId="3570"/>
    <cellStyle name="0.00 3 2" xfId="4643"/>
    <cellStyle name="0.00 3 3" xfId="4997"/>
    <cellStyle name="0.00 3_분양(100%)" xfId="37709"/>
    <cellStyle name="0.00 4" xfId="3571"/>
    <cellStyle name="0.00 4 2" xfId="4644"/>
    <cellStyle name="0.00 4 3" xfId="4998"/>
    <cellStyle name="0.00_분양(100%)" xfId="37707"/>
    <cellStyle name="0_Pro-mars자금총괄표_동서에셋(20090427)v2" xfId="8163"/>
    <cellStyle name="0_Pro-mars자금총괄표_동서에셋(20090427)v2 10" xfId="8164"/>
    <cellStyle name="0_Pro-mars자금총괄표_동서에셋(20090427)v2 10 10" xfId="8165"/>
    <cellStyle name="0_Pro-mars자금총괄표_동서에셋(20090427)v2 10 11" xfId="8166"/>
    <cellStyle name="0_Pro-mars자금총괄표_동서에셋(20090427)v2 10 12" xfId="8167"/>
    <cellStyle name="0_Pro-mars자금총괄표_동서에셋(20090427)v2 10 13" xfId="8168"/>
    <cellStyle name="0_Pro-mars자금총괄표_동서에셋(20090427)v2 10 14" xfId="8169"/>
    <cellStyle name="0_Pro-mars자금총괄표_동서에셋(20090427)v2 10 15" xfId="8170"/>
    <cellStyle name="0_Pro-mars자금총괄표_동서에셋(20090427)v2 10 16" xfId="8171"/>
    <cellStyle name="0_Pro-mars자금총괄표_동서에셋(20090427)v2 10 17" xfId="8172"/>
    <cellStyle name="0_Pro-mars자금총괄표_동서에셋(20090427)v2 10 18" xfId="8173"/>
    <cellStyle name="0_Pro-mars자금총괄표_동서에셋(20090427)v2 10 19" xfId="8174"/>
    <cellStyle name="0_Pro-mars자금총괄표_동서에셋(20090427)v2 10 2" xfId="8175"/>
    <cellStyle name="0_Pro-mars자금총괄표_동서에셋(20090427)v2 10 20" xfId="8176"/>
    <cellStyle name="0_Pro-mars자금총괄표_동서에셋(20090427)v2 10 21" xfId="8177"/>
    <cellStyle name="0_Pro-mars자금총괄표_동서에셋(20090427)v2 10 22" xfId="8178"/>
    <cellStyle name="0_Pro-mars자금총괄표_동서에셋(20090427)v2 10 23" xfId="8179"/>
    <cellStyle name="0_Pro-mars자금총괄표_동서에셋(20090427)v2 10 24" xfId="8180"/>
    <cellStyle name="0_Pro-mars자금총괄표_동서에셋(20090427)v2 10 25" xfId="8181"/>
    <cellStyle name="0_Pro-mars자금총괄표_동서에셋(20090427)v2 10 26" xfId="8182"/>
    <cellStyle name="0_Pro-mars자금총괄표_동서에셋(20090427)v2 10 27" xfId="8183"/>
    <cellStyle name="0_Pro-mars자금총괄표_동서에셋(20090427)v2 10 28" xfId="8184"/>
    <cellStyle name="0_Pro-mars자금총괄표_동서에셋(20090427)v2 10 29" xfId="8185"/>
    <cellStyle name="0_Pro-mars자금총괄표_동서에셋(20090427)v2 10 3" xfId="8186"/>
    <cellStyle name="0_Pro-mars자금총괄표_동서에셋(20090427)v2 10 30" xfId="8187"/>
    <cellStyle name="0_Pro-mars자금총괄표_동서에셋(20090427)v2 10 31" xfId="8188"/>
    <cellStyle name="0_Pro-mars자금총괄표_동서에셋(20090427)v2 10 32" xfId="8189"/>
    <cellStyle name="0_Pro-mars자금총괄표_동서에셋(20090427)v2 10 33" xfId="8190"/>
    <cellStyle name="0_Pro-mars자금총괄표_동서에셋(20090427)v2 10 34" xfId="8191"/>
    <cellStyle name="0_Pro-mars자금총괄표_동서에셋(20090427)v2 10 35" xfId="8192"/>
    <cellStyle name="0_Pro-mars자금총괄표_동서에셋(20090427)v2 10 36" xfId="8193"/>
    <cellStyle name="0_Pro-mars자금총괄표_동서에셋(20090427)v2 10 37" xfId="8194"/>
    <cellStyle name="0_Pro-mars자금총괄표_동서에셋(20090427)v2 10 38" xfId="8195"/>
    <cellStyle name="0_Pro-mars자금총괄표_동서에셋(20090427)v2 10 39" xfId="8196"/>
    <cellStyle name="0_Pro-mars자금총괄표_동서에셋(20090427)v2 10 4" xfId="8197"/>
    <cellStyle name="0_Pro-mars자금총괄표_동서에셋(20090427)v2 10 40" xfId="8198"/>
    <cellStyle name="0_Pro-mars자금총괄표_동서에셋(20090427)v2 10 41" xfId="8199"/>
    <cellStyle name="0_Pro-mars자금총괄표_동서에셋(20090427)v2 10 42" xfId="8200"/>
    <cellStyle name="0_Pro-mars자금총괄표_동서에셋(20090427)v2 10 43" xfId="8201"/>
    <cellStyle name="0_Pro-mars자금총괄표_동서에셋(20090427)v2 10 44" xfId="8202"/>
    <cellStyle name="0_Pro-mars자금총괄표_동서에셋(20090427)v2 10 45" xfId="8203"/>
    <cellStyle name="0_Pro-mars자금총괄표_동서에셋(20090427)v2 10 46" xfId="8204"/>
    <cellStyle name="0_Pro-mars자금총괄표_동서에셋(20090427)v2 10 47" xfId="8205"/>
    <cellStyle name="0_Pro-mars자금총괄표_동서에셋(20090427)v2 10 48" xfId="8206"/>
    <cellStyle name="0_Pro-mars자금총괄표_동서에셋(20090427)v2 10 49" xfId="8207"/>
    <cellStyle name="0_Pro-mars자금총괄표_동서에셋(20090427)v2 10 5" xfId="8208"/>
    <cellStyle name="0_Pro-mars자금총괄표_동서에셋(20090427)v2 10 50" xfId="8209"/>
    <cellStyle name="0_Pro-mars자금총괄표_동서에셋(20090427)v2 10 51" xfId="8210"/>
    <cellStyle name="0_Pro-mars자금총괄표_동서에셋(20090427)v2 10 52" xfId="8211"/>
    <cellStyle name="0_Pro-mars자금총괄표_동서에셋(20090427)v2 10 53" xfId="8212"/>
    <cellStyle name="0_Pro-mars자금총괄표_동서에셋(20090427)v2 10 6" xfId="8213"/>
    <cellStyle name="0_Pro-mars자금총괄표_동서에셋(20090427)v2 10 7" xfId="8214"/>
    <cellStyle name="0_Pro-mars자금총괄표_동서에셋(20090427)v2 10 8" xfId="8215"/>
    <cellStyle name="0_Pro-mars자금총괄표_동서에셋(20090427)v2 10 9" xfId="8216"/>
    <cellStyle name="0_Pro-mars자금총괄표_동서에셋(20090427)v2 11" xfId="8217"/>
    <cellStyle name="0_Pro-mars자금총괄표_동서에셋(20090427)v2 11 10" xfId="8218"/>
    <cellStyle name="0_Pro-mars자금총괄표_동서에셋(20090427)v2 11 11" xfId="8219"/>
    <cellStyle name="0_Pro-mars자금총괄표_동서에셋(20090427)v2 11 12" xfId="8220"/>
    <cellStyle name="0_Pro-mars자금총괄표_동서에셋(20090427)v2 11 13" xfId="8221"/>
    <cellStyle name="0_Pro-mars자금총괄표_동서에셋(20090427)v2 11 14" xfId="8222"/>
    <cellStyle name="0_Pro-mars자금총괄표_동서에셋(20090427)v2 11 15" xfId="8223"/>
    <cellStyle name="0_Pro-mars자금총괄표_동서에셋(20090427)v2 11 16" xfId="8224"/>
    <cellStyle name="0_Pro-mars자금총괄표_동서에셋(20090427)v2 11 17" xfId="8225"/>
    <cellStyle name="0_Pro-mars자금총괄표_동서에셋(20090427)v2 11 18" xfId="8226"/>
    <cellStyle name="0_Pro-mars자금총괄표_동서에셋(20090427)v2 11 19" xfId="8227"/>
    <cellStyle name="0_Pro-mars자금총괄표_동서에셋(20090427)v2 11 2" xfId="8228"/>
    <cellStyle name="0_Pro-mars자금총괄표_동서에셋(20090427)v2 11 20" xfId="8229"/>
    <cellStyle name="0_Pro-mars자금총괄표_동서에셋(20090427)v2 11 21" xfId="8230"/>
    <cellStyle name="0_Pro-mars자금총괄표_동서에셋(20090427)v2 11 22" xfId="8231"/>
    <cellStyle name="0_Pro-mars자금총괄표_동서에셋(20090427)v2 11 23" xfId="8232"/>
    <cellStyle name="0_Pro-mars자금총괄표_동서에셋(20090427)v2 11 24" xfId="8233"/>
    <cellStyle name="0_Pro-mars자금총괄표_동서에셋(20090427)v2 11 25" xfId="8234"/>
    <cellStyle name="0_Pro-mars자금총괄표_동서에셋(20090427)v2 11 26" xfId="8235"/>
    <cellStyle name="0_Pro-mars자금총괄표_동서에셋(20090427)v2 11 27" xfId="8236"/>
    <cellStyle name="0_Pro-mars자금총괄표_동서에셋(20090427)v2 11 28" xfId="8237"/>
    <cellStyle name="0_Pro-mars자금총괄표_동서에셋(20090427)v2 11 29" xfId="8238"/>
    <cellStyle name="0_Pro-mars자금총괄표_동서에셋(20090427)v2 11 3" xfId="8239"/>
    <cellStyle name="0_Pro-mars자금총괄표_동서에셋(20090427)v2 11 30" xfId="8240"/>
    <cellStyle name="0_Pro-mars자금총괄표_동서에셋(20090427)v2 11 31" xfId="8241"/>
    <cellStyle name="0_Pro-mars자금총괄표_동서에셋(20090427)v2 11 32" xfId="8242"/>
    <cellStyle name="0_Pro-mars자금총괄표_동서에셋(20090427)v2 11 33" xfId="8243"/>
    <cellStyle name="0_Pro-mars자금총괄표_동서에셋(20090427)v2 11 34" xfId="8244"/>
    <cellStyle name="0_Pro-mars자금총괄표_동서에셋(20090427)v2 11 35" xfId="8245"/>
    <cellStyle name="0_Pro-mars자금총괄표_동서에셋(20090427)v2 11 36" xfId="8246"/>
    <cellStyle name="0_Pro-mars자금총괄표_동서에셋(20090427)v2 11 37" xfId="8247"/>
    <cellStyle name="0_Pro-mars자금총괄표_동서에셋(20090427)v2 11 38" xfId="8248"/>
    <cellStyle name="0_Pro-mars자금총괄표_동서에셋(20090427)v2 11 39" xfId="8249"/>
    <cellStyle name="0_Pro-mars자금총괄표_동서에셋(20090427)v2 11 4" xfId="8250"/>
    <cellStyle name="0_Pro-mars자금총괄표_동서에셋(20090427)v2 11 40" xfId="8251"/>
    <cellStyle name="0_Pro-mars자금총괄표_동서에셋(20090427)v2 11 41" xfId="8252"/>
    <cellStyle name="0_Pro-mars자금총괄표_동서에셋(20090427)v2 11 42" xfId="8253"/>
    <cellStyle name="0_Pro-mars자금총괄표_동서에셋(20090427)v2 11 43" xfId="8254"/>
    <cellStyle name="0_Pro-mars자금총괄표_동서에셋(20090427)v2 11 44" xfId="8255"/>
    <cellStyle name="0_Pro-mars자금총괄표_동서에셋(20090427)v2 11 45" xfId="8256"/>
    <cellStyle name="0_Pro-mars자금총괄표_동서에셋(20090427)v2 11 46" xfId="8257"/>
    <cellStyle name="0_Pro-mars자금총괄표_동서에셋(20090427)v2 11 47" xfId="8258"/>
    <cellStyle name="0_Pro-mars자금총괄표_동서에셋(20090427)v2 11 48" xfId="8259"/>
    <cellStyle name="0_Pro-mars자금총괄표_동서에셋(20090427)v2 11 49" xfId="8260"/>
    <cellStyle name="0_Pro-mars자금총괄표_동서에셋(20090427)v2 11 5" xfId="8261"/>
    <cellStyle name="0_Pro-mars자금총괄표_동서에셋(20090427)v2 11 50" xfId="8262"/>
    <cellStyle name="0_Pro-mars자금총괄표_동서에셋(20090427)v2 11 51" xfId="8263"/>
    <cellStyle name="0_Pro-mars자금총괄표_동서에셋(20090427)v2 11 52" xfId="8264"/>
    <cellStyle name="0_Pro-mars자금총괄표_동서에셋(20090427)v2 11 53" xfId="8265"/>
    <cellStyle name="0_Pro-mars자금총괄표_동서에셋(20090427)v2 11 6" xfId="8266"/>
    <cellStyle name="0_Pro-mars자금총괄표_동서에셋(20090427)v2 11 7" xfId="8267"/>
    <cellStyle name="0_Pro-mars자금총괄표_동서에셋(20090427)v2 11 8" xfId="8268"/>
    <cellStyle name="0_Pro-mars자금총괄표_동서에셋(20090427)v2 11 9" xfId="8269"/>
    <cellStyle name="0_Pro-mars자금총괄표_동서에셋(20090427)v2 12" xfId="8270"/>
    <cellStyle name="0_Pro-mars자금총괄표_동서에셋(20090427)v2 12 10" xfId="8271"/>
    <cellStyle name="0_Pro-mars자금총괄표_동서에셋(20090427)v2 12 11" xfId="8272"/>
    <cellStyle name="0_Pro-mars자금총괄표_동서에셋(20090427)v2 12 12" xfId="8273"/>
    <cellStyle name="0_Pro-mars자금총괄표_동서에셋(20090427)v2 12 13" xfId="8274"/>
    <cellStyle name="0_Pro-mars자금총괄표_동서에셋(20090427)v2 12 14" xfId="8275"/>
    <cellStyle name="0_Pro-mars자금총괄표_동서에셋(20090427)v2 12 15" xfId="8276"/>
    <cellStyle name="0_Pro-mars자금총괄표_동서에셋(20090427)v2 12 16" xfId="8277"/>
    <cellStyle name="0_Pro-mars자금총괄표_동서에셋(20090427)v2 12 17" xfId="8278"/>
    <cellStyle name="0_Pro-mars자금총괄표_동서에셋(20090427)v2 12 18" xfId="8279"/>
    <cellStyle name="0_Pro-mars자금총괄표_동서에셋(20090427)v2 12 19" xfId="8280"/>
    <cellStyle name="0_Pro-mars자금총괄표_동서에셋(20090427)v2 12 2" xfId="8281"/>
    <cellStyle name="0_Pro-mars자금총괄표_동서에셋(20090427)v2 12 20" xfId="8282"/>
    <cellStyle name="0_Pro-mars자금총괄표_동서에셋(20090427)v2 12 21" xfId="8283"/>
    <cellStyle name="0_Pro-mars자금총괄표_동서에셋(20090427)v2 12 22" xfId="8284"/>
    <cellStyle name="0_Pro-mars자금총괄표_동서에셋(20090427)v2 12 23" xfId="8285"/>
    <cellStyle name="0_Pro-mars자금총괄표_동서에셋(20090427)v2 12 24" xfId="8286"/>
    <cellStyle name="0_Pro-mars자금총괄표_동서에셋(20090427)v2 12 25" xfId="8287"/>
    <cellStyle name="0_Pro-mars자금총괄표_동서에셋(20090427)v2 12 26" xfId="8288"/>
    <cellStyle name="0_Pro-mars자금총괄표_동서에셋(20090427)v2 12 27" xfId="8289"/>
    <cellStyle name="0_Pro-mars자금총괄표_동서에셋(20090427)v2 12 28" xfId="8290"/>
    <cellStyle name="0_Pro-mars자금총괄표_동서에셋(20090427)v2 12 29" xfId="8291"/>
    <cellStyle name="0_Pro-mars자금총괄표_동서에셋(20090427)v2 12 3" xfId="8292"/>
    <cellStyle name="0_Pro-mars자금총괄표_동서에셋(20090427)v2 12 30" xfId="8293"/>
    <cellStyle name="0_Pro-mars자금총괄표_동서에셋(20090427)v2 12 31" xfId="8294"/>
    <cellStyle name="0_Pro-mars자금총괄표_동서에셋(20090427)v2 12 32" xfId="8295"/>
    <cellStyle name="0_Pro-mars자금총괄표_동서에셋(20090427)v2 12 33" xfId="8296"/>
    <cellStyle name="0_Pro-mars자금총괄표_동서에셋(20090427)v2 12 34" xfId="8297"/>
    <cellStyle name="0_Pro-mars자금총괄표_동서에셋(20090427)v2 12 35" xfId="8298"/>
    <cellStyle name="0_Pro-mars자금총괄표_동서에셋(20090427)v2 12 36" xfId="8299"/>
    <cellStyle name="0_Pro-mars자금총괄표_동서에셋(20090427)v2 12 37" xfId="8300"/>
    <cellStyle name="0_Pro-mars자금총괄표_동서에셋(20090427)v2 12 38" xfId="8301"/>
    <cellStyle name="0_Pro-mars자금총괄표_동서에셋(20090427)v2 12 39" xfId="8302"/>
    <cellStyle name="0_Pro-mars자금총괄표_동서에셋(20090427)v2 12 4" xfId="8303"/>
    <cellStyle name="0_Pro-mars자금총괄표_동서에셋(20090427)v2 12 40" xfId="8304"/>
    <cellStyle name="0_Pro-mars자금총괄표_동서에셋(20090427)v2 12 41" xfId="8305"/>
    <cellStyle name="0_Pro-mars자금총괄표_동서에셋(20090427)v2 12 42" xfId="8306"/>
    <cellStyle name="0_Pro-mars자금총괄표_동서에셋(20090427)v2 12 43" xfId="8307"/>
    <cellStyle name="0_Pro-mars자금총괄표_동서에셋(20090427)v2 12 44" xfId="8308"/>
    <cellStyle name="0_Pro-mars자금총괄표_동서에셋(20090427)v2 12 45" xfId="8309"/>
    <cellStyle name="0_Pro-mars자금총괄표_동서에셋(20090427)v2 12 46" xfId="8310"/>
    <cellStyle name="0_Pro-mars자금총괄표_동서에셋(20090427)v2 12 47" xfId="8311"/>
    <cellStyle name="0_Pro-mars자금총괄표_동서에셋(20090427)v2 12 48" xfId="8312"/>
    <cellStyle name="0_Pro-mars자금총괄표_동서에셋(20090427)v2 12 49" xfId="8313"/>
    <cellStyle name="0_Pro-mars자금총괄표_동서에셋(20090427)v2 12 5" xfId="8314"/>
    <cellStyle name="0_Pro-mars자금총괄표_동서에셋(20090427)v2 12 50" xfId="8315"/>
    <cellStyle name="0_Pro-mars자금총괄표_동서에셋(20090427)v2 12 51" xfId="8316"/>
    <cellStyle name="0_Pro-mars자금총괄표_동서에셋(20090427)v2 12 52" xfId="8317"/>
    <cellStyle name="0_Pro-mars자금총괄표_동서에셋(20090427)v2 12 53" xfId="8318"/>
    <cellStyle name="0_Pro-mars자금총괄표_동서에셋(20090427)v2 12 6" xfId="8319"/>
    <cellStyle name="0_Pro-mars자금총괄표_동서에셋(20090427)v2 12 7" xfId="8320"/>
    <cellStyle name="0_Pro-mars자금총괄표_동서에셋(20090427)v2 12 8" xfId="8321"/>
    <cellStyle name="0_Pro-mars자금총괄표_동서에셋(20090427)v2 12 9" xfId="8322"/>
    <cellStyle name="0_Pro-mars자금총괄표_동서에셋(20090427)v2 13" xfId="8323"/>
    <cellStyle name="0_Pro-mars자금총괄표_동서에셋(20090427)v2 13 10" xfId="8324"/>
    <cellStyle name="0_Pro-mars자금총괄표_동서에셋(20090427)v2 13 11" xfId="8325"/>
    <cellStyle name="0_Pro-mars자금총괄표_동서에셋(20090427)v2 13 12" xfId="8326"/>
    <cellStyle name="0_Pro-mars자금총괄표_동서에셋(20090427)v2 13 13" xfId="8327"/>
    <cellStyle name="0_Pro-mars자금총괄표_동서에셋(20090427)v2 13 14" xfId="8328"/>
    <cellStyle name="0_Pro-mars자금총괄표_동서에셋(20090427)v2 13 15" xfId="8329"/>
    <cellStyle name="0_Pro-mars자금총괄표_동서에셋(20090427)v2 13 16" xfId="8330"/>
    <cellStyle name="0_Pro-mars자금총괄표_동서에셋(20090427)v2 13 17" xfId="8331"/>
    <cellStyle name="0_Pro-mars자금총괄표_동서에셋(20090427)v2 13 18" xfId="8332"/>
    <cellStyle name="0_Pro-mars자금총괄표_동서에셋(20090427)v2 13 19" xfId="8333"/>
    <cellStyle name="0_Pro-mars자금총괄표_동서에셋(20090427)v2 13 2" xfId="8334"/>
    <cellStyle name="0_Pro-mars자금총괄표_동서에셋(20090427)v2 13 20" xfId="8335"/>
    <cellStyle name="0_Pro-mars자금총괄표_동서에셋(20090427)v2 13 21" xfId="8336"/>
    <cellStyle name="0_Pro-mars자금총괄표_동서에셋(20090427)v2 13 22" xfId="8337"/>
    <cellStyle name="0_Pro-mars자금총괄표_동서에셋(20090427)v2 13 23" xfId="8338"/>
    <cellStyle name="0_Pro-mars자금총괄표_동서에셋(20090427)v2 13 24" xfId="8339"/>
    <cellStyle name="0_Pro-mars자금총괄표_동서에셋(20090427)v2 13 25" xfId="8340"/>
    <cellStyle name="0_Pro-mars자금총괄표_동서에셋(20090427)v2 13 26" xfId="8341"/>
    <cellStyle name="0_Pro-mars자금총괄표_동서에셋(20090427)v2 13 27" xfId="8342"/>
    <cellStyle name="0_Pro-mars자금총괄표_동서에셋(20090427)v2 13 28" xfId="8343"/>
    <cellStyle name="0_Pro-mars자금총괄표_동서에셋(20090427)v2 13 29" xfId="8344"/>
    <cellStyle name="0_Pro-mars자금총괄표_동서에셋(20090427)v2 13 3" xfId="8345"/>
    <cellStyle name="0_Pro-mars자금총괄표_동서에셋(20090427)v2 13 30" xfId="8346"/>
    <cellStyle name="0_Pro-mars자금총괄표_동서에셋(20090427)v2 13 31" xfId="8347"/>
    <cellStyle name="0_Pro-mars자금총괄표_동서에셋(20090427)v2 13 32" xfId="8348"/>
    <cellStyle name="0_Pro-mars자금총괄표_동서에셋(20090427)v2 13 33" xfId="8349"/>
    <cellStyle name="0_Pro-mars자금총괄표_동서에셋(20090427)v2 13 34" xfId="8350"/>
    <cellStyle name="0_Pro-mars자금총괄표_동서에셋(20090427)v2 13 35" xfId="8351"/>
    <cellStyle name="0_Pro-mars자금총괄표_동서에셋(20090427)v2 13 36" xfId="8352"/>
    <cellStyle name="0_Pro-mars자금총괄표_동서에셋(20090427)v2 13 37" xfId="8353"/>
    <cellStyle name="0_Pro-mars자금총괄표_동서에셋(20090427)v2 13 38" xfId="8354"/>
    <cellStyle name="0_Pro-mars자금총괄표_동서에셋(20090427)v2 13 39" xfId="8355"/>
    <cellStyle name="0_Pro-mars자금총괄표_동서에셋(20090427)v2 13 4" xfId="8356"/>
    <cellStyle name="0_Pro-mars자금총괄표_동서에셋(20090427)v2 13 40" xfId="8357"/>
    <cellStyle name="0_Pro-mars자금총괄표_동서에셋(20090427)v2 13 41" xfId="8358"/>
    <cellStyle name="0_Pro-mars자금총괄표_동서에셋(20090427)v2 13 42" xfId="8359"/>
    <cellStyle name="0_Pro-mars자금총괄표_동서에셋(20090427)v2 13 43" xfId="8360"/>
    <cellStyle name="0_Pro-mars자금총괄표_동서에셋(20090427)v2 13 44" xfId="8361"/>
    <cellStyle name="0_Pro-mars자금총괄표_동서에셋(20090427)v2 13 45" xfId="8362"/>
    <cellStyle name="0_Pro-mars자금총괄표_동서에셋(20090427)v2 13 46" xfId="8363"/>
    <cellStyle name="0_Pro-mars자금총괄표_동서에셋(20090427)v2 13 47" xfId="8364"/>
    <cellStyle name="0_Pro-mars자금총괄표_동서에셋(20090427)v2 13 48" xfId="8365"/>
    <cellStyle name="0_Pro-mars자금총괄표_동서에셋(20090427)v2 13 49" xfId="8366"/>
    <cellStyle name="0_Pro-mars자금총괄표_동서에셋(20090427)v2 13 5" xfId="8367"/>
    <cellStyle name="0_Pro-mars자금총괄표_동서에셋(20090427)v2 13 50" xfId="8368"/>
    <cellStyle name="0_Pro-mars자금총괄표_동서에셋(20090427)v2 13 51" xfId="8369"/>
    <cellStyle name="0_Pro-mars자금총괄표_동서에셋(20090427)v2 13 52" xfId="8370"/>
    <cellStyle name="0_Pro-mars자금총괄표_동서에셋(20090427)v2 13 53" xfId="8371"/>
    <cellStyle name="0_Pro-mars자금총괄표_동서에셋(20090427)v2 13 6" xfId="8372"/>
    <cellStyle name="0_Pro-mars자금총괄표_동서에셋(20090427)v2 13 7" xfId="8373"/>
    <cellStyle name="0_Pro-mars자금총괄표_동서에셋(20090427)v2 13 8" xfId="8374"/>
    <cellStyle name="0_Pro-mars자금총괄표_동서에셋(20090427)v2 13 9" xfId="8375"/>
    <cellStyle name="0_Pro-mars자금총괄표_동서에셋(20090427)v2 14" xfId="8376"/>
    <cellStyle name="0_Pro-mars자금총괄표_동서에셋(20090427)v2 14 10" xfId="8377"/>
    <cellStyle name="0_Pro-mars자금총괄표_동서에셋(20090427)v2 14 11" xfId="8378"/>
    <cellStyle name="0_Pro-mars자금총괄표_동서에셋(20090427)v2 14 12" xfId="8379"/>
    <cellStyle name="0_Pro-mars자금총괄표_동서에셋(20090427)v2 14 13" xfId="8380"/>
    <cellStyle name="0_Pro-mars자금총괄표_동서에셋(20090427)v2 14 14" xfId="8381"/>
    <cellStyle name="0_Pro-mars자금총괄표_동서에셋(20090427)v2 14 15" xfId="8382"/>
    <cellStyle name="0_Pro-mars자금총괄표_동서에셋(20090427)v2 14 16" xfId="8383"/>
    <cellStyle name="0_Pro-mars자금총괄표_동서에셋(20090427)v2 14 17" xfId="8384"/>
    <cellStyle name="0_Pro-mars자금총괄표_동서에셋(20090427)v2 14 18" xfId="8385"/>
    <cellStyle name="0_Pro-mars자금총괄표_동서에셋(20090427)v2 14 19" xfId="8386"/>
    <cellStyle name="0_Pro-mars자금총괄표_동서에셋(20090427)v2 14 2" xfId="8387"/>
    <cellStyle name="0_Pro-mars자금총괄표_동서에셋(20090427)v2 14 20" xfId="8388"/>
    <cellStyle name="0_Pro-mars자금총괄표_동서에셋(20090427)v2 14 21" xfId="8389"/>
    <cellStyle name="0_Pro-mars자금총괄표_동서에셋(20090427)v2 14 22" xfId="8390"/>
    <cellStyle name="0_Pro-mars자금총괄표_동서에셋(20090427)v2 14 23" xfId="8391"/>
    <cellStyle name="0_Pro-mars자금총괄표_동서에셋(20090427)v2 14 24" xfId="8392"/>
    <cellStyle name="0_Pro-mars자금총괄표_동서에셋(20090427)v2 14 25" xfId="8393"/>
    <cellStyle name="0_Pro-mars자금총괄표_동서에셋(20090427)v2 14 26" xfId="8394"/>
    <cellStyle name="0_Pro-mars자금총괄표_동서에셋(20090427)v2 14 27" xfId="8395"/>
    <cellStyle name="0_Pro-mars자금총괄표_동서에셋(20090427)v2 14 28" xfId="8396"/>
    <cellStyle name="0_Pro-mars자금총괄표_동서에셋(20090427)v2 14 29" xfId="8397"/>
    <cellStyle name="0_Pro-mars자금총괄표_동서에셋(20090427)v2 14 3" xfId="8398"/>
    <cellStyle name="0_Pro-mars자금총괄표_동서에셋(20090427)v2 14 30" xfId="8399"/>
    <cellStyle name="0_Pro-mars자금총괄표_동서에셋(20090427)v2 14 31" xfId="8400"/>
    <cellStyle name="0_Pro-mars자금총괄표_동서에셋(20090427)v2 14 32" xfId="8401"/>
    <cellStyle name="0_Pro-mars자금총괄표_동서에셋(20090427)v2 14 33" xfId="8402"/>
    <cellStyle name="0_Pro-mars자금총괄표_동서에셋(20090427)v2 14 34" xfId="8403"/>
    <cellStyle name="0_Pro-mars자금총괄표_동서에셋(20090427)v2 14 35" xfId="8404"/>
    <cellStyle name="0_Pro-mars자금총괄표_동서에셋(20090427)v2 14 36" xfId="8405"/>
    <cellStyle name="0_Pro-mars자금총괄표_동서에셋(20090427)v2 14 37" xfId="8406"/>
    <cellStyle name="0_Pro-mars자금총괄표_동서에셋(20090427)v2 14 38" xfId="8407"/>
    <cellStyle name="0_Pro-mars자금총괄표_동서에셋(20090427)v2 14 39" xfId="8408"/>
    <cellStyle name="0_Pro-mars자금총괄표_동서에셋(20090427)v2 14 4" xfId="8409"/>
    <cellStyle name="0_Pro-mars자금총괄표_동서에셋(20090427)v2 14 40" xfId="8410"/>
    <cellStyle name="0_Pro-mars자금총괄표_동서에셋(20090427)v2 14 41" xfId="8411"/>
    <cellStyle name="0_Pro-mars자금총괄표_동서에셋(20090427)v2 14 42" xfId="8412"/>
    <cellStyle name="0_Pro-mars자금총괄표_동서에셋(20090427)v2 14 43" xfId="8413"/>
    <cellStyle name="0_Pro-mars자금총괄표_동서에셋(20090427)v2 14 44" xfId="8414"/>
    <cellStyle name="0_Pro-mars자금총괄표_동서에셋(20090427)v2 14 45" xfId="8415"/>
    <cellStyle name="0_Pro-mars자금총괄표_동서에셋(20090427)v2 14 46" xfId="8416"/>
    <cellStyle name="0_Pro-mars자금총괄표_동서에셋(20090427)v2 14 47" xfId="8417"/>
    <cellStyle name="0_Pro-mars자금총괄표_동서에셋(20090427)v2 14 48" xfId="8418"/>
    <cellStyle name="0_Pro-mars자금총괄표_동서에셋(20090427)v2 14 49" xfId="8419"/>
    <cellStyle name="0_Pro-mars자금총괄표_동서에셋(20090427)v2 14 5" xfId="8420"/>
    <cellStyle name="0_Pro-mars자금총괄표_동서에셋(20090427)v2 14 50" xfId="8421"/>
    <cellStyle name="0_Pro-mars자금총괄표_동서에셋(20090427)v2 14 51" xfId="8422"/>
    <cellStyle name="0_Pro-mars자금총괄표_동서에셋(20090427)v2 14 52" xfId="8423"/>
    <cellStyle name="0_Pro-mars자금총괄표_동서에셋(20090427)v2 14 53" xfId="8424"/>
    <cellStyle name="0_Pro-mars자금총괄표_동서에셋(20090427)v2 14 6" xfId="8425"/>
    <cellStyle name="0_Pro-mars자금총괄표_동서에셋(20090427)v2 14 7" xfId="8426"/>
    <cellStyle name="0_Pro-mars자금총괄표_동서에셋(20090427)v2 14 8" xfId="8427"/>
    <cellStyle name="0_Pro-mars자금총괄표_동서에셋(20090427)v2 14 9" xfId="8428"/>
    <cellStyle name="0_Pro-mars자금총괄표_동서에셋(20090427)v2 15" xfId="8429"/>
    <cellStyle name="0_Pro-mars자금총괄표_동서에셋(20090427)v2 15 10" xfId="8430"/>
    <cellStyle name="0_Pro-mars자금총괄표_동서에셋(20090427)v2 15 11" xfId="8431"/>
    <cellStyle name="0_Pro-mars자금총괄표_동서에셋(20090427)v2 15 12" xfId="8432"/>
    <cellStyle name="0_Pro-mars자금총괄표_동서에셋(20090427)v2 15 13" xfId="8433"/>
    <cellStyle name="0_Pro-mars자금총괄표_동서에셋(20090427)v2 15 14" xfId="8434"/>
    <cellStyle name="0_Pro-mars자금총괄표_동서에셋(20090427)v2 15 15" xfId="8435"/>
    <cellStyle name="0_Pro-mars자금총괄표_동서에셋(20090427)v2 15 16" xfId="8436"/>
    <cellStyle name="0_Pro-mars자금총괄표_동서에셋(20090427)v2 15 17" xfId="8437"/>
    <cellStyle name="0_Pro-mars자금총괄표_동서에셋(20090427)v2 15 18" xfId="8438"/>
    <cellStyle name="0_Pro-mars자금총괄표_동서에셋(20090427)v2 15 19" xfId="8439"/>
    <cellStyle name="0_Pro-mars자금총괄표_동서에셋(20090427)v2 15 2" xfId="8440"/>
    <cellStyle name="0_Pro-mars자금총괄표_동서에셋(20090427)v2 15 20" xfId="8441"/>
    <cellStyle name="0_Pro-mars자금총괄표_동서에셋(20090427)v2 15 21" xfId="8442"/>
    <cellStyle name="0_Pro-mars자금총괄표_동서에셋(20090427)v2 15 22" xfId="8443"/>
    <cellStyle name="0_Pro-mars자금총괄표_동서에셋(20090427)v2 15 23" xfId="8444"/>
    <cellStyle name="0_Pro-mars자금총괄표_동서에셋(20090427)v2 15 24" xfId="8445"/>
    <cellStyle name="0_Pro-mars자금총괄표_동서에셋(20090427)v2 15 25" xfId="8446"/>
    <cellStyle name="0_Pro-mars자금총괄표_동서에셋(20090427)v2 15 26" xfId="8447"/>
    <cellStyle name="0_Pro-mars자금총괄표_동서에셋(20090427)v2 15 27" xfId="8448"/>
    <cellStyle name="0_Pro-mars자금총괄표_동서에셋(20090427)v2 15 28" xfId="8449"/>
    <cellStyle name="0_Pro-mars자금총괄표_동서에셋(20090427)v2 15 29" xfId="8450"/>
    <cellStyle name="0_Pro-mars자금총괄표_동서에셋(20090427)v2 15 3" xfId="8451"/>
    <cellStyle name="0_Pro-mars자금총괄표_동서에셋(20090427)v2 15 30" xfId="8452"/>
    <cellStyle name="0_Pro-mars자금총괄표_동서에셋(20090427)v2 15 31" xfId="8453"/>
    <cellStyle name="0_Pro-mars자금총괄표_동서에셋(20090427)v2 15 32" xfId="8454"/>
    <cellStyle name="0_Pro-mars자금총괄표_동서에셋(20090427)v2 15 33" xfId="8455"/>
    <cellStyle name="0_Pro-mars자금총괄표_동서에셋(20090427)v2 15 34" xfId="8456"/>
    <cellStyle name="0_Pro-mars자금총괄표_동서에셋(20090427)v2 15 35" xfId="8457"/>
    <cellStyle name="0_Pro-mars자금총괄표_동서에셋(20090427)v2 15 36" xfId="8458"/>
    <cellStyle name="0_Pro-mars자금총괄표_동서에셋(20090427)v2 15 37" xfId="8459"/>
    <cellStyle name="0_Pro-mars자금총괄표_동서에셋(20090427)v2 15 38" xfId="8460"/>
    <cellStyle name="0_Pro-mars자금총괄표_동서에셋(20090427)v2 15 39" xfId="8461"/>
    <cellStyle name="0_Pro-mars자금총괄표_동서에셋(20090427)v2 15 4" xfId="8462"/>
    <cellStyle name="0_Pro-mars자금총괄표_동서에셋(20090427)v2 15 40" xfId="8463"/>
    <cellStyle name="0_Pro-mars자금총괄표_동서에셋(20090427)v2 15 41" xfId="8464"/>
    <cellStyle name="0_Pro-mars자금총괄표_동서에셋(20090427)v2 15 42" xfId="8465"/>
    <cellStyle name="0_Pro-mars자금총괄표_동서에셋(20090427)v2 15 5" xfId="8466"/>
    <cellStyle name="0_Pro-mars자금총괄표_동서에셋(20090427)v2 15 6" xfId="8467"/>
    <cellStyle name="0_Pro-mars자금총괄표_동서에셋(20090427)v2 15 7" xfId="8468"/>
    <cellStyle name="0_Pro-mars자금총괄표_동서에셋(20090427)v2 15 8" xfId="8469"/>
    <cellStyle name="0_Pro-mars자금총괄표_동서에셋(20090427)v2 15 9" xfId="8470"/>
    <cellStyle name="0_Pro-mars자금총괄표_동서에셋(20090427)v2 16" xfId="8471"/>
    <cellStyle name="0_Pro-mars자금총괄표_동서에셋(20090427)v2 2" xfId="8472"/>
    <cellStyle name="0_Pro-mars자금총괄표_동서에셋(20090427)v2 2 10" xfId="8473"/>
    <cellStyle name="0_Pro-mars자금총괄표_동서에셋(20090427)v2 2 11" xfId="8474"/>
    <cellStyle name="0_Pro-mars자금총괄표_동서에셋(20090427)v2 2 12" xfId="8475"/>
    <cellStyle name="0_Pro-mars자금총괄표_동서에셋(20090427)v2 2 13" xfId="8476"/>
    <cellStyle name="0_Pro-mars자금총괄표_동서에셋(20090427)v2 2 14" xfId="8477"/>
    <cellStyle name="0_Pro-mars자금총괄표_동서에셋(20090427)v2 2 15" xfId="8478"/>
    <cellStyle name="0_Pro-mars자금총괄표_동서에셋(20090427)v2 2 16" xfId="8479"/>
    <cellStyle name="0_Pro-mars자금총괄표_동서에셋(20090427)v2 2 17" xfId="8480"/>
    <cellStyle name="0_Pro-mars자금총괄표_동서에셋(20090427)v2 2 18" xfId="8481"/>
    <cellStyle name="0_Pro-mars자금총괄표_동서에셋(20090427)v2 2 19" xfId="8482"/>
    <cellStyle name="0_Pro-mars자금총괄표_동서에셋(20090427)v2 2 2" xfId="8483"/>
    <cellStyle name="0_Pro-mars자금총괄표_동서에셋(20090427)v2 2 20" xfId="8484"/>
    <cellStyle name="0_Pro-mars자금총괄표_동서에셋(20090427)v2 2 21" xfId="8485"/>
    <cellStyle name="0_Pro-mars자금총괄표_동서에셋(20090427)v2 2 22" xfId="8486"/>
    <cellStyle name="0_Pro-mars자금총괄표_동서에셋(20090427)v2 2 23" xfId="8487"/>
    <cellStyle name="0_Pro-mars자금총괄표_동서에셋(20090427)v2 2 24" xfId="8488"/>
    <cellStyle name="0_Pro-mars자금총괄표_동서에셋(20090427)v2 2 25" xfId="8489"/>
    <cellStyle name="0_Pro-mars자금총괄표_동서에셋(20090427)v2 2 26" xfId="8490"/>
    <cellStyle name="0_Pro-mars자금총괄표_동서에셋(20090427)v2 2 27" xfId="8491"/>
    <cellStyle name="0_Pro-mars자금총괄표_동서에셋(20090427)v2 2 28" xfId="8492"/>
    <cellStyle name="0_Pro-mars자금총괄표_동서에셋(20090427)v2 2 29" xfId="8493"/>
    <cellStyle name="0_Pro-mars자금총괄표_동서에셋(20090427)v2 2 3" xfId="8494"/>
    <cellStyle name="0_Pro-mars자금총괄표_동서에셋(20090427)v2 2 30" xfId="8495"/>
    <cellStyle name="0_Pro-mars자금총괄표_동서에셋(20090427)v2 2 31" xfId="8496"/>
    <cellStyle name="0_Pro-mars자금총괄표_동서에셋(20090427)v2 2 32" xfId="8497"/>
    <cellStyle name="0_Pro-mars자금총괄표_동서에셋(20090427)v2 2 33" xfId="8498"/>
    <cellStyle name="0_Pro-mars자금총괄표_동서에셋(20090427)v2 2 34" xfId="8499"/>
    <cellStyle name="0_Pro-mars자금총괄표_동서에셋(20090427)v2 2 35" xfId="8500"/>
    <cellStyle name="0_Pro-mars자금총괄표_동서에셋(20090427)v2 2 36" xfId="8501"/>
    <cellStyle name="0_Pro-mars자금총괄표_동서에셋(20090427)v2 2 37" xfId="8502"/>
    <cellStyle name="0_Pro-mars자금총괄표_동서에셋(20090427)v2 2 38" xfId="8503"/>
    <cellStyle name="0_Pro-mars자금총괄표_동서에셋(20090427)v2 2 39" xfId="8504"/>
    <cellStyle name="0_Pro-mars자금총괄표_동서에셋(20090427)v2 2 4" xfId="8505"/>
    <cellStyle name="0_Pro-mars자금총괄표_동서에셋(20090427)v2 2 40" xfId="8506"/>
    <cellStyle name="0_Pro-mars자금총괄표_동서에셋(20090427)v2 2 41" xfId="8507"/>
    <cellStyle name="0_Pro-mars자금총괄표_동서에셋(20090427)v2 2 42" xfId="8508"/>
    <cellStyle name="0_Pro-mars자금총괄표_동서에셋(20090427)v2 2 5" xfId="8509"/>
    <cellStyle name="0_Pro-mars자금총괄표_동서에셋(20090427)v2 2 6" xfId="8510"/>
    <cellStyle name="0_Pro-mars자금총괄표_동서에셋(20090427)v2 2 7" xfId="8511"/>
    <cellStyle name="0_Pro-mars자금총괄표_동서에셋(20090427)v2 2 8" xfId="8512"/>
    <cellStyle name="0_Pro-mars자금총괄표_동서에셋(20090427)v2 2 9" xfId="8513"/>
    <cellStyle name="0_Pro-mars자금총괄표_동서에셋(20090427)v2 3" xfId="8514"/>
    <cellStyle name="0_Pro-mars자금총괄표_동서에셋(20090427)v2 3 10" xfId="8515"/>
    <cellStyle name="0_Pro-mars자금총괄표_동서에셋(20090427)v2 3 11" xfId="8516"/>
    <cellStyle name="0_Pro-mars자금총괄표_동서에셋(20090427)v2 3 12" xfId="8517"/>
    <cellStyle name="0_Pro-mars자금총괄표_동서에셋(20090427)v2 3 13" xfId="8518"/>
    <cellStyle name="0_Pro-mars자금총괄표_동서에셋(20090427)v2 3 14" xfId="8519"/>
    <cellStyle name="0_Pro-mars자금총괄표_동서에셋(20090427)v2 3 15" xfId="8520"/>
    <cellStyle name="0_Pro-mars자금총괄표_동서에셋(20090427)v2 3 16" xfId="8521"/>
    <cellStyle name="0_Pro-mars자금총괄표_동서에셋(20090427)v2 3 17" xfId="8522"/>
    <cellStyle name="0_Pro-mars자금총괄표_동서에셋(20090427)v2 3 18" xfId="8523"/>
    <cellStyle name="0_Pro-mars자금총괄표_동서에셋(20090427)v2 3 19" xfId="8524"/>
    <cellStyle name="0_Pro-mars자금총괄표_동서에셋(20090427)v2 3 2" xfId="8525"/>
    <cellStyle name="0_Pro-mars자금총괄표_동서에셋(20090427)v2 3 20" xfId="8526"/>
    <cellStyle name="0_Pro-mars자금총괄표_동서에셋(20090427)v2 3 21" xfId="8527"/>
    <cellStyle name="0_Pro-mars자금총괄표_동서에셋(20090427)v2 3 22" xfId="8528"/>
    <cellStyle name="0_Pro-mars자금총괄표_동서에셋(20090427)v2 3 23" xfId="8529"/>
    <cellStyle name="0_Pro-mars자금총괄표_동서에셋(20090427)v2 3 24" xfId="8530"/>
    <cellStyle name="0_Pro-mars자금총괄표_동서에셋(20090427)v2 3 25" xfId="8531"/>
    <cellStyle name="0_Pro-mars자금총괄표_동서에셋(20090427)v2 3 26" xfId="8532"/>
    <cellStyle name="0_Pro-mars자금총괄표_동서에셋(20090427)v2 3 27" xfId="8533"/>
    <cellStyle name="0_Pro-mars자금총괄표_동서에셋(20090427)v2 3 28" xfId="8534"/>
    <cellStyle name="0_Pro-mars자금총괄표_동서에셋(20090427)v2 3 29" xfId="8535"/>
    <cellStyle name="0_Pro-mars자금총괄표_동서에셋(20090427)v2 3 3" xfId="8536"/>
    <cellStyle name="0_Pro-mars자금총괄표_동서에셋(20090427)v2 3 30" xfId="8537"/>
    <cellStyle name="0_Pro-mars자금총괄표_동서에셋(20090427)v2 3 31" xfId="8538"/>
    <cellStyle name="0_Pro-mars자금총괄표_동서에셋(20090427)v2 3 32" xfId="8539"/>
    <cellStyle name="0_Pro-mars자금총괄표_동서에셋(20090427)v2 3 33" xfId="8540"/>
    <cellStyle name="0_Pro-mars자금총괄표_동서에셋(20090427)v2 3 34" xfId="8541"/>
    <cellStyle name="0_Pro-mars자금총괄표_동서에셋(20090427)v2 3 35" xfId="8542"/>
    <cellStyle name="0_Pro-mars자금총괄표_동서에셋(20090427)v2 3 36" xfId="8543"/>
    <cellStyle name="0_Pro-mars자금총괄표_동서에셋(20090427)v2 3 37" xfId="8544"/>
    <cellStyle name="0_Pro-mars자금총괄표_동서에셋(20090427)v2 3 38" xfId="8545"/>
    <cellStyle name="0_Pro-mars자금총괄표_동서에셋(20090427)v2 3 39" xfId="8546"/>
    <cellStyle name="0_Pro-mars자금총괄표_동서에셋(20090427)v2 3 4" xfId="8547"/>
    <cellStyle name="0_Pro-mars자금총괄표_동서에셋(20090427)v2 3 40" xfId="8548"/>
    <cellStyle name="0_Pro-mars자금총괄표_동서에셋(20090427)v2 3 41" xfId="8549"/>
    <cellStyle name="0_Pro-mars자금총괄표_동서에셋(20090427)v2 3 42" xfId="8550"/>
    <cellStyle name="0_Pro-mars자금총괄표_동서에셋(20090427)v2 3 5" xfId="8551"/>
    <cellStyle name="0_Pro-mars자금총괄표_동서에셋(20090427)v2 3 6" xfId="8552"/>
    <cellStyle name="0_Pro-mars자금총괄표_동서에셋(20090427)v2 3 7" xfId="8553"/>
    <cellStyle name="0_Pro-mars자금총괄표_동서에셋(20090427)v2 3 8" xfId="8554"/>
    <cellStyle name="0_Pro-mars자금총괄표_동서에셋(20090427)v2 3 9" xfId="8555"/>
    <cellStyle name="0_Pro-mars자금총괄표_동서에셋(20090427)v2 4" xfId="8556"/>
    <cellStyle name="0_Pro-mars자금총괄표_동서에셋(20090427)v2 4 10" xfId="8557"/>
    <cellStyle name="0_Pro-mars자금총괄표_동서에셋(20090427)v2 4 11" xfId="8558"/>
    <cellStyle name="0_Pro-mars자금총괄표_동서에셋(20090427)v2 4 12" xfId="8559"/>
    <cellStyle name="0_Pro-mars자금총괄표_동서에셋(20090427)v2 4 13" xfId="8560"/>
    <cellStyle name="0_Pro-mars자금총괄표_동서에셋(20090427)v2 4 14" xfId="8561"/>
    <cellStyle name="0_Pro-mars자금총괄표_동서에셋(20090427)v2 4 15" xfId="8562"/>
    <cellStyle name="0_Pro-mars자금총괄표_동서에셋(20090427)v2 4 16" xfId="8563"/>
    <cellStyle name="0_Pro-mars자금총괄표_동서에셋(20090427)v2 4 17" xfId="8564"/>
    <cellStyle name="0_Pro-mars자금총괄표_동서에셋(20090427)v2 4 18" xfId="8565"/>
    <cellStyle name="0_Pro-mars자금총괄표_동서에셋(20090427)v2 4 19" xfId="8566"/>
    <cellStyle name="0_Pro-mars자금총괄표_동서에셋(20090427)v2 4 2" xfId="8567"/>
    <cellStyle name="0_Pro-mars자금총괄표_동서에셋(20090427)v2 4 20" xfId="8568"/>
    <cellStyle name="0_Pro-mars자금총괄표_동서에셋(20090427)v2 4 21" xfId="8569"/>
    <cellStyle name="0_Pro-mars자금총괄표_동서에셋(20090427)v2 4 22" xfId="8570"/>
    <cellStyle name="0_Pro-mars자금총괄표_동서에셋(20090427)v2 4 23" xfId="8571"/>
    <cellStyle name="0_Pro-mars자금총괄표_동서에셋(20090427)v2 4 24" xfId="8572"/>
    <cellStyle name="0_Pro-mars자금총괄표_동서에셋(20090427)v2 4 25" xfId="8573"/>
    <cellStyle name="0_Pro-mars자금총괄표_동서에셋(20090427)v2 4 26" xfId="8574"/>
    <cellStyle name="0_Pro-mars자금총괄표_동서에셋(20090427)v2 4 27" xfId="8575"/>
    <cellStyle name="0_Pro-mars자금총괄표_동서에셋(20090427)v2 4 28" xfId="8576"/>
    <cellStyle name="0_Pro-mars자금총괄표_동서에셋(20090427)v2 4 29" xfId="8577"/>
    <cellStyle name="0_Pro-mars자금총괄표_동서에셋(20090427)v2 4 3" xfId="8578"/>
    <cellStyle name="0_Pro-mars자금총괄표_동서에셋(20090427)v2 4 30" xfId="8579"/>
    <cellStyle name="0_Pro-mars자금총괄표_동서에셋(20090427)v2 4 31" xfId="8580"/>
    <cellStyle name="0_Pro-mars자금총괄표_동서에셋(20090427)v2 4 32" xfId="8581"/>
    <cellStyle name="0_Pro-mars자금총괄표_동서에셋(20090427)v2 4 33" xfId="8582"/>
    <cellStyle name="0_Pro-mars자금총괄표_동서에셋(20090427)v2 4 34" xfId="8583"/>
    <cellStyle name="0_Pro-mars자금총괄표_동서에셋(20090427)v2 4 35" xfId="8584"/>
    <cellStyle name="0_Pro-mars자금총괄표_동서에셋(20090427)v2 4 36" xfId="8585"/>
    <cellStyle name="0_Pro-mars자금총괄표_동서에셋(20090427)v2 4 37" xfId="8586"/>
    <cellStyle name="0_Pro-mars자금총괄표_동서에셋(20090427)v2 4 38" xfId="8587"/>
    <cellStyle name="0_Pro-mars자금총괄표_동서에셋(20090427)v2 4 39" xfId="8588"/>
    <cellStyle name="0_Pro-mars자금총괄표_동서에셋(20090427)v2 4 4" xfId="8589"/>
    <cellStyle name="0_Pro-mars자금총괄표_동서에셋(20090427)v2 4 40" xfId="8590"/>
    <cellStyle name="0_Pro-mars자금총괄표_동서에셋(20090427)v2 4 41" xfId="8591"/>
    <cellStyle name="0_Pro-mars자금총괄표_동서에셋(20090427)v2 4 42" xfId="8592"/>
    <cellStyle name="0_Pro-mars자금총괄표_동서에셋(20090427)v2 4 43" xfId="8593"/>
    <cellStyle name="0_Pro-mars자금총괄표_동서에셋(20090427)v2 4 44" xfId="8594"/>
    <cellStyle name="0_Pro-mars자금총괄표_동서에셋(20090427)v2 4 45" xfId="8595"/>
    <cellStyle name="0_Pro-mars자금총괄표_동서에셋(20090427)v2 4 46" xfId="8596"/>
    <cellStyle name="0_Pro-mars자금총괄표_동서에셋(20090427)v2 4 47" xfId="8597"/>
    <cellStyle name="0_Pro-mars자금총괄표_동서에셋(20090427)v2 4 48" xfId="8598"/>
    <cellStyle name="0_Pro-mars자금총괄표_동서에셋(20090427)v2 4 49" xfId="8599"/>
    <cellStyle name="0_Pro-mars자금총괄표_동서에셋(20090427)v2 4 5" xfId="8600"/>
    <cellStyle name="0_Pro-mars자금총괄표_동서에셋(20090427)v2 4 50" xfId="8601"/>
    <cellStyle name="0_Pro-mars자금총괄표_동서에셋(20090427)v2 4 51" xfId="8602"/>
    <cellStyle name="0_Pro-mars자금총괄표_동서에셋(20090427)v2 4 52" xfId="8603"/>
    <cellStyle name="0_Pro-mars자금총괄표_동서에셋(20090427)v2 4 53" xfId="8604"/>
    <cellStyle name="0_Pro-mars자금총괄표_동서에셋(20090427)v2 4 6" xfId="8605"/>
    <cellStyle name="0_Pro-mars자금총괄표_동서에셋(20090427)v2 4 7" xfId="8606"/>
    <cellStyle name="0_Pro-mars자금총괄표_동서에셋(20090427)v2 4 8" xfId="8607"/>
    <cellStyle name="0_Pro-mars자금총괄표_동서에셋(20090427)v2 4 9" xfId="8608"/>
    <cellStyle name="0_Pro-mars자금총괄표_동서에셋(20090427)v2 5" xfId="8609"/>
    <cellStyle name="0_Pro-mars자금총괄표_동서에셋(20090427)v2 5 10" xfId="8610"/>
    <cellStyle name="0_Pro-mars자금총괄표_동서에셋(20090427)v2 5 11" xfId="8611"/>
    <cellStyle name="0_Pro-mars자금총괄표_동서에셋(20090427)v2 5 12" xfId="8612"/>
    <cellStyle name="0_Pro-mars자금총괄표_동서에셋(20090427)v2 5 13" xfId="8613"/>
    <cellStyle name="0_Pro-mars자금총괄표_동서에셋(20090427)v2 5 14" xfId="8614"/>
    <cellStyle name="0_Pro-mars자금총괄표_동서에셋(20090427)v2 5 15" xfId="8615"/>
    <cellStyle name="0_Pro-mars자금총괄표_동서에셋(20090427)v2 5 16" xfId="8616"/>
    <cellStyle name="0_Pro-mars자금총괄표_동서에셋(20090427)v2 5 17" xfId="8617"/>
    <cellStyle name="0_Pro-mars자금총괄표_동서에셋(20090427)v2 5 18" xfId="8618"/>
    <cellStyle name="0_Pro-mars자금총괄표_동서에셋(20090427)v2 5 19" xfId="8619"/>
    <cellStyle name="0_Pro-mars자금총괄표_동서에셋(20090427)v2 5 2" xfId="8620"/>
    <cellStyle name="0_Pro-mars자금총괄표_동서에셋(20090427)v2 5 20" xfId="8621"/>
    <cellStyle name="0_Pro-mars자금총괄표_동서에셋(20090427)v2 5 21" xfId="8622"/>
    <cellStyle name="0_Pro-mars자금총괄표_동서에셋(20090427)v2 5 22" xfId="8623"/>
    <cellStyle name="0_Pro-mars자금총괄표_동서에셋(20090427)v2 5 23" xfId="8624"/>
    <cellStyle name="0_Pro-mars자금총괄표_동서에셋(20090427)v2 5 24" xfId="8625"/>
    <cellStyle name="0_Pro-mars자금총괄표_동서에셋(20090427)v2 5 25" xfId="8626"/>
    <cellStyle name="0_Pro-mars자금총괄표_동서에셋(20090427)v2 5 26" xfId="8627"/>
    <cellStyle name="0_Pro-mars자금총괄표_동서에셋(20090427)v2 5 27" xfId="8628"/>
    <cellStyle name="0_Pro-mars자금총괄표_동서에셋(20090427)v2 5 28" xfId="8629"/>
    <cellStyle name="0_Pro-mars자금총괄표_동서에셋(20090427)v2 5 29" xfId="8630"/>
    <cellStyle name="0_Pro-mars자금총괄표_동서에셋(20090427)v2 5 3" xfId="8631"/>
    <cellStyle name="0_Pro-mars자금총괄표_동서에셋(20090427)v2 5 30" xfId="8632"/>
    <cellStyle name="0_Pro-mars자금총괄표_동서에셋(20090427)v2 5 31" xfId="8633"/>
    <cellStyle name="0_Pro-mars자금총괄표_동서에셋(20090427)v2 5 32" xfId="8634"/>
    <cellStyle name="0_Pro-mars자금총괄표_동서에셋(20090427)v2 5 33" xfId="8635"/>
    <cellStyle name="0_Pro-mars자금총괄표_동서에셋(20090427)v2 5 34" xfId="8636"/>
    <cellStyle name="0_Pro-mars자금총괄표_동서에셋(20090427)v2 5 35" xfId="8637"/>
    <cellStyle name="0_Pro-mars자금총괄표_동서에셋(20090427)v2 5 36" xfId="8638"/>
    <cellStyle name="0_Pro-mars자금총괄표_동서에셋(20090427)v2 5 37" xfId="8639"/>
    <cellStyle name="0_Pro-mars자금총괄표_동서에셋(20090427)v2 5 38" xfId="8640"/>
    <cellStyle name="0_Pro-mars자금총괄표_동서에셋(20090427)v2 5 39" xfId="8641"/>
    <cellStyle name="0_Pro-mars자금총괄표_동서에셋(20090427)v2 5 4" xfId="8642"/>
    <cellStyle name="0_Pro-mars자금총괄표_동서에셋(20090427)v2 5 40" xfId="8643"/>
    <cellStyle name="0_Pro-mars자금총괄표_동서에셋(20090427)v2 5 41" xfId="8644"/>
    <cellStyle name="0_Pro-mars자금총괄표_동서에셋(20090427)v2 5 42" xfId="8645"/>
    <cellStyle name="0_Pro-mars자금총괄표_동서에셋(20090427)v2 5 43" xfId="8646"/>
    <cellStyle name="0_Pro-mars자금총괄표_동서에셋(20090427)v2 5 44" xfId="8647"/>
    <cellStyle name="0_Pro-mars자금총괄표_동서에셋(20090427)v2 5 45" xfId="8648"/>
    <cellStyle name="0_Pro-mars자금총괄표_동서에셋(20090427)v2 5 46" xfId="8649"/>
    <cellStyle name="0_Pro-mars자금총괄표_동서에셋(20090427)v2 5 47" xfId="8650"/>
    <cellStyle name="0_Pro-mars자금총괄표_동서에셋(20090427)v2 5 48" xfId="8651"/>
    <cellStyle name="0_Pro-mars자금총괄표_동서에셋(20090427)v2 5 49" xfId="8652"/>
    <cellStyle name="0_Pro-mars자금총괄표_동서에셋(20090427)v2 5 5" xfId="8653"/>
    <cellStyle name="0_Pro-mars자금총괄표_동서에셋(20090427)v2 5 50" xfId="8654"/>
    <cellStyle name="0_Pro-mars자금총괄표_동서에셋(20090427)v2 5 51" xfId="8655"/>
    <cellStyle name="0_Pro-mars자금총괄표_동서에셋(20090427)v2 5 52" xfId="8656"/>
    <cellStyle name="0_Pro-mars자금총괄표_동서에셋(20090427)v2 5 53" xfId="8657"/>
    <cellStyle name="0_Pro-mars자금총괄표_동서에셋(20090427)v2 5 6" xfId="8658"/>
    <cellStyle name="0_Pro-mars자금총괄표_동서에셋(20090427)v2 5 7" xfId="8659"/>
    <cellStyle name="0_Pro-mars자금총괄표_동서에셋(20090427)v2 5 8" xfId="8660"/>
    <cellStyle name="0_Pro-mars자금총괄표_동서에셋(20090427)v2 5 9" xfId="8661"/>
    <cellStyle name="0_Pro-mars자금총괄표_동서에셋(20090427)v2 6" xfId="8662"/>
    <cellStyle name="0_Pro-mars자금총괄표_동서에셋(20090427)v2 6 10" xfId="8663"/>
    <cellStyle name="0_Pro-mars자금총괄표_동서에셋(20090427)v2 6 11" xfId="8664"/>
    <cellStyle name="0_Pro-mars자금총괄표_동서에셋(20090427)v2 6 12" xfId="8665"/>
    <cellStyle name="0_Pro-mars자금총괄표_동서에셋(20090427)v2 6 13" xfId="8666"/>
    <cellStyle name="0_Pro-mars자금총괄표_동서에셋(20090427)v2 6 14" xfId="8667"/>
    <cellStyle name="0_Pro-mars자금총괄표_동서에셋(20090427)v2 6 15" xfId="8668"/>
    <cellStyle name="0_Pro-mars자금총괄표_동서에셋(20090427)v2 6 16" xfId="8669"/>
    <cellStyle name="0_Pro-mars자금총괄표_동서에셋(20090427)v2 6 17" xfId="8670"/>
    <cellStyle name="0_Pro-mars자금총괄표_동서에셋(20090427)v2 6 18" xfId="8671"/>
    <cellStyle name="0_Pro-mars자금총괄표_동서에셋(20090427)v2 6 19" xfId="8672"/>
    <cellStyle name="0_Pro-mars자금총괄표_동서에셋(20090427)v2 6 2" xfId="8673"/>
    <cellStyle name="0_Pro-mars자금총괄표_동서에셋(20090427)v2 6 20" xfId="8674"/>
    <cellStyle name="0_Pro-mars자금총괄표_동서에셋(20090427)v2 6 21" xfId="8675"/>
    <cellStyle name="0_Pro-mars자금총괄표_동서에셋(20090427)v2 6 22" xfId="8676"/>
    <cellStyle name="0_Pro-mars자금총괄표_동서에셋(20090427)v2 6 23" xfId="8677"/>
    <cellStyle name="0_Pro-mars자금총괄표_동서에셋(20090427)v2 6 24" xfId="8678"/>
    <cellStyle name="0_Pro-mars자금총괄표_동서에셋(20090427)v2 6 25" xfId="8679"/>
    <cellStyle name="0_Pro-mars자금총괄표_동서에셋(20090427)v2 6 26" xfId="8680"/>
    <cellStyle name="0_Pro-mars자금총괄표_동서에셋(20090427)v2 6 27" xfId="8681"/>
    <cellStyle name="0_Pro-mars자금총괄표_동서에셋(20090427)v2 6 28" xfId="8682"/>
    <cellStyle name="0_Pro-mars자금총괄표_동서에셋(20090427)v2 6 29" xfId="8683"/>
    <cellStyle name="0_Pro-mars자금총괄표_동서에셋(20090427)v2 6 3" xfId="8684"/>
    <cellStyle name="0_Pro-mars자금총괄표_동서에셋(20090427)v2 6 30" xfId="8685"/>
    <cellStyle name="0_Pro-mars자금총괄표_동서에셋(20090427)v2 6 31" xfId="8686"/>
    <cellStyle name="0_Pro-mars자금총괄표_동서에셋(20090427)v2 6 32" xfId="8687"/>
    <cellStyle name="0_Pro-mars자금총괄표_동서에셋(20090427)v2 6 33" xfId="8688"/>
    <cellStyle name="0_Pro-mars자금총괄표_동서에셋(20090427)v2 6 34" xfId="8689"/>
    <cellStyle name="0_Pro-mars자금총괄표_동서에셋(20090427)v2 6 35" xfId="8690"/>
    <cellStyle name="0_Pro-mars자금총괄표_동서에셋(20090427)v2 6 36" xfId="8691"/>
    <cellStyle name="0_Pro-mars자금총괄표_동서에셋(20090427)v2 6 37" xfId="8692"/>
    <cellStyle name="0_Pro-mars자금총괄표_동서에셋(20090427)v2 6 38" xfId="8693"/>
    <cellStyle name="0_Pro-mars자금총괄표_동서에셋(20090427)v2 6 39" xfId="8694"/>
    <cellStyle name="0_Pro-mars자금총괄표_동서에셋(20090427)v2 6 4" xfId="8695"/>
    <cellStyle name="0_Pro-mars자금총괄표_동서에셋(20090427)v2 6 40" xfId="8696"/>
    <cellStyle name="0_Pro-mars자금총괄표_동서에셋(20090427)v2 6 41" xfId="8697"/>
    <cellStyle name="0_Pro-mars자금총괄표_동서에셋(20090427)v2 6 42" xfId="8698"/>
    <cellStyle name="0_Pro-mars자금총괄표_동서에셋(20090427)v2 6 43" xfId="8699"/>
    <cellStyle name="0_Pro-mars자금총괄표_동서에셋(20090427)v2 6 44" xfId="8700"/>
    <cellStyle name="0_Pro-mars자금총괄표_동서에셋(20090427)v2 6 45" xfId="8701"/>
    <cellStyle name="0_Pro-mars자금총괄표_동서에셋(20090427)v2 6 46" xfId="8702"/>
    <cellStyle name="0_Pro-mars자금총괄표_동서에셋(20090427)v2 6 47" xfId="8703"/>
    <cellStyle name="0_Pro-mars자금총괄표_동서에셋(20090427)v2 6 48" xfId="8704"/>
    <cellStyle name="0_Pro-mars자금총괄표_동서에셋(20090427)v2 6 49" xfId="8705"/>
    <cellStyle name="0_Pro-mars자금총괄표_동서에셋(20090427)v2 6 5" xfId="8706"/>
    <cellStyle name="0_Pro-mars자금총괄표_동서에셋(20090427)v2 6 50" xfId="8707"/>
    <cellStyle name="0_Pro-mars자금총괄표_동서에셋(20090427)v2 6 51" xfId="8708"/>
    <cellStyle name="0_Pro-mars자금총괄표_동서에셋(20090427)v2 6 52" xfId="8709"/>
    <cellStyle name="0_Pro-mars자금총괄표_동서에셋(20090427)v2 6 53" xfId="8710"/>
    <cellStyle name="0_Pro-mars자금총괄표_동서에셋(20090427)v2 6 6" xfId="8711"/>
    <cellStyle name="0_Pro-mars자금총괄표_동서에셋(20090427)v2 6 7" xfId="8712"/>
    <cellStyle name="0_Pro-mars자금총괄표_동서에셋(20090427)v2 6 8" xfId="8713"/>
    <cellStyle name="0_Pro-mars자금총괄표_동서에셋(20090427)v2 6 9" xfId="8714"/>
    <cellStyle name="0_Pro-mars자금총괄표_동서에셋(20090427)v2 7" xfId="8715"/>
    <cellStyle name="0_Pro-mars자금총괄표_동서에셋(20090427)v2 7 10" xfId="8716"/>
    <cellStyle name="0_Pro-mars자금총괄표_동서에셋(20090427)v2 7 11" xfId="8717"/>
    <cellStyle name="0_Pro-mars자금총괄표_동서에셋(20090427)v2 7 12" xfId="8718"/>
    <cellStyle name="0_Pro-mars자금총괄표_동서에셋(20090427)v2 7 13" xfId="8719"/>
    <cellStyle name="0_Pro-mars자금총괄표_동서에셋(20090427)v2 7 14" xfId="8720"/>
    <cellStyle name="0_Pro-mars자금총괄표_동서에셋(20090427)v2 7 15" xfId="8721"/>
    <cellStyle name="0_Pro-mars자금총괄표_동서에셋(20090427)v2 7 16" xfId="8722"/>
    <cellStyle name="0_Pro-mars자금총괄표_동서에셋(20090427)v2 7 17" xfId="8723"/>
    <cellStyle name="0_Pro-mars자금총괄표_동서에셋(20090427)v2 7 18" xfId="8724"/>
    <cellStyle name="0_Pro-mars자금총괄표_동서에셋(20090427)v2 7 19" xfId="8725"/>
    <cellStyle name="0_Pro-mars자금총괄표_동서에셋(20090427)v2 7 2" xfId="8726"/>
    <cellStyle name="0_Pro-mars자금총괄표_동서에셋(20090427)v2 7 20" xfId="8727"/>
    <cellStyle name="0_Pro-mars자금총괄표_동서에셋(20090427)v2 7 21" xfId="8728"/>
    <cellStyle name="0_Pro-mars자금총괄표_동서에셋(20090427)v2 7 22" xfId="8729"/>
    <cellStyle name="0_Pro-mars자금총괄표_동서에셋(20090427)v2 7 23" xfId="8730"/>
    <cellStyle name="0_Pro-mars자금총괄표_동서에셋(20090427)v2 7 24" xfId="8731"/>
    <cellStyle name="0_Pro-mars자금총괄표_동서에셋(20090427)v2 7 25" xfId="8732"/>
    <cellStyle name="0_Pro-mars자금총괄표_동서에셋(20090427)v2 7 26" xfId="8733"/>
    <cellStyle name="0_Pro-mars자금총괄표_동서에셋(20090427)v2 7 27" xfId="8734"/>
    <cellStyle name="0_Pro-mars자금총괄표_동서에셋(20090427)v2 7 28" xfId="8735"/>
    <cellStyle name="0_Pro-mars자금총괄표_동서에셋(20090427)v2 7 29" xfId="8736"/>
    <cellStyle name="0_Pro-mars자금총괄표_동서에셋(20090427)v2 7 3" xfId="8737"/>
    <cellStyle name="0_Pro-mars자금총괄표_동서에셋(20090427)v2 7 30" xfId="8738"/>
    <cellStyle name="0_Pro-mars자금총괄표_동서에셋(20090427)v2 7 31" xfId="8739"/>
    <cellStyle name="0_Pro-mars자금총괄표_동서에셋(20090427)v2 7 32" xfId="8740"/>
    <cellStyle name="0_Pro-mars자금총괄표_동서에셋(20090427)v2 7 33" xfId="8741"/>
    <cellStyle name="0_Pro-mars자금총괄표_동서에셋(20090427)v2 7 34" xfId="8742"/>
    <cellStyle name="0_Pro-mars자금총괄표_동서에셋(20090427)v2 7 35" xfId="8743"/>
    <cellStyle name="0_Pro-mars자금총괄표_동서에셋(20090427)v2 7 36" xfId="8744"/>
    <cellStyle name="0_Pro-mars자금총괄표_동서에셋(20090427)v2 7 37" xfId="8745"/>
    <cellStyle name="0_Pro-mars자금총괄표_동서에셋(20090427)v2 7 38" xfId="8746"/>
    <cellStyle name="0_Pro-mars자금총괄표_동서에셋(20090427)v2 7 39" xfId="8747"/>
    <cellStyle name="0_Pro-mars자금총괄표_동서에셋(20090427)v2 7 4" xfId="8748"/>
    <cellStyle name="0_Pro-mars자금총괄표_동서에셋(20090427)v2 7 40" xfId="8749"/>
    <cellStyle name="0_Pro-mars자금총괄표_동서에셋(20090427)v2 7 41" xfId="8750"/>
    <cellStyle name="0_Pro-mars자금총괄표_동서에셋(20090427)v2 7 42" xfId="8751"/>
    <cellStyle name="0_Pro-mars자금총괄표_동서에셋(20090427)v2 7 43" xfId="8752"/>
    <cellStyle name="0_Pro-mars자금총괄표_동서에셋(20090427)v2 7 44" xfId="8753"/>
    <cellStyle name="0_Pro-mars자금총괄표_동서에셋(20090427)v2 7 45" xfId="8754"/>
    <cellStyle name="0_Pro-mars자금총괄표_동서에셋(20090427)v2 7 46" xfId="8755"/>
    <cellStyle name="0_Pro-mars자금총괄표_동서에셋(20090427)v2 7 47" xfId="8756"/>
    <cellStyle name="0_Pro-mars자금총괄표_동서에셋(20090427)v2 7 48" xfId="8757"/>
    <cellStyle name="0_Pro-mars자금총괄표_동서에셋(20090427)v2 7 49" xfId="8758"/>
    <cellStyle name="0_Pro-mars자금총괄표_동서에셋(20090427)v2 7 5" xfId="8759"/>
    <cellStyle name="0_Pro-mars자금총괄표_동서에셋(20090427)v2 7 50" xfId="8760"/>
    <cellStyle name="0_Pro-mars자금총괄표_동서에셋(20090427)v2 7 51" xfId="8761"/>
    <cellStyle name="0_Pro-mars자금총괄표_동서에셋(20090427)v2 7 52" xfId="8762"/>
    <cellStyle name="0_Pro-mars자금총괄표_동서에셋(20090427)v2 7 53" xfId="8763"/>
    <cellStyle name="0_Pro-mars자금총괄표_동서에셋(20090427)v2 7 6" xfId="8764"/>
    <cellStyle name="0_Pro-mars자금총괄표_동서에셋(20090427)v2 7 7" xfId="8765"/>
    <cellStyle name="0_Pro-mars자금총괄표_동서에셋(20090427)v2 7 8" xfId="8766"/>
    <cellStyle name="0_Pro-mars자금총괄표_동서에셋(20090427)v2 7 9" xfId="8767"/>
    <cellStyle name="0_Pro-mars자금총괄표_동서에셋(20090427)v2 8" xfId="8768"/>
    <cellStyle name="0_Pro-mars자금총괄표_동서에셋(20090427)v2 8 10" xfId="8769"/>
    <cellStyle name="0_Pro-mars자금총괄표_동서에셋(20090427)v2 8 11" xfId="8770"/>
    <cellStyle name="0_Pro-mars자금총괄표_동서에셋(20090427)v2 8 12" xfId="8771"/>
    <cellStyle name="0_Pro-mars자금총괄표_동서에셋(20090427)v2 8 13" xfId="8772"/>
    <cellStyle name="0_Pro-mars자금총괄표_동서에셋(20090427)v2 8 14" xfId="8773"/>
    <cellStyle name="0_Pro-mars자금총괄표_동서에셋(20090427)v2 8 15" xfId="8774"/>
    <cellStyle name="0_Pro-mars자금총괄표_동서에셋(20090427)v2 8 16" xfId="8775"/>
    <cellStyle name="0_Pro-mars자금총괄표_동서에셋(20090427)v2 8 17" xfId="8776"/>
    <cellStyle name="0_Pro-mars자금총괄표_동서에셋(20090427)v2 8 18" xfId="8777"/>
    <cellStyle name="0_Pro-mars자금총괄표_동서에셋(20090427)v2 8 19" xfId="8778"/>
    <cellStyle name="0_Pro-mars자금총괄표_동서에셋(20090427)v2 8 2" xfId="8779"/>
    <cellStyle name="0_Pro-mars자금총괄표_동서에셋(20090427)v2 8 20" xfId="8780"/>
    <cellStyle name="0_Pro-mars자금총괄표_동서에셋(20090427)v2 8 21" xfId="8781"/>
    <cellStyle name="0_Pro-mars자금총괄표_동서에셋(20090427)v2 8 22" xfId="8782"/>
    <cellStyle name="0_Pro-mars자금총괄표_동서에셋(20090427)v2 8 23" xfId="8783"/>
    <cellStyle name="0_Pro-mars자금총괄표_동서에셋(20090427)v2 8 24" xfId="8784"/>
    <cellStyle name="0_Pro-mars자금총괄표_동서에셋(20090427)v2 8 25" xfId="8785"/>
    <cellStyle name="0_Pro-mars자금총괄표_동서에셋(20090427)v2 8 26" xfId="8786"/>
    <cellStyle name="0_Pro-mars자금총괄표_동서에셋(20090427)v2 8 27" xfId="8787"/>
    <cellStyle name="0_Pro-mars자금총괄표_동서에셋(20090427)v2 8 28" xfId="8788"/>
    <cellStyle name="0_Pro-mars자금총괄표_동서에셋(20090427)v2 8 29" xfId="8789"/>
    <cellStyle name="0_Pro-mars자금총괄표_동서에셋(20090427)v2 8 3" xfId="8790"/>
    <cellStyle name="0_Pro-mars자금총괄표_동서에셋(20090427)v2 8 30" xfId="8791"/>
    <cellStyle name="0_Pro-mars자금총괄표_동서에셋(20090427)v2 8 31" xfId="8792"/>
    <cellStyle name="0_Pro-mars자금총괄표_동서에셋(20090427)v2 8 32" xfId="8793"/>
    <cellStyle name="0_Pro-mars자금총괄표_동서에셋(20090427)v2 8 33" xfId="8794"/>
    <cellStyle name="0_Pro-mars자금총괄표_동서에셋(20090427)v2 8 34" xfId="8795"/>
    <cellStyle name="0_Pro-mars자금총괄표_동서에셋(20090427)v2 8 35" xfId="8796"/>
    <cellStyle name="0_Pro-mars자금총괄표_동서에셋(20090427)v2 8 36" xfId="8797"/>
    <cellStyle name="0_Pro-mars자금총괄표_동서에셋(20090427)v2 8 37" xfId="8798"/>
    <cellStyle name="0_Pro-mars자금총괄표_동서에셋(20090427)v2 8 38" xfId="8799"/>
    <cellStyle name="0_Pro-mars자금총괄표_동서에셋(20090427)v2 8 39" xfId="8800"/>
    <cellStyle name="0_Pro-mars자금총괄표_동서에셋(20090427)v2 8 4" xfId="8801"/>
    <cellStyle name="0_Pro-mars자금총괄표_동서에셋(20090427)v2 8 40" xfId="8802"/>
    <cellStyle name="0_Pro-mars자금총괄표_동서에셋(20090427)v2 8 41" xfId="8803"/>
    <cellStyle name="0_Pro-mars자금총괄표_동서에셋(20090427)v2 8 42" xfId="8804"/>
    <cellStyle name="0_Pro-mars자금총괄표_동서에셋(20090427)v2 8 43" xfId="8805"/>
    <cellStyle name="0_Pro-mars자금총괄표_동서에셋(20090427)v2 8 44" xfId="8806"/>
    <cellStyle name="0_Pro-mars자금총괄표_동서에셋(20090427)v2 8 45" xfId="8807"/>
    <cellStyle name="0_Pro-mars자금총괄표_동서에셋(20090427)v2 8 46" xfId="8808"/>
    <cellStyle name="0_Pro-mars자금총괄표_동서에셋(20090427)v2 8 47" xfId="8809"/>
    <cellStyle name="0_Pro-mars자금총괄표_동서에셋(20090427)v2 8 48" xfId="8810"/>
    <cellStyle name="0_Pro-mars자금총괄표_동서에셋(20090427)v2 8 49" xfId="8811"/>
    <cellStyle name="0_Pro-mars자금총괄표_동서에셋(20090427)v2 8 5" xfId="8812"/>
    <cellStyle name="0_Pro-mars자금총괄표_동서에셋(20090427)v2 8 50" xfId="8813"/>
    <cellStyle name="0_Pro-mars자금총괄표_동서에셋(20090427)v2 8 51" xfId="8814"/>
    <cellStyle name="0_Pro-mars자금총괄표_동서에셋(20090427)v2 8 52" xfId="8815"/>
    <cellStyle name="0_Pro-mars자금총괄표_동서에셋(20090427)v2 8 53" xfId="8816"/>
    <cellStyle name="0_Pro-mars자금총괄표_동서에셋(20090427)v2 8 6" xfId="8817"/>
    <cellStyle name="0_Pro-mars자금총괄표_동서에셋(20090427)v2 8 7" xfId="8818"/>
    <cellStyle name="0_Pro-mars자금총괄표_동서에셋(20090427)v2 8 8" xfId="8819"/>
    <cellStyle name="0_Pro-mars자금총괄표_동서에셋(20090427)v2 8 9" xfId="8820"/>
    <cellStyle name="0_Pro-mars자금총괄표_동서에셋(20090427)v2 9" xfId="8821"/>
    <cellStyle name="0_Pro-mars자금총괄표_동서에셋(20090427)v2 9 10" xfId="8822"/>
    <cellStyle name="0_Pro-mars자금총괄표_동서에셋(20090427)v2 9 11" xfId="8823"/>
    <cellStyle name="0_Pro-mars자금총괄표_동서에셋(20090427)v2 9 12" xfId="8824"/>
    <cellStyle name="0_Pro-mars자금총괄표_동서에셋(20090427)v2 9 13" xfId="8825"/>
    <cellStyle name="0_Pro-mars자금총괄표_동서에셋(20090427)v2 9 14" xfId="8826"/>
    <cellStyle name="0_Pro-mars자금총괄표_동서에셋(20090427)v2 9 15" xfId="8827"/>
    <cellStyle name="0_Pro-mars자금총괄표_동서에셋(20090427)v2 9 16" xfId="8828"/>
    <cellStyle name="0_Pro-mars자금총괄표_동서에셋(20090427)v2 9 17" xfId="8829"/>
    <cellStyle name="0_Pro-mars자금총괄표_동서에셋(20090427)v2 9 18" xfId="8830"/>
    <cellStyle name="0_Pro-mars자금총괄표_동서에셋(20090427)v2 9 19" xfId="8831"/>
    <cellStyle name="0_Pro-mars자금총괄표_동서에셋(20090427)v2 9 2" xfId="8832"/>
    <cellStyle name="0_Pro-mars자금총괄표_동서에셋(20090427)v2 9 20" xfId="8833"/>
    <cellStyle name="0_Pro-mars자금총괄표_동서에셋(20090427)v2 9 21" xfId="8834"/>
    <cellStyle name="0_Pro-mars자금총괄표_동서에셋(20090427)v2 9 22" xfId="8835"/>
    <cellStyle name="0_Pro-mars자금총괄표_동서에셋(20090427)v2 9 23" xfId="8836"/>
    <cellStyle name="0_Pro-mars자금총괄표_동서에셋(20090427)v2 9 24" xfId="8837"/>
    <cellStyle name="0_Pro-mars자금총괄표_동서에셋(20090427)v2 9 25" xfId="8838"/>
    <cellStyle name="0_Pro-mars자금총괄표_동서에셋(20090427)v2 9 26" xfId="8839"/>
    <cellStyle name="0_Pro-mars자금총괄표_동서에셋(20090427)v2 9 27" xfId="8840"/>
    <cellStyle name="0_Pro-mars자금총괄표_동서에셋(20090427)v2 9 28" xfId="8841"/>
    <cellStyle name="0_Pro-mars자금총괄표_동서에셋(20090427)v2 9 29" xfId="8842"/>
    <cellStyle name="0_Pro-mars자금총괄표_동서에셋(20090427)v2 9 3" xfId="8843"/>
    <cellStyle name="0_Pro-mars자금총괄표_동서에셋(20090427)v2 9 30" xfId="8844"/>
    <cellStyle name="0_Pro-mars자금총괄표_동서에셋(20090427)v2 9 31" xfId="8845"/>
    <cellStyle name="0_Pro-mars자금총괄표_동서에셋(20090427)v2 9 32" xfId="8846"/>
    <cellStyle name="0_Pro-mars자금총괄표_동서에셋(20090427)v2 9 33" xfId="8847"/>
    <cellStyle name="0_Pro-mars자금총괄표_동서에셋(20090427)v2 9 34" xfId="8848"/>
    <cellStyle name="0_Pro-mars자금총괄표_동서에셋(20090427)v2 9 35" xfId="8849"/>
    <cellStyle name="0_Pro-mars자금총괄표_동서에셋(20090427)v2 9 36" xfId="8850"/>
    <cellStyle name="0_Pro-mars자금총괄표_동서에셋(20090427)v2 9 37" xfId="8851"/>
    <cellStyle name="0_Pro-mars자금총괄표_동서에셋(20090427)v2 9 38" xfId="8852"/>
    <cellStyle name="0_Pro-mars자금총괄표_동서에셋(20090427)v2 9 39" xfId="8853"/>
    <cellStyle name="0_Pro-mars자금총괄표_동서에셋(20090427)v2 9 4" xfId="8854"/>
    <cellStyle name="0_Pro-mars자금총괄표_동서에셋(20090427)v2 9 40" xfId="8855"/>
    <cellStyle name="0_Pro-mars자금총괄표_동서에셋(20090427)v2 9 41" xfId="8856"/>
    <cellStyle name="0_Pro-mars자금총괄표_동서에셋(20090427)v2 9 42" xfId="8857"/>
    <cellStyle name="0_Pro-mars자금총괄표_동서에셋(20090427)v2 9 43" xfId="8858"/>
    <cellStyle name="0_Pro-mars자금총괄표_동서에셋(20090427)v2 9 44" xfId="8859"/>
    <cellStyle name="0_Pro-mars자금총괄표_동서에셋(20090427)v2 9 45" xfId="8860"/>
    <cellStyle name="0_Pro-mars자금총괄표_동서에셋(20090427)v2 9 46" xfId="8861"/>
    <cellStyle name="0_Pro-mars자금총괄표_동서에셋(20090427)v2 9 47" xfId="8862"/>
    <cellStyle name="0_Pro-mars자금총괄표_동서에셋(20090427)v2 9 48" xfId="8863"/>
    <cellStyle name="0_Pro-mars자금총괄표_동서에셋(20090427)v2 9 49" xfId="8864"/>
    <cellStyle name="0_Pro-mars자금총괄표_동서에셋(20090427)v2 9 5" xfId="8865"/>
    <cellStyle name="0_Pro-mars자금총괄표_동서에셋(20090427)v2 9 50" xfId="8866"/>
    <cellStyle name="0_Pro-mars자금총괄표_동서에셋(20090427)v2 9 51" xfId="8867"/>
    <cellStyle name="0_Pro-mars자금총괄표_동서에셋(20090427)v2 9 52" xfId="8868"/>
    <cellStyle name="0_Pro-mars자금총괄표_동서에셋(20090427)v2 9 53" xfId="8869"/>
    <cellStyle name="0_Pro-mars자금총괄표_동서에셋(20090427)v2 9 6" xfId="8870"/>
    <cellStyle name="0_Pro-mars자금총괄표_동서에셋(20090427)v2 9 7" xfId="8871"/>
    <cellStyle name="0_Pro-mars자금총괄표_동서에셋(20090427)v2 9 8" xfId="8872"/>
    <cellStyle name="0_Pro-mars자금총괄표_동서에셋(20090427)v2 9 9" xfId="8873"/>
    <cellStyle name="0_Pro-mars자금총괄표_동서에셋(20090427)v2_Sales_A,B블럭" xfId="8874"/>
    <cellStyle name="0_Pro-mars자금총괄표_동서에셋(20090427)v2_Sheet" xfId="8875"/>
    <cellStyle name="0_Pro-mars자금총괄표_동서에셋(20090427)v2_update" xfId="8876"/>
    <cellStyle name="0_분양(100%)" xfId="37703"/>
    <cellStyle name="0_외환은행2011년2월까지(0318)수정-최종보고자료임(0514)" xfId="8877"/>
    <cellStyle name="0_외환은행2011년2월까지(0318)수정-최종보고자료임(0514) 2" xfId="8878"/>
    <cellStyle name="0_외환은행2011년2월까지(0318)수정-최종보고자료임(0514) 3" xfId="8879"/>
    <cellStyle name="0_주간임원회의_자료_0627_자금본부(1)" xfId="8880"/>
    <cellStyle name="0_토요_임원회의(동춘)_2009._6._18(1)" xfId="8881"/>
    <cellStyle name="0_토요_임원회의(동춘PJ)_2009(1)._7._2" xfId="8882"/>
    <cellStyle name="0_토요_임원회의(동춘PJ)_2009._6.27(1)" xfId="8883"/>
    <cellStyle name="00" xfId="1871"/>
    <cellStyle name="1" xfId="1"/>
    <cellStyle name="1 2" xfId="1872"/>
    <cellStyle name="1 3" xfId="1873"/>
    <cellStyle name="1 4" xfId="1874"/>
    <cellStyle name="1_book1" xfId="2483"/>
    <cellStyle name="1_laroux" xfId="1875"/>
    <cellStyle name="1_laroux_ATC-YOON1" xfId="1876"/>
    <cellStyle name="1_total" xfId="8884"/>
    <cellStyle name="1_total_00-설계서양식" xfId="8885"/>
    <cellStyle name="1_total_00-설계서양식_00-수량산출서양식" xfId="8886"/>
    <cellStyle name="1_total_00-설계서양식_녹화마대녹화끈수량산출-예원" xfId="8887"/>
    <cellStyle name="1_total_00-수량산출서양식" xfId="8888"/>
    <cellStyle name="1_total_00-예산서양식100" xfId="8889"/>
    <cellStyle name="1_total_00-예산서양식100_00-수량산출서양식" xfId="8890"/>
    <cellStyle name="1_total_00-예산서양식100_녹화마대녹화끈수량산출-예원" xfId="8891"/>
    <cellStyle name="1_total_00-예산서양식100_대전가오-설계서" xfId="8892"/>
    <cellStyle name="1_total_00-예산서양식100_대전가오-설계서(관리)" xfId="8893"/>
    <cellStyle name="1_total_00-예산서양식100_대전가오-설계서(관리)_00-설계서양식" xfId="8894"/>
    <cellStyle name="1_total_00-예산서양식100_대전가오-설계서(관리)_00-설계서양식_00-수량산출서양식" xfId="8895"/>
    <cellStyle name="1_total_00-예산서양식100_대전가오-설계서(관리)_00-설계서양식_녹화마대녹화끈수량산출-예원" xfId="8896"/>
    <cellStyle name="1_total_00-예산서양식100_대전가오-설계서(관리)_00-수량산출서양식" xfId="8897"/>
    <cellStyle name="1_total_00-예산서양식100_대전가오-설계서(관리)_녹화마대녹화끈수량산출-예원" xfId="8898"/>
    <cellStyle name="1_total_00-예산서양식100_대전가오-설계서_00-설계서양식" xfId="8899"/>
    <cellStyle name="1_total_00-예산서양식100_대전가오-설계서_00-설계서양식_00-수량산출서양식" xfId="8900"/>
    <cellStyle name="1_total_00-예산서양식100_대전가오-설계서_00-설계서양식_녹화마대녹화끈수량산출-예원" xfId="8901"/>
    <cellStyle name="1_total_00-예산서양식100_대전가오-설계서_00-수량산출서양식" xfId="8902"/>
    <cellStyle name="1_total_00-예산서양식100_대전가오-설계서_녹화마대녹화끈수량산출-예원" xfId="8903"/>
    <cellStyle name="1_total_00-예산서양식100_대전가오-설계서1" xfId="8904"/>
    <cellStyle name="1_total_00-예산서양식100_대전가오-설계서1_00-설계서양식" xfId="8905"/>
    <cellStyle name="1_total_00-예산서양식100_대전가오-설계서1_00-설계서양식_00-수량산출서양식" xfId="8906"/>
    <cellStyle name="1_total_00-예산서양식100_대전가오-설계서1_00-설계서양식_녹화마대녹화끈수량산출-예원" xfId="8907"/>
    <cellStyle name="1_total_00-예산서양식100_대전가오-설계서1_00-수량산출서양식" xfId="8908"/>
    <cellStyle name="1_total_00-예산서양식100_대전가오-설계서1_녹화마대녹화끈수량산출-예원" xfId="8909"/>
    <cellStyle name="1_total_00-예산서양식100_설계서-06 0627" xfId="8910"/>
    <cellStyle name="1_total_00-예산서양식100_설계서-06 0727" xfId="8911"/>
    <cellStyle name="1_total_00-예산서양식100_수량산출서-06 0627" xfId="8912"/>
    <cellStyle name="1_total_00-표지예정공정표" xfId="8913"/>
    <cellStyle name="1_total_00-표지예정공정표_설계서-06 0627" xfId="8914"/>
    <cellStyle name="1_total_00-표지예정공정표_설계서-06 0727" xfId="8915"/>
    <cellStyle name="1_total_구로리총괄내역" xfId="8916"/>
    <cellStyle name="1_total_구로리총괄내역_00-설계서양식" xfId="8917"/>
    <cellStyle name="1_total_구로리총괄내역_00-설계서양식_00-수량산출서양식" xfId="8918"/>
    <cellStyle name="1_total_구로리총괄내역_00-설계서양식_녹화마대녹화끈수량산출-예원" xfId="8919"/>
    <cellStyle name="1_total_구로리총괄내역_00-수량산출서양식" xfId="8920"/>
    <cellStyle name="1_total_구로리총괄내역_구로리설계예산서1029" xfId="8921"/>
    <cellStyle name="1_total_구로리총괄내역_구로리설계예산서1029_00-설계서양식" xfId="8922"/>
    <cellStyle name="1_total_구로리총괄내역_구로리설계예산서1029_00-설계서양식_00-수량산출서양식" xfId="8923"/>
    <cellStyle name="1_total_구로리총괄내역_구로리설계예산서1029_00-설계서양식_녹화마대녹화끈수량산출-예원" xfId="8924"/>
    <cellStyle name="1_total_구로리총괄내역_구로리설계예산서1029_00-수량산출서양식" xfId="8925"/>
    <cellStyle name="1_total_구로리총괄내역_구로리설계예산서1029_녹화마대녹화끈수량산출-예원" xfId="8926"/>
    <cellStyle name="1_total_구로리총괄내역_구로리설계예산서1029_지주목" xfId="8927"/>
    <cellStyle name="1_total_구로리총괄내역_구로리설계예산서1029_지주목_00-수량산출서양식" xfId="8928"/>
    <cellStyle name="1_total_구로리총괄내역_구로리설계예산서1029_지주목_녹화마대녹화끈수량산출-예원" xfId="8929"/>
    <cellStyle name="1_total_구로리총괄내역_구로리설계예산서1118준공" xfId="8930"/>
    <cellStyle name="1_total_구로리총괄내역_구로리설계예산서1118준공_00-설계서양식" xfId="8931"/>
    <cellStyle name="1_total_구로리총괄내역_구로리설계예산서1118준공_00-설계서양식_00-수량산출서양식" xfId="8932"/>
    <cellStyle name="1_total_구로리총괄내역_구로리설계예산서1118준공_00-설계서양식_녹화마대녹화끈수량산출-예원" xfId="8933"/>
    <cellStyle name="1_total_구로리총괄내역_구로리설계예산서1118준공_00-수량산출서양식" xfId="8934"/>
    <cellStyle name="1_total_구로리총괄내역_구로리설계예산서1118준공_녹화마대녹화끈수량산출-예원" xfId="8935"/>
    <cellStyle name="1_total_구로리총괄내역_구로리설계예산서1118준공_지주목" xfId="8936"/>
    <cellStyle name="1_total_구로리총괄내역_구로리설계예산서1118준공_지주목_00-수량산출서양식" xfId="8937"/>
    <cellStyle name="1_total_구로리총괄내역_구로리설계예산서1118준공_지주목_녹화마대녹화끈수량산출-예원" xfId="8938"/>
    <cellStyle name="1_total_구로리총괄내역_구로리설계예산서조경" xfId="8939"/>
    <cellStyle name="1_total_구로리총괄내역_구로리설계예산서조경_00-설계서양식" xfId="8940"/>
    <cellStyle name="1_total_구로리총괄내역_구로리설계예산서조경_00-설계서양식_00-수량산출서양식" xfId="8941"/>
    <cellStyle name="1_total_구로리총괄내역_구로리설계예산서조경_00-설계서양식_녹화마대녹화끈수량산출-예원" xfId="8942"/>
    <cellStyle name="1_total_구로리총괄내역_구로리설계예산서조경_00-수량산출서양식" xfId="8943"/>
    <cellStyle name="1_total_구로리총괄내역_구로리설계예산서조경_녹화마대녹화끈수량산출-예원" xfId="8944"/>
    <cellStyle name="1_total_구로리총괄내역_구로리설계예산서조경_지주목" xfId="8945"/>
    <cellStyle name="1_total_구로리총괄내역_구로리설계예산서조경_지주목_00-수량산출서양식" xfId="8946"/>
    <cellStyle name="1_total_구로리총괄내역_구로리설계예산서조경_지주목_녹화마대녹화끈수량산출-예원" xfId="8947"/>
    <cellStyle name="1_total_구로리총괄내역_구로리어린이공원예산서(조경)1125" xfId="8948"/>
    <cellStyle name="1_total_구로리총괄내역_구로리어린이공원예산서(조경)1125_00-설계서양식" xfId="8949"/>
    <cellStyle name="1_total_구로리총괄내역_구로리어린이공원예산서(조경)1125_00-설계서양식_00-수량산출서양식" xfId="8950"/>
    <cellStyle name="1_total_구로리총괄내역_구로리어린이공원예산서(조경)1125_00-설계서양식_녹화마대녹화끈수량산출-예원" xfId="8951"/>
    <cellStyle name="1_total_구로리총괄내역_구로리어린이공원예산서(조경)1125_00-수량산출서양식" xfId="8952"/>
    <cellStyle name="1_total_구로리총괄내역_구로리어린이공원예산서(조경)1125_녹화마대녹화끈수량산출-예원" xfId="8953"/>
    <cellStyle name="1_total_구로리총괄내역_구로리어린이공원예산서(조경)1125_지주목" xfId="8954"/>
    <cellStyle name="1_total_구로리총괄내역_구로리어린이공원예산서(조경)1125_지주목_00-수량산출서양식" xfId="8955"/>
    <cellStyle name="1_total_구로리총괄내역_구로리어린이공원예산서(조경)1125_지주목_녹화마대녹화끈수량산출-예원" xfId="8956"/>
    <cellStyle name="1_total_구로리총괄내역_내역서" xfId="8957"/>
    <cellStyle name="1_total_구로리총괄내역_내역서_00-설계서양식" xfId="8958"/>
    <cellStyle name="1_total_구로리총괄내역_내역서_00-설계서양식_00-수량산출서양식" xfId="8959"/>
    <cellStyle name="1_total_구로리총괄내역_내역서_00-설계서양식_녹화마대녹화끈수량산출-예원" xfId="8960"/>
    <cellStyle name="1_total_구로리총괄내역_내역서_00-수량산출서양식" xfId="8961"/>
    <cellStyle name="1_total_구로리총괄내역_내역서_녹화마대녹화끈수량산출-예원" xfId="8962"/>
    <cellStyle name="1_total_구로리총괄내역_내역서_지주목" xfId="8963"/>
    <cellStyle name="1_total_구로리총괄내역_내역서_지주목_00-수량산출서양식" xfId="8964"/>
    <cellStyle name="1_total_구로리총괄내역_내역서_지주목_녹화마대녹화끈수량산출-예원" xfId="8965"/>
    <cellStyle name="1_total_구로리총괄내역_노임단가표" xfId="8966"/>
    <cellStyle name="1_total_구로리총괄내역_노임단가표_00-설계서양식" xfId="8967"/>
    <cellStyle name="1_total_구로리총괄내역_노임단가표_00-설계서양식_00-수량산출서양식" xfId="8968"/>
    <cellStyle name="1_total_구로리총괄내역_노임단가표_00-설계서양식_녹화마대녹화끈수량산출-예원" xfId="8969"/>
    <cellStyle name="1_total_구로리총괄내역_노임단가표_00-수량산출서양식" xfId="8970"/>
    <cellStyle name="1_total_구로리총괄내역_노임단가표_녹화마대녹화끈수량산출-예원" xfId="8971"/>
    <cellStyle name="1_total_구로리총괄내역_노임단가표_지주목" xfId="8972"/>
    <cellStyle name="1_total_구로리총괄내역_노임단가표_지주목_00-수량산출서양식" xfId="8973"/>
    <cellStyle name="1_total_구로리총괄내역_노임단가표_지주목_녹화마대녹화끈수량산출-예원" xfId="8974"/>
    <cellStyle name="1_total_구로리총괄내역_녹화마대녹화끈수량산출-예원" xfId="8975"/>
    <cellStyle name="1_total_구로리총괄내역_수도권매립지" xfId="8976"/>
    <cellStyle name="1_total_구로리총괄내역_수도권매립지_00-설계서양식" xfId="8977"/>
    <cellStyle name="1_total_구로리총괄내역_수도권매립지_00-설계서양식_00-수량산출서양식" xfId="8978"/>
    <cellStyle name="1_total_구로리총괄내역_수도권매립지_00-설계서양식_녹화마대녹화끈수량산출-예원" xfId="8979"/>
    <cellStyle name="1_total_구로리총괄내역_수도권매립지_00-수량산출서양식" xfId="8980"/>
    <cellStyle name="1_total_구로리총괄내역_수도권매립지_녹화마대녹화끈수량산출-예원" xfId="8981"/>
    <cellStyle name="1_total_구로리총괄내역_수도권매립지_지주목" xfId="8982"/>
    <cellStyle name="1_total_구로리총괄내역_수도권매립지_지주목_00-수량산출서양식" xfId="8983"/>
    <cellStyle name="1_total_구로리총괄내역_수도권매립지_지주목_녹화마대녹화끈수량산출-예원" xfId="8984"/>
    <cellStyle name="1_total_구로리총괄내역_수도권매립지1004(발주용)" xfId="8985"/>
    <cellStyle name="1_total_구로리총괄내역_수도권매립지1004(발주용)_00-설계서양식" xfId="8986"/>
    <cellStyle name="1_total_구로리총괄내역_수도권매립지1004(발주용)_00-설계서양식_00-수량산출서양식" xfId="8987"/>
    <cellStyle name="1_total_구로리총괄내역_수도권매립지1004(발주용)_00-설계서양식_녹화마대녹화끈수량산출-예원" xfId="8988"/>
    <cellStyle name="1_total_구로리총괄내역_수도권매립지1004(발주용)_00-수량산출서양식" xfId="8989"/>
    <cellStyle name="1_total_구로리총괄내역_수도권매립지1004(발주용)_녹화마대녹화끈수량산출-예원" xfId="8990"/>
    <cellStyle name="1_total_구로리총괄내역_수도권매립지1004(발주용)_지주목" xfId="8991"/>
    <cellStyle name="1_total_구로리총괄내역_수도권매립지1004(발주용)_지주목_00-수량산출서양식" xfId="8992"/>
    <cellStyle name="1_total_구로리총괄내역_수도권매립지1004(발주용)_지주목_녹화마대녹화끈수량산출-예원" xfId="8993"/>
    <cellStyle name="1_total_구로리총괄내역_일신건영설계예산서(0211)" xfId="8994"/>
    <cellStyle name="1_total_구로리총괄내역_일신건영설계예산서(0211)_00-설계서양식" xfId="8995"/>
    <cellStyle name="1_total_구로리총괄내역_일신건영설계예산서(0211)_00-설계서양식_00-수량산출서양식" xfId="8996"/>
    <cellStyle name="1_total_구로리총괄내역_일신건영설계예산서(0211)_00-설계서양식_녹화마대녹화끈수량산출-예원" xfId="8997"/>
    <cellStyle name="1_total_구로리총괄내역_일신건영설계예산서(0211)_00-수량산출서양식" xfId="8998"/>
    <cellStyle name="1_total_구로리총괄내역_일신건영설계예산서(0211)_녹화마대녹화끈수량산출-예원" xfId="8999"/>
    <cellStyle name="1_total_구로리총괄내역_일신건영설계예산서(0211)_지주목" xfId="9000"/>
    <cellStyle name="1_total_구로리총괄내역_일신건영설계예산서(0211)_지주목_00-수량산출서양식" xfId="9001"/>
    <cellStyle name="1_total_구로리총괄내역_일신건영설계예산서(0211)_지주목_녹화마대녹화끈수량산출-예원" xfId="9002"/>
    <cellStyle name="1_total_구로리총괄내역_일위대가" xfId="9003"/>
    <cellStyle name="1_total_구로리총괄내역_일위대가_00-설계서양식" xfId="9004"/>
    <cellStyle name="1_total_구로리총괄내역_일위대가_00-설계서양식_00-수량산출서양식" xfId="9005"/>
    <cellStyle name="1_total_구로리총괄내역_일위대가_00-설계서양식_녹화마대녹화끈수량산출-예원" xfId="9006"/>
    <cellStyle name="1_total_구로리총괄내역_일위대가_00-수량산출서양식" xfId="9007"/>
    <cellStyle name="1_total_구로리총괄내역_일위대가_녹화마대녹화끈수량산출-예원" xfId="9008"/>
    <cellStyle name="1_total_구로리총괄내역_일위대가_지주목" xfId="9009"/>
    <cellStyle name="1_total_구로리총괄내역_일위대가_지주목_00-수량산출서양식" xfId="9010"/>
    <cellStyle name="1_total_구로리총괄내역_일위대가_지주목_녹화마대녹화끈수량산출-예원" xfId="9011"/>
    <cellStyle name="1_total_구로리총괄내역_자재단가표" xfId="9012"/>
    <cellStyle name="1_total_구로리총괄내역_자재단가표_00-설계서양식" xfId="9013"/>
    <cellStyle name="1_total_구로리총괄내역_자재단가표_00-설계서양식_00-수량산출서양식" xfId="9014"/>
    <cellStyle name="1_total_구로리총괄내역_자재단가표_00-설계서양식_녹화마대녹화끈수량산출-예원" xfId="9015"/>
    <cellStyle name="1_total_구로리총괄내역_자재단가표_00-수량산출서양식" xfId="9016"/>
    <cellStyle name="1_total_구로리총괄내역_자재단가표_녹화마대녹화끈수량산출-예원" xfId="9017"/>
    <cellStyle name="1_total_구로리총괄내역_자재단가표_지주목" xfId="9018"/>
    <cellStyle name="1_total_구로리총괄내역_자재단가표_지주목_00-수량산출서양식" xfId="9019"/>
    <cellStyle name="1_total_구로리총괄내역_자재단가표_지주목_녹화마대녹화끈수량산출-예원" xfId="9020"/>
    <cellStyle name="1_total_구로리총괄내역_장안초등학교내역0814" xfId="9021"/>
    <cellStyle name="1_total_구로리총괄내역_장안초등학교내역0814_00-설계서양식" xfId="9022"/>
    <cellStyle name="1_total_구로리총괄내역_장안초등학교내역0814_00-설계서양식_00-수량산출서양식" xfId="9023"/>
    <cellStyle name="1_total_구로리총괄내역_장안초등학교내역0814_00-설계서양식_녹화마대녹화끈수량산출-예원" xfId="9024"/>
    <cellStyle name="1_total_구로리총괄내역_장안초등학교내역0814_00-수량산출서양식" xfId="9025"/>
    <cellStyle name="1_total_구로리총괄내역_장안초등학교내역0814_녹화마대녹화끈수량산출-예원" xfId="9026"/>
    <cellStyle name="1_total_구로리총괄내역_장안초등학교내역0814_지주목" xfId="9027"/>
    <cellStyle name="1_total_구로리총괄내역_장안초등학교내역0814_지주목_00-수량산출서양식" xfId="9028"/>
    <cellStyle name="1_total_구로리총괄내역_장안초등학교내역0814_지주목_녹화마대녹화끈수량산출-예원" xfId="9029"/>
    <cellStyle name="1_total_구로리총괄내역_지주목" xfId="9030"/>
    <cellStyle name="1_total_구로리총괄내역_지주목_00-수량산출서양식" xfId="9031"/>
    <cellStyle name="1_total_구로리총괄내역_지주목_녹화마대녹화끈수량산출-예원" xfId="9032"/>
    <cellStyle name="1_total_녹화마대녹화끈수량산출-예원" xfId="9033"/>
    <cellStyle name="1_total_지주목" xfId="9034"/>
    <cellStyle name="1_total_지주목_00-수량산출서양식" xfId="9035"/>
    <cellStyle name="1_total_지주목_녹화마대녹화끈수량산출-예원" xfId="9036"/>
    <cellStyle name="1_total_총괄내역0518" xfId="9037"/>
    <cellStyle name="1_total_총괄내역0518_00-설계서양식" xfId="9038"/>
    <cellStyle name="1_total_총괄내역0518_00-설계서양식_00-수량산출서양식" xfId="9039"/>
    <cellStyle name="1_total_총괄내역0518_00-설계서양식_녹화마대녹화끈수량산출-예원" xfId="9040"/>
    <cellStyle name="1_total_총괄내역0518_00-수량산출서양식" xfId="9041"/>
    <cellStyle name="1_total_총괄내역0518_구로리설계예산서1029" xfId="9042"/>
    <cellStyle name="1_total_총괄내역0518_구로리설계예산서1029_00-설계서양식" xfId="9043"/>
    <cellStyle name="1_total_총괄내역0518_구로리설계예산서1029_00-설계서양식_00-수량산출서양식" xfId="9044"/>
    <cellStyle name="1_total_총괄내역0518_구로리설계예산서1029_00-설계서양식_녹화마대녹화끈수량산출-예원" xfId="9045"/>
    <cellStyle name="1_total_총괄내역0518_구로리설계예산서1029_00-수량산출서양식" xfId="9046"/>
    <cellStyle name="1_total_총괄내역0518_구로리설계예산서1029_녹화마대녹화끈수량산출-예원" xfId="9047"/>
    <cellStyle name="1_total_총괄내역0518_구로리설계예산서1029_지주목" xfId="9048"/>
    <cellStyle name="1_total_총괄내역0518_구로리설계예산서1029_지주목_00-수량산출서양식" xfId="9049"/>
    <cellStyle name="1_total_총괄내역0518_구로리설계예산서1029_지주목_녹화마대녹화끈수량산출-예원" xfId="9050"/>
    <cellStyle name="1_total_총괄내역0518_구로리설계예산서1118준공" xfId="9051"/>
    <cellStyle name="1_total_총괄내역0518_구로리설계예산서1118준공_00-설계서양식" xfId="9052"/>
    <cellStyle name="1_total_총괄내역0518_구로리설계예산서1118준공_00-설계서양식_00-수량산출서양식" xfId="9053"/>
    <cellStyle name="1_total_총괄내역0518_구로리설계예산서1118준공_00-설계서양식_녹화마대녹화끈수량산출-예원" xfId="9054"/>
    <cellStyle name="1_total_총괄내역0518_구로리설계예산서1118준공_00-수량산출서양식" xfId="9055"/>
    <cellStyle name="1_total_총괄내역0518_구로리설계예산서1118준공_녹화마대녹화끈수량산출-예원" xfId="9056"/>
    <cellStyle name="1_total_총괄내역0518_구로리설계예산서1118준공_지주목" xfId="9057"/>
    <cellStyle name="1_total_총괄내역0518_구로리설계예산서1118준공_지주목_00-수량산출서양식" xfId="9058"/>
    <cellStyle name="1_total_총괄내역0518_구로리설계예산서1118준공_지주목_녹화마대녹화끈수량산출-예원" xfId="9059"/>
    <cellStyle name="1_total_총괄내역0518_구로리설계예산서조경" xfId="9060"/>
    <cellStyle name="1_total_총괄내역0518_구로리설계예산서조경_00-설계서양식" xfId="9061"/>
    <cellStyle name="1_total_총괄내역0518_구로리설계예산서조경_00-설계서양식_00-수량산출서양식" xfId="9062"/>
    <cellStyle name="1_total_총괄내역0518_구로리설계예산서조경_00-설계서양식_녹화마대녹화끈수량산출-예원" xfId="9063"/>
    <cellStyle name="1_total_총괄내역0518_구로리설계예산서조경_00-수량산출서양식" xfId="9064"/>
    <cellStyle name="1_total_총괄내역0518_구로리설계예산서조경_녹화마대녹화끈수량산출-예원" xfId="9065"/>
    <cellStyle name="1_total_총괄내역0518_구로리설계예산서조경_지주목" xfId="9066"/>
    <cellStyle name="1_total_총괄내역0518_구로리설계예산서조경_지주목_00-수량산출서양식" xfId="9067"/>
    <cellStyle name="1_total_총괄내역0518_구로리설계예산서조경_지주목_녹화마대녹화끈수량산출-예원" xfId="9068"/>
    <cellStyle name="1_total_총괄내역0518_구로리어린이공원예산서(조경)1125" xfId="9069"/>
    <cellStyle name="1_total_총괄내역0518_구로리어린이공원예산서(조경)1125_00-설계서양식" xfId="9070"/>
    <cellStyle name="1_total_총괄내역0518_구로리어린이공원예산서(조경)1125_00-설계서양식_00-수량산출서양식" xfId="9071"/>
    <cellStyle name="1_total_총괄내역0518_구로리어린이공원예산서(조경)1125_00-설계서양식_녹화마대녹화끈수량산출-예원" xfId="9072"/>
    <cellStyle name="1_total_총괄내역0518_구로리어린이공원예산서(조경)1125_00-수량산출서양식" xfId="9073"/>
    <cellStyle name="1_total_총괄내역0518_구로리어린이공원예산서(조경)1125_녹화마대녹화끈수량산출-예원" xfId="9074"/>
    <cellStyle name="1_total_총괄내역0518_구로리어린이공원예산서(조경)1125_지주목" xfId="9075"/>
    <cellStyle name="1_total_총괄내역0518_구로리어린이공원예산서(조경)1125_지주목_00-수량산출서양식" xfId="9076"/>
    <cellStyle name="1_total_총괄내역0518_구로리어린이공원예산서(조경)1125_지주목_녹화마대녹화끈수량산출-예원" xfId="9077"/>
    <cellStyle name="1_total_총괄내역0518_내역서" xfId="9078"/>
    <cellStyle name="1_total_총괄내역0518_내역서_00-설계서양식" xfId="9079"/>
    <cellStyle name="1_total_총괄내역0518_내역서_00-설계서양식_00-수량산출서양식" xfId="9080"/>
    <cellStyle name="1_total_총괄내역0518_내역서_00-설계서양식_녹화마대녹화끈수량산출-예원" xfId="9081"/>
    <cellStyle name="1_total_총괄내역0518_내역서_00-수량산출서양식" xfId="9082"/>
    <cellStyle name="1_total_총괄내역0518_내역서_녹화마대녹화끈수량산출-예원" xfId="9083"/>
    <cellStyle name="1_total_총괄내역0518_내역서_지주목" xfId="9084"/>
    <cellStyle name="1_total_총괄내역0518_내역서_지주목_00-수량산출서양식" xfId="9085"/>
    <cellStyle name="1_total_총괄내역0518_내역서_지주목_녹화마대녹화끈수량산출-예원" xfId="9086"/>
    <cellStyle name="1_total_총괄내역0518_노임단가표" xfId="9087"/>
    <cellStyle name="1_total_총괄내역0518_노임단가표_00-설계서양식" xfId="9088"/>
    <cellStyle name="1_total_총괄내역0518_노임단가표_00-설계서양식_00-수량산출서양식" xfId="9089"/>
    <cellStyle name="1_total_총괄내역0518_노임단가표_00-설계서양식_녹화마대녹화끈수량산출-예원" xfId="9090"/>
    <cellStyle name="1_total_총괄내역0518_노임단가표_00-수량산출서양식" xfId="9091"/>
    <cellStyle name="1_total_총괄내역0518_노임단가표_녹화마대녹화끈수량산출-예원" xfId="9092"/>
    <cellStyle name="1_total_총괄내역0518_노임단가표_지주목" xfId="9093"/>
    <cellStyle name="1_total_총괄내역0518_노임단가표_지주목_00-수량산출서양식" xfId="9094"/>
    <cellStyle name="1_total_총괄내역0518_노임단가표_지주목_녹화마대녹화끈수량산출-예원" xfId="9095"/>
    <cellStyle name="1_total_총괄내역0518_녹화마대녹화끈수량산출-예원" xfId="9096"/>
    <cellStyle name="1_total_총괄내역0518_수도권매립지" xfId="9097"/>
    <cellStyle name="1_total_총괄내역0518_수도권매립지_00-설계서양식" xfId="9098"/>
    <cellStyle name="1_total_총괄내역0518_수도권매립지_00-설계서양식_00-수량산출서양식" xfId="9099"/>
    <cellStyle name="1_total_총괄내역0518_수도권매립지_00-설계서양식_녹화마대녹화끈수량산출-예원" xfId="9100"/>
    <cellStyle name="1_total_총괄내역0518_수도권매립지_00-수량산출서양식" xfId="9101"/>
    <cellStyle name="1_total_총괄내역0518_수도권매립지_녹화마대녹화끈수량산출-예원" xfId="9102"/>
    <cellStyle name="1_total_총괄내역0518_수도권매립지_지주목" xfId="9103"/>
    <cellStyle name="1_total_총괄내역0518_수도권매립지_지주목_00-수량산출서양식" xfId="9104"/>
    <cellStyle name="1_total_총괄내역0518_수도권매립지_지주목_녹화마대녹화끈수량산출-예원" xfId="9105"/>
    <cellStyle name="1_total_총괄내역0518_수도권매립지1004(발주용)" xfId="9106"/>
    <cellStyle name="1_total_총괄내역0518_수도권매립지1004(발주용)_00-설계서양식" xfId="9107"/>
    <cellStyle name="1_total_총괄내역0518_수도권매립지1004(발주용)_00-설계서양식_00-수량산출서양식" xfId="9108"/>
    <cellStyle name="1_total_총괄내역0518_수도권매립지1004(발주용)_00-설계서양식_녹화마대녹화끈수량산출-예원" xfId="9109"/>
    <cellStyle name="1_total_총괄내역0518_수도권매립지1004(발주용)_00-수량산출서양식" xfId="9110"/>
    <cellStyle name="1_total_총괄내역0518_수도권매립지1004(발주용)_녹화마대녹화끈수량산출-예원" xfId="9111"/>
    <cellStyle name="1_total_총괄내역0518_수도권매립지1004(발주용)_지주목" xfId="9112"/>
    <cellStyle name="1_total_총괄내역0518_수도권매립지1004(발주용)_지주목_00-수량산출서양식" xfId="9113"/>
    <cellStyle name="1_total_총괄내역0518_수도권매립지1004(발주용)_지주목_녹화마대녹화끈수량산출-예원" xfId="9114"/>
    <cellStyle name="1_total_총괄내역0518_일신건영설계예산서(0211)" xfId="9115"/>
    <cellStyle name="1_total_총괄내역0518_일신건영설계예산서(0211)_00-설계서양식" xfId="9116"/>
    <cellStyle name="1_total_총괄내역0518_일신건영설계예산서(0211)_00-설계서양식_00-수량산출서양식" xfId="9117"/>
    <cellStyle name="1_total_총괄내역0518_일신건영설계예산서(0211)_00-설계서양식_녹화마대녹화끈수량산출-예원" xfId="9118"/>
    <cellStyle name="1_total_총괄내역0518_일신건영설계예산서(0211)_00-수량산출서양식" xfId="9119"/>
    <cellStyle name="1_total_총괄내역0518_일신건영설계예산서(0211)_녹화마대녹화끈수량산출-예원" xfId="9120"/>
    <cellStyle name="1_total_총괄내역0518_일신건영설계예산서(0211)_지주목" xfId="9121"/>
    <cellStyle name="1_total_총괄내역0518_일신건영설계예산서(0211)_지주목_00-수량산출서양식" xfId="9122"/>
    <cellStyle name="1_total_총괄내역0518_일신건영설계예산서(0211)_지주목_녹화마대녹화끈수량산출-예원" xfId="9123"/>
    <cellStyle name="1_total_총괄내역0518_일위대가" xfId="9124"/>
    <cellStyle name="1_total_총괄내역0518_일위대가_00-설계서양식" xfId="9125"/>
    <cellStyle name="1_total_총괄내역0518_일위대가_00-설계서양식_00-수량산출서양식" xfId="9126"/>
    <cellStyle name="1_total_총괄내역0518_일위대가_00-설계서양식_녹화마대녹화끈수량산출-예원" xfId="9127"/>
    <cellStyle name="1_total_총괄내역0518_일위대가_00-수량산출서양식" xfId="9128"/>
    <cellStyle name="1_total_총괄내역0518_일위대가_녹화마대녹화끈수량산출-예원" xfId="9129"/>
    <cellStyle name="1_total_총괄내역0518_일위대가_지주목" xfId="9130"/>
    <cellStyle name="1_total_총괄내역0518_일위대가_지주목_00-수량산출서양식" xfId="9131"/>
    <cellStyle name="1_total_총괄내역0518_일위대가_지주목_녹화마대녹화끈수량산출-예원" xfId="9132"/>
    <cellStyle name="1_total_총괄내역0518_자재단가표" xfId="9133"/>
    <cellStyle name="1_total_총괄내역0518_자재단가표_00-설계서양식" xfId="9134"/>
    <cellStyle name="1_total_총괄내역0518_자재단가표_00-설계서양식_00-수량산출서양식" xfId="9135"/>
    <cellStyle name="1_total_총괄내역0518_자재단가표_00-설계서양식_녹화마대녹화끈수량산출-예원" xfId="9136"/>
    <cellStyle name="1_total_총괄내역0518_자재단가표_00-수량산출서양식" xfId="9137"/>
    <cellStyle name="1_total_총괄내역0518_자재단가표_녹화마대녹화끈수량산출-예원" xfId="9138"/>
    <cellStyle name="1_total_총괄내역0518_자재단가표_지주목" xfId="9139"/>
    <cellStyle name="1_total_총괄내역0518_자재단가표_지주목_00-수량산출서양식" xfId="9140"/>
    <cellStyle name="1_total_총괄내역0518_자재단가표_지주목_녹화마대녹화끈수량산출-예원" xfId="9141"/>
    <cellStyle name="1_total_총괄내역0518_장안초등학교내역0814" xfId="9142"/>
    <cellStyle name="1_total_총괄내역0518_장안초등학교내역0814_00-설계서양식" xfId="9143"/>
    <cellStyle name="1_total_총괄내역0518_장안초등학교내역0814_00-설계서양식_00-수량산출서양식" xfId="9144"/>
    <cellStyle name="1_total_총괄내역0518_장안초등학교내역0814_00-설계서양식_녹화마대녹화끈수량산출-예원" xfId="9145"/>
    <cellStyle name="1_total_총괄내역0518_장안초등학교내역0814_00-수량산출서양식" xfId="9146"/>
    <cellStyle name="1_total_총괄내역0518_장안초등학교내역0814_녹화마대녹화끈수량산출-예원" xfId="9147"/>
    <cellStyle name="1_total_총괄내역0518_장안초등학교내역0814_지주목" xfId="9148"/>
    <cellStyle name="1_total_총괄내역0518_장안초등학교내역0814_지주목_00-수량산출서양식" xfId="9149"/>
    <cellStyle name="1_total_총괄내역0518_장안초등학교내역0814_지주목_녹화마대녹화끈수량산출-예원" xfId="9150"/>
    <cellStyle name="1_total_총괄내역0518_지주목" xfId="9151"/>
    <cellStyle name="1_total_총괄내역0518_지주목_00-수량산출서양식" xfId="9152"/>
    <cellStyle name="1_total_총괄내역0518_지주목_녹화마대녹화끈수량산출-예원" xfId="9153"/>
    <cellStyle name="1_total_현충묘지-예산서(조경)" xfId="9154"/>
    <cellStyle name="1_total_현충묘지-예산서(조경)_00-수량산출서양식" xfId="9155"/>
    <cellStyle name="1_total_현충묘지-예산서(조경)_까르프-표지예정공정표" xfId="9156"/>
    <cellStyle name="1_total_현충묘지-예산서(조경)_까르프-표지예정공정표_설계서-06 0627" xfId="9157"/>
    <cellStyle name="1_total_현충묘지-예산서(조경)_까르프-표지예정공정표_설계서-06 0727" xfId="9158"/>
    <cellStyle name="1_total_현충묘지-예산서(조경)_녹화마대녹화끈수량산출-예원" xfId="9159"/>
    <cellStyle name="1_total_현충묘지-예산서(조경)_대전가오-설계서" xfId="9160"/>
    <cellStyle name="1_total_현충묘지-예산서(조경)_대전가오-설계서(관리)" xfId="9161"/>
    <cellStyle name="1_total_현충묘지-예산서(조경)_대전가오-설계서(관리)_00-설계서양식" xfId="9162"/>
    <cellStyle name="1_total_현충묘지-예산서(조경)_대전가오-설계서(관리)_00-설계서양식_00-수량산출서양식" xfId="9163"/>
    <cellStyle name="1_total_현충묘지-예산서(조경)_대전가오-설계서(관리)_00-설계서양식_녹화마대녹화끈수량산출-예원" xfId="9164"/>
    <cellStyle name="1_total_현충묘지-예산서(조경)_대전가오-설계서(관리)_00-수량산출서양식" xfId="9165"/>
    <cellStyle name="1_total_현충묘지-예산서(조경)_대전가오-설계서(관리)_녹화마대녹화끈수량산출-예원" xfId="9166"/>
    <cellStyle name="1_total_현충묘지-예산서(조경)_대전가오-설계서_00-설계서양식" xfId="9167"/>
    <cellStyle name="1_total_현충묘지-예산서(조경)_대전가오-설계서_00-설계서양식_00-수량산출서양식" xfId="9168"/>
    <cellStyle name="1_total_현충묘지-예산서(조경)_대전가오-설계서_00-설계서양식_녹화마대녹화끈수량산출-예원" xfId="9169"/>
    <cellStyle name="1_total_현충묘지-예산서(조경)_대전가오-설계서_00-수량산출서양식" xfId="9170"/>
    <cellStyle name="1_total_현충묘지-예산서(조경)_대전가오-설계서_녹화마대녹화끈수량산출-예원" xfId="9171"/>
    <cellStyle name="1_total_현충묘지-예산서(조경)_대전가오-설계서1" xfId="9172"/>
    <cellStyle name="1_total_현충묘지-예산서(조경)_대전가오-설계서1_00-설계서양식" xfId="9173"/>
    <cellStyle name="1_total_현충묘지-예산서(조경)_대전가오-설계서1_00-설계서양식_00-수량산출서양식" xfId="9174"/>
    <cellStyle name="1_total_현충묘지-예산서(조경)_대전가오-설계서1_00-설계서양식_녹화마대녹화끈수량산출-예원" xfId="9175"/>
    <cellStyle name="1_total_현충묘지-예산서(조경)_대전가오-설계서1_00-수량산출서양식" xfId="9176"/>
    <cellStyle name="1_total_현충묘지-예산서(조경)_대전가오-설계서1_녹화마대녹화끈수량산출-예원" xfId="9177"/>
    <cellStyle name="1_total_현충묘지-예산서(조경)_설계서-06 0627" xfId="9178"/>
    <cellStyle name="1_total_현충묘지-예산서(조경)_설계서-06 0727" xfId="9179"/>
    <cellStyle name="1_total_현충묘지-예산서(조경)_수량산출서-06 0627" xfId="9180"/>
    <cellStyle name="1_total_현충묘지-예산서(조경)_예산서-엑셀변환양식100" xfId="9181"/>
    <cellStyle name="1_total_현충묘지-예산서(조경)_예산서-엑셀변환양식100_00-설계서양식" xfId="9182"/>
    <cellStyle name="1_total_현충묘지-예산서(조경)_예산서-엑셀변환양식100_00-설계서양식_00-수량산출서양식" xfId="9183"/>
    <cellStyle name="1_total_현충묘지-예산서(조경)_예산서-엑셀변환양식100_00-설계서양식_녹화마대녹화끈수량산출-예원" xfId="9184"/>
    <cellStyle name="1_total_현충묘지-예산서(조경)_예산서-엑셀변환양식100_00-수량산출서양식" xfId="9185"/>
    <cellStyle name="1_total_현충묘지-예산서(조경)_예산서-엑셀변환양식100_00-예산서양식100" xfId="9186"/>
    <cellStyle name="1_total_현충묘지-예산서(조경)_예산서-엑셀변환양식100_00-예산서양식100_00-수량산출서양식" xfId="9187"/>
    <cellStyle name="1_total_현충묘지-예산서(조경)_예산서-엑셀변환양식100_00-예산서양식100_녹화마대녹화끈수량산출-예원" xfId="9188"/>
    <cellStyle name="1_total_현충묘지-예산서(조경)_예산서-엑셀변환양식100_00-예산서양식100_대전가오-설계서" xfId="9189"/>
    <cellStyle name="1_total_현충묘지-예산서(조경)_예산서-엑셀변환양식100_00-예산서양식100_대전가오-설계서(관리)" xfId="9190"/>
    <cellStyle name="1_total_현충묘지-예산서(조경)_예산서-엑셀변환양식100_00-예산서양식100_대전가오-설계서(관리)_00-설계서양식" xfId="9191"/>
    <cellStyle name="1_total_현충묘지-예산서(조경)_예산서-엑셀변환양식100_00-예산서양식100_대전가오-설계서(관리)_00-설계서양식_00-수량산출서양식" xfId="9192"/>
    <cellStyle name="1_total_현충묘지-예산서(조경)_예산서-엑셀변환양식100_00-예산서양식100_대전가오-설계서(관리)_00-설계서양식_녹화마대녹화끈수량산출-예원" xfId="9193"/>
    <cellStyle name="1_total_현충묘지-예산서(조경)_예산서-엑셀변환양식100_00-예산서양식100_대전가오-설계서(관리)_00-수량산출서양식" xfId="9194"/>
    <cellStyle name="1_total_현충묘지-예산서(조경)_예산서-엑셀변환양식100_00-예산서양식100_대전가오-설계서(관리)_녹화마대녹화끈수량산출-예원" xfId="9195"/>
    <cellStyle name="1_total_현충묘지-예산서(조경)_예산서-엑셀변환양식100_00-예산서양식100_대전가오-설계서_00-설계서양식" xfId="9196"/>
    <cellStyle name="1_total_현충묘지-예산서(조경)_예산서-엑셀변환양식100_00-예산서양식100_대전가오-설계서_00-설계서양식_00-수량산출서양식" xfId="9197"/>
    <cellStyle name="1_total_현충묘지-예산서(조경)_예산서-엑셀변환양식100_00-예산서양식100_대전가오-설계서_00-설계서양식_녹화마대녹화끈수량산출-예원" xfId="9198"/>
    <cellStyle name="1_total_현충묘지-예산서(조경)_예산서-엑셀변환양식100_00-예산서양식100_대전가오-설계서_00-수량산출서양식" xfId="9199"/>
    <cellStyle name="1_total_현충묘지-예산서(조경)_예산서-엑셀변환양식100_00-예산서양식100_대전가오-설계서_녹화마대녹화끈수량산출-예원" xfId="9200"/>
    <cellStyle name="1_total_현충묘지-예산서(조경)_예산서-엑셀변환양식100_00-예산서양식100_대전가오-설계서1" xfId="9201"/>
    <cellStyle name="1_total_현충묘지-예산서(조경)_예산서-엑셀변환양식100_00-예산서양식100_대전가오-설계서1_00-설계서양식" xfId="9202"/>
    <cellStyle name="1_total_현충묘지-예산서(조경)_예산서-엑셀변환양식100_00-예산서양식100_대전가오-설계서1_00-설계서양식_00-수량산출서양식" xfId="9203"/>
    <cellStyle name="1_total_현충묘지-예산서(조경)_예산서-엑셀변환양식100_00-예산서양식100_대전가오-설계서1_00-설계서양식_녹화마대녹화끈수량산출-예원" xfId="9204"/>
    <cellStyle name="1_total_현충묘지-예산서(조경)_예산서-엑셀변환양식100_00-예산서양식100_대전가오-설계서1_00-수량산출서양식" xfId="9205"/>
    <cellStyle name="1_total_현충묘지-예산서(조경)_예산서-엑셀변환양식100_00-예산서양식100_대전가오-설계서1_녹화마대녹화끈수량산출-예원" xfId="9206"/>
    <cellStyle name="1_total_현충묘지-예산서(조경)_예산서-엑셀변환양식100_00-예산서양식100_설계서-06 0627" xfId="9207"/>
    <cellStyle name="1_total_현충묘지-예산서(조경)_예산서-엑셀변환양식100_00-예산서양식100_설계서-06 0727" xfId="9208"/>
    <cellStyle name="1_total_현충묘지-예산서(조경)_예산서-엑셀변환양식100_00-예산서양식100_수량산출서-06 0627" xfId="9209"/>
    <cellStyle name="1_total_현충묘지-예산서(조경)_예산서-엑셀변환양식100_00-표지예정공정표" xfId="9210"/>
    <cellStyle name="1_total_현충묘지-예산서(조경)_예산서-엑셀변환양식100_00-표지예정공정표_설계서-06 0627" xfId="9211"/>
    <cellStyle name="1_total_현충묘지-예산서(조경)_예산서-엑셀변환양식100_00-표지예정공정표_설계서-06 0727" xfId="9212"/>
    <cellStyle name="1_total_현충묘지-예산서(조경)_예산서-엑셀변환양식100_녹화마대녹화끈수량산출-예원" xfId="9213"/>
    <cellStyle name="1_total_현충묘지-예산서(조경)_표지예정공정표" xfId="9214"/>
    <cellStyle name="1_total_현충묘지-예산서(조경)_-표지예정공정표" xfId="9215"/>
    <cellStyle name="1_total_현충묘지-예산서(조경)_표지예정공정표_설계서-06 0627" xfId="9216"/>
    <cellStyle name="1_total_현충묘지-예산서(조경)_-표지예정공정표_설계서-06 0627" xfId="9217"/>
    <cellStyle name="1_total_현충묘지-예산서(조경)_표지예정공정표_설계서-06 0727" xfId="9218"/>
    <cellStyle name="1_total_현충묘지-예산서(조경)_-표지예정공정표_설계서-06 0727" xfId="9219"/>
    <cellStyle name="1_tree" xfId="9220"/>
    <cellStyle name="1_tree_00-설계서양식" xfId="9221"/>
    <cellStyle name="1_tree_00-설계서양식_00-수량산출서양식" xfId="9222"/>
    <cellStyle name="1_tree_00-설계서양식_녹화마대녹화끈수량산출-예원" xfId="9223"/>
    <cellStyle name="1_tree_00-수량산출서양식" xfId="9224"/>
    <cellStyle name="1_tree_00-예산서양식100" xfId="9225"/>
    <cellStyle name="1_tree_00-예산서양식100_00-수량산출서양식" xfId="9226"/>
    <cellStyle name="1_tree_00-예산서양식100_녹화마대녹화끈수량산출-예원" xfId="9227"/>
    <cellStyle name="1_tree_00-예산서양식100_대전가오-설계서" xfId="9228"/>
    <cellStyle name="1_tree_00-예산서양식100_대전가오-설계서(관리)" xfId="9229"/>
    <cellStyle name="1_tree_00-예산서양식100_대전가오-설계서(관리)_00-설계서양식" xfId="9230"/>
    <cellStyle name="1_tree_00-예산서양식100_대전가오-설계서(관리)_00-설계서양식_00-수량산출서양식" xfId="9231"/>
    <cellStyle name="1_tree_00-예산서양식100_대전가오-설계서(관리)_00-설계서양식_녹화마대녹화끈수량산출-예원" xfId="9232"/>
    <cellStyle name="1_tree_00-예산서양식100_대전가오-설계서(관리)_00-수량산출서양식" xfId="9233"/>
    <cellStyle name="1_tree_00-예산서양식100_대전가오-설계서(관리)_녹화마대녹화끈수량산출-예원" xfId="9234"/>
    <cellStyle name="1_tree_00-예산서양식100_대전가오-설계서_00-설계서양식" xfId="9235"/>
    <cellStyle name="1_tree_00-예산서양식100_대전가오-설계서_00-설계서양식_00-수량산출서양식" xfId="9236"/>
    <cellStyle name="1_tree_00-예산서양식100_대전가오-설계서_00-설계서양식_녹화마대녹화끈수량산출-예원" xfId="9237"/>
    <cellStyle name="1_tree_00-예산서양식100_대전가오-설계서_00-수량산출서양식" xfId="9238"/>
    <cellStyle name="1_tree_00-예산서양식100_대전가오-설계서_녹화마대녹화끈수량산출-예원" xfId="9239"/>
    <cellStyle name="1_tree_00-예산서양식100_대전가오-설계서1" xfId="9240"/>
    <cellStyle name="1_tree_00-예산서양식100_대전가오-설계서1_00-설계서양식" xfId="9241"/>
    <cellStyle name="1_tree_00-예산서양식100_대전가오-설계서1_00-설계서양식_00-수량산출서양식" xfId="9242"/>
    <cellStyle name="1_tree_00-예산서양식100_대전가오-설계서1_00-설계서양식_녹화마대녹화끈수량산출-예원" xfId="9243"/>
    <cellStyle name="1_tree_00-예산서양식100_대전가오-설계서1_00-수량산출서양식" xfId="9244"/>
    <cellStyle name="1_tree_00-예산서양식100_대전가오-설계서1_녹화마대녹화끈수량산출-예원" xfId="9245"/>
    <cellStyle name="1_tree_00-예산서양식100_설계서-06 0627" xfId="9246"/>
    <cellStyle name="1_tree_00-예산서양식100_설계서-06 0727" xfId="9247"/>
    <cellStyle name="1_tree_00-예산서양식100_수량산출서-06 0627" xfId="9248"/>
    <cellStyle name="1_tree_00-표지예정공정표" xfId="9249"/>
    <cellStyle name="1_tree_00-표지예정공정표_설계서-06 0627" xfId="9250"/>
    <cellStyle name="1_tree_00-표지예정공정표_설계서-06 0727" xfId="9251"/>
    <cellStyle name="1_tree_구로리총괄내역" xfId="9252"/>
    <cellStyle name="1_tree_구로리총괄내역_00-설계서양식" xfId="9253"/>
    <cellStyle name="1_tree_구로리총괄내역_00-설계서양식_00-수량산출서양식" xfId="9254"/>
    <cellStyle name="1_tree_구로리총괄내역_00-설계서양식_녹화마대녹화끈수량산출-예원" xfId="9255"/>
    <cellStyle name="1_tree_구로리총괄내역_00-수량산출서양식" xfId="9256"/>
    <cellStyle name="1_tree_구로리총괄내역_구로리설계예산서1029" xfId="9257"/>
    <cellStyle name="1_tree_구로리총괄내역_구로리설계예산서1029_00-설계서양식" xfId="9258"/>
    <cellStyle name="1_tree_구로리총괄내역_구로리설계예산서1029_00-설계서양식_00-수량산출서양식" xfId="9259"/>
    <cellStyle name="1_tree_구로리총괄내역_구로리설계예산서1029_00-설계서양식_녹화마대녹화끈수량산출-예원" xfId="9260"/>
    <cellStyle name="1_tree_구로리총괄내역_구로리설계예산서1029_00-수량산출서양식" xfId="9261"/>
    <cellStyle name="1_tree_구로리총괄내역_구로리설계예산서1029_녹화마대녹화끈수량산출-예원" xfId="9262"/>
    <cellStyle name="1_tree_구로리총괄내역_구로리설계예산서1029_지주목" xfId="9263"/>
    <cellStyle name="1_tree_구로리총괄내역_구로리설계예산서1029_지주목_00-수량산출서양식" xfId="9264"/>
    <cellStyle name="1_tree_구로리총괄내역_구로리설계예산서1029_지주목_녹화마대녹화끈수량산출-예원" xfId="9265"/>
    <cellStyle name="1_tree_구로리총괄내역_구로리설계예산서1118준공" xfId="9266"/>
    <cellStyle name="1_tree_구로리총괄내역_구로리설계예산서1118준공_00-설계서양식" xfId="9267"/>
    <cellStyle name="1_tree_구로리총괄내역_구로리설계예산서1118준공_00-설계서양식_00-수량산출서양식" xfId="9268"/>
    <cellStyle name="1_tree_구로리총괄내역_구로리설계예산서1118준공_00-설계서양식_녹화마대녹화끈수량산출-예원" xfId="9269"/>
    <cellStyle name="1_tree_구로리총괄내역_구로리설계예산서1118준공_00-수량산출서양식" xfId="9270"/>
    <cellStyle name="1_tree_구로리총괄내역_구로리설계예산서1118준공_녹화마대녹화끈수량산출-예원" xfId="9271"/>
    <cellStyle name="1_tree_구로리총괄내역_구로리설계예산서1118준공_지주목" xfId="9272"/>
    <cellStyle name="1_tree_구로리총괄내역_구로리설계예산서1118준공_지주목_00-수량산출서양식" xfId="9273"/>
    <cellStyle name="1_tree_구로리총괄내역_구로리설계예산서1118준공_지주목_녹화마대녹화끈수량산출-예원" xfId="9274"/>
    <cellStyle name="1_tree_구로리총괄내역_구로리설계예산서조경" xfId="9275"/>
    <cellStyle name="1_tree_구로리총괄내역_구로리설계예산서조경_00-설계서양식" xfId="9276"/>
    <cellStyle name="1_tree_구로리총괄내역_구로리설계예산서조경_00-설계서양식_00-수량산출서양식" xfId="9277"/>
    <cellStyle name="1_tree_구로리총괄내역_구로리설계예산서조경_00-설계서양식_녹화마대녹화끈수량산출-예원" xfId="9278"/>
    <cellStyle name="1_tree_구로리총괄내역_구로리설계예산서조경_00-수량산출서양식" xfId="9279"/>
    <cellStyle name="1_tree_구로리총괄내역_구로리설계예산서조경_녹화마대녹화끈수량산출-예원" xfId="9280"/>
    <cellStyle name="1_tree_구로리총괄내역_구로리설계예산서조경_지주목" xfId="9281"/>
    <cellStyle name="1_tree_구로리총괄내역_구로리설계예산서조경_지주목_00-수량산출서양식" xfId="9282"/>
    <cellStyle name="1_tree_구로리총괄내역_구로리설계예산서조경_지주목_녹화마대녹화끈수량산출-예원" xfId="9283"/>
    <cellStyle name="1_tree_구로리총괄내역_구로리어린이공원예산서(조경)1125" xfId="9284"/>
    <cellStyle name="1_tree_구로리총괄내역_구로리어린이공원예산서(조경)1125_00-설계서양식" xfId="9285"/>
    <cellStyle name="1_tree_구로리총괄내역_구로리어린이공원예산서(조경)1125_00-설계서양식_00-수량산출서양식" xfId="9286"/>
    <cellStyle name="1_tree_구로리총괄내역_구로리어린이공원예산서(조경)1125_00-설계서양식_녹화마대녹화끈수량산출-예원" xfId="9287"/>
    <cellStyle name="1_tree_구로리총괄내역_구로리어린이공원예산서(조경)1125_00-수량산출서양식" xfId="9288"/>
    <cellStyle name="1_tree_구로리총괄내역_구로리어린이공원예산서(조경)1125_녹화마대녹화끈수량산출-예원" xfId="9289"/>
    <cellStyle name="1_tree_구로리총괄내역_구로리어린이공원예산서(조경)1125_지주목" xfId="9290"/>
    <cellStyle name="1_tree_구로리총괄내역_구로리어린이공원예산서(조경)1125_지주목_00-수량산출서양식" xfId="9291"/>
    <cellStyle name="1_tree_구로리총괄내역_구로리어린이공원예산서(조경)1125_지주목_녹화마대녹화끈수량산출-예원" xfId="9292"/>
    <cellStyle name="1_tree_구로리총괄내역_내역서" xfId="9293"/>
    <cellStyle name="1_tree_구로리총괄내역_내역서_00-설계서양식" xfId="9294"/>
    <cellStyle name="1_tree_구로리총괄내역_내역서_00-설계서양식_00-수량산출서양식" xfId="9295"/>
    <cellStyle name="1_tree_구로리총괄내역_내역서_00-설계서양식_녹화마대녹화끈수량산출-예원" xfId="9296"/>
    <cellStyle name="1_tree_구로리총괄내역_내역서_00-수량산출서양식" xfId="9297"/>
    <cellStyle name="1_tree_구로리총괄내역_내역서_녹화마대녹화끈수량산출-예원" xfId="9298"/>
    <cellStyle name="1_tree_구로리총괄내역_내역서_녹화마대녹화끈수량산출-예원_분양(100%)" xfId="37711"/>
    <cellStyle name="1_tree_구로리총괄내역_내역서_지주목" xfId="9299"/>
    <cellStyle name="1_tree_구로리총괄내역_내역서_지주목_00-수량산출서양식" xfId="9300"/>
    <cellStyle name="1_tree_구로리총괄내역_내역서_지주목_00-수량산출서양식_분양(100%)" xfId="37713"/>
    <cellStyle name="1_tree_구로리총괄내역_내역서_지주목_녹화마대녹화끈수량산출-예원" xfId="9301"/>
    <cellStyle name="1_tree_구로리총괄내역_내역서_지주목_녹화마대녹화끈수량산출-예원_분양(100%)" xfId="37714"/>
    <cellStyle name="1_tree_구로리총괄내역_내역서_지주목_분양(100%)" xfId="37712"/>
    <cellStyle name="1_tree_구로리총괄내역_노임단가표" xfId="9302"/>
    <cellStyle name="1_tree_구로리총괄내역_노임단가표_00-설계서양식" xfId="9303"/>
    <cellStyle name="1_tree_구로리총괄내역_노임단가표_00-설계서양식_00-수량산출서양식" xfId="9304"/>
    <cellStyle name="1_tree_구로리총괄내역_노임단가표_00-설계서양식_00-수량산출서양식_분양(100%)" xfId="37717"/>
    <cellStyle name="1_tree_구로리총괄내역_노임단가표_00-설계서양식_녹화마대녹화끈수량산출-예원" xfId="9305"/>
    <cellStyle name="1_tree_구로리총괄내역_노임단가표_00-설계서양식_녹화마대녹화끈수량산출-예원_분양(100%)" xfId="37718"/>
    <cellStyle name="1_tree_구로리총괄내역_노임단가표_00-설계서양식_분양(100%)" xfId="37716"/>
    <cellStyle name="1_tree_구로리총괄내역_노임단가표_00-수량산출서양식" xfId="9306"/>
    <cellStyle name="1_tree_구로리총괄내역_노임단가표_00-수량산출서양식_분양(100%)" xfId="37719"/>
    <cellStyle name="1_tree_구로리총괄내역_노임단가표_녹화마대녹화끈수량산출-예원" xfId="9307"/>
    <cellStyle name="1_tree_구로리총괄내역_노임단가표_녹화마대녹화끈수량산출-예원_분양(100%)" xfId="37720"/>
    <cellStyle name="1_tree_구로리총괄내역_노임단가표_분양(100%)" xfId="37715"/>
    <cellStyle name="1_tree_구로리총괄내역_노임단가표_지주목" xfId="9308"/>
    <cellStyle name="1_tree_구로리총괄내역_노임단가표_지주목_00-수량산출서양식" xfId="9309"/>
    <cellStyle name="1_tree_구로리총괄내역_노임단가표_지주목_00-수량산출서양식_분양(100%)" xfId="37722"/>
    <cellStyle name="1_tree_구로리총괄내역_노임단가표_지주목_녹화마대녹화끈수량산출-예원" xfId="9310"/>
    <cellStyle name="1_tree_구로리총괄내역_노임단가표_지주목_녹화마대녹화끈수량산출-예원_분양(100%)" xfId="37723"/>
    <cellStyle name="1_tree_구로리총괄내역_노임단가표_지주목_분양(100%)" xfId="37721"/>
    <cellStyle name="1_tree_구로리총괄내역_녹화마대녹화끈수량산출-예원" xfId="9311"/>
    <cellStyle name="1_tree_구로리총괄내역_녹화마대녹화끈수량산출-예원_분양(100%)" xfId="37724"/>
    <cellStyle name="1_tree_구로리총괄내역_수도권매립지" xfId="9312"/>
    <cellStyle name="1_tree_구로리총괄내역_수도권매립지_00-설계서양식" xfId="9313"/>
    <cellStyle name="1_tree_구로리총괄내역_수도권매립지_00-설계서양식_00-수량산출서양식" xfId="9314"/>
    <cellStyle name="1_tree_구로리총괄내역_수도권매립지_00-설계서양식_00-수량산출서양식_분양(100%)" xfId="37727"/>
    <cellStyle name="1_tree_구로리총괄내역_수도권매립지_00-설계서양식_녹화마대녹화끈수량산출-예원" xfId="9315"/>
    <cellStyle name="1_tree_구로리총괄내역_수도권매립지_00-설계서양식_녹화마대녹화끈수량산출-예원_분양(100%)" xfId="37728"/>
    <cellStyle name="1_tree_구로리총괄내역_수도권매립지_00-설계서양식_분양(100%)" xfId="37726"/>
    <cellStyle name="1_tree_구로리총괄내역_수도권매립지_00-수량산출서양식" xfId="9316"/>
    <cellStyle name="1_tree_구로리총괄내역_수도권매립지_00-수량산출서양식_분양(100%)" xfId="37729"/>
    <cellStyle name="1_tree_구로리총괄내역_수도권매립지_녹화마대녹화끈수량산출-예원" xfId="9317"/>
    <cellStyle name="1_tree_구로리총괄내역_수도권매립지_녹화마대녹화끈수량산출-예원_분양(100%)" xfId="37730"/>
    <cellStyle name="1_tree_구로리총괄내역_수도권매립지_분양(100%)" xfId="37725"/>
    <cellStyle name="1_tree_구로리총괄내역_수도권매립지_지주목" xfId="9318"/>
    <cellStyle name="1_tree_구로리총괄내역_수도권매립지_지주목_00-수량산출서양식" xfId="9319"/>
    <cellStyle name="1_tree_구로리총괄내역_수도권매립지_지주목_00-수량산출서양식_분양(100%)" xfId="37732"/>
    <cellStyle name="1_tree_구로리총괄내역_수도권매립지_지주목_녹화마대녹화끈수량산출-예원" xfId="9320"/>
    <cellStyle name="1_tree_구로리총괄내역_수도권매립지_지주목_녹화마대녹화끈수량산출-예원_분양(100%)" xfId="37733"/>
    <cellStyle name="1_tree_구로리총괄내역_수도권매립지_지주목_분양(100%)" xfId="37731"/>
    <cellStyle name="1_tree_구로리총괄내역_수도권매립지1004(발주용)" xfId="9321"/>
    <cellStyle name="1_tree_구로리총괄내역_수도권매립지1004(발주용)_00-설계서양식" xfId="9322"/>
    <cellStyle name="1_tree_구로리총괄내역_수도권매립지1004(발주용)_00-설계서양식_00-수량산출서양식" xfId="9323"/>
    <cellStyle name="1_tree_구로리총괄내역_수도권매립지1004(발주용)_00-설계서양식_00-수량산출서양식_분양(100%)" xfId="37736"/>
    <cellStyle name="1_tree_구로리총괄내역_수도권매립지1004(발주용)_00-설계서양식_녹화마대녹화끈수량산출-예원" xfId="9324"/>
    <cellStyle name="1_tree_구로리총괄내역_수도권매립지1004(발주용)_00-설계서양식_녹화마대녹화끈수량산출-예원_분양(100%)" xfId="37737"/>
    <cellStyle name="1_tree_구로리총괄내역_수도권매립지1004(발주용)_00-설계서양식_분양(100%)" xfId="37735"/>
    <cellStyle name="1_tree_구로리총괄내역_수도권매립지1004(발주용)_00-수량산출서양식" xfId="9325"/>
    <cellStyle name="1_tree_구로리총괄내역_수도권매립지1004(발주용)_00-수량산출서양식_분양(100%)" xfId="37738"/>
    <cellStyle name="1_tree_구로리총괄내역_수도권매립지1004(발주용)_녹화마대녹화끈수량산출-예원" xfId="9326"/>
    <cellStyle name="1_tree_구로리총괄내역_수도권매립지1004(발주용)_녹화마대녹화끈수량산출-예원_분양(100%)" xfId="37739"/>
    <cellStyle name="1_tree_구로리총괄내역_수도권매립지1004(발주용)_분양(100%)" xfId="37734"/>
    <cellStyle name="1_tree_구로리총괄내역_수도권매립지1004(발주용)_지주목" xfId="9327"/>
    <cellStyle name="1_tree_구로리총괄내역_수도권매립지1004(발주용)_지주목_00-수량산출서양식" xfId="9328"/>
    <cellStyle name="1_tree_구로리총괄내역_수도권매립지1004(발주용)_지주목_00-수량산출서양식_분양(100%)" xfId="37741"/>
    <cellStyle name="1_tree_구로리총괄내역_수도권매립지1004(발주용)_지주목_녹화마대녹화끈수량산출-예원" xfId="9329"/>
    <cellStyle name="1_tree_구로리총괄내역_수도권매립지1004(발주용)_지주목_녹화마대녹화끈수량산출-예원_분양(100%)" xfId="37742"/>
    <cellStyle name="1_tree_구로리총괄내역_수도권매립지1004(발주용)_지주목_분양(100%)" xfId="37740"/>
    <cellStyle name="1_tree_구로리총괄내역_일신건영설계예산서(0211)" xfId="9330"/>
    <cellStyle name="1_tree_구로리총괄내역_일신건영설계예산서(0211)_00-설계서양식" xfId="9331"/>
    <cellStyle name="1_tree_구로리총괄내역_일신건영설계예산서(0211)_00-설계서양식_00-수량산출서양식" xfId="9332"/>
    <cellStyle name="1_tree_구로리총괄내역_일신건영설계예산서(0211)_00-설계서양식_00-수량산출서양식_분양(100%)" xfId="37745"/>
    <cellStyle name="1_tree_구로리총괄내역_일신건영설계예산서(0211)_00-설계서양식_녹화마대녹화끈수량산출-예원" xfId="9333"/>
    <cellStyle name="1_tree_구로리총괄내역_일신건영설계예산서(0211)_00-설계서양식_녹화마대녹화끈수량산출-예원_분양(100%)" xfId="37746"/>
    <cellStyle name="1_tree_구로리총괄내역_일신건영설계예산서(0211)_00-설계서양식_분양(100%)" xfId="37744"/>
    <cellStyle name="1_tree_구로리총괄내역_일신건영설계예산서(0211)_00-수량산출서양식" xfId="9334"/>
    <cellStyle name="1_tree_구로리총괄내역_일신건영설계예산서(0211)_00-수량산출서양식_분양(100%)" xfId="37747"/>
    <cellStyle name="1_tree_구로리총괄내역_일신건영설계예산서(0211)_녹화마대녹화끈수량산출-예원" xfId="9335"/>
    <cellStyle name="1_tree_구로리총괄내역_일신건영설계예산서(0211)_녹화마대녹화끈수량산출-예원_분양(100%)" xfId="37748"/>
    <cellStyle name="1_tree_구로리총괄내역_일신건영설계예산서(0211)_분양(100%)" xfId="37743"/>
    <cellStyle name="1_tree_구로리총괄내역_일신건영설계예산서(0211)_지주목" xfId="9336"/>
    <cellStyle name="1_tree_구로리총괄내역_일신건영설계예산서(0211)_지주목_00-수량산출서양식" xfId="9337"/>
    <cellStyle name="1_tree_구로리총괄내역_일신건영설계예산서(0211)_지주목_00-수량산출서양식_분양(100%)" xfId="37750"/>
    <cellStyle name="1_tree_구로리총괄내역_일신건영설계예산서(0211)_지주목_녹화마대녹화끈수량산출-예원" xfId="9338"/>
    <cellStyle name="1_tree_구로리총괄내역_일신건영설계예산서(0211)_지주목_녹화마대녹화끈수량산출-예원_분양(100%)" xfId="37751"/>
    <cellStyle name="1_tree_구로리총괄내역_일신건영설계예산서(0211)_지주목_분양(100%)" xfId="37749"/>
    <cellStyle name="1_tree_구로리총괄내역_일위대가" xfId="9339"/>
    <cellStyle name="1_tree_구로리총괄내역_일위대가_00-설계서양식" xfId="9340"/>
    <cellStyle name="1_tree_구로리총괄내역_일위대가_00-설계서양식_00-수량산출서양식" xfId="9341"/>
    <cellStyle name="1_tree_구로리총괄내역_일위대가_00-설계서양식_00-수량산출서양식_분양(100%)" xfId="37754"/>
    <cellStyle name="1_tree_구로리총괄내역_일위대가_00-설계서양식_녹화마대녹화끈수량산출-예원" xfId="9342"/>
    <cellStyle name="1_tree_구로리총괄내역_일위대가_00-설계서양식_녹화마대녹화끈수량산출-예원_분양(100%)" xfId="37755"/>
    <cellStyle name="1_tree_구로리총괄내역_일위대가_00-설계서양식_분양(100%)" xfId="37753"/>
    <cellStyle name="1_tree_구로리총괄내역_일위대가_00-수량산출서양식" xfId="9343"/>
    <cellStyle name="1_tree_구로리총괄내역_일위대가_00-수량산출서양식_분양(100%)" xfId="37756"/>
    <cellStyle name="1_tree_구로리총괄내역_일위대가_녹화마대녹화끈수량산출-예원" xfId="9344"/>
    <cellStyle name="1_tree_구로리총괄내역_일위대가_녹화마대녹화끈수량산출-예원_분양(100%)" xfId="37757"/>
    <cellStyle name="1_tree_구로리총괄내역_일위대가_분양(100%)" xfId="37752"/>
    <cellStyle name="1_tree_구로리총괄내역_일위대가_지주목" xfId="9345"/>
    <cellStyle name="1_tree_구로리총괄내역_일위대가_지주목_00-수량산출서양식" xfId="9346"/>
    <cellStyle name="1_tree_구로리총괄내역_일위대가_지주목_00-수량산출서양식_분양(100%)" xfId="37759"/>
    <cellStyle name="1_tree_구로리총괄내역_일위대가_지주목_녹화마대녹화끈수량산출-예원" xfId="9347"/>
    <cellStyle name="1_tree_구로리총괄내역_일위대가_지주목_녹화마대녹화끈수량산출-예원_분양(100%)" xfId="37760"/>
    <cellStyle name="1_tree_구로리총괄내역_일위대가_지주목_분양(100%)" xfId="37758"/>
    <cellStyle name="1_tree_구로리총괄내역_자재단가표" xfId="9348"/>
    <cellStyle name="1_tree_구로리총괄내역_자재단가표_00-설계서양식" xfId="9349"/>
    <cellStyle name="1_tree_구로리총괄내역_자재단가표_00-설계서양식_00-수량산출서양식" xfId="9350"/>
    <cellStyle name="1_tree_구로리총괄내역_자재단가표_00-설계서양식_00-수량산출서양식_분양(100%)" xfId="37763"/>
    <cellStyle name="1_tree_구로리총괄내역_자재단가표_00-설계서양식_녹화마대녹화끈수량산출-예원" xfId="9351"/>
    <cellStyle name="1_tree_구로리총괄내역_자재단가표_00-설계서양식_녹화마대녹화끈수량산출-예원_분양(100%)" xfId="37764"/>
    <cellStyle name="1_tree_구로리총괄내역_자재단가표_00-설계서양식_분양(100%)" xfId="37762"/>
    <cellStyle name="1_tree_구로리총괄내역_자재단가표_00-수량산출서양식" xfId="9352"/>
    <cellStyle name="1_tree_구로리총괄내역_자재단가표_00-수량산출서양식_분양(100%)" xfId="37765"/>
    <cellStyle name="1_tree_구로리총괄내역_자재단가표_녹화마대녹화끈수량산출-예원" xfId="9353"/>
    <cellStyle name="1_tree_구로리총괄내역_자재단가표_녹화마대녹화끈수량산출-예원_분양(100%)" xfId="37766"/>
    <cellStyle name="1_tree_구로리총괄내역_자재단가표_분양(100%)" xfId="37761"/>
    <cellStyle name="1_tree_구로리총괄내역_자재단가표_지주목" xfId="9354"/>
    <cellStyle name="1_tree_구로리총괄내역_자재단가표_지주목_00-수량산출서양식" xfId="9355"/>
    <cellStyle name="1_tree_구로리총괄내역_자재단가표_지주목_00-수량산출서양식_분양(100%)" xfId="37768"/>
    <cellStyle name="1_tree_구로리총괄내역_자재단가표_지주목_녹화마대녹화끈수량산출-예원" xfId="9356"/>
    <cellStyle name="1_tree_구로리총괄내역_자재단가표_지주목_녹화마대녹화끈수량산출-예원_분양(100%)" xfId="37769"/>
    <cellStyle name="1_tree_구로리총괄내역_자재단가표_지주목_분양(100%)" xfId="37767"/>
    <cellStyle name="1_tree_구로리총괄내역_장안초등학교내역0814" xfId="9357"/>
    <cellStyle name="1_tree_구로리총괄내역_장안초등학교내역0814_00-설계서양식" xfId="9358"/>
    <cellStyle name="1_tree_구로리총괄내역_장안초등학교내역0814_00-설계서양식_00-수량산출서양식" xfId="9359"/>
    <cellStyle name="1_tree_구로리총괄내역_장안초등학교내역0814_00-설계서양식_00-수량산출서양식_분양(100%)" xfId="37772"/>
    <cellStyle name="1_tree_구로리총괄내역_장안초등학교내역0814_00-설계서양식_녹화마대녹화끈수량산출-예원" xfId="9360"/>
    <cellStyle name="1_tree_구로리총괄내역_장안초등학교내역0814_00-설계서양식_녹화마대녹화끈수량산출-예원_분양(100%)" xfId="37773"/>
    <cellStyle name="1_tree_구로리총괄내역_장안초등학교내역0814_00-설계서양식_분양(100%)" xfId="37771"/>
    <cellStyle name="1_tree_구로리총괄내역_장안초등학교내역0814_00-수량산출서양식" xfId="9361"/>
    <cellStyle name="1_tree_구로리총괄내역_장안초등학교내역0814_00-수량산출서양식_분양(100%)" xfId="37774"/>
    <cellStyle name="1_tree_구로리총괄내역_장안초등학교내역0814_녹화마대녹화끈수량산출-예원" xfId="9362"/>
    <cellStyle name="1_tree_구로리총괄내역_장안초등학교내역0814_녹화마대녹화끈수량산출-예원_분양(100%)" xfId="37775"/>
    <cellStyle name="1_tree_구로리총괄내역_장안초등학교내역0814_분양(100%)" xfId="37770"/>
    <cellStyle name="1_tree_구로리총괄내역_장안초등학교내역0814_지주목" xfId="9363"/>
    <cellStyle name="1_tree_구로리총괄내역_장안초등학교내역0814_지주목_00-수량산출서양식" xfId="9364"/>
    <cellStyle name="1_tree_구로리총괄내역_장안초등학교내역0814_지주목_00-수량산출서양식_분양(100%)" xfId="37777"/>
    <cellStyle name="1_tree_구로리총괄내역_장안초등학교내역0814_지주목_녹화마대녹화끈수량산출-예원" xfId="9365"/>
    <cellStyle name="1_tree_구로리총괄내역_장안초등학교내역0814_지주목_녹화마대녹화끈수량산출-예원_분양(100%)" xfId="37778"/>
    <cellStyle name="1_tree_구로리총괄내역_장안초등학교내역0814_지주목_분양(100%)" xfId="37776"/>
    <cellStyle name="1_tree_구로리총괄내역_지주목" xfId="9366"/>
    <cellStyle name="1_tree_구로리총괄내역_지주목_00-수량산출서양식" xfId="9367"/>
    <cellStyle name="1_tree_구로리총괄내역_지주목_00-수량산출서양식_분양(100%)" xfId="37780"/>
    <cellStyle name="1_tree_구로리총괄내역_지주목_녹화마대녹화끈수량산출-예원" xfId="9368"/>
    <cellStyle name="1_tree_구로리총괄내역_지주목_녹화마대녹화끈수량산출-예원_분양(100%)" xfId="37781"/>
    <cellStyle name="1_tree_구로리총괄내역_지주목_분양(100%)" xfId="37779"/>
    <cellStyle name="1_tree_녹화마대녹화끈수량산출-예원" xfId="9369"/>
    <cellStyle name="1_tree_녹화마대녹화끈수량산출-예원_분양(100%)" xfId="37782"/>
    <cellStyle name="1_tree_수량산출" xfId="9370"/>
    <cellStyle name="1_tree_수량산출_00-설계서양식" xfId="9371"/>
    <cellStyle name="1_tree_수량산출_00-설계서양식_00-수량산출서양식" xfId="9372"/>
    <cellStyle name="1_tree_수량산출_00-설계서양식_00-수량산출서양식_분양(100%)" xfId="37785"/>
    <cellStyle name="1_tree_수량산출_00-설계서양식_녹화마대녹화끈수량산출-예원" xfId="9373"/>
    <cellStyle name="1_tree_수량산출_00-설계서양식_녹화마대녹화끈수량산출-예원_분양(100%)" xfId="37786"/>
    <cellStyle name="1_tree_수량산출_00-설계서양식_분양(100%)" xfId="37784"/>
    <cellStyle name="1_tree_수량산출_00-수량산출서양식" xfId="9374"/>
    <cellStyle name="1_tree_수량산출_00-수량산출서양식_분양(100%)" xfId="37787"/>
    <cellStyle name="1_tree_수량산출_00-예산서양식100" xfId="9375"/>
    <cellStyle name="1_tree_수량산출_00-예산서양식100_00-수량산출서양식" xfId="9376"/>
    <cellStyle name="1_tree_수량산출_00-예산서양식100_00-수량산출서양식_분양(100%)" xfId="37789"/>
    <cellStyle name="1_tree_수량산출_00-예산서양식100_녹화마대녹화끈수량산출-예원" xfId="9377"/>
    <cellStyle name="1_tree_수량산출_00-예산서양식100_녹화마대녹화끈수량산출-예원_분양(100%)" xfId="37790"/>
    <cellStyle name="1_tree_수량산출_00-예산서양식100_대전가오-설계서" xfId="9378"/>
    <cellStyle name="1_tree_수량산출_00-예산서양식100_대전가오-설계서(관리)" xfId="9379"/>
    <cellStyle name="1_tree_수량산출_00-예산서양식100_대전가오-설계서(관리)_00-설계서양식" xfId="9380"/>
    <cellStyle name="1_tree_수량산출_00-예산서양식100_대전가오-설계서(관리)_00-설계서양식_00-수량산출서양식" xfId="9381"/>
    <cellStyle name="1_tree_수량산출_00-예산서양식100_대전가오-설계서(관리)_00-설계서양식_00-수량산출서양식_분양(100%)" xfId="37794"/>
    <cellStyle name="1_tree_수량산출_00-예산서양식100_대전가오-설계서(관리)_00-설계서양식_녹화마대녹화끈수량산출-예원" xfId="9382"/>
    <cellStyle name="1_tree_수량산출_00-예산서양식100_대전가오-설계서(관리)_00-설계서양식_녹화마대녹화끈수량산출-예원_분양(100%)" xfId="37795"/>
    <cellStyle name="1_tree_수량산출_00-예산서양식100_대전가오-설계서(관리)_00-설계서양식_분양(100%)" xfId="37793"/>
    <cellStyle name="1_tree_수량산출_00-예산서양식100_대전가오-설계서(관리)_00-수량산출서양식" xfId="9383"/>
    <cellStyle name="1_tree_수량산출_00-예산서양식100_대전가오-설계서(관리)_00-수량산출서양식_분양(100%)" xfId="37796"/>
    <cellStyle name="1_tree_수량산출_00-예산서양식100_대전가오-설계서(관리)_녹화마대녹화끈수량산출-예원" xfId="9384"/>
    <cellStyle name="1_tree_수량산출_00-예산서양식100_대전가오-설계서(관리)_녹화마대녹화끈수량산출-예원_분양(100%)" xfId="37797"/>
    <cellStyle name="1_tree_수량산출_00-예산서양식100_대전가오-설계서(관리)_분양(100%)" xfId="37792"/>
    <cellStyle name="1_tree_수량산출_00-예산서양식100_대전가오-설계서_00-설계서양식" xfId="9385"/>
    <cellStyle name="1_tree_수량산출_00-예산서양식100_대전가오-설계서_00-설계서양식_00-수량산출서양식" xfId="9386"/>
    <cellStyle name="1_tree_수량산출_00-예산서양식100_대전가오-설계서_00-설계서양식_00-수량산출서양식_분양(100%)" xfId="37799"/>
    <cellStyle name="1_tree_수량산출_00-예산서양식100_대전가오-설계서_00-설계서양식_녹화마대녹화끈수량산출-예원" xfId="9387"/>
    <cellStyle name="1_tree_수량산출_00-예산서양식100_대전가오-설계서_00-설계서양식_녹화마대녹화끈수량산출-예원_분양(100%)" xfId="37800"/>
    <cellStyle name="1_tree_수량산출_00-예산서양식100_대전가오-설계서_00-설계서양식_분양(100%)" xfId="37798"/>
    <cellStyle name="1_tree_수량산출_00-예산서양식100_대전가오-설계서_00-수량산출서양식" xfId="9388"/>
    <cellStyle name="1_tree_수량산출_00-예산서양식100_대전가오-설계서_00-수량산출서양식_분양(100%)" xfId="37801"/>
    <cellStyle name="1_tree_수량산출_00-예산서양식100_대전가오-설계서_녹화마대녹화끈수량산출-예원" xfId="9389"/>
    <cellStyle name="1_tree_수량산출_00-예산서양식100_대전가오-설계서_녹화마대녹화끈수량산출-예원_분양(100%)" xfId="37802"/>
    <cellStyle name="1_tree_수량산출_00-예산서양식100_대전가오-설계서_분양(100%)" xfId="37791"/>
    <cellStyle name="1_tree_수량산출_00-예산서양식100_대전가오-설계서1" xfId="9390"/>
    <cellStyle name="1_tree_수량산출_00-예산서양식100_대전가오-설계서1_00-설계서양식" xfId="9391"/>
    <cellStyle name="1_tree_수량산출_00-예산서양식100_대전가오-설계서1_00-설계서양식_00-수량산출서양식" xfId="9392"/>
    <cellStyle name="1_tree_수량산출_00-예산서양식100_대전가오-설계서1_00-설계서양식_00-수량산출서양식_분양(100%)" xfId="37805"/>
    <cellStyle name="1_tree_수량산출_00-예산서양식100_대전가오-설계서1_00-설계서양식_녹화마대녹화끈수량산출-예원" xfId="9393"/>
    <cellStyle name="1_tree_수량산출_00-예산서양식100_대전가오-설계서1_00-설계서양식_녹화마대녹화끈수량산출-예원_분양(100%)" xfId="37806"/>
    <cellStyle name="1_tree_수량산출_00-예산서양식100_대전가오-설계서1_00-설계서양식_분양(100%)" xfId="37804"/>
    <cellStyle name="1_tree_수량산출_00-예산서양식100_대전가오-설계서1_00-수량산출서양식" xfId="9394"/>
    <cellStyle name="1_tree_수량산출_00-예산서양식100_대전가오-설계서1_00-수량산출서양식_분양(100%)" xfId="37807"/>
    <cellStyle name="1_tree_수량산출_00-예산서양식100_대전가오-설계서1_녹화마대녹화끈수량산출-예원" xfId="9395"/>
    <cellStyle name="1_tree_수량산출_00-예산서양식100_대전가오-설계서1_녹화마대녹화끈수량산출-예원_분양(100%)" xfId="37808"/>
    <cellStyle name="1_tree_수량산출_00-예산서양식100_대전가오-설계서1_분양(100%)" xfId="37803"/>
    <cellStyle name="1_tree_수량산출_00-예산서양식100_분양(100%)" xfId="37788"/>
    <cellStyle name="1_tree_수량산출_00-예산서양식100_설계서-06 0627" xfId="9396"/>
    <cellStyle name="1_tree_수량산출_00-예산서양식100_설계서-06 0627_분양(100%)" xfId="37809"/>
    <cellStyle name="1_tree_수량산출_00-예산서양식100_설계서-06 0727" xfId="9397"/>
    <cellStyle name="1_tree_수량산출_00-예산서양식100_설계서-06 0727_분양(100%)" xfId="37810"/>
    <cellStyle name="1_tree_수량산출_00-예산서양식100_수량산출서-06 0627" xfId="9398"/>
    <cellStyle name="1_tree_수량산출_00-예산서양식100_수량산출서-06 0627_분양(100%)" xfId="37811"/>
    <cellStyle name="1_tree_수량산출_00-표지예정공정표" xfId="9399"/>
    <cellStyle name="1_tree_수량산출_00-표지예정공정표_분양(100%)" xfId="37812"/>
    <cellStyle name="1_tree_수량산출_00-표지예정공정표_설계서-06 0627" xfId="9400"/>
    <cellStyle name="1_tree_수량산출_00-표지예정공정표_설계서-06 0627_분양(100%)" xfId="37813"/>
    <cellStyle name="1_tree_수량산출_00-표지예정공정표_설계서-06 0727" xfId="9401"/>
    <cellStyle name="1_tree_수량산출_00-표지예정공정표_설계서-06 0727_분양(100%)" xfId="37814"/>
    <cellStyle name="1_tree_수량산출_구로리총괄내역" xfId="9402"/>
    <cellStyle name="1_tree_수량산출_구로리총괄내역_00-설계서양식" xfId="9403"/>
    <cellStyle name="1_tree_수량산출_구로리총괄내역_00-설계서양식_00-수량산출서양식" xfId="9404"/>
    <cellStyle name="1_tree_수량산출_구로리총괄내역_00-설계서양식_00-수량산출서양식_분양(100%)" xfId="37817"/>
    <cellStyle name="1_tree_수량산출_구로리총괄내역_00-설계서양식_녹화마대녹화끈수량산출-예원" xfId="9405"/>
    <cellStyle name="1_tree_수량산출_구로리총괄내역_00-설계서양식_녹화마대녹화끈수량산출-예원_분양(100%)" xfId="37818"/>
    <cellStyle name="1_tree_수량산출_구로리총괄내역_00-설계서양식_분양(100%)" xfId="37816"/>
    <cellStyle name="1_tree_수량산출_구로리총괄내역_00-수량산출서양식" xfId="9406"/>
    <cellStyle name="1_tree_수량산출_구로리총괄내역_00-수량산출서양식_분양(100%)" xfId="37819"/>
    <cellStyle name="1_tree_수량산출_구로리총괄내역_구로리설계예산서1029" xfId="9407"/>
    <cellStyle name="1_tree_수량산출_구로리총괄내역_구로리설계예산서1029_00-설계서양식" xfId="9408"/>
    <cellStyle name="1_tree_수량산출_구로리총괄내역_구로리설계예산서1029_00-설계서양식_00-수량산출서양식" xfId="9409"/>
    <cellStyle name="1_tree_수량산출_구로리총괄내역_구로리설계예산서1029_00-설계서양식_00-수량산출서양식_분양(100%)" xfId="37822"/>
    <cellStyle name="1_tree_수량산출_구로리총괄내역_구로리설계예산서1029_00-설계서양식_녹화마대녹화끈수량산출-예원" xfId="9410"/>
    <cellStyle name="1_tree_수량산출_구로리총괄내역_구로리설계예산서1029_00-설계서양식_녹화마대녹화끈수량산출-예원_분양(100%)" xfId="37823"/>
    <cellStyle name="1_tree_수량산출_구로리총괄내역_구로리설계예산서1029_00-설계서양식_분양(100%)" xfId="37821"/>
    <cellStyle name="1_tree_수량산출_구로리총괄내역_구로리설계예산서1029_00-수량산출서양식" xfId="9411"/>
    <cellStyle name="1_tree_수량산출_구로리총괄내역_구로리설계예산서1029_00-수량산출서양식_분양(100%)" xfId="37824"/>
    <cellStyle name="1_tree_수량산출_구로리총괄내역_구로리설계예산서1029_녹화마대녹화끈수량산출-예원" xfId="9412"/>
    <cellStyle name="1_tree_수량산출_구로리총괄내역_구로리설계예산서1029_녹화마대녹화끈수량산출-예원_분양(100%)" xfId="37825"/>
    <cellStyle name="1_tree_수량산출_구로리총괄내역_구로리설계예산서1029_분양(100%)" xfId="37820"/>
    <cellStyle name="1_tree_수량산출_구로리총괄내역_구로리설계예산서1029_지주목" xfId="9413"/>
    <cellStyle name="1_tree_수량산출_구로리총괄내역_구로리설계예산서1029_지주목_00-수량산출서양식" xfId="9414"/>
    <cellStyle name="1_tree_수량산출_구로리총괄내역_구로리설계예산서1029_지주목_00-수량산출서양식_분양(100%)" xfId="37827"/>
    <cellStyle name="1_tree_수량산출_구로리총괄내역_구로리설계예산서1029_지주목_녹화마대녹화끈수량산출-예원" xfId="9415"/>
    <cellStyle name="1_tree_수량산출_구로리총괄내역_구로리설계예산서1029_지주목_녹화마대녹화끈수량산출-예원_분양(100%)" xfId="37828"/>
    <cellStyle name="1_tree_수량산출_구로리총괄내역_구로리설계예산서1029_지주목_분양(100%)" xfId="37826"/>
    <cellStyle name="1_tree_수량산출_구로리총괄내역_구로리설계예산서1118준공" xfId="9416"/>
    <cellStyle name="1_tree_수량산출_구로리총괄내역_구로리설계예산서1118준공_00-설계서양식" xfId="9417"/>
    <cellStyle name="1_tree_수량산출_구로리총괄내역_구로리설계예산서1118준공_00-설계서양식_00-수량산출서양식" xfId="9418"/>
    <cellStyle name="1_tree_수량산출_구로리총괄내역_구로리설계예산서1118준공_00-설계서양식_00-수량산출서양식_분양(100%)" xfId="37831"/>
    <cellStyle name="1_tree_수량산출_구로리총괄내역_구로리설계예산서1118준공_00-설계서양식_녹화마대녹화끈수량산출-예원" xfId="9419"/>
    <cellStyle name="1_tree_수량산출_구로리총괄내역_구로리설계예산서1118준공_00-설계서양식_녹화마대녹화끈수량산출-예원_분양(100%)" xfId="37832"/>
    <cellStyle name="1_tree_수량산출_구로리총괄내역_구로리설계예산서1118준공_00-설계서양식_분양(100%)" xfId="37830"/>
    <cellStyle name="1_tree_수량산출_구로리총괄내역_구로리설계예산서1118준공_00-수량산출서양식" xfId="9420"/>
    <cellStyle name="1_tree_수량산출_구로리총괄내역_구로리설계예산서1118준공_00-수량산출서양식_분양(100%)" xfId="37833"/>
    <cellStyle name="1_tree_수량산출_구로리총괄내역_구로리설계예산서1118준공_녹화마대녹화끈수량산출-예원" xfId="9421"/>
    <cellStyle name="1_tree_수량산출_구로리총괄내역_구로리설계예산서1118준공_녹화마대녹화끈수량산출-예원_분양(100%)" xfId="37834"/>
    <cellStyle name="1_tree_수량산출_구로리총괄내역_구로리설계예산서1118준공_분양(100%)" xfId="37829"/>
    <cellStyle name="1_tree_수량산출_구로리총괄내역_구로리설계예산서1118준공_지주목" xfId="9422"/>
    <cellStyle name="1_tree_수량산출_구로리총괄내역_구로리설계예산서1118준공_지주목_00-수량산출서양식" xfId="9423"/>
    <cellStyle name="1_tree_수량산출_구로리총괄내역_구로리설계예산서1118준공_지주목_00-수량산출서양식_분양(100%)" xfId="37836"/>
    <cellStyle name="1_tree_수량산출_구로리총괄내역_구로리설계예산서1118준공_지주목_녹화마대녹화끈수량산출-예원" xfId="9424"/>
    <cellStyle name="1_tree_수량산출_구로리총괄내역_구로리설계예산서1118준공_지주목_녹화마대녹화끈수량산출-예원_분양(100%)" xfId="37837"/>
    <cellStyle name="1_tree_수량산출_구로리총괄내역_구로리설계예산서1118준공_지주목_분양(100%)" xfId="37835"/>
    <cellStyle name="1_tree_수량산출_구로리총괄내역_구로리설계예산서조경" xfId="9425"/>
    <cellStyle name="1_tree_수량산출_구로리총괄내역_구로리설계예산서조경_00-설계서양식" xfId="9426"/>
    <cellStyle name="1_tree_수량산출_구로리총괄내역_구로리설계예산서조경_00-설계서양식_00-수량산출서양식" xfId="9427"/>
    <cellStyle name="1_tree_수량산출_구로리총괄내역_구로리설계예산서조경_00-설계서양식_00-수량산출서양식_분양(100%)" xfId="37840"/>
    <cellStyle name="1_tree_수량산출_구로리총괄내역_구로리설계예산서조경_00-설계서양식_녹화마대녹화끈수량산출-예원" xfId="9428"/>
    <cellStyle name="1_tree_수량산출_구로리총괄내역_구로리설계예산서조경_00-설계서양식_녹화마대녹화끈수량산출-예원_분양(100%)" xfId="37841"/>
    <cellStyle name="1_tree_수량산출_구로리총괄내역_구로리설계예산서조경_00-설계서양식_분양(100%)" xfId="37839"/>
    <cellStyle name="1_tree_수량산출_구로리총괄내역_구로리설계예산서조경_00-수량산출서양식" xfId="9429"/>
    <cellStyle name="1_tree_수량산출_구로리총괄내역_구로리설계예산서조경_00-수량산출서양식_분양(100%)" xfId="37842"/>
    <cellStyle name="1_tree_수량산출_구로리총괄내역_구로리설계예산서조경_녹화마대녹화끈수량산출-예원" xfId="9430"/>
    <cellStyle name="1_tree_수량산출_구로리총괄내역_구로리설계예산서조경_녹화마대녹화끈수량산출-예원_분양(100%)" xfId="37843"/>
    <cellStyle name="1_tree_수량산출_구로리총괄내역_구로리설계예산서조경_분양(100%)" xfId="37838"/>
    <cellStyle name="1_tree_수량산출_구로리총괄내역_구로리설계예산서조경_지주목" xfId="9431"/>
    <cellStyle name="1_tree_수량산출_구로리총괄내역_구로리설계예산서조경_지주목_00-수량산출서양식" xfId="9432"/>
    <cellStyle name="1_tree_수량산출_구로리총괄내역_구로리설계예산서조경_지주목_00-수량산출서양식_분양(100%)" xfId="37845"/>
    <cellStyle name="1_tree_수량산출_구로리총괄내역_구로리설계예산서조경_지주목_녹화마대녹화끈수량산출-예원" xfId="9433"/>
    <cellStyle name="1_tree_수량산출_구로리총괄내역_구로리설계예산서조경_지주목_녹화마대녹화끈수량산출-예원_분양(100%)" xfId="37846"/>
    <cellStyle name="1_tree_수량산출_구로리총괄내역_구로리설계예산서조경_지주목_분양(100%)" xfId="37844"/>
    <cellStyle name="1_tree_수량산출_구로리총괄내역_구로리어린이공원예산서(조경)1125" xfId="9434"/>
    <cellStyle name="1_tree_수량산출_구로리총괄내역_구로리어린이공원예산서(조경)1125_00-설계서양식" xfId="9435"/>
    <cellStyle name="1_tree_수량산출_구로리총괄내역_구로리어린이공원예산서(조경)1125_00-설계서양식_00-수량산출서양식" xfId="9436"/>
    <cellStyle name="1_tree_수량산출_구로리총괄내역_구로리어린이공원예산서(조경)1125_00-설계서양식_00-수량산출서양식_분양(100%)" xfId="37849"/>
    <cellStyle name="1_tree_수량산출_구로리총괄내역_구로리어린이공원예산서(조경)1125_00-설계서양식_녹화마대녹화끈수량산출-예원" xfId="9437"/>
    <cellStyle name="1_tree_수량산출_구로리총괄내역_구로리어린이공원예산서(조경)1125_00-설계서양식_녹화마대녹화끈수량산출-예원_분양(100%)" xfId="37850"/>
    <cellStyle name="1_tree_수량산출_구로리총괄내역_구로리어린이공원예산서(조경)1125_00-설계서양식_분양(100%)" xfId="37848"/>
    <cellStyle name="1_tree_수량산출_구로리총괄내역_구로리어린이공원예산서(조경)1125_00-수량산출서양식" xfId="9438"/>
    <cellStyle name="1_tree_수량산출_구로리총괄내역_구로리어린이공원예산서(조경)1125_00-수량산출서양식_분양(100%)" xfId="37851"/>
    <cellStyle name="1_tree_수량산출_구로리총괄내역_구로리어린이공원예산서(조경)1125_녹화마대녹화끈수량산출-예원" xfId="9439"/>
    <cellStyle name="1_tree_수량산출_구로리총괄내역_구로리어린이공원예산서(조경)1125_녹화마대녹화끈수량산출-예원_분양(100%)" xfId="37852"/>
    <cellStyle name="1_tree_수량산출_구로리총괄내역_구로리어린이공원예산서(조경)1125_분양(100%)" xfId="37847"/>
    <cellStyle name="1_tree_수량산출_구로리총괄내역_구로리어린이공원예산서(조경)1125_지주목" xfId="9440"/>
    <cellStyle name="1_tree_수량산출_구로리총괄내역_구로리어린이공원예산서(조경)1125_지주목_00-수량산출서양식" xfId="9441"/>
    <cellStyle name="1_tree_수량산출_구로리총괄내역_구로리어린이공원예산서(조경)1125_지주목_00-수량산출서양식_분양(100%)" xfId="37854"/>
    <cellStyle name="1_tree_수량산출_구로리총괄내역_구로리어린이공원예산서(조경)1125_지주목_녹화마대녹화끈수량산출-예원" xfId="9442"/>
    <cellStyle name="1_tree_수량산출_구로리총괄내역_구로리어린이공원예산서(조경)1125_지주목_녹화마대녹화끈수량산출-예원_분양(100%)" xfId="37855"/>
    <cellStyle name="1_tree_수량산출_구로리총괄내역_구로리어린이공원예산서(조경)1125_지주목_분양(100%)" xfId="37853"/>
    <cellStyle name="1_tree_수량산출_구로리총괄내역_내역서" xfId="9443"/>
    <cellStyle name="1_tree_수량산출_구로리총괄내역_내역서_00-설계서양식" xfId="9444"/>
    <cellStyle name="1_tree_수량산출_구로리총괄내역_내역서_00-설계서양식_00-수량산출서양식" xfId="9445"/>
    <cellStyle name="1_tree_수량산출_구로리총괄내역_내역서_00-설계서양식_00-수량산출서양식_분양(100%)" xfId="37858"/>
    <cellStyle name="1_tree_수량산출_구로리총괄내역_내역서_00-설계서양식_녹화마대녹화끈수량산출-예원" xfId="9446"/>
    <cellStyle name="1_tree_수량산출_구로리총괄내역_내역서_00-설계서양식_녹화마대녹화끈수량산출-예원_분양(100%)" xfId="37859"/>
    <cellStyle name="1_tree_수량산출_구로리총괄내역_내역서_00-설계서양식_분양(100%)" xfId="37857"/>
    <cellStyle name="1_tree_수량산출_구로리총괄내역_내역서_00-수량산출서양식" xfId="9447"/>
    <cellStyle name="1_tree_수량산출_구로리총괄내역_내역서_00-수량산출서양식_분양(100%)" xfId="37860"/>
    <cellStyle name="1_tree_수량산출_구로리총괄내역_내역서_녹화마대녹화끈수량산출-예원" xfId="9448"/>
    <cellStyle name="1_tree_수량산출_구로리총괄내역_내역서_녹화마대녹화끈수량산출-예원_분양(100%)" xfId="37861"/>
    <cellStyle name="1_tree_수량산출_구로리총괄내역_내역서_분양(100%)" xfId="37856"/>
    <cellStyle name="1_tree_수량산출_구로리총괄내역_내역서_지주목" xfId="9449"/>
    <cellStyle name="1_tree_수량산출_구로리총괄내역_내역서_지주목_00-수량산출서양식" xfId="9450"/>
    <cellStyle name="1_tree_수량산출_구로리총괄내역_내역서_지주목_00-수량산출서양식_분양(100%)" xfId="37863"/>
    <cellStyle name="1_tree_수량산출_구로리총괄내역_내역서_지주목_녹화마대녹화끈수량산출-예원" xfId="9451"/>
    <cellStyle name="1_tree_수량산출_구로리총괄내역_내역서_지주목_녹화마대녹화끈수량산출-예원_분양(100%)" xfId="37864"/>
    <cellStyle name="1_tree_수량산출_구로리총괄내역_내역서_지주목_분양(100%)" xfId="37862"/>
    <cellStyle name="1_tree_수량산출_구로리총괄내역_노임단가표" xfId="9452"/>
    <cellStyle name="1_tree_수량산출_구로리총괄내역_노임단가표_00-설계서양식" xfId="9453"/>
    <cellStyle name="1_tree_수량산출_구로리총괄내역_노임단가표_00-설계서양식_00-수량산출서양식" xfId="9454"/>
    <cellStyle name="1_tree_수량산출_구로리총괄내역_노임단가표_00-설계서양식_00-수량산출서양식_분양(100%)" xfId="37867"/>
    <cellStyle name="1_tree_수량산출_구로리총괄내역_노임단가표_00-설계서양식_녹화마대녹화끈수량산출-예원" xfId="9455"/>
    <cellStyle name="1_tree_수량산출_구로리총괄내역_노임단가표_00-설계서양식_녹화마대녹화끈수량산출-예원_분양(100%)" xfId="37868"/>
    <cellStyle name="1_tree_수량산출_구로리총괄내역_노임단가표_00-설계서양식_분양(100%)" xfId="37866"/>
    <cellStyle name="1_tree_수량산출_구로리총괄내역_노임단가표_00-수량산출서양식" xfId="9456"/>
    <cellStyle name="1_tree_수량산출_구로리총괄내역_노임단가표_00-수량산출서양식_분양(100%)" xfId="37869"/>
    <cellStyle name="1_tree_수량산출_구로리총괄내역_노임단가표_녹화마대녹화끈수량산출-예원" xfId="9457"/>
    <cellStyle name="1_tree_수량산출_구로리총괄내역_노임단가표_녹화마대녹화끈수량산출-예원_분양(100%)" xfId="37870"/>
    <cellStyle name="1_tree_수량산출_구로리총괄내역_노임단가표_분양(100%)" xfId="37865"/>
    <cellStyle name="1_tree_수량산출_구로리총괄내역_노임단가표_지주목" xfId="9458"/>
    <cellStyle name="1_tree_수량산출_구로리총괄내역_노임단가표_지주목_00-수량산출서양식" xfId="9459"/>
    <cellStyle name="1_tree_수량산출_구로리총괄내역_노임단가표_지주목_00-수량산출서양식_분양(100%)" xfId="37872"/>
    <cellStyle name="1_tree_수량산출_구로리총괄내역_노임단가표_지주목_녹화마대녹화끈수량산출-예원" xfId="9460"/>
    <cellStyle name="1_tree_수량산출_구로리총괄내역_노임단가표_지주목_녹화마대녹화끈수량산출-예원_분양(100%)" xfId="37873"/>
    <cellStyle name="1_tree_수량산출_구로리총괄내역_노임단가표_지주목_분양(100%)" xfId="37871"/>
    <cellStyle name="1_tree_수량산출_구로리총괄내역_녹화마대녹화끈수량산출-예원" xfId="9461"/>
    <cellStyle name="1_tree_수량산출_구로리총괄내역_녹화마대녹화끈수량산출-예원_분양(100%)" xfId="37874"/>
    <cellStyle name="1_tree_수량산출_구로리총괄내역_분양(100%)" xfId="37815"/>
    <cellStyle name="1_tree_수량산출_구로리총괄내역_수도권매립지" xfId="9462"/>
    <cellStyle name="1_tree_수량산출_구로리총괄내역_수도권매립지_00-설계서양식" xfId="9463"/>
    <cellStyle name="1_tree_수량산출_구로리총괄내역_수도권매립지_00-설계서양식_00-수량산출서양식" xfId="9464"/>
    <cellStyle name="1_tree_수량산출_구로리총괄내역_수도권매립지_00-설계서양식_00-수량산출서양식_분양(100%)" xfId="37877"/>
    <cellStyle name="1_tree_수량산출_구로리총괄내역_수도권매립지_00-설계서양식_녹화마대녹화끈수량산출-예원" xfId="9465"/>
    <cellStyle name="1_tree_수량산출_구로리총괄내역_수도권매립지_00-설계서양식_녹화마대녹화끈수량산출-예원_분양(100%)" xfId="37878"/>
    <cellStyle name="1_tree_수량산출_구로리총괄내역_수도권매립지_00-설계서양식_분양(100%)" xfId="37876"/>
    <cellStyle name="1_tree_수량산출_구로리총괄내역_수도권매립지_00-수량산출서양식" xfId="9466"/>
    <cellStyle name="1_tree_수량산출_구로리총괄내역_수도권매립지_00-수량산출서양식_분양(100%)" xfId="37879"/>
    <cellStyle name="1_tree_수량산출_구로리총괄내역_수도권매립지_녹화마대녹화끈수량산출-예원" xfId="9467"/>
    <cellStyle name="1_tree_수량산출_구로리총괄내역_수도권매립지_녹화마대녹화끈수량산출-예원_분양(100%)" xfId="37880"/>
    <cellStyle name="1_tree_수량산출_구로리총괄내역_수도권매립지_분양(100%)" xfId="37875"/>
    <cellStyle name="1_tree_수량산출_구로리총괄내역_수도권매립지_지주목" xfId="9468"/>
    <cellStyle name="1_tree_수량산출_구로리총괄내역_수도권매립지_지주목_00-수량산출서양식" xfId="9469"/>
    <cellStyle name="1_tree_수량산출_구로리총괄내역_수도권매립지_지주목_00-수량산출서양식_분양(100%)" xfId="37882"/>
    <cellStyle name="1_tree_수량산출_구로리총괄내역_수도권매립지_지주목_녹화마대녹화끈수량산출-예원" xfId="9470"/>
    <cellStyle name="1_tree_수량산출_구로리총괄내역_수도권매립지_지주목_녹화마대녹화끈수량산출-예원_분양(100%)" xfId="37883"/>
    <cellStyle name="1_tree_수량산출_구로리총괄내역_수도권매립지_지주목_분양(100%)" xfId="37881"/>
    <cellStyle name="1_tree_수량산출_구로리총괄내역_수도권매립지1004(발주용)" xfId="9471"/>
    <cellStyle name="1_tree_수량산출_구로리총괄내역_수도권매립지1004(발주용)_00-설계서양식" xfId="9472"/>
    <cellStyle name="1_tree_수량산출_구로리총괄내역_수도권매립지1004(발주용)_00-설계서양식_00-수량산출서양식" xfId="9473"/>
    <cellStyle name="1_tree_수량산출_구로리총괄내역_수도권매립지1004(발주용)_00-설계서양식_00-수량산출서양식_분양(100%)" xfId="37886"/>
    <cellStyle name="1_tree_수량산출_구로리총괄내역_수도권매립지1004(발주용)_00-설계서양식_녹화마대녹화끈수량산출-예원" xfId="9474"/>
    <cellStyle name="1_tree_수량산출_구로리총괄내역_수도권매립지1004(발주용)_00-설계서양식_녹화마대녹화끈수량산출-예원_분양(100%)" xfId="37887"/>
    <cellStyle name="1_tree_수량산출_구로리총괄내역_수도권매립지1004(발주용)_00-설계서양식_분양(100%)" xfId="37885"/>
    <cellStyle name="1_tree_수량산출_구로리총괄내역_수도권매립지1004(발주용)_00-수량산출서양식" xfId="9475"/>
    <cellStyle name="1_tree_수량산출_구로리총괄내역_수도권매립지1004(발주용)_00-수량산출서양식_분양(100%)" xfId="37888"/>
    <cellStyle name="1_tree_수량산출_구로리총괄내역_수도권매립지1004(발주용)_녹화마대녹화끈수량산출-예원" xfId="9476"/>
    <cellStyle name="1_tree_수량산출_구로리총괄내역_수도권매립지1004(발주용)_녹화마대녹화끈수량산출-예원_분양(100%)" xfId="37889"/>
    <cellStyle name="1_tree_수량산출_구로리총괄내역_수도권매립지1004(발주용)_분양(100%)" xfId="37884"/>
    <cellStyle name="1_tree_수량산출_구로리총괄내역_수도권매립지1004(발주용)_지주목" xfId="9477"/>
    <cellStyle name="1_tree_수량산출_구로리총괄내역_수도권매립지1004(발주용)_지주목_00-수량산출서양식" xfId="9478"/>
    <cellStyle name="1_tree_수량산출_구로리총괄내역_수도권매립지1004(발주용)_지주목_00-수량산출서양식_분양(100%)" xfId="37891"/>
    <cellStyle name="1_tree_수량산출_구로리총괄내역_수도권매립지1004(발주용)_지주목_녹화마대녹화끈수량산출-예원" xfId="9479"/>
    <cellStyle name="1_tree_수량산출_구로리총괄내역_수도권매립지1004(발주용)_지주목_녹화마대녹화끈수량산출-예원_분양(100%)" xfId="37892"/>
    <cellStyle name="1_tree_수량산출_구로리총괄내역_수도권매립지1004(발주용)_지주목_분양(100%)" xfId="37890"/>
    <cellStyle name="1_tree_수량산출_구로리총괄내역_일신건영설계예산서(0211)" xfId="9480"/>
    <cellStyle name="1_tree_수량산출_구로리총괄내역_일신건영설계예산서(0211)_00-설계서양식" xfId="9481"/>
    <cellStyle name="1_tree_수량산출_구로리총괄내역_일신건영설계예산서(0211)_00-설계서양식_00-수량산출서양식" xfId="9482"/>
    <cellStyle name="1_tree_수량산출_구로리총괄내역_일신건영설계예산서(0211)_00-설계서양식_00-수량산출서양식_분양(100%)" xfId="37895"/>
    <cellStyle name="1_tree_수량산출_구로리총괄내역_일신건영설계예산서(0211)_00-설계서양식_녹화마대녹화끈수량산출-예원" xfId="9483"/>
    <cellStyle name="1_tree_수량산출_구로리총괄내역_일신건영설계예산서(0211)_00-설계서양식_녹화마대녹화끈수량산출-예원_분양(100%)" xfId="37896"/>
    <cellStyle name="1_tree_수량산출_구로리총괄내역_일신건영설계예산서(0211)_00-설계서양식_분양(100%)" xfId="37894"/>
    <cellStyle name="1_tree_수량산출_구로리총괄내역_일신건영설계예산서(0211)_00-수량산출서양식" xfId="9484"/>
    <cellStyle name="1_tree_수량산출_구로리총괄내역_일신건영설계예산서(0211)_00-수량산출서양식_분양(100%)" xfId="37897"/>
    <cellStyle name="1_tree_수량산출_구로리총괄내역_일신건영설계예산서(0211)_녹화마대녹화끈수량산출-예원" xfId="9485"/>
    <cellStyle name="1_tree_수량산출_구로리총괄내역_일신건영설계예산서(0211)_녹화마대녹화끈수량산출-예원_분양(100%)" xfId="37898"/>
    <cellStyle name="1_tree_수량산출_구로리총괄내역_일신건영설계예산서(0211)_분양(100%)" xfId="37893"/>
    <cellStyle name="1_tree_수량산출_구로리총괄내역_일신건영설계예산서(0211)_지주목" xfId="9486"/>
    <cellStyle name="1_tree_수량산출_구로리총괄내역_일신건영설계예산서(0211)_지주목_00-수량산출서양식" xfId="9487"/>
    <cellStyle name="1_tree_수량산출_구로리총괄내역_일신건영설계예산서(0211)_지주목_00-수량산출서양식_분양(100%)" xfId="37900"/>
    <cellStyle name="1_tree_수량산출_구로리총괄내역_일신건영설계예산서(0211)_지주목_녹화마대녹화끈수량산출-예원" xfId="9488"/>
    <cellStyle name="1_tree_수량산출_구로리총괄내역_일신건영설계예산서(0211)_지주목_녹화마대녹화끈수량산출-예원_분양(100%)" xfId="37901"/>
    <cellStyle name="1_tree_수량산출_구로리총괄내역_일신건영설계예산서(0211)_지주목_분양(100%)" xfId="37899"/>
    <cellStyle name="1_tree_수량산출_구로리총괄내역_일위대가" xfId="9489"/>
    <cellStyle name="1_tree_수량산출_구로리총괄내역_일위대가_00-설계서양식" xfId="9490"/>
    <cellStyle name="1_tree_수량산출_구로리총괄내역_일위대가_00-설계서양식_00-수량산출서양식" xfId="9491"/>
    <cellStyle name="1_tree_수량산출_구로리총괄내역_일위대가_00-설계서양식_00-수량산출서양식_분양(100%)" xfId="37904"/>
    <cellStyle name="1_tree_수량산출_구로리총괄내역_일위대가_00-설계서양식_녹화마대녹화끈수량산출-예원" xfId="9492"/>
    <cellStyle name="1_tree_수량산출_구로리총괄내역_일위대가_00-설계서양식_녹화마대녹화끈수량산출-예원_분양(100%)" xfId="37905"/>
    <cellStyle name="1_tree_수량산출_구로리총괄내역_일위대가_00-설계서양식_분양(100%)" xfId="37903"/>
    <cellStyle name="1_tree_수량산출_구로리총괄내역_일위대가_00-수량산출서양식" xfId="9493"/>
    <cellStyle name="1_tree_수량산출_구로리총괄내역_일위대가_00-수량산출서양식_분양(100%)" xfId="37906"/>
    <cellStyle name="1_tree_수량산출_구로리총괄내역_일위대가_녹화마대녹화끈수량산출-예원" xfId="9494"/>
    <cellStyle name="1_tree_수량산출_구로리총괄내역_일위대가_녹화마대녹화끈수량산출-예원_분양(100%)" xfId="37907"/>
    <cellStyle name="1_tree_수량산출_구로리총괄내역_일위대가_분양(100%)" xfId="37902"/>
    <cellStyle name="1_tree_수량산출_구로리총괄내역_일위대가_지주목" xfId="9495"/>
    <cellStyle name="1_tree_수량산출_구로리총괄내역_일위대가_지주목_00-수량산출서양식" xfId="9496"/>
    <cellStyle name="1_tree_수량산출_구로리총괄내역_일위대가_지주목_00-수량산출서양식_분양(100%)" xfId="37909"/>
    <cellStyle name="1_tree_수량산출_구로리총괄내역_일위대가_지주목_녹화마대녹화끈수량산출-예원" xfId="9497"/>
    <cellStyle name="1_tree_수량산출_구로리총괄내역_일위대가_지주목_녹화마대녹화끈수량산출-예원_분양(100%)" xfId="37910"/>
    <cellStyle name="1_tree_수량산출_구로리총괄내역_일위대가_지주목_분양(100%)" xfId="37908"/>
    <cellStyle name="1_tree_수량산출_구로리총괄내역_자재단가표" xfId="9498"/>
    <cellStyle name="1_tree_수량산출_구로리총괄내역_자재단가표_00-설계서양식" xfId="9499"/>
    <cellStyle name="1_tree_수량산출_구로리총괄내역_자재단가표_00-설계서양식_00-수량산출서양식" xfId="9500"/>
    <cellStyle name="1_tree_수량산출_구로리총괄내역_자재단가표_00-설계서양식_00-수량산출서양식_분양(100%)" xfId="37913"/>
    <cellStyle name="1_tree_수량산출_구로리총괄내역_자재단가표_00-설계서양식_녹화마대녹화끈수량산출-예원" xfId="9501"/>
    <cellStyle name="1_tree_수량산출_구로리총괄내역_자재단가표_00-설계서양식_녹화마대녹화끈수량산출-예원_분양(100%)" xfId="37914"/>
    <cellStyle name="1_tree_수량산출_구로리총괄내역_자재단가표_00-설계서양식_분양(100%)" xfId="37912"/>
    <cellStyle name="1_tree_수량산출_구로리총괄내역_자재단가표_00-수량산출서양식" xfId="9502"/>
    <cellStyle name="1_tree_수량산출_구로리총괄내역_자재단가표_00-수량산출서양식_분양(100%)" xfId="37915"/>
    <cellStyle name="1_tree_수량산출_구로리총괄내역_자재단가표_녹화마대녹화끈수량산출-예원" xfId="9503"/>
    <cellStyle name="1_tree_수량산출_구로리총괄내역_자재단가표_녹화마대녹화끈수량산출-예원_분양(100%)" xfId="37916"/>
    <cellStyle name="1_tree_수량산출_구로리총괄내역_자재단가표_분양(100%)" xfId="37911"/>
    <cellStyle name="1_tree_수량산출_구로리총괄내역_자재단가표_지주목" xfId="9504"/>
    <cellStyle name="1_tree_수량산출_구로리총괄내역_자재단가표_지주목_00-수량산출서양식" xfId="9505"/>
    <cellStyle name="1_tree_수량산출_구로리총괄내역_자재단가표_지주목_00-수량산출서양식_분양(100%)" xfId="37918"/>
    <cellStyle name="1_tree_수량산출_구로리총괄내역_자재단가표_지주목_녹화마대녹화끈수량산출-예원" xfId="9506"/>
    <cellStyle name="1_tree_수량산출_구로리총괄내역_자재단가표_지주목_녹화마대녹화끈수량산출-예원_분양(100%)" xfId="37919"/>
    <cellStyle name="1_tree_수량산출_구로리총괄내역_자재단가표_지주목_분양(100%)" xfId="37917"/>
    <cellStyle name="1_tree_수량산출_구로리총괄내역_장안초등학교내역0814" xfId="9507"/>
    <cellStyle name="1_tree_수량산출_구로리총괄내역_장안초등학교내역0814_00-설계서양식" xfId="9508"/>
    <cellStyle name="1_tree_수량산출_구로리총괄내역_장안초등학교내역0814_00-설계서양식_00-수량산출서양식" xfId="9509"/>
    <cellStyle name="1_tree_수량산출_구로리총괄내역_장안초등학교내역0814_00-설계서양식_00-수량산출서양식_분양(100%)" xfId="37922"/>
    <cellStyle name="1_tree_수량산출_구로리총괄내역_장안초등학교내역0814_00-설계서양식_녹화마대녹화끈수량산출-예원" xfId="9510"/>
    <cellStyle name="1_tree_수량산출_구로리총괄내역_장안초등학교내역0814_00-설계서양식_녹화마대녹화끈수량산출-예원_분양(100%)" xfId="37923"/>
    <cellStyle name="1_tree_수량산출_구로리총괄내역_장안초등학교내역0814_00-설계서양식_분양(100%)" xfId="37921"/>
    <cellStyle name="1_tree_수량산출_구로리총괄내역_장안초등학교내역0814_00-수량산출서양식" xfId="9511"/>
    <cellStyle name="1_tree_수량산출_구로리총괄내역_장안초등학교내역0814_00-수량산출서양식_분양(100%)" xfId="37924"/>
    <cellStyle name="1_tree_수량산출_구로리총괄내역_장안초등학교내역0814_녹화마대녹화끈수량산출-예원" xfId="9512"/>
    <cellStyle name="1_tree_수량산출_구로리총괄내역_장안초등학교내역0814_녹화마대녹화끈수량산출-예원_분양(100%)" xfId="37925"/>
    <cellStyle name="1_tree_수량산출_구로리총괄내역_장안초등학교내역0814_분양(100%)" xfId="37920"/>
    <cellStyle name="1_tree_수량산출_구로리총괄내역_장안초등학교내역0814_지주목" xfId="9513"/>
    <cellStyle name="1_tree_수량산출_구로리총괄내역_장안초등학교내역0814_지주목_00-수량산출서양식" xfId="9514"/>
    <cellStyle name="1_tree_수량산출_구로리총괄내역_장안초등학교내역0814_지주목_00-수량산출서양식_분양(100%)" xfId="37927"/>
    <cellStyle name="1_tree_수량산출_구로리총괄내역_장안초등학교내역0814_지주목_녹화마대녹화끈수량산출-예원" xfId="9515"/>
    <cellStyle name="1_tree_수량산출_구로리총괄내역_장안초등학교내역0814_지주목_녹화마대녹화끈수량산출-예원_분양(100%)" xfId="37928"/>
    <cellStyle name="1_tree_수량산출_구로리총괄내역_장안초등학교내역0814_지주목_분양(100%)" xfId="37926"/>
    <cellStyle name="1_tree_수량산출_구로리총괄내역_지주목" xfId="9516"/>
    <cellStyle name="1_tree_수량산출_구로리총괄내역_지주목_00-수량산출서양식" xfId="9517"/>
    <cellStyle name="1_tree_수량산출_구로리총괄내역_지주목_00-수량산출서양식_분양(100%)" xfId="37930"/>
    <cellStyle name="1_tree_수량산출_구로리총괄내역_지주목_녹화마대녹화끈수량산출-예원" xfId="9518"/>
    <cellStyle name="1_tree_수량산출_구로리총괄내역_지주목_녹화마대녹화끈수량산출-예원_분양(100%)" xfId="37931"/>
    <cellStyle name="1_tree_수량산출_구로리총괄내역_지주목_분양(100%)" xfId="37929"/>
    <cellStyle name="1_tree_수량산출_녹화마대녹화끈수량산출-예원" xfId="9519"/>
    <cellStyle name="1_tree_수량산출_녹화마대녹화끈수량산출-예원_분양(100%)" xfId="37932"/>
    <cellStyle name="1_tree_수량산출_분양(100%)" xfId="37783"/>
    <cellStyle name="1_tree_수량산출_지주목" xfId="9520"/>
    <cellStyle name="1_tree_수량산출_지주목_00-수량산출서양식" xfId="9521"/>
    <cellStyle name="1_tree_수량산출_지주목_00-수량산출서양식_분양(100%)" xfId="37934"/>
    <cellStyle name="1_tree_수량산출_지주목_녹화마대녹화끈수량산출-예원" xfId="9522"/>
    <cellStyle name="1_tree_수량산출_지주목_녹화마대녹화끈수량산출-예원_분양(100%)" xfId="37935"/>
    <cellStyle name="1_tree_수량산출_지주목_분양(100%)" xfId="37933"/>
    <cellStyle name="1_tree_수량산출_총괄내역0518" xfId="9523"/>
    <cellStyle name="1_tree_수량산출_총괄내역0518_00-설계서양식" xfId="9524"/>
    <cellStyle name="1_tree_수량산출_총괄내역0518_00-설계서양식_00-수량산출서양식" xfId="9525"/>
    <cellStyle name="1_tree_수량산출_총괄내역0518_00-설계서양식_00-수량산출서양식_분양(100%)" xfId="37938"/>
    <cellStyle name="1_tree_수량산출_총괄내역0518_00-설계서양식_녹화마대녹화끈수량산출-예원" xfId="9526"/>
    <cellStyle name="1_tree_수량산출_총괄내역0518_00-설계서양식_녹화마대녹화끈수량산출-예원_분양(100%)" xfId="37939"/>
    <cellStyle name="1_tree_수량산출_총괄내역0518_00-설계서양식_분양(100%)" xfId="37937"/>
    <cellStyle name="1_tree_수량산출_총괄내역0518_00-수량산출서양식" xfId="9527"/>
    <cellStyle name="1_tree_수량산출_총괄내역0518_00-수량산출서양식_분양(100%)" xfId="37940"/>
    <cellStyle name="1_tree_수량산출_총괄내역0518_구로리설계예산서1029" xfId="9528"/>
    <cellStyle name="1_tree_수량산출_총괄내역0518_구로리설계예산서1029_00-설계서양식" xfId="9529"/>
    <cellStyle name="1_tree_수량산출_총괄내역0518_구로리설계예산서1029_00-설계서양식_00-수량산출서양식" xfId="9530"/>
    <cellStyle name="1_tree_수량산출_총괄내역0518_구로리설계예산서1029_00-설계서양식_00-수량산출서양식_분양(100%)" xfId="37943"/>
    <cellStyle name="1_tree_수량산출_총괄내역0518_구로리설계예산서1029_00-설계서양식_녹화마대녹화끈수량산출-예원" xfId="9531"/>
    <cellStyle name="1_tree_수량산출_총괄내역0518_구로리설계예산서1029_00-설계서양식_녹화마대녹화끈수량산출-예원_분양(100%)" xfId="37944"/>
    <cellStyle name="1_tree_수량산출_총괄내역0518_구로리설계예산서1029_00-설계서양식_분양(100%)" xfId="37942"/>
    <cellStyle name="1_tree_수량산출_총괄내역0518_구로리설계예산서1029_00-수량산출서양식" xfId="9532"/>
    <cellStyle name="1_tree_수량산출_총괄내역0518_구로리설계예산서1029_00-수량산출서양식_분양(100%)" xfId="37945"/>
    <cellStyle name="1_tree_수량산출_총괄내역0518_구로리설계예산서1029_녹화마대녹화끈수량산출-예원" xfId="9533"/>
    <cellStyle name="1_tree_수량산출_총괄내역0518_구로리설계예산서1029_녹화마대녹화끈수량산출-예원_분양(100%)" xfId="37946"/>
    <cellStyle name="1_tree_수량산출_총괄내역0518_구로리설계예산서1029_분양(100%)" xfId="37941"/>
    <cellStyle name="1_tree_수량산출_총괄내역0518_구로리설계예산서1029_지주목" xfId="9534"/>
    <cellStyle name="1_tree_수량산출_총괄내역0518_구로리설계예산서1029_지주목_00-수량산출서양식" xfId="9535"/>
    <cellStyle name="1_tree_수량산출_총괄내역0518_구로리설계예산서1029_지주목_00-수량산출서양식_분양(100%)" xfId="37948"/>
    <cellStyle name="1_tree_수량산출_총괄내역0518_구로리설계예산서1029_지주목_녹화마대녹화끈수량산출-예원" xfId="9536"/>
    <cellStyle name="1_tree_수량산출_총괄내역0518_구로리설계예산서1029_지주목_녹화마대녹화끈수량산출-예원_분양(100%)" xfId="37949"/>
    <cellStyle name="1_tree_수량산출_총괄내역0518_구로리설계예산서1029_지주목_분양(100%)" xfId="37947"/>
    <cellStyle name="1_tree_수량산출_총괄내역0518_구로리설계예산서1118준공" xfId="9537"/>
    <cellStyle name="1_tree_수량산출_총괄내역0518_구로리설계예산서1118준공_00-설계서양식" xfId="9538"/>
    <cellStyle name="1_tree_수량산출_총괄내역0518_구로리설계예산서1118준공_00-설계서양식_00-수량산출서양식" xfId="9539"/>
    <cellStyle name="1_tree_수량산출_총괄내역0518_구로리설계예산서1118준공_00-설계서양식_00-수량산출서양식_분양(100%)" xfId="37952"/>
    <cellStyle name="1_tree_수량산출_총괄내역0518_구로리설계예산서1118준공_00-설계서양식_녹화마대녹화끈수량산출-예원" xfId="9540"/>
    <cellStyle name="1_tree_수량산출_총괄내역0518_구로리설계예산서1118준공_00-설계서양식_녹화마대녹화끈수량산출-예원_분양(100%)" xfId="37953"/>
    <cellStyle name="1_tree_수량산출_총괄내역0518_구로리설계예산서1118준공_00-설계서양식_분양(100%)" xfId="37951"/>
    <cellStyle name="1_tree_수량산출_총괄내역0518_구로리설계예산서1118준공_00-수량산출서양식" xfId="9541"/>
    <cellStyle name="1_tree_수량산출_총괄내역0518_구로리설계예산서1118준공_00-수량산출서양식_분양(100%)" xfId="37954"/>
    <cellStyle name="1_tree_수량산출_총괄내역0518_구로리설계예산서1118준공_녹화마대녹화끈수량산출-예원" xfId="9542"/>
    <cellStyle name="1_tree_수량산출_총괄내역0518_구로리설계예산서1118준공_녹화마대녹화끈수량산출-예원_분양(100%)" xfId="37955"/>
    <cellStyle name="1_tree_수량산출_총괄내역0518_구로리설계예산서1118준공_분양(100%)" xfId="37950"/>
    <cellStyle name="1_tree_수량산출_총괄내역0518_구로리설계예산서1118준공_지주목" xfId="9543"/>
    <cellStyle name="1_tree_수량산출_총괄내역0518_구로리설계예산서1118준공_지주목_00-수량산출서양식" xfId="9544"/>
    <cellStyle name="1_tree_수량산출_총괄내역0518_구로리설계예산서1118준공_지주목_00-수량산출서양식_분양(100%)" xfId="37957"/>
    <cellStyle name="1_tree_수량산출_총괄내역0518_구로리설계예산서1118준공_지주목_녹화마대녹화끈수량산출-예원" xfId="9545"/>
    <cellStyle name="1_tree_수량산출_총괄내역0518_구로리설계예산서1118준공_지주목_녹화마대녹화끈수량산출-예원_분양(100%)" xfId="37958"/>
    <cellStyle name="1_tree_수량산출_총괄내역0518_구로리설계예산서1118준공_지주목_분양(100%)" xfId="37956"/>
    <cellStyle name="1_tree_수량산출_총괄내역0518_구로리설계예산서조경" xfId="9546"/>
    <cellStyle name="1_tree_수량산출_총괄내역0518_구로리설계예산서조경_00-설계서양식" xfId="9547"/>
    <cellStyle name="1_tree_수량산출_총괄내역0518_구로리설계예산서조경_00-설계서양식_00-수량산출서양식" xfId="9548"/>
    <cellStyle name="1_tree_수량산출_총괄내역0518_구로리설계예산서조경_00-설계서양식_00-수량산출서양식_분양(100%)" xfId="37961"/>
    <cellStyle name="1_tree_수량산출_총괄내역0518_구로리설계예산서조경_00-설계서양식_녹화마대녹화끈수량산출-예원" xfId="9549"/>
    <cellStyle name="1_tree_수량산출_총괄내역0518_구로리설계예산서조경_00-설계서양식_녹화마대녹화끈수량산출-예원_분양(100%)" xfId="37962"/>
    <cellStyle name="1_tree_수량산출_총괄내역0518_구로리설계예산서조경_00-설계서양식_분양(100%)" xfId="37960"/>
    <cellStyle name="1_tree_수량산출_총괄내역0518_구로리설계예산서조경_00-수량산출서양식" xfId="9550"/>
    <cellStyle name="1_tree_수량산출_총괄내역0518_구로리설계예산서조경_00-수량산출서양식_분양(100%)" xfId="37963"/>
    <cellStyle name="1_tree_수량산출_총괄내역0518_구로리설계예산서조경_녹화마대녹화끈수량산출-예원" xfId="9551"/>
    <cellStyle name="1_tree_수량산출_총괄내역0518_구로리설계예산서조경_녹화마대녹화끈수량산출-예원_분양(100%)" xfId="37964"/>
    <cellStyle name="1_tree_수량산출_총괄내역0518_구로리설계예산서조경_분양(100%)" xfId="37959"/>
    <cellStyle name="1_tree_수량산출_총괄내역0518_구로리설계예산서조경_지주목" xfId="9552"/>
    <cellStyle name="1_tree_수량산출_총괄내역0518_구로리설계예산서조경_지주목_00-수량산출서양식" xfId="9553"/>
    <cellStyle name="1_tree_수량산출_총괄내역0518_구로리설계예산서조경_지주목_00-수량산출서양식_분양(100%)" xfId="37966"/>
    <cellStyle name="1_tree_수량산출_총괄내역0518_구로리설계예산서조경_지주목_녹화마대녹화끈수량산출-예원" xfId="9554"/>
    <cellStyle name="1_tree_수량산출_총괄내역0518_구로리설계예산서조경_지주목_녹화마대녹화끈수량산출-예원_분양(100%)" xfId="37967"/>
    <cellStyle name="1_tree_수량산출_총괄내역0518_구로리설계예산서조경_지주목_분양(100%)" xfId="37965"/>
    <cellStyle name="1_tree_수량산출_총괄내역0518_구로리어린이공원예산서(조경)1125" xfId="9555"/>
    <cellStyle name="1_tree_수량산출_총괄내역0518_구로리어린이공원예산서(조경)1125_00-설계서양식" xfId="9556"/>
    <cellStyle name="1_tree_수량산출_총괄내역0518_구로리어린이공원예산서(조경)1125_00-설계서양식_00-수량산출서양식" xfId="9557"/>
    <cellStyle name="1_tree_수량산출_총괄내역0518_구로리어린이공원예산서(조경)1125_00-설계서양식_00-수량산출서양식_분양(100%)" xfId="37970"/>
    <cellStyle name="1_tree_수량산출_총괄내역0518_구로리어린이공원예산서(조경)1125_00-설계서양식_녹화마대녹화끈수량산출-예원" xfId="9558"/>
    <cellStyle name="1_tree_수량산출_총괄내역0518_구로리어린이공원예산서(조경)1125_00-설계서양식_녹화마대녹화끈수량산출-예원_분양(100%)" xfId="37971"/>
    <cellStyle name="1_tree_수량산출_총괄내역0518_구로리어린이공원예산서(조경)1125_00-설계서양식_분양(100%)" xfId="37969"/>
    <cellStyle name="1_tree_수량산출_총괄내역0518_구로리어린이공원예산서(조경)1125_00-수량산출서양식" xfId="9559"/>
    <cellStyle name="1_tree_수량산출_총괄내역0518_구로리어린이공원예산서(조경)1125_00-수량산출서양식_분양(100%)" xfId="37972"/>
    <cellStyle name="1_tree_수량산출_총괄내역0518_구로리어린이공원예산서(조경)1125_녹화마대녹화끈수량산출-예원" xfId="9560"/>
    <cellStyle name="1_tree_수량산출_총괄내역0518_구로리어린이공원예산서(조경)1125_녹화마대녹화끈수량산출-예원_분양(100%)" xfId="37973"/>
    <cellStyle name="1_tree_수량산출_총괄내역0518_구로리어린이공원예산서(조경)1125_분양(100%)" xfId="37968"/>
    <cellStyle name="1_tree_수량산출_총괄내역0518_구로리어린이공원예산서(조경)1125_지주목" xfId="9561"/>
    <cellStyle name="1_tree_수량산출_총괄내역0518_구로리어린이공원예산서(조경)1125_지주목_00-수량산출서양식" xfId="9562"/>
    <cellStyle name="1_tree_수량산출_총괄내역0518_구로리어린이공원예산서(조경)1125_지주목_00-수량산출서양식_분양(100%)" xfId="37975"/>
    <cellStyle name="1_tree_수량산출_총괄내역0518_구로리어린이공원예산서(조경)1125_지주목_녹화마대녹화끈수량산출-예원" xfId="9563"/>
    <cellStyle name="1_tree_수량산출_총괄내역0518_구로리어린이공원예산서(조경)1125_지주목_녹화마대녹화끈수량산출-예원_분양(100%)" xfId="37976"/>
    <cellStyle name="1_tree_수량산출_총괄내역0518_구로리어린이공원예산서(조경)1125_지주목_분양(100%)" xfId="37974"/>
    <cellStyle name="1_tree_수량산출_총괄내역0518_내역서" xfId="9564"/>
    <cellStyle name="1_tree_수량산출_총괄내역0518_내역서_00-설계서양식" xfId="9565"/>
    <cellStyle name="1_tree_수량산출_총괄내역0518_내역서_00-설계서양식_00-수량산출서양식" xfId="9566"/>
    <cellStyle name="1_tree_수량산출_총괄내역0518_내역서_00-설계서양식_00-수량산출서양식_분양(100%)" xfId="37979"/>
    <cellStyle name="1_tree_수량산출_총괄내역0518_내역서_00-설계서양식_녹화마대녹화끈수량산출-예원" xfId="9567"/>
    <cellStyle name="1_tree_수량산출_총괄내역0518_내역서_00-설계서양식_녹화마대녹화끈수량산출-예원_분양(100%)" xfId="37980"/>
    <cellStyle name="1_tree_수량산출_총괄내역0518_내역서_00-설계서양식_분양(100%)" xfId="37978"/>
    <cellStyle name="1_tree_수량산출_총괄내역0518_내역서_00-수량산출서양식" xfId="9568"/>
    <cellStyle name="1_tree_수량산출_총괄내역0518_내역서_00-수량산출서양식_분양(100%)" xfId="37981"/>
    <cellStyle name="1_tree_수량산출_총괄내역0518_내역서_녹화마대녹화끈수량산출-예원" xfId="9569"/>
    <cellStyle name="1_tree_수량산출_총괄내역0518_내역서_녹화마대녹화끈수량산출-예원_분양(100%)" xfId="37982"/>
    <cellStyle name="1_tree_수량산출_총괄내역0518_내역서_분양(100%)" xfId="37977"/>
    <cellStyle name="1_tree_수량산출_총괄내역0518_내역서_지주목" xfId="9570"/>
    <cellStyle name="1_tree_수량산출_총괄내역0518_내역서_지주목_00-수량산출서양식" xfId="9571"/>
    <cellStyle name="1_tree_수량산출_총괄내역0518_내역서_지주목_00-수량산출서양식_분양(100%)" xfId="37984"/>
    <cellStyle name="1_tree_수량산출_총괄내역0518_내역서_지주목_녹화마대녹화끈수량산출-예원" xfId="9572"/>
    <cellStyle name="1_tree_수량산출_총괄내역0518_내역서_지주목_녹화마대녹화끈수량산출-예원_분양(100%)" xfId="37985"/>
    <cellStyle name="1_tree_수량산출_총괄내역0518_내역서_지주목_분양(100%)" xfId="37983"/>
    <cellStyle name="1_tree_수량산출_총괄내역0518_노임단가표" xfId="9573"/>
    <cellStyle name="1_tree_수량산출_총괄내역0518_노임단가표_00-설계서양식" xfId="9574"/>
    <cellStyle name="1_tree_수량산출_총괄내역0518_노임단가표_00-설계서양식_00-수량산출서양식" xfId="9575"/>
    <cellStyle name="1_tree_수량산출_총괄내역0518_노임단가표_00-설계서양식_00-수량산출서양식_분양(100%)" xfId="37988"/>
    <cellStyle name="1_tree_수량산출_총괄내역0518_노임단가표_00-설계서양식_녹화마대녹화끈수량산출-예원" xfId="9576"/>
    <cellStyle name="1_tree_수량산출_총괄내역0518_노임단가표_00-설계서양식_녹화마대녹화끈수량산출-예원_분양(100%)" xfId="37989"/>
    <cellStyle name="1_tree_수량산출_총괄내역0518_노임단가표_00-설계서양식_분양(100%)" xfId="37987"/>
    <cellStyle name="1_tree_수량산출_총괄내역0518_노임단가표_00-수량산출서양식" xfId="9577"/>
    <cellStyle name="1_tree_수량산출_총괄내역0518_노임단가표_00-수량산출서양식_분양(100%)" xfId="37990"/>
    <cellStyle name="1_tree_수량산출_총괄내역0518_노임단가표_녹화마대녹화끈수량산출-예원" xfId="9578"/>
    <cellStyle name="1_tree_수량산출_총괄내역0518_노임단가표_녹화마대녹화끈수량산출-예원_분양(100%)" xfId="37991"/>
    <cellStyle name="1_tree_수량산출_총괄내역0518_노임단가표_분양(100%)" xfId="37986"/>
    <cellStyle name="1_tree_수량산출_총괄내역0518_노임단가표_지주목" xfId="9579"/>
    <cellStyle name="1_tree_수량산출_총괄내역0518_노임단가표_지주목_00-수량산출서양식" xfId="9580"/>
    <cellStyle name="1_tree_수량산출_총괄내역0518_노임단가표_지주목_00-수량산출서양식_분양(100%)" xfId="37993"/>
    <cellStyle name="1_tree_수량산출_총괄내역0518_노임단가표_지주목_녹화마대녹화끈수량산출-예원" xfId="9581"/>
    <cellStyle name="1_tree_수량산출_총괄내역0518_노임단가표_지주목_녹화마대녹화끈수량산출-예원_분양(100%)" xfId="37994"/>
    <cellStyle name="1_tree_수량산출_총괄내역0518_노임단가표_지주목_분양(100%)" xfId="37992"/>
    <cellStyle name="1_tree_수량산출_총괄내역0518_녹화마대녹화끈수량산출-예원" xfId="9582"/>
    <cellStyle name="1_tree_수량산출_총괄내역0518_녹화마대녹화끈수량산출-예원_분양(100%)" xfId="37995"/>
    <cellStyle name="1_tree_수량산출_총괄내역0518_분양(100%)" xfId="37936"/>
    <cellStyle name="1_tree_수량산출_총괄내역0518_수도권매립지" xfId="9583"/>
    <cellStyle name="1_tree_수량산출_총괄내역0518_수도권매립지_00-설계서양식" xfId="9584"/>
    <cellStyle name="1_tree_수량산출_총괄내역0518_수도권매립지_00-설계서양식_00-수량산출서양식" xfId="9585"/>
    <cellStyle name="1_tree_수량산출_총괄내역0518_수도권매립지_00-설계서양식_00-수량산출서양식_분양(100%)" xfId="37998"/>
    <cellStyle name="1_tree_수량산출_총괄내역0518_수도권매립지_00-설계서양식_녹화마대녹화끈수량산출-예원" xfId="9586"/>
    <cellStyle name="1_tree_수량산출_총괄내역0518_수도권매립지_00-설계서양식_녹화마대녹화끈수량산출-예원_분양(100%)" xfId="37999"/>
    <cellStyle name="1_tree_수량산출_총괄내역0518_수도권매립지_00-설계서양식_분양(100%)" xfId="37997"/>
    <cellStyle name="1_tree_수량산출_총괄내역0518_수도권매립지_00-수량산출서양식" xfId="9587"/>
    <cellStyle name="1_tree_수량산출_총괄내역0518_수도권매립지_00-수량산출서양식_분양(100%)" xfId="38000"/>
    <cellStyle name="1_tree_수량산출_총괄내역0518_수도권매립지_녹화마대녹화끈수량산출-예원" xfId="9588"/>
    <cellStyle name="1_tree_수량산출_총괄내역0518_수도권매립지_녹화마대녹화끈수량산출-예원_분양(100%)" xfId="38001"/>
    <cellStyle name="1_tree_수량산출_총괄내역0518_수도권매립지_분양(100%)" xfId="37996"/>
    <cellStyle name="1_tree_수량산출_총괄내역0518_수도권매립지_지주목" xfId="9589"/>
    <cellStyle name="1_tree_수량산출_총괄내역0518_수도권매립지_지주목_00-수량산출서양식" xfId="9590"/>
    <cellStyle name="1_tree_수량산출_총괄내역0518_수도권매립지_지주목_00-수량산출서양식_분양(100%)" xfId="38003"/>
    <cellStyle name="1_tree_수량산출_총괄내역0518_수도권매립지_지주목_녹화마대녹화끈수량산출-예원" xfId="9591"/>
    <cellStyle name="1_tree_수량산출_총괄내역0518_수도권매립지_지주목_녹화마대녹화끈수량산출-예원_분양(100%)" xfId="38004"/>
    <cellStyle name="1_tree_수량산출_총괄내역0518_수도권매립지_지주목_분양(100%)" xfId="38002"/>
    <cellStyle name="1_tree_수량산출_총괄내역0518_수도권매립지1004(발주용)" xfId="9592"/>
    <cellStyle name="1_tree_수량산출_총괄내역0518_수도권매립지1004(발주용)_00-설계서양식" xfId="9593"/>
    <cellStyle name="1_tree_수량산출_총괄내역0518_수도권매립지1004(발주용)_00-설계서양식_00-수량산출서양식" xfId="9594"/>
    <cellStyle name="1_tree_수량산출_총괄내역0518_수도권매립지1004(발주용)_00-설계서양식_00-수량산출서양식_분양(100%)" xfId="38007"/>
    <cellStyle name="1_tree_수량산출_총괄내역0518_수도권매립지1004(발주용)_00-설계서양식_녹화마대녹화끈수량산출-예원" xfId="9595"/>
    <cellStyle name="1_tree_수량산출_총괄내역0518_수도권매립지1004(발주용)_00-설계서양식_녹화마대녹화끈수량산출-예원_분양(100%)" xfId="38008"/>
    <cellStyle name="1_tree_수량산출_총괄내역0518_수도권매립지1004(발주용)_00-설계서양식_분양(100%)" xfId="38006"/>
    <cellStyle name="1_tree_수량산출_총괄내역0518_수도권매립지1004(발주용)_00-수량산출서양식" xfId="9596"/>
    <cellStyle name="1_tree_수량산출_총괄내역0518_수도권매립지1004(발주용)_00-수량산출서양식_분양(100%)" xfId="38009"/>
    <cellStyle name="1_tree_수량산출_총괄내역0518_수도권매립지1004(발주용)_녹화마대녹화끈수량산출-예원" xfId="9597"/>
    <cellStyle name="1_tree_수량산출_총괄내역0518_수도권매립지1004(발주용)_녹화마대녹화끈수량산출-예원_분양(100%)" xfId="38010"/>
    <cellStyle name="1_tree_수량산출_총괄내역0518_수도권매립지1004(발주용)_분양(100%)" xfId="38005"/>
    <cellStyle name="1_tree_수량산출_총괄내역0518_수도권매립지1004(발주용)_지주목" xfId="9598"/>
    <cellStyle name="1_tree_수량산출_총괄내역0518_수도권매립지1004(발주용)_지주목_00-수량산출서양식" xfId="9599"/>
    <cellStyle name="1_tree_수량산출_총괄내역0518_수도권매립지1004(발주용)_지주목_00-수량산출서양식_분양(100%)" xfId="38012"/>
    <cellStyle name="1_tree_수량산출_총괄내역0518_수도권매립지1004(발주용)_지주목_녹화마대녹화끈수량산출-예원" xfId="9600"/>
    <cellStyle name="1_tree_수량산출_총괄내역0518_수도권매립지1004(발주용)_지주목_녹화마대녹화끈수량산출-예원_분양(100%)" xfId="38013"/>
    <cellStyle name="1_tree_수량산출_총괄내역0518_수도권매립지1004(발주용)_지주목_분양(100%)" xfId="38011"/>
    <cellStyle name="1_tree_수량산출_총괄내역0518_일신건영설계예산서(0211)" xfId="9601"/>
    <cellStyle name="1_tree_수량산출_총괄내역0518_일신건영설계예산서(0211)_00-설계서양식" xfId="9602"/>
    <cellStyle name="1_tree_수량산출_총괄내역0518_일신건영설계예산서(0211)_00-설계서양식_00-수량산출서양식" xfId="9603"/>
    <cellStyle name="1_tree_수량산출_총괄내역0518_일신건영설계예산서(0211)_00-설계서양식_00-수량산출서양식_분양(100%)" xfId="38016"/>
    <cellStyle name="1_tree_수량산출_총괄내역0518_일신건영설계예산서(0211)_00-설계서양식_녹화마대녹화끈수량산출-예원" xfId="9604"/>
    <cellStyle name="1_tree_수량산출_총괄내역0518_일신건영설계예산서(0211)_00-설계서양식_녹화마대녹화끈수량산출-예원_분양(100%)" xfId="38017"/>
    <cellStyle name="1_tree_수량산출_총괄내역0518_일신건영설계예산서(0211)_00-설계서양식_분양(100%)" xfId="38015"/>
    <cellStyle name="1_tree_수량산출_총괄내역0518_일신건영설계예산서(0211)_00-수량산출서양식" xfId="9605"/>
    <cellStyle name="1_tree_수량산출_총괄내역0518_일신건영설계예산서(0211)_00-수량산출서양식_분양(100%)" xfId="38018"/>
    <cellStyle name="1_tree_수량산출_총괄내역0518_일신건영설계예산서(0211)_녹화마대녹화끈수량산출-예원" xfId="9606"/>
    <cellStyle name="1_tree_수량산출_총괄내역0518_일신건영설계예산서(0211)_녹화마대녹화끈수량산출-예원_분양(100%)" xfId="38019"/>
    <cellStyle name="1_tree_수량산출_총괄내역0518_일신건영설계예산서(0211)_분양(100%)" xfId="38014"/>
    <cellStyle name="1_tree_수량산출_총괄내역0518_일신건영설계예산서(0211)_지주목" xfId="9607"/>
    <cellStyle name="1_tree_수량산출_총괄내역0518_일신건영설계예산서(0211)_지주목_00-수량산출서양식" xfId="9608"/>
    <cellStyle name="1_tree_수량산출_총괄내역0518_일신건영설계예산서(0211)_지주목_00-수량산출서양식_분양(100%)" xfId="38021"/>
    <cellStyle name="1_tree_수량산출_총괄내역0518_일신건영설계예산서(0211)_지주목_녹화마대녹화끈수량산출-예원" xfId="9609"/>
    <cellStyle name="1_tree_수량산출_총괄내역0518_일신건영설계예산서(0211)_지주목_녹화마대녹화끈수량산출-예원_분양(100%)" xfId="38022"/>
    <cellStyle name="1_tree_수량산출_총괄내역0518_일신건영설계예산서(0211)_지주목_분양(100%)" xfId="38020"/>
    <cellStyle name="1_tree_수량산출_총괄내역0518_일위대가" xfId="9610"/>
    <cellStyle name="1_tree_수량산출_총괄내역0518_일위대가_00-설계서양식" xfId="9611"/>
    <cellStyle name="1_tree_수량산출_총괄내역0518_일위대가_00-설계서양식_00-수량산출서양식" xfId="9612"/>
    <cellStyle name="1_tree_수량산출_총괄내역0518_일위대가_00-설계서양식_00-수량산출서양식_분양(100%)" xfId="38025"/>
    <cellStyle name="1_tree_수량산출_총괄내역0518_일위대가_00-설계서양식_녹화마대녹화끈수량산출-예원" xfId="9613"/>
    <cellStyle name="1_tree_수량산출_총괄내역0518_일위대가_00-설계서양식_녹화마대녹화끈수량산출-예원_분양(100%)" xfId="38026"/>
    <cellStyle name="1_tree_수량산출_총괄내역0518_일위대가_00-설계서양식_분양(100%)" xfId="38024"/>
    <cellStyle name="1_tree_수량산출_총괄내역0518_일위대가_00-수량산출서양식" xfId="9614"/>
    <cellStyle name="1_tree_수량산출_총괄내역0518_일위대가_00-수량산출서양식_분양(100%)" xfId="38027"/>
    <cellStyle name="1_tree_수량산출_총괄내역0518_일위대가_녹화마대녹화끈수량산출-예원" xfId="9615"/>
    <cellStyle name="1_tree_수량산출_총괄내역0518_일위대가_녹화마대녹화끈수량산출-예원_분양(100%)" xfId="38028"/>
    <cellStyle name="1_tree_수량산출_총괄내역0518_일위대가_분양(100%)" xfId="38023"/>
    <cellStyle name="1_tree_수량산출_총괄내역0518_일위대가_지주목" xfId="9616"/>
    <cellStyle name="1_tree_수량산출_총괄내역0518_일위대가_지주목_00-수량산출서양식" xfId="9617"/>
    <cellStyle name="1_tree_수량산출_총괄내역0518_일위대가_지주목_00-수량산출서양식_분양(100%)" xfId="38030"/>
    <cellStyle name="1_tree_수량산출_총괄내역0518_일위대가_지주목_녹화마대녹화끈수량산출-예원" xfId="9618"/>
    <cellStyle name="1_tree_수량산출_총괄내역0518_일위대가_지주목_녹화마대녹화끈수량산출-예원_분양(100%)" xfId="38031"/>
    <cellStyle name="1_tree_수량산출_총괄내역0518_일위대가_지주목_분양(100%)" xfId="38029"/>
    <cellStyle name="1_tree_수량산출_총괄내역0518_자재단가표" xfId="9619"/>
    <cellStyle name="1_tree_수량산출_총괄내역0518_자재단가표_00-설계서양식" xfId="9620"/>
    <cellStyle name="1_tree_수량산출_총괄내역0518_자재단가표_00-설계서양식_00-수량산출서양식" xfId="9621"/>
    <cellStyle name="1_tree_수량산출_총괄내역0518_자재단가표_00-설계서양식_00-수량산출서양식_분양(100%)" xfId="38034"/>
    <cellStyle name="1_tree_수량산출_총괄내역0518_자재단가표_00-설계서양식_녹화마대녹화끈수량산출-예원" xfId="9622"/>
    <cellStyle name="1_tree_수량산출_총괄내역0518_자재단가표_00-설계서양식_녹화마대녹화끈수량산출-예원_분양(100%)" xfId="38035"/>
    <cellStyle name="1_tree_수량산출_총괄내역0518_자재단가표_00-설계서양식_분양(100%)" xfId="38033"/>
    <cellStyle name="1_tree_수량산출_총괄내역0518_자재단가표_00-수량산출서양식" xfId="9623"/>
    <cellStyle name="1_tree_수량산출_총괄내역0518_자재단가표_00-수량산출서양식_분양(100%)" xfId="38036"/>
    <cellStyle name="1_tree_수량산출_총괄내역0518_자재단가표_녹화마대녹화끈수량산출-예원" xfId="9624"/>
    <cellStyle name="1_tree_수량산출_총괄내역0518_자재단가표_녹화마대녹화끈수량산출-예원_분양(100%)" xfId="38037"/>
    <cellStyle name="1_tree_수량산출_총괄내역0518_자재단가표_분양(100%)" xfId="38032"/>
    <cellStyle name="1_tree_수량산출_총괄내역0518_자재단가표_지주목" xfId="9625"/>
    <cellStyle name="1_tree_수량산출_총괄내역0518_자재단가표_지주목_00-수량산출서양식" xfId="9626"/>
    <cellStyle name="1_tree_수량산출_총괄내역0518_자재단가표_지주목_00-수량산출서양식_분양(100%)" xfId="38039"/>
    <cellStyle name="1_tree_수량산출_총괄내역0518_자재단가표_지주목_녹화마대녹화끈수량산출-예원" xfId="9627"/>
    <cellStyle name="1_tree_수량산출_총괄내역0518_자재단가표_지주목_녹화마대녹화끈수량산출-예원_분양(100%)" xfId="38040"/>
    <cellStyle name="1_tree_수량산출_총괄내역0518_자재단가표_지주목_분양(100%)" xfId="38038"/>
    <cellStyle name="1_tree_수량산출_총괄내역0518_장안초등학교내역0814" xfId="9628"/>
    <cellStyle name="1_tree_수량산출_총괄내역0518_장안초등학교내역0814_00-설계서양식" xfId="9629"/>
    <cellStyle name="1_tree_수량산출_총괄내역0518_장안초등학교내역0814_00-설계서양식_00-수량산출서양식" xfId="9630"/>
    <cellStyle name="1_tree_수량산출_총괄내역0518_장안초등학교내역0814_00-설계서양식_00-수량산출서양식_분양(100%)" xfId="38043"/>
    <cellStyle name="1_tree_수량산출_총괄내역0518_장안초등학교내역0814_00-설계서양식_녹화마대녹화끈수량산출-예원" xfId="9631"/>
    <cellStyle name="1_tree_수량산출_총괄내역0518_장안초등학교내역0814_00-설계서양식_녹화마대녹화끈수량산출-예원_분양(100%)" xfId="38044"/>
    <cellStyle name="1_tree_수량산출_총괄내역0518_장안초등학교내역0814_00-설계서양식_분양(100%)" xfId="38042"/>
    <cellStyle name="1_tree_수량산출_총괄내역0518_장안초등학교내역0814_00-수량산출서양식" xfId="9632"/>
    <cellStyle name="1_tree_수량산출_총괄내역0518_장안초등학교내역0814_00-수량산출서양식_분양(100%)" xfId="38045"/>
    <cellStyle name="1_tree_수량산출_총괄내역0518_장안초등학교내역0814_녹화마대녹화끈수량산출-예원" xfId="9633"/>
    <cellStyle name="1_tree_수량산출_총괄내역0518_장안초등학교내역0814_녹화마대녹화끈수량산출-예원_분양(100%)" xfId="38046"/>
    <cellStyle name="1_tree_수량산출_총괄내역0518_장안초등학교내역0814_분양(100%)" xfId="38041"/>
    <cellStyle name="1_tree_수량산출_총괄내역0518_장안초등학교내역0814_지주목" xfId="9634"/>
    <cellStyle name="1_tree_수량산출_총괄내역0518_장안초등학교내역0814_지주목_00-수량산출서양식" xfId="9635"/>
    <cellStyle name="1_tree_수량산출_총괄내역0518_장안초등학교내역0814_지주목_00-수량산출서양식_분양(100%)" xfId="38048"/>
    <cellStyle name="1_tree_수량산출_총괄내역0518_장안초등학교내역0814_지주목_녹화마대녹화끈수량산출-예원" xfId="9636"/>
    <cellStyle name="1_tree_수량산출_총괄내역0518_장안초등학교내역0814_지주목_녹화마대녹화끈수량산출-예원_분양(100%)" xfId="38049"/>
    <cellStyle name="1_tree_수량산출_총괄내역0518_장안초등학교내역0814_지주목_분양(100%)" xfId="38047"/>
    <cellStyle name="1_tree_수량산출_총괄내역0518_지주목" xfId="9637"/>
    <cellStyle name="1_tree_수량산출_총괄내역0518_지주목_00-수량산출서양식" xfId="9638"/>
    <cellStyle name="1_tree_수량산출_총괄내역0518_지주목_00-수량산출서양식_분양(100%)" xfId="38051"/>
    <cellStyle name="1_tree_수량산출_총괄내역0518_지주목_녹화마대녹화끈수량산출-예원" xfId="9639"/>
    <cellStyle name="1_tree_수량산출_총괄내역0518_지주목_녹화마대녹화끈수량산출-예원_분양(100%)" xfId="38052"/>
    <cellStyle name="1_tree_수량산출_총괄내역0518_지주목_분양(100%)" xfId="38050"/>
    <cellStyle name="1_tree_수량산출_현충묘지-예산서(조경)" xfId="9640"/>
    <cellStyle name="1_tree_수량산출_현충묘지-예산서(조경)_00-수량산출서양식" xfId="9641"/>
    <cellStyle name="1_tree_수량산출_현충묘지-예산서(조경)_00-수량산출서양식_분양(100%)" xfId="38054"/>
    <cellStyle name="1_tree_수량산출_현충묘지-예산서(조경)_까르프-표지예정공정표" xfId="9642"/>
    <cellStyle name="1_tree_수량산출_현충묘지-예산서(조경)_까르프-표지예정공정표_분양(100%)" xfId="38055"/>
    <cellStyle name="1_tree_수량산출_현충묘지-예산서(조경)_까르프-표지예정공정표_설계서-06 0627" xfId="9643"/>
    <cellStyle name="1_tree_수량산출_현충묘지-예산서(조경)_까르프-표지예정공정표_설계서-06 0627_분양(100%)" xfId="38056"/>
    <cellStyle name="1_tree_수량산출_현충묘지-예산서(조경)_까르프-표지예정공정표_설계서-06 0727" xfId="9644"/>
    <cellStyle name="1_tree_수량산출_현충묘지-예산서(조경)_까르프-표지예정공정표_설계서-06 0727_분양(100%)" xfId="38057"/>
    <cellStyle name="1_tree_수량산출_현충묘지-예산서(조경)_녹화마대녹화끈수량산출-예원" xfId="9645"/>
    <cellStyle name="1_tree_수량산출_현충묘지-예산서(조경)_녹화마대녹화끈수량산출-예원_분양(100%)" xfId="38058"/>
    <cellStyle name="1_tree_수량산출_현충묘지-예산서(조경)_대전가오-설계서" xfId="9646"/>
    <cellStyle name="1_tree_수량산출_현충묘지-예산서(조경)_대전가오-설계서(관리)" xfId="9647"/>
    <cellStyle name="1_tree_수량산출_현충묘지-예산서(조경)_대전가오-설계서(관리)_00-설계서양식" xfId="9648"/>
    <cellStyle name="1_tree_수량산출_현충묘지-예산서(조경)_대전가오-설계서(관리)_00-설계서양식_00-수량산출서양식" xfId="9649"/>
    <cellStyle name="1_tree_수량산출_현충묘지-예산서(조경)_대전가오-설계서(관리)_00-설계서양식_00-수량산출서양식_분양(100%)" xfId="38062"/>
    <cellStyle name="1_tree_수량산출_현충묘지-예산서(조경)_대전가오-설계서(관리)_00-설계서양식_녹화마대녹화끈수량산출-예원" xfId="9650"/>
    <cellStyle name="1_tree_수량산출_현충묘지-예산서(조경)_대전가오-설계서(관리)_00-설계서양식_녹화마대녹화끈수량산출-예원_분양(100%)" xfId="38063"/>
    <cellStyle name="1_tree_수량산출_현충묘지-예산서(조경)_대전가오-설계서(관리)_00-설계서양식_분양(100%)" xfId="38061"/>
    <cellStyle name="1_tree_수량산출_현충묘지-예산서(조경)_대전가오-설계서(관리)_00-수량산출서양식" xfId="9651"/>
    <cellStyle name="1_tree_수량산출_현충묘지-예산서(조경)_대전가오-설계서(관리)_00-수량산출서양식_분양(100%)" xfId="38064"/>
    <cellStyle name="1_tree_수량산출_현충묘지-예산서(조경)_대전가오-설계서(관리)_녹화마대녹화끈수량산출-예원" xfId="9652"/>
    <cellStyle name="1_tree_수량산출_현충묘지-예산서(조경)_대전가오-설계서(관리)_녹화마대녹화끈수량산출-예원_분양(100%)" xfId="38065"/>
    <cellStyle name="1_tree_수량산출_현충묘지-예산서(조경)_대전가오-설계서(관리)_분양(100%)" xfId="38060"/>
    <cellStyle name="1_tree_수량산출_현충묘지-예산서(조경)_대전가오-설계서_00-설계서양식" xfId="9653"/>
    <cellStyle name="1_tree_수량산출_현충묘지-예산서(조경)_대전가오-설계서_00-설계서양식_00-수량산출서양식" xfId="9654"/>
    <cellStyle name="1_tree_수량산출_현충묘지-예산서(조경)_대전가오-설계서_00-설계서양식_00-수량산출서양식_분양(100%)" xfId="38067"/>
    <cellStyle name="1_tree_수량산출_현충묘지-예산서(조경)_대전가오-설계서_00-설계서양식_녹화마대녹화끈수량산출-예원" xfId="9655"/>
    <cellStyle name="1_tree_수량산출_현충묘지-예산서(조경)_대전가오-설계서_00-설계서양식_녹화마대녹화끈수량산출-예원_분양(100%)" xfId="38068"/>
    <cellStyle name="1_tree_수량산출_현충묘지-예산서(조경)_대전가오-설계서_00-설계서양식_분양(100%)" xfId="38066"/>
    <cellStyle name="1_tree_수량산출_현충묘지-예산서(조경)_대전가오-설계서_00-수량산출서양식" xfId="9656"/>
    <cellStyle name="1_tree_수량산출_현충묘지-예산서(조경)_대전가오-설계서_00-수량산출서양식_분양(100%)" xfId="38069"/>
    <cellStyle name="1_tree_수량산출_현충묘지-예산서(조경)_대전가오-설계서_녹화마대녹화끈수량산출-예원" xfId="9657"/>
    <cellStyle name="1_tree_수량산출_현충묘지-예산서(조경)_대전가오-설계서_녹화마대녹화끈수량산출-예원_분양(100%)" xfId="38070"/>
    <cellStyle name="1_tree_수량산출_현충묘지-예산서(조경)_대전가오-설계서_분양(100%)" xfId="38059"/>
    <cellStyle name="1_tree_수량산출_현충묘지-예산서(조경)_대전가오-설계서1" xfId="9658"/>
    <cellStyle name="1_tree_수량산출_현충묘지-예산서(조경)_대전가오-설계서1_00-설계서양식" xfId="9659"/>
    <cellStyle name="1_tree_수량산출_현충묘지-예산서(조경)_대전가오-설계서1_00-설계서양식_00-수량산출서양식" xfId="9660"/>
    <cellStyle name="1_tree_수량산출_현충묘지-예산서(조경)_대전가오-설계서1_00-설계서양식_00-수량산출서양식_분양(100%)" xfId="38073"/>
    <cellStyle name="1_tree_수량산출_현충묘지-예산서(조경)_대전가오-설계서1_00-설계서양식_녹화마대녹화끈수량산출-예원" xfId="9661"/>
    <cellStyle name="1_tree_수량산출_현충묘지-예산서(조경)_대전가오-설계서1_00-설계서양식_녹화마대녹화끈수량산출-예원_분양(100%)" xfId="38074"/>
    <cellStyle name="1_tree_수량산출_현충묘지-예산서(조경)_대전가오-설계서1_00-설계서양식_분양(100%)" xfId="38072"/>
    <cellStyle name="1_tree_수량산출_현충묘지-예산서(조경)_대전가오-설계서1_00-수량산출서양식" xfId="9662"/>
    <cellStyle name="1_tree_수량산출_현충묘지-예산서(조경)_대전가오-설계서1_00-수량산출서양식_분양(100%)" xfId="38075"/>
    <cellStyle name="1_tree_수량산출_현충묘지-예산서(조경)_대전가오-설계서1_녹화마대녹화끈수량산출-예원" xfId="9663"/>
    <cellStyle name="1_tree_수량산출_현충묘지-예산서(조경)_대전가오-설계서1_녹화마대녹화끈수량산출-예원_분양(100%)" xfId="38076"/>
    <cellStyle name="1_tree_수량산출_현충묘지-예산서(조경)_대전가오-설계서1_분양(100%)" xfId="38071"/>
    <cellStyle name="1_tree_수량산출_현충묘지-예산서(조경)_분양(100%)" xfId="38053"/>
    <cellStyle name="1_tree_수량산출_현충묘지-예산서(조경)_설계서-06 0627" xfId="9664"/>
    <cellStyle name="1_tree_수량산출_현충묘지-예산서(조경)_설계서-06 0627_분양(100%)" xfId="38077"/>
    <cellStyle name="1_tree_수량산출_현충묘지-예산서(조경)_설계서-06 0727" xfId="9665"/>
    <cellStyle name="1_tree_수량산출_현충묘지-예산서(조경)_설계서-06 0727_분양(100%)" xfId="38078"/>
    <cellStyle name="1_tree_수량산출_현충묘지-예산서(조경)_수량산출서-06 0627" xfId="9666"/>
    <cellStyle name="1_tree_수량산출_현충묘지-예산서(조경)_수량산출서-06 0627_분양(100%)" xfId="38079"/>
    <cellStyle name="1_tree_수량산출_현충묘지-예산서(조경)_예산서-엑셀변환양식100" xfId="9667"/>
    <cellStyle name="1_tree_수량산출_현충묘지-예산서(조경)_예산서-엑셀변환양식100_00-설계서양식" xfId="9668"/>
    <cellStyle name="1_tree_수량산출_현충묘지-예산서(조경)_예산서-엑셀변환양식100_00-설계서양식_00-수량산출서양식" xfId="9669"/>
    <cellStyle name="1_tree_수량산출_현충묘지-예산서(조경)_예산서-엑셀변환양식100_00-설계서양식_00-수량산출서양식_분양(100%)" xfId="38082"/>
    <cellStyle name="1_tree_수량산출_현충묘지-예산서(조경)_예산서-엑셀변환양식100_00-설계서양식_녹화마대녹화끈수량산출-예원" xfId="9670"/>
    <cellStyle name="1_tree_수량산출_현충묘지-예산서(조경)_예산서-엑셀변환양식100_00-설계서양식_녹화마대녹화끈수량산출-예원_분양(100%)" xfId="38083"/>
    <cellStyle name="1_tree_수량산출_현충묘지-예산서(조경)_예산서-엑셀변환양식100_00-설계서양식_분양(100%)" xfId="38081"/>
    <cellStyle name="1_tree_수량산출_현충묘지-예산서(조경)_예산서-엑셀변환양식100_00-수량산출서양식" xfId="9671"/>
    <cellStyle name="1_tree_수량산출_현충묘지-예산서(조경)_예산서-엑셀변환양식100_00-수량산출서양식_분양(100%)" xfId="38084"/>
    <cellStyle name="1_tree_수량산출_현충묘지-예산서(조경)_예산서-엑셀변환양식100_00-예산서양식100" xfId="9672"/>
    <cellStyle name="1_tree_수량산출_현충묘지-예산서(조경)_예산서-엑셀변환양식100_00-예산서양식100_00-수량산출서양식" xfId="9673"/>
    <cellStyle name="1_tree_수량산출_현충묘지-예산서(조경)_예산서-엑셀변환양식100_00-예산서양식100_00-수량산출서양식_분양(100%)" xfId="38086"/>
    <cellStyle name="1_tree_수량산출_현충묘지-예산서(조경)_예산서-엑셀변환양식100_00-예산서양식100_녹화마대녹화끈수량산출-예원" xfId="9674"/>
    <cellStyle name="1_tree_수량산출_현충묘지-예산서(조경)_예산서-엑셀변환양식100_00-예산서양식100_녹화마대녹화끈수량산출-예원_분양(100%)" xfId="38087"/>
    <cellStyle name="1_tree_수량산출_현충묘지-예산서(조경)_예산서-엑셀변환양식100_00-예산서양식100_대전가오-설계서" xfId="9675"/>
    <cellStyle name="1_tree_수량산출_현충묘지-예산서(조경)_예산서-엑셀변환양식100_00-예산서양식100_대전가오-설계서(관리)" xfId="9676"/>
    <cellStyle name="1_tree_수량산출_현충묘지-예산서(조경)_예산서-엑셀변환양식100_00-예산서양식100_대전가오-설계서(관리)_00-설계서양식" xfId="9677"/>
    <cellStyle name="1_tree_수량산출_현충묘지-예산서(조경)_예산서-엑셀변환양식100_00-예산서양식100_대전가오-설계서(관리)_00-설계서양식_00-수량산출서양식" xfId="9678"/>
    <cellStyle name="1_tree_수량산출_현충묘지-예산서(조경)_예산서-엑셀변환양식100_00-예산서양식100_대전가오-설계서(관리)_00-설계서양식_00-수량산출서양식_분양(100%)" xfId="38091"/>
    <cellStyle name="1_tree_수량산출_현충묘지-예산서(조경)_예산서-엑셀변환양식100_00-예산서양식100_대전가오-설계서(관리)_00-설계서양식_녹화마대녹화끈수량산출-예원" xfId="9679"/>
    <cellStyle name="1_tree_수량산출_현충묘지-예산서(조경)_예산서-엑셀변환양식100_00-예산서양식100_대전가오-설계서(관리)_00-설계서양식_녹화마대녹화끈수량산출-예원_분양(100%)" xfId="38092"/>
    <cellStyle name="1_tree_수량산출_현충묘지-예산서(조경)_예산서-엑셀변환양식100_00-예산서양식100_대전가오-설계서(관리)_00-설계서양식_분양(100%)" xfId="38090"/>
    <cellStyle name="1_tree_수량산출_현충묘지-예산서(조경)_예산서-엑셀변환양식100_00-예산서양식100_대전가오-설계서(관리)_00-수량산출서양식" xfId="9680"/>
    <cellStyle name="1_tree_수량산출_현충묘지-예산서(조경)_예산서-엑셀변환양식100_00-예산서양식100_대전가오-설계서(관리)_00-수량산출서양식_분양(100%)" xfId="38093"/>
    <cellStyle name="1_tree_수량산출_현충묘지-예산서(조경)_예산서-엑셀변환양식100_00-예산서양식100_대전가오-설계서(관리)_녹화마대녹화끈수량산출-예원" xfId="9681"/>
    <cellStyle name="1_tree_수량산출_현충묘지-예산서(조경)_예산서-엑셀변환양식100_00-예산서양식100_대전가오-설계서(관리)_녹화마대녹화끈수량산출-예원_분양(100%)" xfId="38094"/>
    <cellStyle name="1_tree_수량산출_현충묘지-예산서(조경)_예산서-엑셀변환양식100_00-예산서양식100_대전가오-설계서(관리)_분양(100%)" xfId="38089"/>
    <cellStyle name="1_tree_수량산출_현충묘지-예산서(조경)_예산서-엑셀변환양식100_00-예산서양식100_대전가오-설계서_00-설계서양식" xfId="9682"/>
    <cellStyle name="1_tree_수량산출_현충묘지-예산서(조경)_예산서-엑셀변환양식100_00-예산서양식100_대전가오-설계서_00-설계서양식_00-수량산출서양식" xfId="9683"/>
    <cellStyle name="1_tree_수량산출_현충묘지-예산서(조경)_예산서-엑셀변환양식100_00-예산서양식100_대전가오-설계서_00-설계서양식_00-수량산출서양식_분양(100%)" xfId="38096"/>
    <cellStyle name="1_tree_수량산출_현충묘지-예산서(조경)_예산서-엑셀변환양식100_00-예산서양식100_대전가오-설계서_00-설계서양식_녹화마대녹화끈수량산출-예원" xfId="9684"/>
    <cellStyle name="1_tree_수량산출_현충묘지-예산서(조경)_예산서-엑셀변환양식100_00-예산서양식100_대전가오-설계서_00-설계서양식_녹화마대녹화끈수량산출-예원_분양(100%)" xfId="38097"/>
    <cellStyle name="1_tree_수량산출_현충묘지-예산서(조경)_예산서-엑셀변환양식100_00-예산서양식100_대전가오-설계서_00-설계서양식_분양(100%)" xfId="38095"/>
    <cellStyle name="1_tree_수량산출_현충묘지-예산서(조경)_예산서-엑셀변환양식100_00-예산서양식100_대전가오-설계서_00-수량산출서양식" xfId="9685"/>
    <cellStyle name="1_tree_수량산출_현충묘지-예산서(조경)_예산서-엑셀변환양식100_00-예산서양식100_대전가오-설계서_00-수량산출서양식_분양(100%)" xfId="38098"/>
    <cellStyle name="1_tree_수량산출_현충묘지-예산서(조경)_예산서-엑셀변환양식100_00-예산서양식100_대전가오-설계서_녹화마대녹화끈수량산출-예원" xfId="9686"/>
    <cellStyle name="1_tree_수량산출_현충묘지-예산서(조경)_예산서-엑셀변환양식100_00-예산서양식100_대전가오-설계서_녹화마대녹화끈수량산출-예원_분양(100%)" xfId="38099"/>
    <cellStyle name="1_tree_수량산출_현충묘지-예산서(조경)_예산서-엑셀변환양식100_00-예산서양식100_대전가오-설계서_분양(100%)" xfId="38088"/>
    <cellStyle name="1_tree_수량산출_현충묘지-예산서(조경)_예산서-엑셀변환양식100_00-예산서양식100_대전가오-설계서1" xfId="9687"/>
    <cellStyle name="1_tree_수량산출_현충묘지-예산서(조경)_예산서-엑셀변환양식100_00-예산서양식100_대전가오-설계서1_00-설계서양식" xfId="9688"/>
    <cellStyle name="1_tree_수량산출_현충묘지-예산서(조경)_예산서-엑셀변환양식100_00-예산서양식100_대전가오-설계서1_00-설계서양식_00-수량산출서양식" xfId="9689"/>
    <cellStyle name="1_tree_수량산출_현충묘지-예산서(조경)_예산서-엑셀변환양식100_00-예산서양식100_대전가오-설계서1_00-설계서양식_00-수량산출서양식_분양(100%)" xfId="38102"/>
    <cellStyle name="1_tree_수량산출_현충묘지-예산서(조경)_예산서-엑셀변환양식100_00-예산서양식100_대전가오-설계서1_00-설계서양식_녹화마대녹화끈수량산출-예원" xfId="9690"/>
    <cellStyle name="1_tree_수량산출_현충묘지-예산서(조경)_예산서-엑셀변환양식100_00-예산서양식100_대전가오-설계서1_00-설계서양식_녹화마대녹화끈수량산출-예원_분양(100%)" xfId="38103"/>
    <cellStyle name="1_tree_수량산출_현충묘지-예산서(조경)_예산서-엑셀변환양식100_00-예산서양식100_대전가오-설계서1_00-설계서양식_분양(100%)" xfId="38101"/>
    <cellStyle name="1_tree_수량산출_현충묘지-예산서(조경)_예산서-엑셀변환양식100_00-예산서양식100_대전가오-설계서1_00-수량산출서양식" xfId="9691"/>
    <cellStyle name="1_tree_수량산출_현충묘지-예산서(조경)_예산서-엑셀변환양식100_00-예산서양식100_대전가오-설계서1_00-수량산출서양식_분양(100%)" xfId="38104"/>
    <cellStyle name="1_tree_수량산출_현충묘지-예산서(조경)_예산서-엑셀변환양식100_00-예산서양식100_대전가오-설계서1_녹화마대녹화끈수량산출-예원" xfId="9692"/>
    <cellStyle name="1_tree_수량산출_현충묘지-예산서(조경)_예산서-엑셀변환양식100_00-예산서양식100_대전가오-설계서1_녹화마대녹화끈수량산출-예원_분양(100%)" xfId="38105"/>
    <cellStyle name="1_tree_수량산출_현충묘지-예산서(조경)_예산서-엑셀변환양식100_00-예산서양식100_대전가오-설계서1_분양(100%)" xfId="38100"/>
    <cellStyle name="1_tree_수량산출_현충묘지-예산서(조경)_예산서-엑셀변환양식100_00-예산서양식100_분양(100%)" xfId="38085"/>
    <cellStyle name="1_tree_수량산출_현충묘지-예산서(조경)_예산서-엑셀변환양식100_00-예산서양식100_설계서-06 0627" xfId="9693"/>
    <cellStyle name="1_tree_수량산출_현충묘지-예산서(조경)_예산서-엑셀변환양식100_00-예산서양식100_설계서-06 0627_분양(100%)" xfId="38106"/>
    <cellStyle name="1_tree_수량산출_현충묘지-예산서(조경)_예산서-엑셀변환양식100_00-예산서양식100_설계서-06 0727" xfId="9694"/>
    <cellStyle name="1_tree_수량산출_현충묘지-예산서(조경)_예산서-엑셀변환양식100_00-예산서양식100_설계서-06 0727_분양(100%)" xfId="38107"/>
    <cellStyle name="1_tree_수량산출_현충묘지-예산서(조경)_예산서-엑셀변환양식100_00-예산서양식100_수량산출서-06 0627" xfId="9695"/>
    <cellStyle name="1_tree_수량산출_현충묘지-예산서(조경)_예산서-엑셀변환양식100_00-예산서양식100_수량산출서-06 0627_분양(100%)" xfId="38108"/>
    <cellStyle name="1_tree_수량산출_현충묘지-예산서(조경)_예산서-엑셀변환양식100_00-표지예정공정표" xfId="9696"/>
    <cellStyle name="1_tree_수량산출_현충묘지-예산서(조경)_예산서-엑셀변환양식100_00-표지예정공정표_분양(100%)" xfId="38109"/>
    <cellStyle name="1_tree_수량산출_현충묘지-예산서(조경)_예산서-엑셀변환양식100_00-표지예정공정표_설계서-06 0627" xfId="9697"/>
    <cellStyle name="1_tree_수량산출_현충묘지-예산서(조경)_예산서-엑셀변환양식100_00-표지예정공정표_설계서-06 0627_분양(100%)" xfId="38110"/>
    <cellStyle name="1_tree_수량산출_현충묘지-예산서(조경)_예산서-엑셀변환양식100_00-표지예정공정표_설계서-06 0727" xfId="9698"/>
    <cellStyle name="1_tree_수량산출_현충묘지-예산서(조경)_예산서-엑셀변환양식100_00-표지예정공정표_설계서-06 0727_분양(100%)" xfId="38111"/>
    <cellStyle name="1_tree_수량산출_현충묘지-예산서(조경)_예산서-엑셀변환양식100_녹화마대녹화끈수량산출-예원" xfId="9699"/>
    <cellStyle name="1_tree_수량산출_현충묘지-예산서(조경)_예산서-엑셀변환양식100_녹화마대녹화끈수량산출-예원_분양(100%)" xfId="38112"/>
    <cellStyle name="1_tree_수량산출_현충묘지-예산서(조경)_예산서-엑셀변환양식100_분양(100%)" xfId="38080"/>
    <cellStyle name="1_tree_수량산출_현충묘지-예산서(조경)_표지예정공정표" xfId="9700"/>
    <cellStyle name="1_tree_수량산출_현충묘지-예산서(조경)_-표지예정공정표" xfId="9701"/>
    <cellStyle name="1_tree_수량산출_현충묘지-예산서(조경)_표지예정공정표_분양(100%)" xfId="38113"/>
    <cellStyle name="1_tree_수량산출_현충묘지-예산서(조경)_-표지예정공정표_분양(100%)" xfId="38114"/>
    <cellStyle name="1_tree_수량산출_현충묘지-예산서(조경)_표지예정공정표_설계서-06 0627" xfId="9702"/>
    <cellStyle name="1_tree_수량산출_현충묘지-예산서(조경)_-표지예정공정표_설계서-06 0627" xfId="9703"/>
    <cellStyle name="1_tree_수량산출_현충묘지-예산서(조경)_표지예정공정표_설계서-06 0627_분양(100%)" xfId="38115"/>
    <cellStyle name="1_tree_수량산출_현충묘지-예산서(조경)_-표지예정공정표_설계서-06 0627_분양(100%)" xfId="38116"/>
    <cellStyle name="1_tree_수량산출_현충묘지-예산서(조경)_표지예정공정표_설계서-06 0727" xfId="9704"/>
    <cellStyle name="1_tree_수량산출_현충묘지-예산서(조경)_-표지예정공정표_설계서-06 0727" xfId="9705"/>
    <cellStyle name="1_tree_수량산출_현충묘지-예산서(조경)_표지예정공정표_설계서-06 0727_분양(100%)" xfId="38117"/>
    <cellStyle name="1_tree_수량산출_현충묘지-예산서(조경)_-표지예정공정표_설계서-06 0727_분양(100%)" xfId="38118"/>
    <cellStyle name="1_tree_지주목" xfId="9706"/>
    <cellStyle name="1_tree_지주목_00-수량산출서양식" xfId="9707"/>
    <cellStyle name="1_tree_지주목_00-수량산출서양식_분양(100%)" xfId="38120"/>
    <cellStyle name="1_tree_지주목_녹화마대녹화끈수량산출-예원" xfId="9708"/>
    <cellStyle name="1_tree_지주목_녹화마대녹화끈수량산출-예원_분양(100%)" xfId="38121"/>
    <cellStyle name="1_tree_지주목_분양(100%)" xfId="38119"/>
    <cellStyle name="1_tree_총괄내역0518" xfId="9709"/>
    <cellStyle name="1_tree_총괄내역0518_00-설계서양식" xfId="9710"/>
    <cellStyle name="1_tree_총괄내역0518_00-설계서양식_00-수량산출서양식" xfId="9711"/>
    <cellStyle name="1_tree_총괄내역0518_00-설계서양식_00-수량산출서양식_분양(100%)" xfId="38124"/>
    <cellStyle name="1_tree_총괄내역0518_00-설계서양식_녹화마대녹화끈수량산출-예원" xfId="9712"/>
    <cellStyle name="1_tree_총괄내역0518_00-설계서양식_녹화마대녹화끈수량산출-예원_분양(100%)" xfId="38125"/>
    <cellStyle name="1_tree_총괄내역0518_00-설계서양식_분양(100%)" xfId="38123"/>
    <cellStyle name="1_tree_총괄내역0518_00-수량산출서양식" xfId="9713"/>
    <cellStyle name="1_tree_총괄내역0518_00-수량산출서양식_분양(100%)" xfId="38126"/>
    <cellStyle name="1_tree_총괄내역0518_구로리설계예산서1029" xfId="9714"/>
    <cellStyle name="1_tree_총괄내역0518_구로리설계예산서1029_00-설계서양식" xfId="9715"/>
    <cellStyle name="1_tree_총괄내역0518_구로리설계예산서1029_00-설계서양식_00-수량산출서양식" xfId="9716"/>
    <cellStyle name="1_tree_총괄내역0518_구로리설계예산서1029_00-설계서양식_00-수량산출서양식_분양(100%)" xfId="38129"/>
    <cellStyle name="1_tree_총괄내역0518_구로리설계예산서1029_00-설계서양식_녹화마대녹화끈수량산출-예원" xfId="9717"/>
    <cellStyle name="1_tree_총괄내역0518_구로리설계예산서1029_00-설계서양식_녹화마대녹화끈수량산출-예원_분양(100%)" xfId="38130"/>
    <cellStyle name="1_tree_총괄내역0518_구로리설계예산서1029_00-설계서양식_분양(100%)" xfId="38128"/>
    <cellStyle name="1_tree_총괄내역0518_구로리설계예산서1029_00-수량산출서양식" xfId="9718"/>
    <cellStyle name="1_tree_총괄내역0518_구로리설계예산서1029_00-수량산출서양식_분양(100%)" xfId="38131"/>
    <cellStyle name="1_tree_총괄내역0518_구로리설계예산서1029_녹화마대녹화끈수량산출-예원" xfId="9719"/>
    <cellStyle name="1_tree_총괄내역0518_구로리설계예산서1029_녹화마대녹화끈수량산출-예원_분양(100%)" xfId="38132"/>
    <cellStyle name="1_tree_총괄내역0518_구로리설계예산서1029_분양(100%)" xfId="38127"/>
    <cellStyle name="1_tree_총괄내역0518_구로리설계예산서1029_지주목" xfId="9720"/>
    <cellStyle name="1_tree_총괄내역0518_구로리설계예산서1029_지주목_00-수량산출서양식" xfId="9721"/>
    <cellStyle name="1_tree_총괄내역0518_구로리설계예산서1029_지주목_00-수량산출서양식_분양(100%)" xfId="38134"/>
    <cellStyle name="1_tree_총괄내역0518_구로리설계예산서1029_지주목_녹화마대녹화끈수량산출-예원" xfId="9722"/>
    <cellStyle name="1_tree_총괄내역0518_구로리설계예산서1029_지주목_녹화마대녹화끈수량산출-예원_분양(100%)" xfId="38135"/>
    <cellStyle name="1_tree_총괄내역0518_구로리설계예산서1029_지주목_분양(100%)" xfId="38133"/>
    <cellStyle name="1_tree_총괄내역0518_구로리설계예산서1118준공" xfId="9723"/>
    <cellStyle name="1_tree_총괄내역0518_구로리설계예산서1118준공_00-설계서양식" xfId="9724"/>
    <cellStyle name="1_tree_총괄내역0518_구로리설계예산서1118준공_00-설계서양식_00-수량산출서양식" xfId="9725"/>
    <cellStyle name="1_tree_총괄내역0518_구로리설계예산서1118준공_00-설계서양식_00-수량산출서양식_분양(100%)" xfId="38138"/>
    <cellStyle name="1_tree_총괄내역0518_구로리설계예산서1118준공_00-설계서양식_녹화마대녹화끈수량산출-예원" xfId="9726"/>
    <cellStyle name="1_tree_총괄내역0518_구로리설계예산서1118준공_00-설계서양식_녹화마대녹화끈수량산출-예원_분양(100%)" xfId="38139"/>
    <cellStyle name="1_tree_총괄내역0518_구로리설계예산서1118준공_00-설계서양식_분양(100%)" xfId="38137"/>
    <cellStyle name="1_tree_총괄내역0518_구로리설계예산서1118준공_00-수량산출서양식" xfId="9727"/>
    <cellStyle name="1_tree_총괄내역0518_구로리설계예산서1118준공_00-수량산출서양식_분양(100%)" xfId="38140"/>
    <cellStyle name="1_tree_총괄내역0518_구로리설계예산서1118준공_녹화마대녹화끈수량산출-예원" xfId="9728"/>
    <cellStyle name="1_tree_총괄내역0518_구로리설계예산서1118준공_녹화마대녹화끈수량산출-예원_분양(100%)" xfId="38141"/>
    <cellStyle name="1_tree_총괄내역0518_구로리설계예산서1118준공_분양(100%)" xfId="38136"/>
    <cellStyle name="1_tree_총괄내역0518_구로리설계예산서1118준공_지주목" xfId="9729"/>
    <cellStyle name="1_tree_총괄내역0518_구로리설계예산서1118준공_지주목_00-수량산출서양식" xfId="9730"/>
    <cellStyle name="1_tree_총괄내역0518_구로리설계예산서1118준공_지주목_00-수량산출서양식_분양(100%)" xfId="38143"/>
    <cellStyle name="1_tree_총괄내역0518_구로리설계예산서1118준공_지주목_녹화마대녹화끈수량산출-예원" xfId="9731"/>
    <cellStyle name="1_tree_총괄내역0518_구로리설계예산서1118준공_지주목_녹화마대녹화끈수량산출-예원_분양(100%)" xfId="38144"/>
    <cellStyle name="1_tree_총괄내역0518_구로리설계예산서1118준공_지주목_분양(100%)" xfId="38142"/>
    <cellStyle name="1_tree_총괄내역0518_구로리설계예산서조경" xfId="9732"/>
    <cellStyle name="1_tree_총괄내역0518_구로리설계예산서조경_00-설계서양식" xfId="9733"/>
    <cellStyle name="1_tree_총괄내역0518_구로리설계예산서조경_00-설계서양식_00-수량산출서양식" xfId="9734"/>
    <cellStyle name="1_tree_총괄내역0518_구로리설계예산서조경_00-설계서양식_00-수량산출서양식_분양(100%)" xfId="38147"/>
    <cellStyle name="1_tree_총괄내역0518_구로리설계예산서조경_00-설계서양식_녹화마대녹화끈수량산출-예원" xfId="9735"/>
    <cellStyle name="1_tree_총괄내역0518_구로리설계예산서조경_00-설계서양식_녹화마대녹화끈수량산출-예원_분양(100%)" xfId="38148"/>
    <cellStyle name="1_tree_총괄내역0518_구로리설계예산서조경_00-설계서양식_분양(100%)" xfId="38146"/>
    <cellStyle name="1_tree_총괄내역0518_구로리설계예산서조경_00-수량산출서양식" xfId="9736"/>
    <cellStyle name="1_tree_총괄내역0518_구로리설계예산서조경_00-수량산출서양식_분양(100%)" xfId="38149"/>
    <cellStyle name="1_tree_총괄내역0518_구로리설계예산서조경_녹화마대녹화끈수량산출-예원" xfId="9737"/>
    <cellStyle name="1_tree_총괄내역0518_구로리설계예산서조경_녹화마대녹화끈수량산출-예원_분양(100%)" xfId="38150"/>
    <cellStyle name="1_tree_총괄내역0518_구로리설계예산서조경_분양(100%)" xfId="38145"/>
    <cellStyle name="1_tree_총괄내역0518_구로리설계예산서조경_지주목" xfId="9738"/>
    <cellStyle name="1_tree_총괄내역0518_구로리설계예산서조경_지주목_00-수량산출서양식" xfId="9739"/>
    <cellStyle name="1_tree_총괄내역0518_구로리설계예산서조경_지주목_00-수량산출서양식_분양(100%)" xfId="38152"/>
    <cellStyle name="1_tree_총괄내역0518_구로리설계예산서조경_지주목_녹화마대녹화끈수량산출-예원" xfId="9740"/>
    <cellStyle name="1_tree_총괄내역0518_구로리설계예산서조경_지주목_녹화마대녹화끈수량산출-예원_분양(100%)" xfId="38153"/>
    <cellStyle name="1_tree_총괄내역0518_구로리설계예산서조경_지주목_분양(100%)" xfId="38151"/>
    <cellStyle name="1_tree_총괄내역0518_구로리어린이공원예산서(조경)1125" xfId="9741"/>
    <cellStyle name="1_tree_총괄내역0518_구로리어린이공원예산서(조경)1125_00-설계서양식" xfId="9742"/>
    <cellStyle name="1_tree_총괄내역0518_구로리어린이공원예산서(조경)1125_00-설계서양식_00-수량산출서양식" xfId="9743"/>
    <cellStyle name="1_tree_총괄내역0518_구로리어린이공원예산서(조경)1125_00-설계서양식_00-수량산출서양식_분양(100%)" xfId="38156"/>
    <cellStyle name="1_tree_총괄내역0518_구로리어린이공원예산서(조경)1125_00-설계서양식_녹화마대녹화끈수량산출-예원" xfId="9744"/>
    <cellStyle name="1_tree_총괄내역0518_구로리어린이공원예산서(조경)1125_00-설계서양식_녹화마대녹화끈수량산출-예원_분양(100%)" xfId="38157"/>
    <cellStyle name="1_tree_총괄내역0518_구로리어린이공원예산서(조경)1125_00-설계서양식_분양(100%)" xfId="38155"/>
    <cellStyle name="1_tree_총괄내역0518_구로리어린이공원예산서(조경)1125_00-수량산출서양식" xfId="9745"/>
    <cellStyle name="1_tree_총괄내역0518_구로리어린이공원예산서(조경)1125_00-수량산출서양식_분양(100%)" xfId="38158"/>
    <cellStyle name="1_tree_총괄내역0518_구로리어린이공원예산서(조경)1125_녹화마대녹화끈수량산출-예원" xfId="9746"/>
    <cellStyle name="1_tree_총괄내역0518_구로리어린이공원예산서(조경)1125_녹화마대녹화끈수량산출-예원_분양(100%)" xfId="38159"/>
    <cellStyle name="1_tree_총괄내역0518_구로리어린이공원예산서(조경)1125_분양(100%)" xfId="38154"/>
    <cellStyle name="1_tree_총괄내역0518_구로리어린이공원예산서(조경)1125_지주목" xfId="9747"/>
    <cellStyle name="1_tree_총괄내역0518_구로리어린이공원예산서(조경)1125_지주목_00-수량산출서양식" xfId="9748"/>
    <cellStyle name="1_tree_총괄내역0518_구로리어린이공원예산서(조경)1125_지주목_00-수량산출서양식_분양(100%)" xfId="38161"/>
    <cellStyle name="1_tree_총괄내역0518_구로리어린이공원예산서(조경)1125_지주목_녹화마대녹화끈수량산출-예원" xfId="9749"/>
    <cellStyle name="1_tree_총괄내역0518_구로리어린이공원예산서(조경)1125_지주목_녹화마대녹화끈수량산출-예원_분양(100%)" xfId="38162"/>
    <cellStyle name="1_tree_총괄내역0518_구로리어린이공원예산서(조경)1125_지주목_분양(100%)" xfId="38160"/>
    <cellStyle name="1_tree_총괄내역0518_내역서" xfId="9750"/>
    <cellStyle name="1_tree_총괄내역0518_내역서_00-설계서양식" xfId="9751"/>
    <cellStyle name="1_tree_총괄내역0518_내역서_00-설계서양식_00-수량산출서양식" xfId="9752"/>
    <cellStyle name="1_tree_총괄내역0518_내역서_00-설계서양식_00-수량산출서양식_분양(100%)" xfId="38165"/>
    <cellStyle name="1_tree_총괄내역0518_내역서_00-설계서양식_녹화마대녹화끈수량산출-예원" xfId="9753"/>
    <cellStyle name="1_tree_총괄내역0518_내역서_00-설계서양식_녹화마대녹화끈수량산출-예원_분양(100%)" xfId="38166"/>
    <cellStyle name="1_tree_총괄내역0518_내역서_00-설계서양식_분양(100%)" xfId="38164"/>
    <cellStyle name="1_tree_총괄내역0518_내역서_00-수량산출서양식" xfId="9754"/>
    <cellStyle name="1_tree_총괄내역0518_내역서_00-수량산출서양식_분양(100%)" xfId="38167"/>
    <cellStyle name="1_tree_총괄내역0518_내역서_녹화마대녹화끈수량산출-예원" xfId="9755"/>
    <cellStyle name="1_tree_총괄내역0518_내역서_녹화마대녹화끈수량산출-예원_분양(100%)" xfId="38168"/>
    <cellStyle name="1_tree_총괄내역0518_내역서_분양(100%)" xfId="38163"/>
    <cellStyle name="1_tree_총괄내역0518_내역서_지주목" xfId="9756"/>
    <cellStyle name="1_tree_총괄내역0518_내역서_지주목_00-수량산출서양식" xfId="9757"/>
    <cellStyle name="1_tree_총괄내역0518_내역서_지주목_00-수량산출서양식_분양(100%)" xfId="38170"/>
    <cellStyle name="1_tree_총괄내역0518_내역서_지주목_녹화마대녹화끈수량산출-예원" xfId="9758"/>
    <cellStyle name="1_tree_총괄내역0518_내역서_지주목_녹화마대녹화끈수량산출-예원_분양(100%)" xfId="38171"/>
    <cellStyle name="1_tree_총괄내역0518_내역서_지주목_분양(100%)" xfId="38169"/>
    <cellStyle name="1_tree_총괄내역0518_노임단가표" xfId="9759"/>
    <cellStyle name="1_tree_총괄내역0518_노임단가표_00-설계서양식" xfId="9760"/>
    <cellStyle name="1_tree_총괄내역0518_노임단가표_00-설계서양식_00-수량산출서양식" xfId="9761"/>
    <cellStyle name="1_tree_총괄내역0518_노임단가표_00-설계서양식_00-수량산출서양식_분양(100%)" xfId="38174"/>
    <cellStyle name="1_tree_총괄내역0518_노임단가표_00-설계서양식_녹화마대녹화끈수량산출-예원" xfId="9762"/>
    <cellStyle name="1_tree_총괄내역0518_노임단가표_00-설계서양식_녹화마대녹화끈수량산출-예원_분양(100%)" xfId="38175"/>
    <cellStyle name="1_tree_총괄내역0518_노임단가표_00-설계서양식_분양(100%)" xfId="38173"/>
    <cellStyle name="1_tree_총괄내역0518_노임단가표_00-수량산출서양식" xfId="9763"/>
    <cellStyle name="1_tree_총괄내역0518_노임단가표_00-수량산출서양식_분양(100%)" xfId="38176"/>
    <cellStyle name="1_tree_총괄내역0518_노임단가표_녹화마대녹화끈수량산출-예원" xfId="9764"/>
    <cellStyle name="1_tree_총괄내역0518_노임단가표_녹화마대녹화끈수량산출-예원_분양(100%)" xfId="38177"/>
    <cellStyle name="1_tree_총괄내역0518_노임단가표_분양(100%)" xfId="38172"/>
    <cellStyle name="1_tree_총괄내역0518_노임단가표_지주목" xfId="9765"/>
    <cellStyle name="1_tree_총괄내역0518_노임단가표_지주목_00-수량산출서양식" xfId="9766"/>
    <cellStyle name="1_tree_총괄내역0518_노임단가표_지주목_00-수량산출서양식_분양(100%)" xfId="38179"/>
    <cellStyle name="1_tree_총괄내역0518_노임단가표_지주목_녹화마대녹화끈수량산출-예원" xfId="9767"/>
    <cellStyle name="1_tree_총괄내역0518_노임단가표_지주목_녹화마대녹화끈수량산출-예원_분양(100%)" xfId="38180"/>
    <cellStyle name="1_tree_총괄내역0518_노임단가표_지주목_분양(100%)" xfId="38178"/>
    <cellStyle name="1_tree_총괄내역0518_녹화마대녹화끈수량산출-예원" xfId="9768"/>
    <cellStyle name="1_tree_총괄내역0518_녹화마대녹화끈수량산출-예원_분양(100%)" xfId="38181"/>
    <cellStyle name="1_tree_총괄내역0518_분양(100%)" xfId="38122"/>
    <cellStyle name="1_tree_총괄내역0518_수도권매립지" xfId="9769"/>
    <cellStyle name="1_tree_총괄내역0518_수도권매립지_00-설계서양식" xfId="9770"/>
    <cellStyle name="1_tree_총괄내역0518_수도권매립지_00-설계서양식_00-수량산출서양식" xfId="9771"/>
    <cellStyle name="1_tree_총괄내역0518_수도권매립지_00-설계서양식_00-수량산출서양식_분양(100%)" xfId="38184"/>
    <cellStyle name="1_tree_총괄내역0518_수도권매립지_00-설계서양식_녹화마대녹화끈수량산출-예원" xfId="9772"/>
    <cellStyle name="1_tree_총괄내역0518_수도권매립지_00-설계서양식_녹화마대녹화끈수량산출-예원_분양(100%)" xfId="38185"/>
    <cellStyle name="1_tree_총괄내역0518_수도권매립지_00-설계서양식_분양(100%)" xfId="38183"/>
    <cellStyle name="1_tree_총괄내역0518_수도권매립지_00-수량산출서양식" xfId="9773"/>
    <cellStyle name="1_tree_총괄내역0518_수도권매립지_00-수량산출서양식_분양(100%)" xfId="38186"/>
    <cellStyle name="1_tree_총괄내역0518_수도권매립지_녹화마대녹화끈수량산출-예원" xfId="9774"/>
    <cellStyle name="1_tree_총괄내역0518_수도권매립지_녹화마대녹화끈수량산출-예원_분양(100%)" xfId="38187"/>
    <cellStyle name="1_tree_총괄내역0518_수도권매립지_분양(100%)" xfId="38182"/>
    <cellStyle name="1_tree_총괄내역0518_수도권매립지_지주목" xfId="9775"/>
    <cellStyle name="1_tree_총괄내역0518_수도권매립지_지주목_00-수량산출서양식" xfId="9776"/>
    <cellStyle name="1_tree_총괄내역0518_수도권매립지_지주목_00-수량산출서양식_분양(100%)" xfId="38189"/>
    <cellStyle name="1_tree_총괄내역0518_수도권매립지_지주목_녹화마대녹화끈수량산출-예원" xfId="9777"/>
    <cellStyle name="1_tree_총괄내역0518_수도권매립지_지주목_녹화마대녹화끈수량산출-예원_분양(100%)" xfId="38190"/>
    <cellStyle name="1_tree_총괄내역0518_수도권매립지_지주목_분양(100%)" xfId="38188"/>
    <cellStyle name="1_tree_총괄내역0518_수도권매립지1004(발주용)" xfId="9778"/>
    <cellStyle name="1_tree_총괄내역0518_수도권매립지1004(발주용)_00-설계서양식" xfId="9779"/>
    <cellStyle name="1_tree_총괄내역0518_수도권매립지1004(발주용)_00-설계서양식_00-수량산출서양식" xfId="9780"/>
    <cellStyle name="1_tree_총괄내역0518_수도권매립지1004(발주용)_00-설계서양식_00-수량산출서양식_분양(100%)" xfId="38193"/>
    <cellStyle name="1_tree_총괄내역0518_수도권매립지1004(발주용)_00-설계서양식_녹화마대녹화끈수량산출-예원" xfId="9781"/>
    <cellStyle name="1_tree_총괄내역0518_수도권매립지1004(발주용)_00-설계서양식_녹화마대녹화끈수량산출-예원_분양(100%)" xfId="38194"/>
    <cellStyle name="1_tree_총괄내역0518_수도권매립지1004(발주용)_00-설계서양식_분양(100%)" xfId="38192"/>
    <cellStyle name="1_tree_총괄내역0518_수도권매립지1004(발주용)_00-수량산출서양식" xfId="9782"/>
    <cellStyle name="1_tree_총괄내역0518_수도권매립지1004(발주용)_00-수량산출서양식_분양(100%)" xfId="38195"/>
    <cellStyle name="1_tree_총괄내역0518_수도권매립지1004(발주용)_녹화마대녹화끈수량산출-예원" xfId="9783"/>
    <cellStyle name="1_tree_총괄내역0518_수도권매립지1004(발주용)_녹화마대녹화끈수량산출-예원_분양(100%)" xfId="38196"/>
    <cellStyle name="1_tree_총괄내역0518_수도권매립지1004(발주용)_분양(100%)" xfId="38191"/>
    <cellStyle name="1_tree_총괄내역0518_수도권매립지1004(발주용)_지주목" xfId="9784"/>
    <cellStyle name="1_tree_총괄내역0518_수도권매립지1004(발주용)_지주목_00-수량산출서양식" xfId="9785"/>
    <cellStyle name="1_tree_총괄내역0518_수도권매립지1004(발주용)_지주목_00-수량산출서양식_분양(100%)" xfId="38198"/>
    <cellStyle name="1_tree_총괄내역0518_수도권매립지1004(발주용)_지주목_녹화마대녹화끈수량산출-예원" xfId="9786"/>
    <cellStyle name="1_tree_총괄내역0518_수도권매립지1004(발주용)_지주목_녹화마대녹화끈수량산출-예원_분양(100%)" xfId="38199"/>
    <cellStyle name="1_tree_총괄내역0518_수도권매립지1004(발주용)_지주목_분양(100%)" xfId="38197"/>
    <cellStyle name="1_tree_총괄내역0518_일신건영설계예산서(0211)" xfId="9787"/>
    <cellStyle name="1_tree_총괄내역0518_일신건영설계예산서(0211)_00-설계서양식" xfId="9788"/>
    <cellStyle name="1_tree_총괄내역0518_일신건영설계예산서(0211)_00-설계서양식_00-수량산출서양식" xfId="9789"/>
    <cellStyle name="1_tree_총괄내역0518_일신건영설계예산서(0211)_00-설계서양식_00-수량산출서양식_분양(100%)" xfId="38202"/>
    <cellStyle name="1_tree_총괄내역0518_일신건영설계예산서(0211)_00-설계서양식_녹화마대녹화끈수량산출-예원" xfId="9790"/>
    <cellStyle name="1_tree_총괄내역0518_일신건영설계예산서(0211)_00-설계서양식_녹화마대녹화끈수량산출-예원_분양(100%)" xfId="38203"/>
    <cellStyle name="1_tree_총괄내역0518_일신건영설계예산서(0211)_00-설계서양식_분양(100%)" xfId="38201"/>
    <cellStyle name="1_tree_총괄내역0518_일신건영설계예산서(0211)_00-수량산출서양식" xfId="9791"/>
    <cellStyle name="1_tree_총괄내역0518_일신건영설계예산서(0211)_00-수량산출서양식_분양(100%)" xfId="38204"/>
    <cellStyle name="1_tree_총괄내역0518_일신건영설계예산서(0211)_녹화마대녹화끈수량산출-예원" xfId="9792"/>
    <cellStyle name="1_tree_총괄내역0518_일신건영설계예산서(0211)_녹화마대녹화끈수량산출-예원_분양(100%)" xfId="38205"/>
    <cellStyle name="1_tree_총괄내역0518_일신건영설계예산서(0211)_분양(100%)" xfId="38200"/>
    <cellStyle name="1_tree_총괄내역0518_일신건영설계예산서(0211)_지주목" xfId="9793"/>
    <cellStyle name="1_tree_총괄내역0518_일신건영설계예산서(0211)_지주목_00-수량산출서양식" xfId="9794"/>
    <cellStyle name="1_tree_총괄내역0518_일신건영설계예산서(0211)_지주목_00-수량산출서양식_분양(100%)" xfId="38207"/>
    <cellStyle name="1_tree_총괄내역0518_일신건영설계예산서(0211)_지주목_녹화마대녹화끈수량산출-예원" xfId="9795"/>
    <cellStyle name="1_tree_총괄내역0518_일신건영설계예산서(0211)_지주목_녹화마대녹화끈수량산출-예원_분양(100%)" xfId="38208"/>
    <cellStyle name="1_tree_총괄내역0518_일신건영설계예산서(0211)_지주목_분양(100%)" xfId="38206"/>
    <cellStyle name="1_tree_총괄내역0518_일위대가" xfId="9796"/>
    <cellStyle name="1_tree_총괄내역0518_일위대가_00-설계서양식" xfId="9797"/>
    <cellStyle name="1_tree_총괄내역0518_일위대가_00-설계서양식_00-수량산출서양식" xfId="9798"/>
    <cellStyle name="1_tree_총괄내역0518_일위대가_00-설계서양식_00-수량산출서양식_분양(100%)" xfId="38211"/>
    <cellStyle name="1_tree_총괄내역0518_일위대가_00-설계서양식_녹화마대녹화끈수량산출-예원" xfId="9799"/>
    <cellStyle name="1_tree_총괄내역0518_일위대가_00-설계서양식_녹화마대녹화끈수량산출-예원_분양(100%)" xfId="38212"/>
    <cellStyle name="1_tree_총괄내역0518_일위대가_00-설계서양식_분양(100%)" xfId="38210"/>
    <cellStyle name="1_tree_총괄내역0518_일위대가_00-수량산출서양식" xfId="9800"/>
    <cellStyle name="1_tree_총괄내역0518_일위대가_00-수량산출서양식_분양(100%)" xfId="38213"/>
    <cellStyle name="1_tree_총괄내역0518_일위대가_녹화마대녹화끈수량산출-예원" xfId="9801"/>
    <cellStyle name="1_tree_총괄내역0518_일위대가_녹화마대녹화끈수량산출-예원_분양(100%)" xfId="38214"/>
    <cellStyle name="1_tree_총괄내역0518_일위대가_분양(100%)" xfId="38209"/>
    <cellStyle name="1_tree_총괄내역0518_일위대가_지주목" xfId="9802"/>
    <cellStyle name="1_tree_총괄내역0518_일위대가_지주목_00-수량산출서양식" xfId="9803"/>
    <cellStyle name="1_tree_총괄내역0518_일위대가_지주목_00-수량산출서양식_분양(100%)" xfId="38216"/>
    <cellStyle name="1_tree_총괄내역0518_일위대가_지주목_녹화마대녹화끈수량산출-예원" xfId="9804"/>
    <cellStyle name="1_tree_총괄내역0518_일위대가_지주목_녹화마대녹화끈수량산출-예원_분양(100%)" xfId="38217"/>
    <cellStyle name="1_tree_총괄내역0518_일위대가_지주목_분양(100%)" xfId="38215"/>
    <cellStyle name="1_tree_총괄내역0518_자재단가표" xfId="9805"/>
    <cellStyle name="1_tree_총괄내역0518_자재단가표_00-설계서양식" xfId="9806"/>
    <cellStyle name="1_tree_총괄내역0518_자재단가표_00-설계서양식_00-수량산출서양식" xfId="9807"/>
    <cellStyle name="1_tree_총괄내역0518_자재단가표_00-설계서양식_00-수량산출서양식_분양(100%)" xfId="38220"/>
    <cellStyle name="1_tree_총괄내역0518_자재단가표_00-설계서양식_녹화마대녹화끈수량산출-예원" xfId="9808"/>
    <cellStyle name="1_tree_총괄내역0518_자재단가표_00-설계서양식_녹화마대녹화끈수량산출-예원_분양(100%)" xfId="38221"/>
    <cellStyle name="1_tree_총괄내역0518_자재단가표_00-설계서양식_분양(100%)" xfId="38219"/>
    <cellStyle name="1_tree_총괄내역0518_자재단가표_00-수량산출서양식" xfId="9809"/>
    <cellStyle name="1_tree_총괄내역0518_자재단가표_00-수량산출서양식_분양(100%)" xfId="38222"/>
    <cellStyle name="1_tree_총괄내역0518_자재단가표_녹화마대녹화끈수량산출-예원" xfId="9810"/>
    <cellStyle name="1_tree_총괄내역0518_자재단가표_녹화마대녹화끈수량산출-예원_분양(100%)" xfId="38223"/>
    <cellStyle name="1_tree_총괄내역0518_자재단가표_분양(100%)" xfId="38218"/>
    <cellStyle name="1_tree_총괄내역0518_자재단가표_지주목" xfId="9811"/>
    <cellStyle name="1_tree_총괄내역0518_자재단가표_지주목_00-수량산출서양식" xfId="9812"/>
    <cellStyle name="1_tree_총괄내역0518_자재단가표_지주목_00-수량산출서양식_분양(100%)" xfId="38225"/>
    <cellStyle name="1_tree_총괄내역0518_자재단가표_지주목_녹화마대녹화끈수량산출-예원" xfId="9813"/>
    <cellStyle name="1_tree_총괄내역0518_자재단가표_지주목_녹화마대녹화끈수량산출-예원_분양(100%)" xfId="38226"/>
    <cellStyle name="1_tree_총괄내역0518_자재단가표_지주목_분양(100%)" xfId="38224"/>
    <cellStyle name="1_tree_총괄내역0518_장안초등학교내역0814" xfId="9814"/>
    <cellStyle name="1_tree_총괄내역0518_장안초등학교내역0814_00-설계서양식" xfId="9815"/>
    <cellStyle name="1_tree_총괄내역0518_장안초등학교내역0814_00-설계서양식_00-수량산출서양식" xfId="9816"/>
    <cellStyle name="1_tree_총괄내역0518_장안초등학교내역0814_00-설계서양식_00-수량산출서양식_분양(100%)" xfId="38229"/>
    <cellStyle name="1_tree_총괄내역0518_장안초등학교내역0814_00-설계서양식_녹화마대녹화끈수량산출-예원" xfId="9817"/>
    <cellStyle name="1_tree_총괄내역0518_장안초등학교내역0814_00-설계서양식_녹화마대녹화끈수량산출-예원_분양(100%)" xfId="38230"/>
    <cellStyle name="1_tree_총괄내역0518_장안초등학교내역0814_00-설계서양식_분양(100%)" xfId="38228"/>
    <cellStyle name="1_tree_총괄내역0518_장안초등학교내역0814_00-수량산출서양식" xfId="9818"/>
    <cellStyle name="1_tree_총괄내역0518_장안초등학교내역0814_00-수량산출서양식_분양(100%)" xfId="38231"/>
    <cellStyle name="1_tree_총괄내역0518_장안초등학교내역0814_녹화마대녹화끈수량산출-예원" xfId="9819"/>
    <cellStyle name="1_tree_총괄내역0518_장안초등학교내역0814_녹화마대녹화끈수량산출-예원_분양(100%)" xfId="38232"/>
    <cellStyle name="1_tree_총괄내역0518_장안초등학교내역0814_분양(100%)" xfId="38227"/>
    <cellStyle name="1_tree_총괄내역0518_장안초등학교내역0814_지주목" xfId="9820"/>
    <cellStyle name="1_tree_총괄내역0518_장안초등학교내역0814_지주목_00-수량산출서양식" xfId="9821"/>
    <cellStyle name="1_tree_총괄내역0518_장안초등학교내역0814_지주목_00-수량산출서양식_분양(100%)" xfId="38234"/>
    <cellStyle name="1_tree_총괄내역0518_장안초등학교내역0814_지주목_녹화마대녹화끈수량산출-예원" xfId="9822"/>
    <cellStyle name="1_tree_총괄내역0518_장안초등학교내역0814_지주목_녹화마대녹화끈수량산출-예원_분양(100%)" xfId="38235"/>
    <cellStyle name="1_tree_총괄내역0518_장안초등학교내역0814_지주목_분양(100%)" xfId="38233"/>
    <cellStyle name="1_tree_총괄내역0518_지주목" xfId="9823"/>
    <cellStyle name="1_tree_총괄내역0518_지주목_00-수량산출서양식" xfId="9824"/>
    <cellStyle name="1_tree_총괄내역0518_지주목_00-수량산출서양식_분양(100%)" xfId="38237"/>
    <cellStyle name="1_tree_총괄내역0518_지주목_녹화마대녹화끈수량산출-예원" xfId="9825"/>
    <cellStyle name="1_tree_총괄내역0518_지주목_녹화마대녹화끈수량산출-예원_분양(100%)" xfId="38238"/>
    <cellStyle name="1_tree_총괄내역0518_지주목_분양(100%)" xfId="38236"/>
    <cellStyle name="1_tree_현충묘지-예산서(조경)" xfId="9826"/>
    <cellStyle name="1_tree_현충묘지-예산서(조경)_00-수량산출서양식" xfId="9827"/>
    <cellStyle name="1_tree_현충묘지-예산서(조경)_00-수량산출서양식_분양(100%)" xfId="38240"/>
    <cellStyle name="1_tree_현충묘지-예산서(조경)_까르프-표지예정공정표" xfId="9828"/>
    <cellStyle name="1_tree_현충묘지-예산서(조경)_까르프-표지예정공정표_분양(100%)" xfId="38241"/>
    <cellStyle name="1_tree_현충묘지-예산서(조경)_까르프-표지예정공정표_설계서-06 0627" xfId="9829"/>
    <cellStyle name="1_tree_현충묘지-예산서(조경)_까르프-표지예정공정표_설계서-06 0627_분양(100%)" xfId="38242"/>
    <cellStyle name="1_tree_현충묘지-예산서(조경)_까르프-표지예정공정표_설계서-06 0727" xfId="9830"/>
    <cellStyle name="1_tree_현충묘지-예산서(조경)_까르프-표지예정공정표_설계서-06 0727_분양(100%)" xfId="38243"/>
    <cellStyle name="1_tree_현충묘지-예산서(조경)_녹화마대녹화끈수량산출-예원" xfId="9831"/>
    <cellStyle name="1_tree_현충묘지-예산서(조경)_녹화마대녹화끈수량산출-예원_분양(100%)" xfId="38244"/>
    <cellStyle name="1_tree_현충묘지-예산서(조경)_대전가오-설계서" xfId="9832"/>
    <cellStyle name="1_tree_현충묘지-예산서(조경)_대전가오-설계서(관리)" xfId="9833"/>
    <cellStyle name="1_tree_현충묘지-예산서(조경)_대전가오-설계서(관리)_00-설계서양식" xfId="9834"/>
    <cellStyle name="1_tree_현충묘지-예산서(조경)_대전가오-설계서(관리)_00-설계서양식_00-수량산출서양식" xfId="9835"/>
    <cellStyle name="1_tree_현충묘지-예산서(조경)_대전가오-설계서(관리)_00-설계서양식_00-수량산출서양식_분양(100%)" xfId="38248"/>
    <cellStyle name="1_tree_현충묘지-예산서(조경)_대전가오-설계서(관리)_00-설계서양식_녹화마대녹화끈수량산출-예원" xfId="9836"/>
    <cellStyle name="1_tree_현충묘지-예산서(조경)_대전가오-설계서(관리)_00-설계서양식_녹화마대녹화끈수량산출-예원_분양(100%)" xfId="38249"/>
    <cellStyle name="1_tree_현충묘지-예산서(조경)_대전가오-설계서(관리)_00-설계서양식_분양(100%)" xfId="38247"/>
    <cellStyle name="1_tree_현충묘지-예산서(조경)_대전가오-설계서(관리)_00-수량산출서양식" xfId="9837"/>
    <cellStyle name="1_tree_현충묘지-예산서(조경)_대전가오-설계서(관리)_00-수량산출서양식_분양(100%)" xfId="38250"/>
    <cellStyle name="1_tree_현충묘지-예산서(조경)_대전가오-설계서(관리)_녹화마대녹화끈수량산출-예원" xfId="9838"/>
    <cellStyle name="1_tree_현충묘지-예산서(조경)_대전가오-설계서(관리)_녹화마대녹화끈수량산출-예원_분양(100%)" xfId="38251"/>
    <cellStyle name="1_tree_현충묘지-예산서(조경)_대전가오-설계서(관리)_분양(100%)" xfId="38246"/>
    <cellStyle name="1_tree_현충묘지-예산서(조경)_대전가오-설계서_00-설계서양식" xfId="9839"/>
    <cellStyle name="1_tree_현충묘지-예산서(조경)_대전가오-설계서_00-설계서양식_00-수량산출서양식" xfId="9840"/>
    <cellStyle name="1_tree_현충묘지-예산서(조경)_대전가오-설계서_00-설계서양식_00-수량산출서양식_분양(100%)" xfId="38253"/>
    <cellStyle name="1_tree_현충묘지-예산서(조경)_대전가오-설계서_00-설계서양식_녹화마대녹화끈수량산출-예원" xfId="9841"/>
    <cellStyle name="1_tree_현충묘지-예산서(조경)_대전가오-설계서_00-설계서양식_녹화마대녹화끈수량산출-예원_분양(100%)" xfId="38254"/>
    <cellStyle name="1_tree_현충묘지-예산서(조경)_대전가오-설계서_00-설계서양식_분양(100%)" xfId="38252"/>
    <cellStyle name="1_tree_현충묘지-예산서(조경)_대전가오-설계서_00-수량산출서양식" xfId="9842"/>
    <cellStyle name="1_tree_현충묘지-예산서(조경)_대전가오-설계서_00-수량산출서양식_분양(100%)" xfId="38255"/>
    <cellStyle name="1_tree_현충묘지-예산서(조경)_대전가오-설계서_녹화마대녹화끈수량산출-예원" xfId="9843"/>
    <cellStyle name="1_tree_현충묘지-예산서(조경)_대전가오-설계서_녹화마대녹화끈수량산출-예원_분양(100%)" xfId="38256"/>
    <cellStyle name="1_tree_현충묘지-예산서(조경)_대전가오-설계서_분양(100%)" xfId="38245"/>
    <cellStyle name="1_tree_현충묘지-예산서(조경)_대전가오-설계서1" xfId="9844"/>
    <cellStyle name="1_tree_현충묘지-예산서(조경)_대전가오-설계서1_00-설계서양식" xfId="9845"/>
    <cellStyle name="1_tree_현충묘지-예산서(조경)_대전가오-설계서1_00-설계서양식_00-수량산출서양식" xfId="9846"/>
    <cellStyle name="1_tree_현충묘지-예산서(조경)_대전가오-설계서1_00-설계서양식_00-수량산출서양식_분양(100%)" xfId="38259"/>
    <cellStyle name="1_tree_현충묘지-예산서(조경)_대전가오-설계서1_00-설계서양식_녹화마대녹화끈수량산출-예원" xfId="9847"/>
    <cellStyle name="1_tree_현충묘지-예산서(조경)_대전가오-설계서1_00-설계서양식_녹화마대녹화끈수량산출-예원_분양(100%)" xfId="38260"/>
    <cellStyle name="1_tree_현충묘지-예산서(조경)_대전가오-설계서1_00-설계서양식_분양(100%)" xfId="38258"/>
    <cellStyle name="1_tree_현충묘지-예산서(조경)_대전가오-설계서1_00-수량산출서양식" xfId="9848"/>
    <cellStyle name="1_tree_현충묘지-예산서(조경)_대전가오-설계서1_00-수량산출서양식_분양(100%)" xfId="38261"/>
    <cellStyle name="1_tree_현충묘지-예산서(조경)_대전가오-설계서1_녹화마대녹화끈수량산출-예원" xfId="9849"/>
    <cellStyle name="1_tree_현충묘지-예산서(조경)_대전가오-설계서1_녹화마대녹화끈수량산출-예원_분양(100%)" xfId="38262"/>
    <cellStyle name="1_tree_현충묘지-예산서(조경)_대전가오-설계서1_분양(100%)" xfId="38257"/>
    <cellStyle name="1_tree_현충묘지-예산서(조경)_분양(100%)" xfId="38239"/>
    <cellStyle name="1_tree_현충묘지-예산서(조경)_설계서-06 0627" xfId="9850"/>
    <cellStyle name="1_tree_현충묘지-예산서(조경)_설계서-06 0627_분양(100%)" xfId="38263"/>
    <cellStyle name="1_tree_현충묘지-예산서(조경)_설계서-06 0727" xfId="9851"/>
    <cellStyle name="1_tree_현충묘지-예산서(조경)_설계서-06 0727_분양(100%)" xfId="38264"/>
    <cellStyle name="1_tree_현충묘지-예산서(조경)_수량산출서-06 0627" xfId="9852"/>
    <cellStyle name="1_tree_현충묘지-예산서(조경)_수량산출서-06 0627_분양(100%)" xfId="38265"/>
    <cellStyle name="1_tree_현충묘지-예산서(조경)_예산서-엑셀변환양식100" xfId="9853"/>
    <cellStyle name="1_tree_현충묘지-예산서(조경)_예산서-엑셀변환양식100_00-설계서양식" xfId="9854"/>
    <cellStyle name="1_tree_현충묘지-예산서(조경)_예산서-엑셀변환양식100_00-설계서양식_00-수량산출서양식" xfId="9855"/>
    <cellStyle name="1_tree_현충묘지-예산서(조경)_예산서-엑셀변환양식100_00-설계서양식_00-수량산출서양식_분양(100%)" xfId="38268"/>
    <cellStyle name="1_tree_현충묘지-예산서(조경)_예산서-엑셀변환양식100_00-설계서양식_녹화마대녹화끈수량산출-예원" xfId="9856"/>
    <cellStyle name="1_tree_현충묘지-예산서(조경)_예산서-엑셀변환양식100_00-설계서양식_녹화마대녹화끈수량산출-예원_분양(100%)" xfId="38269"/>
    <cellStyle name="1_tree_현충묘지-예산서(조경)_예산서-엑셀변환양식100_00-설계서양식_분양(100%)" xfId="38267"/>
    <cellStyle name="1_tree_현충묘지-예산서(조경)_예산서-엑셀변환양식100_00-수량산출서양식" xfId="9857"/>
    <cellStyle name="1_tree_현충묘지-예산서(조경)_예산서-엑셀변환양식100_00-수량산출서양식_분양(100%)" xfId="38270"/>
    <cellStyle name="1_tree_현충묘지-예산서(조경)_예산서-엑셀변환양식100_00-예산서양식100" xfId="9858"/>
    <cellStyle name="1_tree_현충묘지-예산서(조경)_예산서-엑셀변환양식100_00-예산서양식100_00-수량산출서양식" xfId="9859"/>
    <cellStyle name="1_tree_현충묘지-예산서(조경)_예산서-엑셀변환양식100_00-예산서양식100_00-수량산출서양식_분양(100%)" xfId="38272"/>
    <cellStyle name="1_tree_현충묘지-예산서(조경)_예산서-엑셀변환양식100_00-예산서양식100_녹화마대녹화끈수량산출-예원" xfId="9860"/>
    <cellStyle name="1_tree_현충묘지-예산서(조경)_예산서-엑셀변환양식100_00-예산서양식100_녹화마대녹화끈수량산출-예원_분양(100%)" xfId="38273"/>
    <cellStyle name="1_tree_현충묘지-예산서(조경)_예산서-엑셀변환양식100_00-예산서양식100_대전가오-설계서" xfId="9861"/>
    <cellStyle name="1_tree_현충묘지-예산서(조경)_예산서-엑셀변환양식100_00-예산서양식100_대전가오-설계서(관리)" xfId="9862"/>
    <cellStyle name="1_tree_현충묘지-예산서(조경)_예산서-엑셀변환양식100_00-예산서양식100_대전가오-설계서(관리)_00-설계서양식" xfId="9863"/>
    <cellStyle name="1_tree_현충묘지-예산서(조경)_예산서-엑셀변환양식100_00-예산서양식100_대전가오-설계서(관리)_00-설계서양식_00-수량산출서양식" xfId="9864"/>
    <cellStyle name="1_tree_현충묘지-예산서(조경)_예산서-엑셀변환양식100_00-예산서양식100_대전가오-설계서(관리)_00-설계서양식_00-수량산출서양식_분양(100%)" xfId="38277"/>
    <cellStyle name="1_tree_현충묘지-예산서(조경)_예산서-엑셀변환양식100_00-예산서양식100_대전가오-설계서(관리)_00-설계서양식_녹화마대녹화끈수량산출-예원" xfId="9865"/>
    <cellStyle name="1_tree_현충묘지-예산서(조경)_예산서-엑셀변환양식100_00-예산서양식100_대전가오-설계서(관리)_00-설계서양식_녹화마대녹화끈수량산출-예원_분양(100%)" xfId="38278"/>
    <cellStyle name="1_tree_현충묘지-예산서(조경)_예산서-엑셀변환양식100_00-예산서양식100_대전가오-설계서(관리)_00-설계서양식_분양(100%)" xfId="38276"/>
    <cellStyle name="1_tree_현충묘지-예산서(조경)_예산서-엑셀변환양식100_00-예산서양식100_대전가오-설계서(관리)_00-수량산출서양식" xfId="9866"/>
    <cellStyle name="1_tree_현충묘지-예산서(조경)_예산서-엑셀변환양식100_00-예산서양식100_대전가오-설계서(관리)_00-수량산출서양식_분양(100%)" xfId="38279"/>
    <cellStyle name="1_tree_현충묘지-예산서(조경)_예산서-엑셀변환양식100_00-예산서양식100_대전가오-설계서(관리)_녹화마대녹화끈수량산출-예원" xfId="9867"/>
    <cellStyle name="1_tree_현충묘지-예산서(조경)_예산서-엑셀변환양식100_00-예산서양식100_대전가오-설계서(관리)_녹화마대녹화끈수량산출-예원_분양(100%)" xfId="38280"/>
    <cellStyle name="1_tree_현충묘지-예산서(조경)_예산서-엑셀변환양식100_00-예산서양식100_대전가오-설계서(관리)_분양(100%)" xfId="38275"/>
    <cellStyle name="1_tree_현충묘지-예산서(조경)_예산서-엑셀변환양식100_00-예산서양식100_대전가오-설계서_00-설계서양식" xfId="9868"/>
    <cellStyle name="1_tree_현충묘지-예산서(조경)_예산서-엑셀변환양식100_00-예산서양식100_대전가오-설계서_00-설계서양식_00-수량산출서양식" xfId="9869"/>
    <cellStyle name="1_tree_현충묘지-예산서(조경)_예산서-엑셀변환양식100_00-예산서양식100_대전가오-설계서_00-설계서양식_00-수량산출서양식_분양(100%)" xfId="38282"/>
    <cellStyle name="1_tree_현충묘지-예산서(조경)_예산서-엑셀변환양식100_00-예산서양식100_대전가오-설계서_00-설계서양식_녹화마대녹화끈수량산출-예원" xfId="9870"/>
    <cellStyle name="1_tree_현충묘지-예산서(조경)_예산서-엑셀변환양식100_00-예산서양식100_대전가오-설계서_00-설계서양식_녹화마대녹화끈수량산출-예원_분양(100%)" xfId="38283"/>
    <cellStyle name="1_tree_현충묘지-예산서(조경)_예산서-엑셀변환양식100_00-예산서양식100_대전가오-설계서_00-설계서양식_분양(100%)" xfId="38281"/>
    <cellStyle name="1_tree_현충묘지-예산서(조경)_예산서-엑셀변환양식100_00-예산서양식100_대전가오-설계서_00-수량산출서양식" xfId="9871"/>
    <cellStyle name="1_tree_현충묘지-예산서(조경)_예산서-엑셀변환양식100_00-예산서양식100_대전가오-설계서_00-수량산출서양식_분양(100%)" xfId="38284"/>
    <cellStyle name="1_tree_현충묘지-예산서(조경)_예산서-엑셀변환양식100_00-예산서양식100_대전가오-설계서_녹화마대녹화끈수량산출-예원" xfId="9872"/>
    <cellStyle name="1_tree_현충묘지-예산서(조경)_예산서-엑셀변환양식100_00-예산서양식100_대전가오-설계서_녹화마대녹화끈수량산출-예원_분양(100%)" xfId="38285"/>
    <cellStyle name="1_tree_현충묘지-예산서(조경)_예산서-엑셀변환양식100_00-예산서양식100_대전가오-설계서_분양(100%)" xfId="38274"/>
    <cellStyle name="1_tree_현충묘지-예산서(조경)_예산서-엑셀변환양식100_00-예산서양식100_대전가오-설계서1" xfId="9873"/>
    <cellStyle name="1_tree_현충묘지-예산서(조경)_예산서-엑셀변환양식100_00-예산서양식100_대전가오-설계서1_00-설계서양식" xfId="9874"/>
    <cellStyle name="1_tree_현충묘지-예산서(조경)_예산서-엑셀변환양식100_00-예산서양식100_대전가오-설계서1_00-설계서양식_00-수량산출서양식" xfId="9875"/>
    <cellStyle name="1_tree_현충묘지-예산서(조경)_예산서-엑셀변환양식100_00-예산서양식100_대전가오-설계서1_00-설계서양식_00-수량산출서양식_분양(100%)" xfId="38288"/>
    <cellStyle name="1_tree_현충묘지-예산서(조경)_예산서-엑셀변환양식100_00-예산서양식100_대전가오-설계서1_00-설계서양식_녹화마대녹화끈수량산출-예원" xfId="9876"/>
    <cellStyle name="1_tree_현충묘지-예산서(조경)_예산서-엑셀변환양식100_00-예산서양식100_대전가오-설계서1_00-설계서양식_녹화마대녹화끈수량산출-예원_분양(100%)" xfId="38289"/>
    <cellStyle name="1_tree_현충묘지-예산서(조경)_예산서-엑셀변환양식100_00-예산서양식100_대전가오-설계서1_00-설계서양식_분양(100%)" xfId="38287"/>
    <cellStyle name="1_tree_현충묘지-예산서(조경)_예산서-엑셀변환양식100_00-예산서양식100_대전가오-설계서1_00-수량산출서양식" xfId="9877"/>
    <cellStyle name="1_tree_현충묘지-예산서(조경)_예산서-엑셀변환양식100_00-예산서양식100_대전가오-설계서1_00-수량산출서양식_분양(100%)" xfId="38290"/>
    <cellStyle name="1_tree_현충묘지-예산서(조경)_예산서-엑셀변환양식100_00-예산서양식100_대전가오-설계서1_녹화마대녹화끈수량산출-예원" xfId="9878"/>
    <cellStyle name="1_tree_현충묘지-예산서(조경)_예산서-엑셀변환양식100_00-예산서양식100_대전가오-설계서1_녹화마대녹화끈수량산출-예원_분양(100%)" xfId="38291"/>
    <cellStyle name="1_tree_현충묘지-예산서(조경)_예산서-엑셀변환양식100_00-예산서양식100_대전가오-설계서1_분양(100%)" xfId="38286"/>
    <cellStyle name="1_tree_현충묘지-예산서(조경)_예산서-엑셀변환양식100_00-예산서양식100_분양(100%)" xfId="38271"/>
    <cellStyle name="1_tree_현충묘지-예산서(조경)_예산서-엑셀변환양식100_00-예산서양식100_설계서-06 0627" xfId="9879"/>
    <cellStyle name="1_tree_현충묘지-예산서(조경)_예산서-엑셀변환양식100_00-예산서양식100_설계서-06 0627_분양(100%)" xfId="38292"/>
    <cellStyle name="1_tree_현충묘지-예산서(조경)_예산서-엑셀변환양식100_00-예산서양식100_설계서-06 0727" xfId="9880"/>
    <cellStyle name="1_tree_현충묘지-예산서(조경)_예산서-엑셀변환양식100_00-예산서양식100_설계서-06 0727_분양(100%)" xfId="38293"/>
    <cellStyle name="1_tree_현충묘지-예산서(조경)_예산서-엑셀변환양식100_00-예산서양식100_수량산출서-06 0627" xfId="9881"/>
    <cellStyle name="1_tree_현충묘지-예산서(조경)_예산서-엑셀변환양식100_00-예산서양식100_수량산출서-06 0627_분양(100%)" xfId="38294"/>
    <cellStyle name="1_tree_현충묘지-예산서(조경)_예산서-엑셀변환양식100_00-표지예정공정표" xfId="9882"/>
    <cellStyle name="1_tree_현충묘지-예산서(조경)_예산서-엑셀변환양식100_00-표지예정공정표_분양(100%)" xfId="38295"/>
    <cellStyle name="1_tree_현충묘지-예산서(조경)_예산서-엑셀변환양식100_00-표지예정공정표_설계서-06 0627" xfId="9883"/>
    <cellStyle name="1_tree_현충묘지-예산서(조경)_예산서-엑셀변환양식100_00-표지예정공정표_설계서-06 0627_분양(100%)" xfId="38296"/>
    <cellStyle name="1_tree_현충묘지-예산서(조경)_예산서-엑셀변환양식100_00-표지예정공정표_설계서-06 0727" xfId="9884"/>
    <cellStyle name="1_tree_현충묘지-예산서(조경)_예산서-엑셀변환양식100_00-표지예정공정표_설계서-06 0727_분양(100%)" xfId="38297"/>
    <cellStyle name="1_tree_현충묘지-예산서(조경)_예산서-엑셀변환양식100_녹화마대녹화끈수량산출-예원" xfId="9885"/>
    <cellStyle name="1_tree_현충묘지-예산서(조경)_예산서-엑셀변환양식100_녹화마대녹화끈수량산출-예원_분양(100%)" xfId="38298"/>
    <cellStyle name="1_tree_현충묘지-예산서(조경)_예산서-엑셀변환양식100_분양(100%)" xfId="38266"/>
    <cellStyle name="1_tree_현충묘지-예산서(조경)_표지예정공정표" xfId="9886"/>
    <cellStyle name="1_tree_현충묘지-예산서(조경)_-표지예정공정표" xfId="9887"/>
    <cellStyle name="1_tree_현충묘지-예산서(조경)_표지예정공정표_분양(100%)" xfId="38299"/>
    <cellStyle name="1_tree_현충묘지-예산서(조경)_-표지예정공정표_분양(100%)" xfId="38300"/>
    <cellStyle name="1_tree_현충묘지-예산서(조경)_표지예정공정표_설계서-06 0627" xfId="9888"/>
    <cellStyle name="1_tree_현충묘지-예산서(조경)_-표지예정공정표_설계서-06 0627" xfId="9889"/>
    <cellStyle name="1_tree_현충묘지-예산서(조경)_표지예정공정표_설계서-06 0627_분양(100%)" xfId="38301"/>
    <cellStyle name="1_tree_현충묘지-예산서(조경)_-표지예정공정표_설계서-06 0627_분양(100%)" xfId="38302"/>
    <cellStyle name="1_tree_현충묘지-예산서(조경)_표지예정공정표_설계서-06 0727" xfId="9890"/>
    <cellStyle name="1_tree_현충묘지-예산서(조경)_-표지예정공정표_설계서-06 0727" xfId="9891"/>
    <cellStyle name="1_tree_현충묘지-예산서(조경)_표지예정공정표_설계서-06 0727_분양(100%)" xfId="38303"/>
    <cellStyle name="1_tree_현충묘지-예산서(조경)_-표지예정공정표_설계서-06 0727_분양(100%)" xfId="38304"/>
    <cellStyle name="1_가월리배수펌프(04.23)" xfId="2484"/>
    <cellStyle name="1_계수대로" xfId="2485"/>
    <cellStyle name="1_공내역-대구 수성" xfId="9892"/>
    <cellStyle name="1_공내역-대구 수성_분양(100%)" xfId="38305"/>
    <cellStyle name="1_기성청구접수현황" xfId="9893"/>
    <cellStyle name="1_기성청구접수현황_분양(100%)" xfId="38306"/>
    <cellStyle name="1_단가조사표" xfId="1877"/>
    <cellStyle name="1_단가조사표_1011소각" xfId="1878"/>
    <cellStyle name="1_단가조사표_1011소각_분양(100%)" xfId="38308"/>
    <cellStyle name="1_단가조사표_1113교~1" xfId="1879"/>
    <cellStyle name="1_단가조사표_1113교~1_분양(100%)" xfId="38309"/>
    <cellStyle name="1_단가조사표_121내역" xfId="1880"/>
    <cellStyle name="1_단가조사표_121내역_분양(100%)" xfId="38310"/>
    <cellStyle name="1_단가조사표_객토량" xfId="1881"/>
    <cellStyle name="1_단가조사표_객토량_분양(100%)" xfId="38311"/>
    <cellStyle name="1_단가조사표_교통센~1" xfId="1882"/>
    <cellStyle name="1_단가조사표_교통센~1_분양(100%)" xfId="38312"/>
    <cellStyle name="1_단가조사표_교통센터412" xfId="1883"/>
    <cellStyle name="1_단가조사표_교통센터412_분양(100%)" xfId="38313"/>
    <cellStyle name="1_단가조사표_교통수" xfId="1884"/>
    <cellStyle name="1_단가조사표_교통수_분양(100%)" xfId="38314"/>
    <cellStyle name="1_단가조사표_교통수량산출서" xfId="1885"/>
    <cellStyle name="1_단가조사표_교통수량산출서_분양(100%)" xfId="38315"/>
    <cellStyle name="1_단가조사표_구조물대가 (2)" xfId="1886"/>
    <cellStyle name="1_단가조사표_구조물대가 (2)_분양(100%)" xfId="38316"/>
    <cellStyle name="1_단가조사표_내역서 (2)" xfId="1887"/>
    <cellStyle name="1_단가조사표_내역서 (2)_분양(100%)" xfId="38317"/>
    <cellStyle name="1_단가조사표_대전관저지구" xfId="1888"/>
    <cellStyle name="1_단가조사표_대전관저지구_분양(100%)" xfId="38318"/>
    <cellStyle name="1_단가조사표_동측지~1" xfId="1889"/>
    <cellStyle name="1_단가조사표_동측지~1_분양(100%)" xfId="38319"/>
    <cellStyle name="1_단가조사표_동측지원422" xfId="1890"/>
    <cellStyle name="1_단가조사표_동측지원422_분양(100%)" xfId="38320"/>
    <cellStyle name="1_단가조사표_동측지원512" xfId="1891"/>
    <cellStyle name="1_단가조사표_동측지원512_분양(100%)" xfId="38321"/>
    <cellStyle name="1_단가조사표_동측지원524" xfId="1892"/>
    <cellStyle name="1_단가조사표_동측지원524_분양(100%)" xfId="38322"/>
    <cellStyle name="1_단가조사표_부대422" xfId="1893"/>
    <cellStyle name="1_단가조사표_부대422_분양(100%)" xfId="38323"/>
    <cellStyle name="1_단가조사표_부대시설" xfId="1894"/>
    <cellStyle name="1_단가조사표_부대시설_분양(100%)" xfId="38324"/>
    <cellStyle name="1_단가조사표_분양(100%)" xfId="38307"/>
    <cellStyle name="1_단가조사표_소각수~1" xfId="1895"/>
    <cellStyle name="1_단가조사표_소각수~1_분양(100%)" xfId="38325"/>
    <cellStyle name="1_단가조사표_소각수내역서" xfId="1896"/>
    <cellStyle name="1_단가조사표_소각수내역서_분양(100%)" xfId="38326"/>
    <cellStyle name="1_단가조사표_소각수목2" xfId="1897"/>
    <cellStyle name="1_단가조사표_소각수목2_분양(100%)" xfId="38327"/>
    <cellStyle name="1_단가조사표_수량산출서 (2)" xfId="1898"/>
    <cellStyle name="1_단가조사표_수량산출서 (2)_분양(100%)" xfId="38328"/>
    <cellStyle name="1_단가조사표_엑스포~1" xfId="1899"/>
    <cellStyle name="1_단가조사표_엑스포~1_분양(100%)" xfId="38329"/>
    <cellStyle name="1_단가조사표_엑스포한빛1" xfId="1900"/>
    <cellStyle name="1_단가조사표_엑스포한빛1_분양(100%)" xfId="38330"/>
    <cellStyle name="1_단가조사표_여객터미널331" xfId="1901"/>
    <cellStyle name="1_단가조사표_여객터미널331_분양(100%)" xfId="38331"/>
    <cellStyle name="1_단가조사표_여객터미널513" xfId="1902"/>
    <cellStyle name="1_단가조사표_여객터미널513_분양(100%)" xfId="38332"/>
    <cellStyle name="1_단가조사표_여객터미널629" xfId="1903"/>
    <cellStyle name="1_단가조사표_여객터미널629_분양(100%)" xfId="38333"/>
    <cellStyle name="1_단가조사표_외곽도로616" xfId="1904"/>
    <cellStyle name="1_단가조사표_외곽도로616_분양(100%)" xfId="38334"/>
    <cellStyle name="1_단가조사표_용인죽전수량" xfId="1905"/>
    <cellStyle name="1_단가조사표_원가계~1" xfId="1906"/>
    <cellStyle name="1_단가조사표_원가계~1_분양(100%)" xfId="38335"/>
    <cellStyle name="1_단가조사표_유기질" xfId="1907"/>
    <cellStyle name="1_단가조사표_유기질_분양(100%)" xfId="38336"/>
    <cellStyle name="1_단가조사표_자재조서 (2)" xfId="1908"/>
    <cellStyle name="1_단가조사표_자재조서 (2)_분양(100%)" xfId="38337"/>
    <cellStyle name="1_단가조사표_총괄내역" xfId="1909"/>
    <cellStyle name="1_단가조사표_총괄내역 (2)" xfId="1910"/>
    <cellStyle name="1_단가조사표_총괄내역 (2)_분양(100%)" xfId="38339"/>
    <cellStyle name="1_단가조사표_총괄내역_분양(100%)" xfId="38338"/>
    <cellStyle name="1_단가조사표_터미널도로403" xfId="1911"/>
    <cellStyle name="1_단가조사표_터미널도로403_분양(100%)" xfId="38340"/>
    <cellStyle name="1_단가조사표_터미널도로429" xfId="1912"/>
    <cellStyle name="1_단가조사표_터미널도로429_분양(100%)" xfId="38341"/>
    <cellStyle name="1_단가조사표_포장일위" xfId="1913"/>
    <cellStyle name="1_단가조사표_포장일위_분양(100%)" xfId="38342"/>
    <cellStyle name="1_대전가오-수량산출서" xfId="9894"/>
    <cellStyle name="1_대전가오-수량산출서_분양(100%)" xfId="38343"/>
    <cellStyle name="1_도암강진(흥산건설)" xfId="2486"/>
    <cellStyle name="1_동절기공사 품의추가" xfId="9895"/>
    <cellStyle name="1_동절기공사 품의추가_분양(100%)" xfId="38344"/>
    <cellStyle name="1_백제큰길내역서" xfId="2487"/>
    <cellStyle name="1_부안-태인1산출" xfId="2488"/>
    <cellStyle name="1_분양(100%)" xfId="37710"/>
    <cellStyle name="1_삼융건설(백제큰길)" xfId="2489"/>
    <cellStyle name="1_송정리역사(토목완료林)" xfId="2490"/>
    <cellStyle name="1_송정리역사(토목완료林)_분양(100%)" xfId="38345"/>
    <cellStyle name="1_수량산출서-06 0627" xfId="9896"/>
    <cellStyle name="1_수량산출서-06 0627_분양(100%)" xfId="38346"/>
    <cellStyle name="1_시민계략공사" xfId="1914"/>
    <cellStyle name="1_시민계략공사_도암강진(흥산건설)" xfId="2491"/>
    <cellStyle name="1_시민계략공사_도암강진(흥산건설)_해남내역서" xfId="2492"/>
    <cellStyle name="1_시민계략공사_부안-태인1산출" xfId="2493"/>
    <cellStyle name="1_시민계략공사_분양(100%)" xfId="38347"/>
    <cellStyle name="1_시민계략공사_전기-한남" xfId="1915"/>
    <cellStyle name="1_시민계략공사_전기-한남_분양(100%)" xfId="38348"/>
    <cellStyle name="1_시민계략공사_주문진신리교(동일건설)" xfId="2494"/>
    <cellStyle name="1_시민계략공사_흥한건설(이양능주2공구)" xfId="2495"/>
    <cellStyle name="1_입찰내역서갑지양식" xfId="2496"/>
    <cellStyle name="1_전자입찰원가양식" xfId="2497"/>
    <cellStyle name="1_주문진신리교(동일건설)" xfId="2498"/>
    <cellStyle name="1_현충묘지-수량산출서" xfId="9897"/>
    <cellStyle name="1_현충묘지-수량산출서_분양(100%)" xfId="38349"/>
    <cellStyle name="1_현화고-조경설계서0107" xfId="9898"/>
    <cellStyle name="1_현화고-조경설계서0107_분양(100%)" xfId="38350"/>
    <cellStyle name="1_협조전" xfId="9899"/>
    <cellStyle name="1_협조전_분양(100%)" xfId="38351"/>
    <cellStyle name="1_흥한건설(주)_두창산업폐기물(하도급)" xfId="2499"/>
    <cellStyle name="10" xfId="1916"/>
    <cellStyle name="10공/㎥" xfId="9900"/>
    <cellStyle name="10공/㎥ 2" xfId="9901"/>
    <cellStyle name="10공/㎥_분양(100%)" xfId="38352"/>
    <cellStyle name="11" xfId="9902"/>
    <cellStyle name="111" xfId="9903"/>
    <cellStyle name="16" xfId="9904"/>
    <cellStyle name="19990216" xfId="2500"/>
    <cellStyle name="¹e" xfId="2501"/>
    <cellStyle name="¹éº" xfId="9905"/>
    <cellStyle name="¹éºðà²" xfId="9906"/>
    <cellStyle name="¹eºÐA²_±aA¸" xfId="9907"/>
    <cellStyle name="¹éºðà²_분양(100%)" xfId="38353"/>
    <cellStyle name="1월" xfId="9908"/>
    <cellStyle name="2" xfId="1917"/>
    <cellStyle name="2)" xfId="9909"/>
    <cellStyle name="2_laroux" xfId="1918"/>
    <cellStyle name="2_laroux_ATC-YOON1" xfId="1919"/>
    <cellStyle name="2_laroux_ATC-YOON1_분양(100%)" xfId="38356"/>
    <cellStyle name="2_laroux_분양(100%)" xfId="38355"/>
    <cellStyle name="2_단가조사표" xfId="1920"/>
    <cellStyle name="2_단가조사표_1011소각" xfId="1921"/>
    <cellStyle name="2_단가조사표_1011소각_분양(100%)" xfId="38358"/>
    <cellStyle name="2_단가조사표_1113교~1" xfId="1922"/>
    <cellStyle name="2_단가조사표_1113교~1_분양(100%)" xfId="38359"/>
    <cellStyle name="2_단가조사표_121내역" xfId="1923"/>
    <cellStyle name="2_단가조사표_121내역_분양(100%)" xfId="38360"/>
    <cellStyle name="2_단가조사표_객토량" xfId="1924"/>
    <cellStyle name="2_단가조사표_객토량_분양(100%)" xfId="38361"/>
    <cellStyle name="2_단가조사표_교통센~1" xfId="1925"/>
    <cellStyle name="2_단가조사표_교통센~1_분양(100%)" xfId="38362"/>
    <cellStyle name="2_단가조사표_교통센터412" xfId="1926"/>
    <cellStyle name="2_단가조사표_교통센터412_분양(100%)" xfId="38363"/>
    <cellStyle name="2_단가조사표_교통수" xfId="1927"/>
    <cellStyle name="2_단가조사표_교통수_분양(100%)" xfId="38364"/>
    <cellStyle name="2_단가조사표_교통수량산출서" xfId="1928"/>
    <cellStyle name="2_단가조사표_교통수량산출서_분양(100%)" xfId="38365"/>
    <cellStyle name="2_단가조사표_구조물대가 (2)" xfId="1929"/>
    <cellStyle name="2_단가조사표_구조물대가 (2)_분양(100%)" xfId="38366"/>
    <cellStyle name="2_단가조사표_내역서 (2)" xfId="1930"/>
    <cellStyle name="2_단가조사표_내역서 (2)_분양(100%)" xfId="38367"/>
    <cellStyle name="2_단가조사표_대전관저지구" xfId="1931"/>
    <cellStyle name="2_단가조사표_대전관저지구_분양(100%)" xfId="38368"/>
    <cellStyle name="2_단가조사표_동측지~1" xfId="1932"/>
    <cellStyle name="2_단가조사표_동측지~1_분양(100%)" xfId="38369"/>
    <cellStyle name="2_단가조사표_동측지원422" xfId="1933"/>
    <cellStyle name="2_단가조사표_동측지원422_분양(100%)" xfId="38370"/>
    <cellStyle name="2_단가조사표_동측지원512" xfId="1934"/>
    <cellStyle name="2_단가조사표_동측지원512_분양(100%)" xfId="38371"/>
    <cellStyle name="2_단가조사표_동측지원524" xfId="1935"/>
    <cellStyle name="2_단가조사표_동측지원524_분양(100%)" xfId="38372"/>
    <cellStyle name="2_단가조사표_부대422" xfId="1936"/>
    <cellStyle name="2_단가조사표_부대422_분양(100%)" xfId="38373"/>
    <cellStyle name="2_단가조사표_부대시설" xfId="1937"/>
    <cellStyle name="2_단가조사표_부대시설_분양(100%)" xfId="38374"/>
    <cellStyle name="2_단가조사표_분양(100%)" xfId="38357"/>
    <cellStyle name="2_단가조사표_소각수~1" xfId="1938"/>
    <cellStyle name="2_단가조사표_소각수~1_분양(100%)" xfId="38375"/>
    <cellStyle name="2_단가조사표_소각수내역서" xfId="1939"/>
    <cellStyle name="2_단가조사표_소각수내역서_분양(100%)" xfId="38376"/>
    <cellStyle name="2_단가조사표_소각수목2" xfId="1940"/>
    <cellStyle name="2_단가조사표_소각수목2_분양(100%)" xfId="38377"/>
    <cellStyle name="2_단가조사표_수량산출서 (2)" xfId="1941"/>
    <cellStyle name="2_단가조사표_수량산출서 (2)_분양(100%)" xfId="38378"/>
    <cellStyle name="2_단가조사표_엑스포~1" xfId="1942"/>
    <cellStyle name="2_단가조사표_엑스포~1_분양(100%)" xfId="38379"/>
    <cellStyle name="2_단가조사표_엑스포한빛1" xfId="1943"/>
    <cellStyle name="2_단가조사표_엑스포한빛1_분양(100%)" xfId="38380"/>
    <cellStyle name="2_단가조사표_여객터미널331" xfId="1944"/>
    <cellStyle name="2_단가조사표_여객터미널331_분양(100%)" xfId="38381"/>
    <cellStyle name="2_단가조사표_여객터미널513" xfId="1945"/>
    <cellStyle name="2_단가조사표_여객터미널513_분양(100%)" xfId="38382"/>
    <cellStyle name="2_단가조사표_여객터미널629" xfId="1946"/>
    <cellStyle name="2_단가조사표_여객터미널629_분양(100%)" xfId="38383"/>
    <cellStyle name="2_단가조사표_외곽도로616" xfId="1947"/>
    <cellStyle name="2_단가조사표_외곽도로616_분양(100%)" xfId="38384"/>
    <cellStyle name="2_단가조사표_용인죽전수량" xfId="1948"/>
    <cellStyle name="2_단가조사표_원가계~1" xfId="1949"/>
    <cellStyle name="2_단가조사표_원가계~1_분양(100%)" xfId="38385"/>
    <cellStyle name="2_단가조사표_유기질" xfId="1950"/>
    <cellStyle name="2_단가조사표_유기질_분양(100%)" xfId="38386"/>
    <cellStyle name="2_단가조사표_자재조서 (2)" xfId="1951"/>
    <cellStyle name="2_단가조사표_자재조서 (2)_분양(100%)" xfId="38387"/>
    <cellStyle name="2_단가조사표_총괄내역" xfId="1952"/>
    <cellStyle name="2_단가조사표_총괄내역 (2)" xfId="1953"/>
    <cellStyle name="2_단가조사표_총괄내역 (2)_분양(100%)" xfId="38389"/>
    <cellStyle name="2_단가조사표_총괄내역_분양(100%)" xfId="38388"/>
    <cellStyle name="2_단가조사표_터미널도로403" xfId="1954"/>
    <cellStyle name="2_단가조사표_터미널도로403_분양(100%)" xfId="38390"/>
    <cellStyle name="2_단가조사표_터미널도로429" xfId="1955"/>
    <cellStyle name="2_단가조사표_터미널도로429_분양(100%)" xfId="38391"/>
    <cellStyle name="2_단가조사표_포장일위" xfId="1956"/>
    <cellStyle name="2_단가조사표_포장일위_분양(100%)" xfId="38392"/>
    <cellStyle name="2_분양(100%)" xfId="38354"/>
    <cellStyle name="20% - Accent1" xfId="20"/>
    <cellStyle name="20% - Accent1 2" xfId="611"/>
    <cellStyle name="20% - Accent1 2 2" xfId="9910"/>
    <cellStyle name="20% - Accent1 2_분양(100%)" xfId="38394"/>
    <cellStyle name="20% - Accent1 3" xfId="9911"/>
    <cellStyle name="20% - Accent1_분양(100%)" xfId="38393"/>
    <cellStyle name="20% - Accent2" xfId="21"/>
    <cellStyle name="20% - Accent2 2" xfId="612"/>
    <cellStyle name="20% - Accent2 2 2" xfId="9912"/>
    <cellStyle name="20% - Accent2 2_분양(100%)" xfId="38396"/>
    <cellStyle name="20% - Accent2 3" xfId="9913"/>
    <cellStyle name="20% - Accent2_분양(100%)" xfId="38395"/>
    <cellStyle name="20% - Accent3" xfId="22"/>
    <cellStyle name="20% - Accent3 2" xfId="613"/>
    <cellStyle name="20% - Accent3 2 2" xfId="9914"/>
    <cellStyle name="20% - Accent3 2_분양(100%)" xfId="38398"/>
    <cellStyle name="20% - Accent3 3" xfId="9915"/>
    <cellStyle name="20% - Accent3_분양(100%)" xfId="38397"/>
    <cellStyle name="20% - Accent4" xfId="23"/>
    <cellStyle name="20% - Accent4 2" xfId="614"/>
    <cellStyle name="20% - Accent4 2 2" xfId="9916"/>
    <cellStyle name="20% - Accent4 2_분양(100%)" xfId="38400"/>
    <cellStyle name="20% - Accent4 3" xfId="9917"/>
    <cellStyle name="20% - Accent4_분양(100%)" xfId="38399"/>
    <cellStyle name="20% - Accent5" xfId="24"/>
    <cellStyle name="20% - Accent5 2" xfId="615"/>
    <cellStyle name="20% - Accent5 2 2" xfId="9918"/>
    <cellStyle name="20% - Accent5 2_분양(100%)" xfId="38402"/>
    <cellStyle name="20% - Accent5 3" xfId="9919"/>
    <cellStyle name="20% - Accent5_분양(100%)" xfId="38401"/>
    <cellStyle name="20% - Accent6" xfId="25"/>
    <cellStyle name="20% - Accent6 2" xfId="616"/>
    <cellStyle name="20% - Accent6 2 2" xfId="9920"/>
    <cellStyle name="20% - Accent6 2_분양(100%)" xfId="38404"/>
    <cellStyle name="20% - Accent6 3" xfId="9921"/>
    <cellStyle name="20% - Accent6_분양(100%)" xfId="38403"/>
    <cellStyle name="20% - 강조색1 2" xfId="1957"/>
    <cellStyle name="20% - 강조색1 2 2" xfId="9922"/>
    <cellStyle name="20% - 강조색1 2_분양(100%)" xfId="38405"/>
    <cellStyle name="20% - 강조색1 3" xfId="4285"/>
    <cellStyle name="20% - 강조색1 4" xfId="9923"/>
    <cellStyle name="20% - 강조색1 5" xfId="9924"/>
    <cellStyle name="20% - 강조색1 6" xfId="9925"/>
    <cellStyle name="20% - 강조색2 2" xfId="1958"/>
    <cellStyle name="20% - 강조색2 2 2" xfId="9926"/>
    <cellStyle name="20% - 강조색2 2_분양(100%)" xfId="38406"/>
    <cellStyle name="20% - 강조색2 3" xfId="4286"/>
    <cellStyle name="20% - 강조색2 4" xfId="9927"/>
    <cellStyle name="20% - 강조색2 5" xfId="9928"/>
    <cellStyle name="20% - 강조색2 6" xfId="9929"/>
    <cellStyle name="20% - 강조색3 2" xfId="1959"/>
    <cellStyle name="20% - 강조색3 2 2" xfId="9930"/>
    <cellStyle name="20% - 강조색3 2_분양(100%)" xfId="38407"/>
    <cellStyle name="20% - 강조색3 3" xfId="4287"/>
    <cellStyle name="20% - 강조색3 4" xfId="9931"/>
    <cellStyle name="20% - 강조색3 5" xfId="9932"/>
    <cellStyle name="20% - 강조색3 6" xfId="9933"/>
    <cellStyle name="20% - 강조색4 2" xfId="1960"/>
    <cellStyle name="20% - 강조색4 2 2" xfId="9934"/>
    <cellStyle name="20% - 강조색4 2_분양(100%)" xfId="38408"/>
    <cellStyle name="20% - 강조색4 3" xfId="4288"/>
    <cellStyle name="20% - 강조색4 4" xfId="9935"/>
    <cellStyle name="20% - 강조색4 5" xfId="9936"/>
    <cellStyle name="20% - 강조색4 6" xfId="9937"/>
    <cellStyle name="20% - 강조색5 2" xfId="1961"/>
    <cellStyle name="20% - 강조색5 2 2" xfId="9938"/>
    <cellStyle name="20% - 강조색5 2_분양(100%)" xfId="38409"/>
    <cellStyle name="20% - 강조색5 3" xfId="4289"/>
    <cellStyle name="20% - 강조색5 4" xfId="9939"/>
    <cellStyle name="20% - 강조색5 5" xfId="9940"/>
    <cellStyle name="20% - 강조색5 6" xfId="9941"/>
    <cellStyle name="20% - 강조색6 2" xfId="1962"/>
    <cellStyle name="20% - 강조색6 2 2" xfId="9942"/>
    <cellStyle name="20% - 강조색6 2_분양(100%)" xfId="38410"/>
    <cellStyle name="20% - 강조색6 3" xfId="4290"/>
    <cellStyle name="20% - 강조색6 4" xfId="9943"/>
    <cellStyle name="20% - 강조색6 5" xfId="9944"/>
    <cellStyle name="20% - 강조색6 6" xfId="9945"/>
    <cellStyle name="2자리" xfId="9946"/>
    <cellStyle name="_x0004_3;_x0018_" xfId="9947"/>
    <cellStyle name="³?a" xfId="617"/>
    <cellStyle name="40% - Accent1" xfId="26"/>
    <cellStyle name="40% - Accent1 2" xfId="618"/>
    <cellStyle name="40% - Accent1 2 2" xfId="9948"/>
    <cellStyle name="40% - Accent1 2_분양(100%)" xfId="38412"/>
    <cellStyle name="40% - Accent1 3" xfId="9949"/>
    <cellStyle name="40% - Accent1_분양(100%)" xfId="38411"/>
    <cellStyle name="40% - Accent2" xfId="27"/>
    <cellStyle name="40% - Accent2 2" xfId="619"/>
    <cellStyle name="40% - Accent2 2 2" xfId="9950"/>
    <cellStyle name="40% - Accent2 2_분양(100%)" xfId="38414"/>
    <cellStyle name="40% - Accent2 3" xfId="9951"/>
    <cellStyle name="40% - Accent2_분양(100%)" xfId="38413"/>
    <cellStyle name="40% - Accent3" xfId="28"/>
    <cellStyle name="40% - Accent3 2" xfId="620"/>
    <cellStyle name="40% - Accent3 2 2" xfId="9952"/>
    <cellStyle name="40% - Accent3 2_분양(100%)" xfId="38416"/>
    <cellStyle name="40% - Accent3 3" xfId="9953"/>
    <cellStyle name="40% - Accent3_분양(100%)" xfId="38415"/>
    <cellStyle name="40% - Accent4" xfId="29"/>
    <cellStyle name="40% - Accent4 2" xfId="621"/>
    <cellStyle name="40% - Accent4 2 2" xfId="9954"/>
    <cellStyle name="40% - Accent4 2_분양(100%)" xfId="38418"/>
    <cellStyle name="40% - Accent4 3" xfId="9955"/>
    <cellStyle name="40% - Accent4_분양(100%)" xfId="38417"/>
    <cellStyle name="40% - Accent5" xfId="30"/>
    <cellStyle name="40% - Accent5 2" xfId="622"/>
    <cellStyle name="40% - Accent5 2 2" xfId="9956"/>
    <cellStyle name="40% - Accent5 2_분양(100%)" xfId="38420"/>
    <cellStyle name="40% - Accent5 3" xfId="9957"/>
    <cellStyle name="40% - Accent5_분양(100%)" xfId="38419"/>
    <cellStyle name="40% - Accent6" xfId="31"/>
    <cellStyle name="40% - Accent6 2" xfId="623"/>
    <cellStyle name="40% - Accent6 2 2" xfId="9958"/>
    <cellStyle name="40% - Accent6 2_분양(100%)" xfId="38422"/>
    <cellStyle name="40% - Accent6 3" xfId="9959"/>
    <cellStyle name="40% - Accent6_분양(100%)" xfId="38421"/>
    <cellStyle name="40% - 강조색1 2" xfId="1963"/>
    <cellStyle name="40% - 강조색1 2 2" xfId="9960"/>
    <cellStyle name="40% - 강조색1 2_분양(100%)" xfId="38423"/>
    <cellStyle name="40% - 강조색1 3" xfId="4291"/>
    <cellStyle name="40% - 강조색1 4" xfId="9961"/>
    <cellStyle name="40% - 강조색1 5" xfId="9962"/>
    <cellStyle name="40% - 강조색1 6" xfId="9963"/>
    <cellStyle name="40% - 강조색2 2" xfId="1964"/>
    <cellStyle name="40% - 강조색2 2 2" xfId="9964"/>
    <cellStyle name="40% - 강조색2 2_분양(100%)" xfId="38424"/>
    <cellStyle name="40% - 강조색2 3" xfId="4292"/>
    <cellStyle name="40% - 강조색2 4" xfId="9965"/>
    <cellStyle name="40% - 강조색2 5" xfId="9966"/>
    <cellStyle name="40% - 강조색2 6" xfId="9967"/>
    <cellStyle name="40% - 강조색3 2" xfId="1965"/>
    <cellStyle name="40% - 강조색3 2 2" xfId="9968"/>
    <cellStyle name="40% - 강조색3 2_분양(100%)" xfId="38425"/>
    <cellStyle name="40% - 강조색3 3" xfId="4293"/>
    <cellStyle name="40% - 강조색3 4" xfId="9969"/>
    <cellStyle name="40% - 강조색3 5" xfId="9970"/>
    <cellStyle name="40% - 강조색3 6" xfId="9971"/>
    <cellStyle name="40% - 강조색4 2" xfId="1966"/>
    <cellStyle name="40% - 강조색4 2 2" xfId="9972"/>
    <cellStyle name="40% - 강조색4 2_분양(100%)" xfId="38426"/>
    <cellStyle name="40% - 강조색4 3" xfId="4294"/>
    <cellStyle name="40% - 강조색4 4" xfId="9973"/>
    <cellStyle name="40% - 강조색4 5" xfId="9974"/>
    <cellStyle name="40% - 강조색4 6" xfId="9975"/>
    <cellStyle name="40% - 강조색5 2" xfId="1967"/>
    <cellStyle name="40% - 강조색5 2 2" xfId="9976"/>
    <cellStyle name="40% - 강조색5 2_분양(100%)" xfId="38427"/>
    <cellStyle name="40% - 강조색5 3" xfId="4295"/>
    <cellStyle name="40% - 강조색5 4" xfId="9977"/>
    <cellStyle name="40% - 강조색5 5" xfId="9978"/>
    <cellStyle name="40% - 강조색5 6" xfId="9979"/>
    <cellStyle name="40% - 강조색6 2" xfId="1968"/>
    <cellStyle name="40% - 강조색6 2 2" xfId="9980"/>
    <cellStyle name="40% - 강조색6 2_분양(100%)" xfId="38428"/>
    <cellStyle name="40% - 강조색6 3" xfId="4296"/>
    <cellStyle name="40% - 강조색6 4" xfId="9981"/>
    <cellStyle name="40% - 강조색6 5" xfId="9982"/>
    <cellStyle name="40% - 강조색6 6" xfId="9983"/>
    <cellStyle name="60" xfId="2502"/>
    <cellStyle name="60% - Accent1" xfId="32"/>
    <cellStyle name="60% - Accent1 2" xfId="624"/>
    <cellStyle name="60% - Accent1 2 2" xfId="9984"/>
    <cellStyle name="60% - Accent1 2_분양(100%)" xfId="38430"/>
    <cellStyle name="60% - Accent1 3" xfId="9985"/>
    <cellStyle name="60% - Accent1_분양(100%)" xfId="38429"/>
    <cellStyle name="60% - Accent2" xfId="33"/>
    <cellStyle name="60% - Accent2 2" xfId="625"/>
    <cellStyle name="60% - Accent2 2 2" xfId="9986"/>
    <cellStyle name="60% - Accent2 2_분양(100%)" xfId="38432"/>
    <cellStyle name="60% - Accent2 3" xfId="9987"/>
    <cellStyle name="60% - Accent2_분양(100%)" xfId="38431"/>
    <cellStyle name="60% - Accent3" xfId="34"/>
    <cellStyle name="60% - Accent3 2" xfId="626"/>
    <cellStyle name="60% - Accent3 2 2" xfId="9988"/>
    <cellStyle name="60% - Accent3 2_분양(100%)" xfId="38434"/>
    <cellStyle name="60% - Accent3 3" xfId="9989"/>
    <cellStyle name="60% - Accent3_분양(100%)" xfId="38433"/>
    <cellStyle name="60% - Accent4" xfId="35"/>
    <cellStyle name="60% - Accent4 2" xfId="627"/>
    <cellStyle name="60% - Accent4 2 2" xfId="9990"/>
    <cellStyle name="60% - Accent4 2_분양(100%)" xfId="38436"/>
    <cellStyle name="60% - Accent4 3" xfId="9991"/>
    <cellStyle name="60% - Accent4_분양(100%)" xfId="38435"/>
    <cellStyle name="60% - Accent5" xfId="36"/>
    <cellStyle name="60% - Accent5 2" xfId="628"/>
    <cellStyle name="60% - Accent5 2 2" xfId="9992"/>
    <cellStyle name="60% - Accent5 2_분양(100%)" xfId="38438"/>
    <cellStyle name="60% - Accent5 3" xfId="9993"/>
    <cellStyle name="60% - Accent5_분양(100%)" xfId="38437"/>
    <cellStyle name="60% - Accent6" xfId="37"/>
    <cellStyle name="60% - Accent6 2" xfId="629"/>
    <cellStyle name="60% - Accent6 2 2" xfId="9994"/>
    <cellStyle name="60% - Accent6 2_분양(100%)" xfId="38440"/>
    <cellStyle name="60% - Accent6 3" xfId="9995"/>
    <cellStyle name="60% - Accent6_분양(100%)" xfId="38439"/>
    <cellStyle name="60% - 강조색1 2" xfId="1969"/>
    <cellStyle name="60% - 강조색1 2 2" xfId="9996"/>
    <cellStyle name="60% - 강조색1 2_분양(100%)" xfId="38441"/>
    <cellStyle name="60% - 강조색1 3" xfId="4297"/>
    <cellStyle name="60% - 강조색1 4" xfId="9997"/>
    <cellStyle name="60% - 강조색1 5" xfId="9998"/>
    <cellStyle name="60% - 강조색1 6" xfId="9999"/>
    <cellStyle name="60% - 강조색2 2" xfId="1970"/>
    <cellStyle name="60% - 강조색2 2 2" xfId="10000"/>
    <cellStyle name="60% - 강조색2 2_분양(100%)" xfId="38442"/>
    <cellStyle name="60% - 강조색2 3" xfId="4298"/>
    <cellStyle name="60% - 강조색2 4" xfId="10001"/>
    <cellStyle name="60% - 강조색2 5" xfId="10002"/>
    <cellStyle name="60% - 강조색2 6" xfId="10003"/>
    <cellStyle name="60% - 강조색3 2" xfId="1971"/>
    <cellStyle name="60% - 강조색3 2 2" xfId="10004"/>
    <cellStyle name="60% - 강조색3 2_분양(100%)" xfId="38443"/>
    <cellStyle name="60% - 강조색3 3" xfId="4299"/>
    <cellStyle name="60% - 강조색3 4" xfId="10005"/>
    <cellStyle name="60% - 강조색3 5" xfId="10006"/>
    <cellStyle name="60% - 강조색3 6" xfId="10007"/>
    <cellStyle name="60% - 강조색4 2" xfId="1972"/>
    <cellStyle name="60% - 강조색4 2 2" xfId="10008"/>
    <cellStyle name="60% - 강조색4 2_분양(100%)" xfId="38444"/>
    <cellStyle name="60% - 강조색4 3" xfId="4300"/>
    <cellStyle name="60% - 강조색4 4" xfId="10009"/>
    <cellStyle name="60% - 강조색4 5" xfId="10010"/>
    <cellStyle name="60% - 강조색4 6" xfId="10011"/>
    <cellStyle name="60% - 강조색5 2" xfId="1973"/>
    <cellStyle name="60% - 강조색5 2 2" xfId="10012"/>
    <cellStyle name="60% - 강조색5 2_분양(100%)" xfId="38445"/>
    <cellStyle name="60% - 강조색5 3" xfId="4301"/>
    <cellStyle name="60% - 강조색5 4" xfId="10013"/>
    <cellStyle name="60% - 강조색5 5" xfId="10014"/>
    <cellStyle name="60% - 강조색5 6" xfId="10015"/>
    <cellStyle name="60% - 강조색6 2" xfId="1974"/>
    <cellStyle name="60% - 강조색6 2 2" xfId="10016"/>
    <cellStyle name="60% - 강조색6 2_분양(100%)" xfId="38446"/>
    <cellStyle name="60% - 강조색6 3" xfId="4302"/>
    <cellStyle name="60% - 강조색6 4" xfId="10017"/>
    <cellStyle name="60% - 강조색6 5" xfId="10018"/>
    <cellStyle name="60% - 강조색6 6" xfId="10019"/>
    <cellStyle name="7" xfId="10020"/>
    <cellStyle name="_x0014_7." xfId="10021"/>
    <cellStyle name="7_WH-PAYRO_1" xfId="10022"/>
    <cellStyle name="7_WH-PAYRO_1_분양(100%)" xfId="38448"/>
    <cellStyle name="7_분양(100%)" xfId="38447"/>
    <cellStyle name="7_추정재무자료 회사제시 자료 기준 050417" xfId="10023"/>
    <cellStyle name="7_추정재무자료 회사제시 자료 기준 050417_분양(100%)" xfId="38449"/>
    <cellStyle name="7_추정재무자료 회사제시 자료 기준 050417_청어람 검토_0629v1" xfId="10024"/>
    <cellStyle name="7_추정재무자료 회사제시 자료 기준 050417_청어람 검토_0629v1_분양(100%)" xfId="38450"/>
    <cellStyle name="7_추정재무자료 회사제시 자료 기준 050417_청어람 검토_0629v1_치훈" xfId="10025"/>
    <cellStyle name="7_추정재무자료 회사제시 자료 기준 050417_청어람 검토_0629v1_치훈_분양(100%)" xfId="38451"/>
    <cellStyle name="7_추정재무자료 회사제시 자료 기준 050417_청어람 검토_0701_정병수" xfId="10026"/>
    <cellStyle name="7_추정재무자료 회사제시 자료 기준 050417_청어람 검토_0701_정병수_V3" xfId="10027"/>
    <cellStyle name="7_추정재무자료 회사제시 자료 기준 050417_청어람 검토_0701_정병수_V3_분양(100%)" xfId="38453"/>
    <cellStyle name="7_추정재무자료 회사제시 자료 기준 050417_청어람 검토_0701_정병수_분양(100%)" xfId="38452"/>
    <cellStyle name="7_추정재무자료 회사제시 자료 기준 050417_청어람 검토_0701v1_매출" xfId="10028"/>
    <cellStyle name="7_추정재무자료 회사제시 자료 기준 050417_청어람 검토_0701v1_매출(칠판)" xfId="10029"/>
    <cellStyle name="7_추정재무자료 회사제시 자료 기준 050417_청어람 검토_0701v1_매출(칠판)_분양(100%)" xfId="38455"/>
    <cellStyle name="7_추정재무자료 회사제시 자료 기준 050417_청어람 검토_0701v1_매출_분양(100%)" xfId="38454"/>
    <cellStyle name="7_추정재무자료 회사제시 자료 기준 050417_청어람 검토_0702_정병수" xfId="10030"/>
    <cellStyle name="7_추정재무자료 회사제시 자료 기준 050417_청어람 검토_0702_정병수_분양(100%)" xfId="38456"/>
    <cellStyle name="82" xfId="630"/>
    <cellStyle name="A" xfId="2503"/>
    <cellStyle name="a [0]_OTD thru NOR " xfId="10031"/>
    <cellStyle name="Ā _x0010_က랐_xdc01_땯_x0001_" xfId="2504"/>
    <cellStyle name="A???A???A???A???A???A???A???A???A???A???A???A???A???A???A???A???A???A???A?_x0007_?A???A_x000f_??A???A???A???A???A???A?_x0007_?A???A???A???A???A???A???A???A???A???A???A???A???A???A???A???A???A???A???A???A?_x0007_?A???A_x000f_??A???A???A???A???A???A?_x0007_?A???A???A???A???A???A???A???A???A??" xfId="38458"/>
    <cellStyle name="A???A???A???A???A???A???A???A???A???A???A???A???A???A?_x0007_?A???A_x000f_??A???A???A???A???A???A?_x0007_?A???A???A???A???A???A???A???A???A???A???A???A???A???A???A???A???A???A???A???A?_x0007_?A???A_x000f_??A???A???A???A???A???A?_x0007_?A???A???A???A???A???A???A???A???A???A???A???A???A???A??" xfId="38459"/>
    <cellStyle name="A???A???A???A???A???A???A???A???A?_x0007_?A???A_x000f_??A???A???A???A???A???A?_x0007_?A???A???A???A???A???A???A???A???A???A???A???A???A???A???A???A???A???A???A???A?_x0007_?A???A_x000f_??A???A???A???A???A???A?_x0007_?A???A???A???A???A???A???A???A???A???A???A???A???A???A???A???A???A???A???A??" xfId="38460"/>
    <cellStyle name="A???A???A???A???A???A?_x0007_?A???A???A???A???A???A???A???A???A???A???A???A???A???A???A???A???A???A???A???A?_x0007_?A???A_x000f_??A???A???A???A???A???A?_x0007_?A???A???A???A???A???A???A???A???A???A???A???A???A???A???A???A???A???A???A???A?_x0007_?A???A_x000f_??A???A???A???A???A???A?_x0007_?A???A??" xfId="38461"/>
    <cellStyle name="A???A???A???A?_x0007_?A???A_x000f_??A???A???A???A???A???A?_x0007_?A???A???A???A???A???A???A???A???A???A???A???A???A???A???A???A???A???A???A???A?_x0007_?A???A_x000f_??A???A???A???A???A???A?_x0007_?A???A???A???A???A???A???A???A???A???A???A???A???A???A???A???A???A???A???A???A?_x0007_?A???A_x000f_??A???A??" xfId="38462"/>
    <cellStyle name="A_x000f_??A???A???A???A???A???A?_x0007_?A???A???A???A???A???A???A???A???A???A???A???A???A???A???A???A???A???A???A???A?_x0007_?A???A_x000f_??A???A???A???A???A???A?_x0007_?A???A???A???A???A???A???A???A???A???A???A???A???A???A???A???A???A???A???A???A?_x0007_?A???A_x000f_??A???A???A???A???A???A?_x0007_?A??" xfId="38463"/>
    <cellStyle name="A_x000f_??A_x000f_??A_x001f_" xfId="10032"/>
    <cellStyle name="A_20030218144011020-E1C865BF" xfId="10033"/>
    <cellStyle name="A_20030218144011020-E1C865BF_분양(100%)" xfId="38464"/>
    <cellStyle name="A_20030218144011020-E1C865BF_현대오일뱅크 철골공사" xfId="10034"/>
    <cellStyle name="A_20030218144011020-E1C865BF_현대오일뱅크 철골공사_분양(100%)" xfId="38465"/>
    <cellStyle name="A_AM monthly_Appendixl_200206" xfId="4303"/>
    <cellStyle name="A_Monthly Report(대아 2002.6)" xfId="4304"/>
    <cellStyle name="A_도로" xfId="2505"/>
    <cellStyle name="A_부대초안" xfId="2506"/>
    <cellStyle name="A_부대초안_견적의뢰" xfId="2507"/>
    <cellStyle name="A_부대초안_견적의뢰_삽교천개수공사(03.30)" xfId="2508"/>
    <cellStyle name="A_부대초안_견적의뢰_삽교천개수공사(03.30)_구일초(06.17)-부대" xfId="2509"/>
    <cellStyle name="A_부대초안_견적의뢰_삽교천개수공사(03.30)_남성지구(05.26)" xfId="2510"/>
    <cellStyle name="A_부대초안_견적의뢰_삽교천개수공사(03.30)_동산초(06.1)" xfId="2511"/>
    <cellStyle name="A_부대초안_견적의뢰_삽교천개수공사(03.30)_삽교천개수공사(03.30)" xfId="2512"/>
    <cellStyle name="A_부대초안_견적의뢰_삽교천개수공사(03.30)_안산남부경찰서(06.16)-부대" xfId="2513"/>
    <cellStyle name="A_부대초안_견적의뢰_삽교천개수공사(03.30)_제주제성교(05.27)" xfId="2514"/>
    <cellStyle name="A_부대초안_견적의뢰_삽교천개수공사(03.30)_행목지구하천환경(05.25)" xfId="2515"/>
    <cellStyle name="A_부대초안_김포투찰" xfId="2516"/>
    <cellStyle name="A_부대초안_김포투찰_견적의뢰" xfId="2517"/>
    <cellStyle name="A_부대초안_김포투찰_견적의뢰_삽교천개수공사(03.30)" xfId="2518"/>
    <cellStyle name="A_부대초안_김포투찰_견적의뢰_삽교천개수공사(03.30)_구일초(06.17)-부대" xfId="2519"/>
    <cellStyle name="A_부대초안_김포투찰_견적의뢰_삽교천개수공사(03.30)_남성지구(05.26)" xfId="2520"/>
    <cellStyle name="A_부대초안_김포투찰_견적의뢰_삽교천개수공사(03.30)_동산초(06.1)" xfId="2521"/>
    <cellStyle name="A_부대초안_김포투찰_견적의뢰_삽교천개수공사(03.30)_삽교천개수공사(03.30)" xfId="2522"/>
    <cellStyle name="A_부대초안_김포투찰_견적의뢰_삽교천개수공사(03.30)_안산남부경찰서(06.16)-부대" xfId="2523"/>
    <cellStyle name="A_부대초안_김포투찰_견적의뢰_삽교천개수공사(03.30)_제주제성교(05.27)" xfId="2524"/>
    <cellStyle name="A_부대초안_김포투찰_견적의뢰_삽교천개수공사(03.30)_행목지구하천환경(05.25)" xfId="2525"/>
    <cellStyle name="A_부대초안_삽교천개수공사(03.30)" xfId="2526"/>
    <cellStyle name="A_부대초안_삽교천개수공사(03.30)_구일초(06.17)-부대" xfId="2527"/>
    <cellStyle name="A_부대초안_삽교천개수공사(03.30)_남성지구(05.26)" xfId="2528"/>
    <cellStyle name="A_부대초안_삽교천개수공사(03.30)_동산초(06.1)" xfId="2529"/>
    <cellStyle name="A_부대초안_삽교천개수공사(03.30)_삽교천개수공사(03.30)" xfId="2530"/>
    <cellStyle name="A_부대초안_삽교천개수공사(03.30)_안산남부경찰서(06.16)-부대" xfId="2531"/>
    <cellStyle name="A_부대초안_삽교천개수공사(03.30)_제주제성교(05.27)" xfId="2532"/>
    <cellStyle name="A_부대초안_삽교천개수공사(03.30)_행목지구하천환경(05.25)" xfId="2533"/>
    <cellStyle name="A_분양(100%)" xfId="38457"/>
    <cellStyle name="A_사급재료비및운반비" xfId="10035"/>
    <cellStyle name="A_사급재료비및운반비_분양(100%)" xfId="38466"/>
    <cellStyle name="A_사급재료비및운반비_현대오일뱅크 철골공사" xfId="10036"/>
    <cellStyle name="A_사급재료비및운반비_현대오일뱅크 철골공사_분양(100%)" xfId="38467"/>
    <cellStyle name="A_삽교천개수공사(03.30)" xfId="2534"/>
    <cellStyle name="A_삽교천개수공사(03.30)_구일초(06.17)-부대" xfId="2535"/>
    <cellStyle name="A_삽교천개수공사(03.30)_남성지구(05.26)" xfId="2536"/>
    <cellStyle name="A_삽교천개수공사(03.30)_동산초(06.1)" xfId="2537"/>
    <cellStyle name="A_삽교천개수공사(03.30)_삽교천개수공사(03.30)" xfId="2538"/>
    <cellStyle name="A_삽교천개수공사(03.30)_안산남부경찰서(06.16)-부대" xfId="2539"/>
    <cellStyle name="A_삽교천개수공사(03.30)_제주제성교(05.27)" xfId="2540"/>
    <cellStyle name="A_삽교천개수공사(03.30)_행목지구하천환경(05.25)" xfId="2541"/>
    <cellStyle name="A_수량및 단가 산출내용표" xfId="10037"/>
    <cellStyle name="A_수량및 단가 산출내용표_분양(100%)" xfId="38468"/>
    <cellStyle name="A_수량및 단가 산출내용표_현대오일뱅크 철골공사" xfId="10038"/>
    <cellStyle name="A_수량및 단가 산출내용표_현대오일뱅크 철골공사_분양(100%)" xfId="38469"/>
    <cellStyle name="A_영흥#3,4 보일러철골설치및마감(MC-01)FINAL" xfId="10039"/>
    <cellStyle name="A_영흥#3,4 보일러철골설치및마감(MC-01)FINAL_분양(100%)" xfId="38470"/>
    <cellStyle name="A_영흥#3,4 보일러철골설치및마감(MC-01)FINAL_현대오일뱅크 철골공사" xfId="10040"/>
    <cellStyle name="A_영흥#3,4 보일러철골설치및마감(MC-01)FINAL_현대오일뱅크 철골공사_분양(100%)" xfId="38471"/>
    <cellStyle name="A_영흥#3,4 옥내기기기초(AC-05)" xfId="10041"/>
    <cellStyle name="A_영흥#3,4 옥내기기기초(AC-05)_분양(100%)" xfId="38472"/>
    <cellStyle name="A_영흥#3,4 옥내기기기초(AC-05)_현대오일뱅크 철골공사" xfId="10042"/>
    <cellStyle name="A_영흥#3,4 옥내기기기초(AC-05)_현대오일뱅크 철골공사_분양(100%)" xfId="38473"/>
    <cellStyle name="A_영흥#3,4 터빈발전기기초(AC-04)" xfId="10043"/>
    <cellStyle name="A_영흥#3,4 터빈발전기기초(AC-04)_분양(100%)" xfId="38474"/>
    <cellStyle name="A_영흥#3,4 터빈발전기기초(AC-04)_현대오일뱅크 철골공사" xfId="10044"/>
    <cellStyle name="A_영흥#3,4 터빈발전기기초(AC-04)_현대오일뱅크 철골공사_분양(100%)" xfId="38475"/>
    <cellStyle name="A_토목내역서" xfId="2542"/>
    <cellStyle name="A_토목내역서_도로" xfId="2543"/>
    <cellStyle name="A_토목내역서_부대초안" xfId="2544"/>
    <cellStyle name="A_토목내역서_부대초안_견적의뢰" xfId="2545"/>
    <cellStyle name="A_토목내역서_부대초안_견적의뢰_삽교천개수공사(03.30)" xfId="2546"/>
    <cellStyle name="A_토목내역서_부대초안_견적의뢰_삽교천개수공사(03.30)_구일초(06.17)-부대" xfId="2547"/>
    <cellStyle name="A_토목내역서_부대초안_견적의뢰_삽교천개수공사(03.30)_남성지구(05.26)" xfId="2548"/>
    <cellStyle name="A_토목내역서_부대초안_견적의뢰_삽교천개수공사(03.30)_동산초(06.1)" xfId="2549"/>
    <cellStyle name="A_토목내역서_부대초안_견적의뢰_삽교천개수공사(03.30)_삽교천개수공사(03.30)" xfId="2550"/>
    <cellStyle name="A_토목내역서_부대초안_견적의뢰_삽교천개수공사(03.30)_안산남부경찰서(06.16)-부대" xfId="2551"/>
    <cellStyle name="A_토목내역서_부대초안_견적의뢰_삽교천개수공사(03.30)_제주제성교(05.27)" xfId="2552"/>
    <cellStyle name="A_토목내역서_부대초안_견적의뢰_삽교천개수공사(03.30)_행목지구하천환경(05.25)" xfId="2553"/>
    <cellStyle name="A_토목내역서_부대초안_김포투찰" xfId="2554"/>
    <cellStyle name="A_토목내역서_부대초안_김포투찰_견적의뢰" xfId="2555"/>
    <cellStyle name="A_토목내역서_부대초안_김포투찰_견적의뢰_삽교천개수공사(03.30)" xfId="2556"/>
    <cellStyle name="A_토목내역서_부대초안_김포투찰_견적의뢰_삽교천개수공사(03.30)_구일초(06.17)-부대" xfId="2557"/>
    <cellStyle name="A_토목내역서_부대초안_김포투찰_견적의뢰_삽교천개수공사(03.30)_남성지구(05.26)" xfId="2558"/>
    <cellStyle name="A_토목내역서_부대초안_김포투찰_견적의뢰_삽교천개수공사(03.30)_동산초(06.1)" xfId="2559"/>
    <cellStyle name="A_토목내역서_부대초안_김포투찰_견적의뢰_삽교천개수공사(03.30)_삽교천개수공사(03.30)" xfId="2560"/>
    <cellStyle name="A_토목내역서_부대초안_김포투찰_견적의뢰_삽교천개수공사(03.30)_안산남부경찰서(06.16)-부대" xfId="2561"/>
    <cellStyle name="A_토목내역서_부대초안_김포투찰_견적의뢰_삽교천개수공사(03.30)_제주제성교(05.27)" xfId="2562"/>
    <cellStyle name="A_토목내역서_부대초안_김포투찰_견적의뢰_삽교천개수공사(03.30)_행목지구하천환경(05.25)" xfId="2563"/>
    <cellStyle name="A_토목내역서_부대초안_삽교천개수공사(03.30)" xfId="2564"/>
    <cellStyle name="A_토목내역서_부대초안_삽교천개수공사(03.30)_구일초(06.17)-부대" xfId="2565"/>
    <cellStyle name="A_토목내역서_부대초안_삽교천개수공사(03.30)_남성지구(05.26)" xfId="2566"/>
    <cellStyle name="A_토목내역서_부대초안_삽교천개수공사(03.30)_동산초(06.1)" xfId="2567"/>
    <cellStyle name="A_토목내역서_부대초안_삽교천개수공사(03.30)_삽교천개수공사(03.30)" xfId="2568"/>
    <cellStyle name="A_토목내역서_부대초안_삽교천개수공사(03.30)_안산남부경찰서(06.16)-부대" xfId="2569"/>
    <cellStyle name="A_토목내역서_부대초안_삽교천개수공사(03.30)_제주제성교(05.27)" xfId="2570"/>
    <cellStyle name="A_토목내역서_부대초안_삽교천개수공사(03.30)_행목지구하천환경(05.25)" xfId="2571"/>
    <cellStyle name="A_토목내역서_삽교천개수공사(03.30)" xfId="2572"/>
    <cellStyle name="A_토목내역서_삽교천개수공사(03.30)_구일초(06.17)-부대" xfId="2573"/>
    <cellStyle name="A_토목내역서_삽교천개수공사(03.30)_남성지구(05.26)" xfId="2574"/>
    <cellStyle name="A_토목내역서_삽교천개수공사(03.30)_동산초(06.1)" xfId="2575"/>
    <cellStyle name="A_토목내역서_삽교천개수공사(03.30)_삽교천개수공사(03.30)" xfId="2576"/>
    <cellStyle name="A_토목내역서_삽교천개수공사(03.30)_안산남부경찰서(06.16)-부대" xfId="2577"/>
    <cellStyle name="A_토목내역서_삽교천개수공사(03.30)_제주제성교(05.27)" xfId="2578"/>
    <cellStyle name="A_토목내역서_삽교천개수공사(03.30)_행목지구하천환경(05.25)" xfId="2579"/>
    <cellStyle name="A¡" xfId="10045"/>
    <cellStyle name="A¡§¡ⓒ¡E¡þ¡EO [0]_¡§￠Ri¡§u¡§¡þ¡§¡þI¡§u￠R¨I" xfId="10046"/>
    <cellStyle name="A¡§¡ⓒ¡E¡þ¡EO_¡§￠Ri¡§u¡§¡þ¡§¡þI¡§u￠R¨I" xfId="10047"/>
    <cellStyle name="A¡§i" xfId="10048"/>
    <cellStyle name="A¡§i¢®" xfId="10049"/>
    <cellStyle name="A¡ër¢®" xfId="10050"/>
    <cellStyle name="A¡ërer" xfId="10051"/>
    <cellStyle name="A¨" xfId="10052"/>
    <cellStyle name="A¨­￠￢￠O [0]_¡Æ￠Rⓒø¨￡￠￥U " xfId="10053"/>
    <cellStyle name="A¨­¢¬¢Ò [0]_INQUIRY ¢¯¥ì¨ú¡ÀA©¬A©ª " xfId="10054"/>
    <cellStyle name="A¨­￠￢￠O_¡ÆA¡¤￠R￠￢i¨u¨uC¡I" xfId="10055"/>
    <cellStyle name="A¨­¢¬¢Ò_INQUIRY ¢¯¥ì¨ú¡ÀA©¬A©ª " xfId="10056"/>
    <cellStyle name="A¨i¡" xfId="10057"/>
    <cellStyle name="A¨ï¡©¡" xfId="10058"/>
    <cellStyle name="A¢" xfId="10059"/>
    <cellStyle name="A¢®¡×i" xfId="10060"/>
    <cellStyle name="A¢®er¡" xfId="10061"/>
    <cellStyle name="A¢®ere" xfId="10062"/>
    <cellStyle name="A©" xfId="10063"/>
    <cellStyle name="A©­¢¬¢" xfId="10064"/>
    <cellStyle name="A1" xfId="4305"/>
    <cellStyle name="aa" xfId="10065"/>
    <cellStyle name="Aⓒ­" xfId="2580"/>
    <cellStyle name="Accent1" xfId="38"/>
    <cellStyle name="Accent1 - 20%" xfId="10066"/>
    <cellStyle name="Accent1 - 40%" xfId="10067"/>
    <cellStyle name="Accent1 - 60%" xfId="10068"/>
    <cellStyle name="Accent1 2" xfId="631"/>
    <cellStyle name="Accent1 2 2" xfId="10069"/>
    <cellStyle name="Accent1 2_분양(100%)" xfId="38476"/>
    <cellStyle name="Accent1 3" xfId="10070"/>
    <cellStyle name="Accent1 4" xfId="10071"/>
    <cellStyle name="Accent1 5" xfId="10072"/>
    <cellStyle name="Accent1_Pro-mars자금총괄표_동서에셋(20090427)v2" xfId="10073"/>
    <cellStyle name="Accent2" xfId="39"/>
    <cellStyle name="Accent2 - 20%" xfId="10074"/>
    <cellStyle name="Accent2 - 40%" xfId="10075"/>
    <cellStyle name="Accent2 - 60%" xfId="10076"/>
    <cellStyle name="Accent2 2" xfId="632"/>
    <cellStyle name="Accent2 2 2" xfId="10077"/>
    <cellStyle name="Accent2 2_분양(100%)" xfId="38477"/>
    <cellStyle name="Accent2 3" xfId="10078"/>
    <cellStyle name="Accent2 4" xfId="10079"/>
    <cellStyle name="Accent2 5" xfId="10080"/>
    <cellStyle name="Accent2_Pro-mars자금총괄표_동서에셋(20090427)v2" xfId="10081"/>
    <cellStyle name="Accent3" xfId="40"/>
    <cellStyle name="Accent3 - 20%" xfId="10082"/>
    <cellStyle name="Accent3 - 40%" xfId="10083"/>
    <cellStyle name="Accent3 - 60%" xfId="10084"/>
    <cellStyle name="Accent3 2" xfId="633"/>
    <cellStyle name="Accent3 2 2" xfId="10085"/>
    <cellStyle name="Accent3 2_분양(100%)" xfId="38478"/>
    <cellStyle name="Accent3 3" xfId="10086"/>
    <cellStyle name="Accent3 4" xfId="10087"/>
    <cellStyle name="Accent3 5" xfId="10088"/>
    <cellStyle name="Accent3_Pro-mars자금총괄표_동서에셋(20090427)v2" xfId="10089"/>
    <cellStyle name="Accent4" xfId="41"/>
    <cellStyle name="Accent4 - 20%" xfId="10090"/>
    <cellStyle name="Accent4 - 40%" xfId="10091"/>
    <cellStyle name="Accent4 - 60%" xfId="10092"/>
    <cellStyle name="Accent4 2" xfId="634"/>
    <cellStyle name="Accent4 2 2" xfId="10093"/>
    <cellStyle name="Accent4 2_분양(100%)" xfId="38479"/>
    <cellStyle name="Accent4 3" xfId="10094"/>
    <cellStyle name="Accent4 4" xfId="10095"/>
    <cellStyle name="Accent4 5" xfId="10096"/>
    <cellStyle name="Accent4_Pro-mars자금총괄표_동서에셋(20090427)v2" xfId="10097"/>
    <cellStyle name="Accent5" xfId="42"/>
    <cellStyle name="Accent5 - 20%" xfId="10098"/>
    <cellStyle name="Accent5 - 40%" xfId="10099"/>
    <cellStyle name="Accent5 - 60%" xfId="10100"/>
    <cellStyle name="Accent5 2" xfId="635"/>
    <cellStyle name="Accent5 2 2" xfId="10101"/>
    <cellStyle name="Accent5 2_분양(100%)" xfId="38480"/>
    <cellStyle name="Accent5 3" xfId="10102"/>
    <cellStyle name="Accent5 4" xfId="10103"/>
    <cellStyle name="Accent5 5" xfId="10104"/>
    <cellStyle name="Accent5_Pro-mars자금총괄표_동서에셋(20090427)v2" xfId="10105"/>
    <cellStyle name="Accent6" xfId="43"/>
    <cellStyle name="Accent6 - 20%" xfId="10106"/>
    <cellStyle name="Accent6 - 40%" xfId="10107"/>
    <cellStyle name="Accent6 - 60%" xfId="10108"/>
    <cellStyle name="Accent6 2" xfId="636"/>
    <cellStyle name="Accent6 2 2" xfId="10109"/>
    <cellStyle name="Accent6 2_분양(100%)" xfId="38481"/>
    <cellStyle name="Accent6 3" xfId="10110"/>
    <cellStyle name="Accent6 4" xfId="10111"/>
    <cellStyle name="Accent6 5" xfId="10112"/>
    <cellStyle name="Accent6_Pro-mars자금총괄표_동서에셋(20090427)v2" xfId="10113"/>
    <cellStyle name="active" xfId="10114"/>
    <cellStyle name="Actual Date" xfId="10115"/>
    <cellStyle name="Ae" xfId="2581"/>
    <cellStyle name="Åë" xfId="10116"/>
    <cellStyle name="Ae_20030218144011020-E1C865BF" xfId="10117"/>
    <cellStyle name="Åë_20030218144011020-E1C865BF" xfId="10118"/>
    <cellStyle name="Ae_20030218144011020-E1C865BF_분양(100%)" xfId="38484"/>
    <cellStyle name="Åë_20030218144011020-E1C865BF_분양(100%)" xfId="38485"/>
    <cellStyle name="Ae_20030218144011020-E1C865BF_현대오일뱅크 철골공사" xfId="10119"/>
    <cellStyle name="Åë_20030218144011020-E1C865BF_현대오일뱅크 철골공사" xfId="10120"/>
    <cellStyle name="Ae_20030218144011020-E1C865BF_현대오일뱅크 철골공사_분양(100%)" xfId="38486"/>
    <cellStyle name="Åë_20030218144011020-E1C865BF_현대오일뱅크 철골공사_분양(100%)" xfId="38487"/>
    <cellStyle name="Ae_분양(100%)" xfId="38482"/>
    <cellStyle name="Åë_분양(100%)" xfId="38483"/>
    <cellStyle name="Ae_사급재료비및운반비" xfId="10121"/>
    <cellStyle name="Åë_사급재료비및운반비" xfId="10122"/>
    <cellStyle name="Ae_사급재료비및운반비_분양(100%)" xfId="38488"/>
    <cellStyle name="Åë_사급재료비및운반비_분양(100%)" xfId="38489"/>
    <cellStyle name="Ae_사급재료비및운반비_현대오일뱅크 철골공사" xfId="10123"/>
    <cellStyle name="Åë_사급재료비및운반비_현대오일뱅크 철골공사" xfId="10124"/>
    <cellStyle name="Ae_사급재료비및운반비_현대오일뱅크 철골공사_분양(100%)" xfId="38490"/>
    <cellStyle name="Åë_사급재료비및운반비_현대오일뱅크 철골공사_분양(100%)" xfId="38491"/>
    <cellStyle name="Ae_수량및 단가 산출내용표" xfId="10125"/>
    <cellStyle name="Åë_수량및 단가 산출내용표" xfId="10126"/>
    <cellStyle name="Ae_수량및 단가 산출내용표_분양(100%)" xfId="38492"/>
    <cellStyle name="Åë_수량및 단가 산출내용표_분양(100%)" xfId="38493"/>
    <cellStyle name="Ae_수량및 단가 산출내용표_현대오일뱅크 철골공사" xfId="10127"/>
    <cellStyle name="Åë_수량및 단가 산출내용표_현대오일뱅크 철골공사" xfId="10128"/>
    <cellStyle name="Ae_수량및 단가 산출내용표_현대오일뱅크 철골공사_분양(100%)" xfId="38494"/>
    <cellStyle name="Åë_수량및 단가 산출내용표_현대오일뱅크 철골공사_분양(100%)" xfId="38495"/>
    <cellStyle name="Ae_영흥#3,4 보일러철골설치및마감(MC-01)FINAL" xfId="10129"/>
    <cellStyle name="Åë_영흥#3,4 보일러철골설치및마감(MC-01)FINAL" xfId="10130"/>
    <cellStyle name="Ae_영흥#3,4 보일러철골설치및마감(MC-01)FINAL_분양(100%)" xfId="38496"/>
    <cellStyle name="Åë_영흥#3,4 보일러철골설치및마감(MC-01)FINAL_분양(100%)" xfId="38497"/>
    <cellStyle name="Ae_영흥#3,4 보일러철골설치및마감(MC-01)FINAL_현대오일뱅크 철골공사" xfId="10131"/>
    <cellStyle name="Åë_영흥#3,4 보일러철골설치및마감(MC-01)FINAL_현대오일뱅크 철골공사" xfId="10132"/>
    <cellStyle name="Ae_영흥#3,4 보일러철골설치및마감(MC-01)FINAL_현대오일뱅크 철골공사_분양(100%)" xfId="38498"/>
    <cellStyle name="Åë_영흥#3,4 보일러철골설치및마감(MC-01)FINAL_현대오일뱅크 철골공사_분양(100%)" xfId="38499"/>
    <cellStyle name="Ae_영흥#3,4 옥내기기기초(AC-05)" xfId="10133"/>
    <cellStyle name="Åë_영흥#3,4 옥내기기기초(AC-05)" xfId="10134"/>
    <cellStyle name="Ae_영흥#3,4 옥내기기기초(AC-05)_분양(100%)" xfId="38500"/>
    <cellStyle name="Åë_영흥#3,4 옥내기기기초(AC-05)_분양(100%)" xfId="38501"/>
    <cellStyle name="Ae_영흥#3,4 옥내기기기초(AC-05)_현대오일뱅크 철골공사" xfId="10135"/>
    <cellStyle name="Åë_영흥#3,4 옥내기기기초(AC-05)_현대오일뱅크 철골공사" xfId="10136"/>
    <cellStyle name="Ae_영흥#3,4 옥내기기기초(AC-05)_현대오일뱅크 철골공사_분양(100%)" xfId="38502"/>
    <cellStyle name="Åë_영흥#3,4 옥내기기기초(AC-05)_현대오일뱅크 철골공사_분양(100%)" xfId="38503"/>
    <cellStyle name="Ae_영흥#3,4 터빈발전기기초(AC-04)" xfId="10137"/>
    <cellStyle name="Åë_영흥#3,4 터빈발전기기초(AC-04)" xfId="10138"/>
    <cellStyle name="Ae_영흥#3,4 터빈발전기기초(AC-04)_분양(100%)" xfId="38504"/>
    <cellStyle name="Åë_영흥#3,4 터빈발전기기초(AC-04)_분양(100%)" xfId="38505"/>
    <cellStyle name="Ae_영흥#3,4 터빈발전기기초(AC-04)_현대오일뱅크 철골공사" xfId="10139"/>
    <cellStyle name="Åë_영흥#3,4 터빈발전기기초(AC-04)_현대오일뱅크 철골공사" xfId="10140"/>
    <cellStyle name="Ae_영흥#3,4 터빈발전기기초(AC-04)_현대오일뱅크 철골공사_분양(100%)" xfId="38506"/>
    <cellStyle name="Åë_영흥#3,4 터빈발전기기초(AC-04)_현대오일뱅크 철골공사_분양(100%)" xfId="38507"/>
    <cellStyle name="Aee" xfId="10141"/>
    <cellStyle name="Åëè­" xfId="10142"/>
    <cellStyle name="Aee­ " xfId="1975"/>
    <cellStyle name="Åëè­ [" xfId="10143"/>
    <cellStyle name="Åëè­ [0]" xfId="10144"/>
    <cellStyle name="AeE­ [0]_  A¾  CO  " xfId="10145"/>
    <cellStyle name="AeE- [0]_?c?A " xfId="10146"/>
    <cellStyle name="AeE­ [0]_´eAN°yC￥ " xfId="10147"/>
    <cellStyle name="ÅëÈ­ [0]_¸ÅÃâ" xfId="10148"/>
    <cellStyle name="AeE­ [0]_¿­¸° INT" xfId="10149"/>
    <cellStyle name="ÅëÈ­ [0]_±×·¡ÇÁ (2)" xfId="637"/>
    <cellStyle name="AeE­ [0]_±a¼uAe½A " xfId="10150"/>
    <cellStyle name="ÅëÈ­ [0]_½ÇÀûÇöÈ² " xfId="10151"/>
    <cellStyle name="AeE­ [0]_¾c½A " xfId="10152"/>
    <cellStyle name="Åëè­ [0]_12" xfId="10153"/>
    <cellStyle name="AeE­ [0]_³≫ºI°eE¹´e AßA¤A÷AI " xfId="10154"/>
    <cellStyle name="AeE- [0]_4PART " xfId="10155"/>
    <cellStyle name="AeE­ [0]_6¿u2A°AO " xfId="10156"/>
    <cellStyle name="AeE- [0]_64-C STEPPER 줩!줩o?A줩줗(PHOTO) " xfId="10157"/>
    <cellStyle name="ÅëÈ­ [0]_7°èÈ¹ " xfId="10158"/>
    <cellStyle name="AeE­ [0]_95³aAN°y¼o·R " xfId="10159"/>
    <cellStyle name="AeE- [0]_953aAN줩y?o좵R " xfId="10160"/>
    <cellStyle name="AeE­ [0]_AMT " xfId="10161"/>
    <cellStyle name="ÅëÈ­ [0]_AMT " xfId="10162"/>
    <cellStyle name="AeE­ [0]_AMT _¹≪¿ª10¿u " xfId="10163"/>
    <cellStyle name="ÅëÈ­ [0]_AMT _분양(100%)" xfId="38511"/>
    <cellStyle name="AeE- [0]_C줩좲no줩 " xfId="10164"/>
    <cellStyle name="ÅëÈ­ [0]_FINAL(¿øº») " xfId="10165"/>
    <cellStyle name="AeE­ [0]_INQUIRY ¿μ¾÷AßAø " xfId="44"/>
    <cellStyle name="ÅëÈ­ [0]_kc-elec system check list" xfId="10166"/>
    <cellStyle name="AeE­ [0]_laroux_1" xfId="10167"/>
    <cellStyle name="ÅëÈ­ [0]_laroux_1" xfId="10168"/>
    <cellStyle name="AeE­ [0]_laroux_1_분양(100%)" xfId="38512"/>
    <cellStyle name="ÅëÈ­ [0]_laroux_1_분양(100%)" xfId="38513"/>
    <cellStyle name="AeE­ [0]_º≫¼± ±æ¾i±uºI ¼o·R Ay°eC￥ " xfId="2582"/>
    <cellStyle name="ÅëÈ­ [0]_PERSONAL" xfId="10169"/>
    <cellStyle name="AeE­ [0]_Sheet1_4¿uF_5 " xfId="10170"/>
    <cellStyle name="Åëè­ [0]_분양(100%)" xfId="38510"/>
    <cellStyle name="Aee­ _20030218144011020-E1C865BF" xfId="10171"/>
    <cellStyle name="AeE­_  A¾  CO  " xfId="10172"/>
    <cellStyle name="AeE-_?c?A " xfId="10173"/>
    <cellStyle name="AeE­_´eAN°yC￥ " xfId="10174"/>
    <cellStyle name="ÅëÈ­_¸ÅÃâ" xfId="10175"/>
    <cellStyle name="AeE­_¿­¸° INT" xfId="10176"/>
    <cellStyle name="ÅëÈ­_±×·¡ÇÁ (2)" xfId="45"/>
    <cellStyle name="AeE­_±a¼uAe½A " xfId="10177"/>
    <cellStyle name="ÅëÈ­_½ÇÀûÇöÈ² " xfId="10178"/>
    <cellStyle name="AeE­_¾c½A " xfId="10179"/>
    <cellStyle name="Åëè­_12" xfId="10180"/>
    <cellStyle name="Aee_20030218144011020-E1C865BF" xfId="10181"/>
    <cellStyle name="ÅëÈ­_³»ºÎ°èÈ¹´ë ÃßÁ¤Â÷ÀÌ " xfId="10182"/>
    <cellStyle name="AeE­_³≫ºI°eE¹´e AßA¤A÷AI " xfId="10183"/>
    <cellStyle name="AeE-_4PART " xfId="10184"/>
    <cellStyle name="AeE­_6¿u2A°AO " xfId="10185"/>
    <cellStyle name="AeE-_64-C STEPPER 줩!줩o?A줩줗(PHOTO) " xfId="10186"/>
    <cellStyle name="ÅëÈ­_7°èÈ¹ " xfId="10187"/>
    <cellStyle name="AeE­_95³aAN°y¼o·R " xfId="10188"/>
    <cellStyle name="AeE-_953aAN줩y?o좵R " xfId="10189"/>
    <cellStyle name="AeE­_98½CCaAI°Cºn " xfId="10190"/>
    <cellStyle name="ÅëÈ­_AMT " xfId="10191"/>
    <cellStyle name="AeE­_AMT _¹≪¿ª10¿u " xfId="10192"/>
    <cellStyle name="ÅëÈ­_AMT _분양(100%)" xfId="38514"/>
    <cellStyle name="AeE-_C줩좲no줩 " xfId="10193"/>
    <cellStyle name="ÅëÈ­_FINAL(¿øº») " xfId="10194"/>
    <cellStyle name="AeE­_INQUIRY ¿μ¾÷AßAø " xfId="46"/>
    <cellStyle name="ÅëÈ­_kc-elec system check list" xfId="10195"/>
    <cellStyle name="AeE­_laroux_1" xfId="10196"/>
    <cellStyle name="ÅëÈ­_laroux_1" xfId="10197"/>
    <cellStyle name="AeE­_laroux_1_분양(100%)" xfId="38515"/>
    <cellStyle name="ÅëÈ­_laroux_1_분양(100%)" xfId="38516"/>
    <cellStyle name="AeE­_º≫¼± ±æ¾i±uºI ¼o·R Ay°eC￥ " xfId="2583"/>
    <cellStyle name="ÅëÈ­_PERSONAL" xfId="10198"/>
    <cellStyle name="AeE­_Sheet1_4¿uF_5 " xfId="10199"/>
    <cellStyle name="Aee_분양(100%)" xfId="38508"/>
    <cellStyle name="Åëè­_분양(100%)" xfId="38509"/>
    <cellStyle name="Aee¡" xfId="2584"/>
    <cellStyle name="Aee¡© " xfId="10200"/>
    <cellStyle name="AeE¡© [0]_INQUIRY ¢¯¥ì¨ú¡ÀA©¬A©ª " xfId="10201"/>
    <cellStyle name="Aee¡© _분양(100%)" xfId="38517"/>
    <cellStyle name="AeE¡©_INQUIRY ¢¯¥ì¨ú¡ÀA©¬A©ª " xfId="10202"/>
    <cellStyle name="AeE¡ⓒ [0]_¡¾aEⓒo¨oCLAN(AuA|A￠O¡ÆC)" xfId="4306"/>
    <cellStyle name="AeE¡ⓒ_¡¾aEⓒo¨oCLAN(AuA|A￠O¡ÆC)" xfId="4307"/>
    <cellStyle name="Aee¡e" xfId="10203"/>
    <cellStyle name="Aee¡ër" xfId="10204"/>
    <cellStyle name="Aee¢®¨" xfId="10205"/>
    <cellStyle name="Aee¢®e" xfId="10206"/>
    <cellStyle name="Aee￠r" xfId="10207"/>
    <cellStyle name="AeE￠R¨I [0]_¡§￠Ri¡§u¡§¡þ¡§¡þI¡§u￠R¨I" xfId="10208"/>
    <cellStyle name="AeE￠R¨I_¡§￠Ri¡§u¡§¡þ¡§¡þI¡§u￠R¨I" xfId="10209"/>
    <cellStyle name="Æu¼ " xfId="638"/>
    <cellStyle name="AFE" xfId="10210"/>
    <cellStyle name="ALIGNMENT" xfId="2585"/>
    <cellStyle name="Am3/h/대" xfId="10211"/>
    <cellStyle name="Am3/h/대 2" xfId="10212"/>
    <cellStyle name="Am3/h/대 3" xfId="10213"/>
    <cellStyle name="Am3/h/대_분양(100%)" xfId="38518"/>
    <cellStyle name="AoA¤μCAo ¾EA½" xfId="10214"/>
    <cellStyle name="arial" xfId="10215"/>
    <cellStyle name="Arial 10" xfId="10216"/>
    <cellStyle name="Arial 12" xfId="10217"/>
    <cellStyle name="arial_분양(100%)" xfId="38519"/>
    <cellStyle name="Äþ" xfId="10218"/>
    <cellStyle name="Aþ¸" xfId="2586"/>
    <cellStyle name="Äþ¸¶" xfId="10219"/>
    <cellStyle name="Äþ¸¶ [" xfId="10220"/>
    <cellStyle name="Äþ¸¶ [0]" xfId="10221"/>
    <cellStyle name="AÞ¸¶ [0]_  A¾  CO  " xfId="10222"/>
    <cellStyle name="ÄÞ¸¶ [0]_´ãº¸±ÇÀÌÀÚ" xfId="10223"/>
    <cellStyle name="AÞ¸¶ [0]_´eAN°yC￥ " xfId="10224"/>
    <cellStyle name="ÄÞ¸¶ [0]_¸ÅÃâ" xfId="10225"/>
    <cellStyle name="AÞ¸¶ [0]_±a¼uAe½A " xfId="10226"/>
    <cellStyle name="Äþ¸¶ [0]_12" xfId="10227"/>
    <cellStyle name="AÞ¸¶ [0]_³≫ºI°eE¹´e AßA¤A÷AI " xfId="10228"/>
    <cellStyle name="ÄÞ¸¶ [0]_ÀÛ¼º¿ä·É" xfId="10229"/>
    <cellStyle name="AÞ¸¶ [0]_INQUIRY ¿μ¾÷AßAø " xfId="47"/>
    <cellStyle name="ÄÞ¸¶ [0]_laroux" xfId="4308"/>
    <cellStyle name="AÞ¸¶ [0]_º≫¼± ±æ¾i±uºI ¼o·R Ay°eC￥ " xfId="2587"/>
    <cellStyle name="ÄÞ¸¶ [0]_PERSONAL" xfId="10230"/>
    <cellStyle name="AÞ¸¶ [0]_Sheet1_4¿uF_5 " xfId="10231"/>
    <cellStyle name="Äþ¸¶ [0]_분양(100%)" xfId="38521"/>
    <cellStyle name="AÞ¸¶_  A¾  CO  " xfId="10232"/>
    <cellStyle name="ÄÞ¸¶_¸ÅÃâ" xfId="10233"/>
    <cellStyle name="AÞ¸¶_¿­¸° INT" xfId="10234"/>
    <cellStyle name="ÄÞ¸¶_±×·¡ÇÁ (2)" xfId="48"/>
    <cellStyle name="AÞ¸¶_±a¼uAe½A " xfId="10235"/>
    <cellStyle name="ÄÞ¸¶_½ÇÀûÇöÈ² " xfId="10236"/>
    <cellStyle name="AÞ¸¶_¾c½A " xfId="10237"/>
    <cellStyle name="Äþ¸¶_12" xfId="10238"/>
    <cellStyle name="AÞ¸¶_³≫ºI°eE¹´e AßA¤A÷AI " xfId="10239"/>
    <cellStyle name="ÄÞ¸¶_ÀÛ¼º¿ä·É" xfId="10240"/>
    <cellStyle name="AÞ¸¶_INQUIRY ¿μ¾÷AßAø " xfId="49"/>
    <cellStyle name="ÄÞ¸¶_laroux" xfId="4309"/>
    <cellStyle name="AÞ¸¶_º≫¼± ±æ¾i±uºI ¼o·R Ay°eC￥ " xfId="2588"/>
    <cellStyle name="ÄÞ¸¶_PERSONAL" xfId="10241"/>
    <cellStyle name="AÞ¸¶_Sheet1_4¿uF_5 " xfId="10242"/>
    <cellStyle name="Äþ¸¶_분양(100%)" xfId="38520"/>
    <cellStyle name="AT좲? [0]_?c?A " xfId="10243"/>
    <cellStyle name="AT좲?_?c?A " xfId="10244"/>
    <cellStyle name="Au¸r " xfId="639"/>
    <cellStyle name="Au¸r¼" xfId="640"/>
    <cellStyle name="_x0001_b" xfId="10245"/>
    <cellStyle name="B&amp;Wbold" xfId="10246"/>
    <cellStyle name="_x0001_b_분양(100%)" xfId="38522"/>
    <cellStyle name="BA" xfId="4310"/>
    <cellStyle name="Bad" xfId="50"/>
    <cellStyle name="Bad 2" xfId="641"/>
    <cellStyle name="Bad 2 2" xfId="10247"/>
    <cellStyle name="Bad 2_분양(100%)" xfId="38524"/>
    <cellStyle name="Bad 3" xfId="10248"/>
    <cellStyle name="Bad 4" xfId="10249"/>
    <cellStyle name="Bad_분양(100%)" xfId="38523"/>
    <cellStyle name="Blue" xfId="10250"/>
    <cellStyle name="Body" xfId="10251"/>
    <cellStyle name="Bold/Border" xfId="10252"/>
    <cellStyle name="Bold/Border 10" xfId="10253"/>
    <cellStyle name="Bold/Border 10 10" xfId="10254"/>
    <cellStyle name="Bold/Border 10 11" xfId="10255"/>
    <cellStyle name="Bold/Border 10 12" xfId="10256"/>
    <cellStyle name="Bold/Border 10 13" xfId="10257"/>
    <cellStyle name="Bold/Border 10 14" xfId="10258"/>
    <cellStyle name="Bold/Border 10 15" xfId="10259"/>
    <cellStyle name="Bold/Border 10 16" xfId="10260"/>
    <cellStyle name="Bold/Border 10 17" xfId="10261"/>
    <cellStyle name="Bold/Border 10 18" xfId="10262"/>
    <cellStyle name="Bold/Border 10 19" xfId="10263"/>
    <cellStyle name="Bold/Border 10 2" xfId="10264"/>
    <cellStyle name="Bold/Border 10 20" xfId="10265"/>
    <cellStyle name="Bold/Border 10 21" xfId="10266"/>
    <cellStyle name="Bold/Border 10 22" xfId="10267"/>
    <cellStyle name="Bold/Border 10 23" xfId="10268"/>
    <cellStyle name="Bold/Border 10 24" xfId="10269"/>
    <cellStyle name="Bold/Border 10 25" xfId="10270"/>
    <cellStyle name="Bold/Border 10 26" xfId="10271"/>
    <cellStyle name="Bold/Border 10 27" xfId="10272"/>
    <cellStyle name="Bold/Border 10 28" xfId="10273"/>
    <cellStyle name="Bold/Border 10 29" xfId="10274"/>
    <cellStyle name="Bold/Border 10 3" xfId="10275"/>
    <cellStyle name="Bold/Border 10 30" xfId="10276"/>
    <cellStyle name="Bold/Border 10 31" xfId="10277"/>
    <cellStyle name="Bold/Border 10 32" xfId="10278"/>
    <cellStyle name="Bold/Border 10 33" xfId="10279"/>
    <cellStyle name="Bold/Border 10 34" xfId="10280"/>
    <cellStyle name="Bold/Border 10 35" xfId="10281"/>
    <cellStyle name="Bold/Border 10 36" xfId="10282"/>
    <cellStyle name="Bold/Border 10 37" xfId="10283"/>
    <cellStyle name="Bold/Border 10 38" xfId="10284"/>
    <cellStyle name="Bold/Border 10 39" xfId="10285"/>
    <cellStyle name="Bold/Border 10 4" xfId="10286"/>
    <cellStyle name="Bold/Border 10 40" xfId="10287"/>
    <cellStyle name="Bold/Border 10 41" xfId="10288"/>
    <cellStyle name="Bold/Border 10 42" xfId="10289"/>
    <cellStyle name="Bold/Border 10 43" xfId="10290"/>
    <cellStyle name="Bold/Border 10 44" xfId="10291"/>
    <cellStyle name="Bold/Border 10 45" xfId="10292"/>
    <cellStyle name="Bold/Border 10 46" xfId="10293"/>
    <cellStyle name="Bold/Border 10 47" xfId="10294"/>
    <cellStyle name="Bold/Border 10 48" xfId="10295"/>
    <cellStyle name="Bold/Border 10 49" xfId="10296"/>
    <cellStyle name="Bold/Border 10 5" xfId="10297"/>
    <cellStyle name="Bold/Border 10 50" xfId="10298"/>
    <cellStyle name="Bold/Border 10 51" xfId="10299"/>
    <cellStyle name="Bold/Border 10 52" xfId="10300"/>
    <cellStyle name="Bold/Border 10 53" xfId="10301"/>
    <cellStyle name="Bold/Border 10 6" xfId="10302"/>
    <cellStyle name="Bold/Border 10 7" xfId="10303"/>
    <cellStyle name="Bold/Border 10 8" xfId="10304"/>
    <cellStyle name="Bold/Border 10 9" xfId="10305"/>
    <cellStyle name="Bold/Border 10_분양(100%)" xfId="38526"/>
    <cellStyle name="Bold/Border 11" xfId="10306"/>
    <cellStyle name="Bold/Border 11 10" xfId="10307"/>
    <cellStyle name="Bold/Border 11 11" xfId="10308"/>
    <cellStyle name="Bold/Border 11 12" xfId="10309"/>
    <cellStyle name="Bold/Border 11 13" xfId="10310"/>
    <cellStyle name="Bold/Border 11 14" xfId="10311"/>
    <cellStyle name="Bold/Border 11 15" xfId="10312"/>
    <cellStyle name="Bold/Border 11 16" xfId="10313"/>
    <cellStyle name="Bold/Border 11 17" xfId="10314"/>
    <cellStyle name="Bold/Border 11 18" xfId="10315"/>
    <cellStyle name="Bold/Border 11 19" xfId="10316"/>
    <cellStyle name="Bold/Border 11 2" xfId="10317"/>
    <cellStyle name="Bold/Border 11 20" xfId="10318"/>
    <cellStyle name="Bold/Border 11 21" xfId="10319"/>
    <cellStyle name="Bold/Border 11 22" xfId="10320"/>
    <cellStyle name="Bold/Border 11 23" xfId="10321"/>
    <cellStyle name="Bold/Border 11 24" xfId="10322"/>
    <cellStyle name="Bold/Border 11 25" xfId="10323"/>
    <cellStyle name="Bold/Border 11 26" xfId="10324"/>
    <cellStyle name="Bold/Border 11 27" xfId="10325"/>
    <cellStyle name="Bold/Border 11 28" xfId="10326"/>
    <cellStyle name="Bold/Border 11 29" xfId="10327"/>
    <cellStyle name="Bold/Border 11 3" xfId="10328"/>
    <cellStyle name="Bold/Border 11 30" xfId="10329"/>
    <cellStyle name="Bold/Border 11 31" xfId="10330"/>
    <cellStyle name="Bold/Border 11 32" xfId="10331"/>
    <cellStyle name="Bold/Border 11 33" xfId="10332"/>
    <cellStyle name="Bold/Border 11 34" xfId="10333"/>
    <cellStyle name="Bold/Border 11 35" xfId="10334"/>
    <cellStyle name="Bold/Border 11 36" xfId="10335"/>
    <cellStyle name="Bold/Border 11 37" xfId="10336"/>
    <cellStyle name="Bold/Border 11 38" xfId="10337"/>
    <cellStyle name="Bold/Border 11 39" xfId="10338"/>
    <cellStyle name="Bold/Border 11 4" xfId="10339"/>
    <cellStyle name="Bold/Border 11 40" xfId="10340"/>
    <cellStyle name="Bold/Border 11 41" xfId="10341"/>
    <cellStyle name="Bold/Border 11 42" xfId="10342"/>
    <cellStyle name="Bold/Border 11 43" xfId="10343"/>
    <cellStyle name="Bold/Border 11 44" xfId="10344"/>
    <cellStyle name="Bold/Border 11 45" xfId="10345"/>
    <cellStyle name="Bold/Border 11 46" xfId="10346"/>
    <cellStyle name="Bold/Border 11 47" xfId="10347"/>
    <cellStyle name="Bold/Border 11 48" xfId="10348"/>
    <cellStyle name="Bold/Border 11 49" xfId="10349"/>
    <cellStyle name="Bold/Border 11 5" xfId="10350"/>
    <cellStyle name="Bold/Border 11 50" xfId="10351"/>
    <cellStyle name="Bold/Border 11 51" xfId="10352"/>
    <cellStyle name="Bold/Border 11 52" xfId="10353"/>
    <cellStyle name="Bold/Border 11 53" xfId="10354"/>
    <cellStyle name="Bold/Border 11 6" xfId="10355"/>
    <cellStyle name="Bold/Border 11 7" xfId="10356"/>
    <cellStyle name="Bold/Border 11 8" xfId="10357"/>
    <cellStyle name="Bold/Border 11 9" xfId="10358"/>
    <cellStyle name="Bold/Border 11_분양(100%)" xfId="38527"/>
    <cellStyle name="Bold/Border 12" xfId="10359"/>
    <cellStyle name="Bold/Border 12 10" xfId="10360"/>
    <cellStyle name="Bold/Border 12 11" xfId="10361"/>
    <cellStyle name="Bold/Border 12 12" xfId="10362"/>
    <cellStyle name="Bold/Border 12 13" xfId="10363"/>
    <cellStyle name="Bold/Border 12 14" xfId="10364"/>
    <cellStyle name="Bold/Border 12 15" xfId="10365"/>
    <cellStyle name="Bold/Border 12 16" xfId="10366"/>
    <cellStyle name="Bold/Border 12 17" xfId="10367"/>
    <cellStyle name="Bold/Border 12 18" xfId="10368"/>
    <cellStyle name="Bold/Border 12 19" xfId="10369"/>
    <cellStyle name="Bold/Border 12 2" xfId="10370"/>
    <cellStyle name="Bold/Border 12 20" xfId="10371"/>
    <cellStyle name="Bold/Border 12 21" xfId="10372"/>
    <cellStyle name="Bold/Border 12 22" xfId="10373"/>
    <cellStyle name="Bold/Border 12 23" xfId="10374"/>
    <cellStyle name="Bold/Border 12 24" xfId="10375"/>
    <cellStyle name="Bold/Border 12 25" xfId="10376"/>
    <cellStyle name="Bold/Border 12 26" xfId="10377"/>
    <cellStyle name="Bold/Border 12 27" xfId="10378"/>
    <cellStyle name="Bold/Border 12 28" xfId="10379"/>
    <cellStyle name="Bold/Border 12 29" xfId="10380"/>
    <cellStyle name="Bold/Border 12 3" xfId="10381"/>
    <cellStyle name="Bold/Border 12 30" xfId="10382"/>
    <cellStyle name="Bold/Border 12 31" xfId="10383"/>
    <cellStyle name="Bold/Border 12 32" xfId="10384"/>
    <cellStyle name="Bold/Border 12 33" xfId="10385"/>
    <cellStyle name="Bold/Border 12 34" xfId="10386"/>
    <cellStyle name="Bold/Border 12 35" xfId="10387"/>
    <cellStyle name="Bold/Border 12 36" xfId="10388"/>
    <cellStyle name="Bold/Border 12 37" xfId="10389"/>
    <cellStyle name="Bold/Border 12 38" xfId="10390"/>
    <cellStyle name="Bold/Border 12 39" xfId="10391"/>
    <cellStyle name="Bold/Border 12 4" xfId="10392"/>
    <cellStyle name="Bold/Border 12 40" xfId="10393"/>
    <cellStyle name="Bold/Border 12 41" xfId="10394"/>
    <cellStyle name="Bold/Border 12 42" xfId="10395"/>
    <cellStyle name="Bold/Border 12 43" xfId="10396"/>
    <cellStyle name="Bold/Border 12 44" xfId="10397"/>
    <cellStyle name="Bold/Border 12 45" xfId="10398"/>
    <cellStyle name="Bold/Border 12 46" xfId="10399"/>
    <cellStyle name="Bold/Border 12 47" xfId="10400"/>
    <cellStyle name="Bold/Border 12 48" xfId="10401"/>
    <cellStyle name="Bold/Border 12 49" xfId="10402"/>
    <cellStyle name="Bold/Border 12 5" xfId="10403"/>
    <cellStyle name="Bold/Border 12 50" xfId="10404"/>
    <cellStyle name="Bold/Border 12 51" xfId="10405"/>
    <cellStyle name="Bold/Border 12 52" xfId="10406"/>
    <cellStyle name="Bold/Border 12 53" xfId="10407"/>
    <cellStyle name="Bold/Border 12 6" xfId="10408"/>
    <cellStyle name="Bold/Border 12 7" xfId="10409"/>
    <cellStyle name="Bold/Border 12 8" xfId="10410"/>
    <cellStyle name="Bold/Border 12 9" xfId="10411"/>
    <cellStyle name="Bold/Border 12_분양(100%)" xfId="38528"/>
    <cellStyle name="Bold/Border 13" xfId="10412"/>
    <cellStyle name="Bold/Border 13 10" xfId="10413"/>
    <cellStyle name="Bold/Border 13 11" xfId="10414"/>
    <cellStyle name="Bold/Border 13 12" xfId="10415"/>
    <cellStyle name="Bold/Border 13 13" xfId="10416"/>
    <cellStyle name="Bold/Border 13 14" xfId="10417"/>
    <cellStyle name="Bold/Border 13 15" xfId="10418"/>
    <cellStyle name="Bold/Border 13 16" xfId="10419"/>
    <cellStyle name="Bold/Border 13 17" xfId="10420"/>
    <cellStyle name="Bold/Border 13 18" xfId="10421"/>
    <cellStyle name="Bold/Border 13 19" xfId="10422"/>
    <cellStyle name="Bold/Border 13 2" xfId="10423"/>
    <cellStyle name="Bold/Border 13 20" xfId="10424"/>
    <cellStyle name="Bold/Border 13 21" xfId="10425"/>
    <cellStyle name="Bold/Border 13 22" xfId="10426"/>
    <cellStyle name="Bold/Border 13 23" xfId="10427"/>
    <cellStyle name="Bold/Border 13 24" xfId="10428"/>
    <cellStyle name="Bold/Border 13 25" xfId="10429"/>
    <cellStyle name="Bold/Border 13 26" xfId="10430"/>
    <cellStyle name="Bold/Border 13 27" xfId="10431"/>
    <cellStyle name="Bold/Border 13 28" xfId="10432"/>
    <cellStyle name="Bold/Border 13 29" xfId="10433"/>
    <cellStyle name="Bold/Border 13 3" xfId="10434"/>
    <cellStyle name="Bold/Border 13 30" xfId="10435"/>
    <cellStyle name="Bold/Border 13 31" xfId="10436"/>
    <cellStyle name="Bold/Border 13 32" xfId="10437"/>
    <cellStyle name="Bold/Border 13 33" xfId="10438"/>
    <cellStyle name="Bold/Border 13 34" xfId="10439"/>
    <cellStyle name="Bold/Border 13 35" xfId="10440"/>
    <cellStyle name="Bold/Border 13 36" xfId="10441"/>
    <cellStyle name="Bold/Border 13 37" xfId="10442"/>
    <cellStyle name="Bold/Border 13 38" xfId="10443"/>
    <cellStyle name="Bold/Border 13 39" xfId="10444"/>
    <cellStyle name="Bold/Border 13 4" xfId="10445"/>
    <cellStyle name="Bold/Border 13 40" xfId="10446"/>
    <cellStyle name="Bold/Border 13 41" xfId="10447"/>
    <cellStyle name="Bold/Border 13 42" xfId="10448"/>
    <cellStyle name="Bold/Border 13 43" xfId="10449"/>
    <cellStyle name="Bold/Border 13 44" xfId="10450"/>
    <cellStyle name="Bold/Border 13 45" xfId="10451"/>
    <cellStyle name="Bold/Border 13 46" xfId="10452"/>
    <cellStyle name="Bold/Border 13 47" xfId="10453"/>
    <cellStyle name="Bold/Border 13 48" xfId="10454"/>
    <cellStyle name="Bold/Border 13 49" xfId="10455"/>
    <cellStyle name="Bold/Border 13 5" xfId="10456"/>
    <cellStyle name="Bold/Border 13 50" xfId="10457"/>
    <cellStyle name="Bold/Border 13 51" xfId="10458"/>
    <cellStyle name="Bold/Border 13 52" xfId="10459"/>
    <cellStyle name="Bold/Border 13 53" xfId="10460"/>
    <cellStyle name="Bold/Border 13 6" xfId="10461"/>
    <cellStyle name="Bold/Border 13 7" xfId="10462"/>
    <cellStyle name="Bold/Border 13 8" xfId="10463"/>
    <cellStyle name="Bold/Border 13 9" xfId="10464"/>
    <cellStyle name="Bold/Border 13_분양(100%)" xfId="38529"/>
    <cellStyle name="Bold/Border 14" xfId="10465"/>
    <cellStyle name="Bold/Border 14 10" xfId="10466"/>
    <cellStyle name="Bold/Border 14 11" xfId="10467"/>
    <cellStyle name="Bold/Border 14 12" xfId="10468"/>
    <cellStyle name="Bold/Border 14 13" xfId="10469"/>
    <cellStyle name="Bold/Border 14 14" xfId="10470"/>
    <cellStyle name="Bold/Border 14 15" xfId="10471"/>
    <cellStyle name="Bold/Border 14 16" xfId="10472"/>
    <cellStyle name="Bold/Border 14 17" xfId="10473"/>
    <cellStyle name="Bold/Border 14 18" xfId="10474"/>
    <cellStyle name="Bold/Border 14 19" xfId="10475"/>
    <cellStyle name="Bold/Border 14 2" xfId="10476"/>
    <cellStyle name="Bold/Border 14 20" xfId="10477"/>
    <cellStyle name="Bold/Border 14 21" xfId="10478"/>
    <cellStyle name="Bold/Border 14 22" xfId="10479"/>
    <cellStyle name="Bold/Border 14 23" xfId="10480"/>
    <cellStyle name="Bold/Border 14 24" xfId="10481"/>
    <cellStyle name="Bold/Border 14 25" xfId="10482"/>
    <cellStyle name="Bold/Border 14 26" xfId="10483"/>
    <cellStyle name="Bold/Border 14 27" xfId="10484"/>
    <cellStyle name="Bold/Border 14 28" xfId="10485"/>
    <cellStyle name="Bold/Border 14 29" xfId="10486"/>
    <cellStyle name="Bold/Border 14 3" xfId="10487"/>
    <cellStyle name="Bold/Border 14 30" xfId="10488"/>
    <cellStyle name="Bold/Border 14 31" xfId="10489"/>
    <cellStyle name="Bold/Border 14 32" xfId="10490"/>
    <cellStyle name="Bold/Border 14 33" xfId="10491"/>
    <cellStyle name="Bold/Border 14 34" xfId="10492"/>
    <cellStyle name="Bold/Border 14 35" xfId="10493"/>
    <cellStyle name="Bold/Border 14 36" xfId="10494"/>
    <cellStyle name="Bold/Border 14 37" xfId="10495"/>
    <cellStyle name="Bold/Border 14 38" xfId="10496"/>
    <cellStyle name="Bold/Border 14 39" xfId="10497"/>
    <cellStyle name="Bold/Border 14 4" xfId="10498"/>
    <cellStyle name="Bold/Border 14 40" xfId="10499"/>
    <cellStyle name="Bold/Border 14 41" xfId="10500"/>
    <cellStyle name="Bold/Border 14 42" xfId="10501"/>
    <cellStyle name="Bold/Border 14 43" xfId="10502"/>
    <cellStyle name="Bold/Border 14 5" xfId="10503"/>
    <cellStyle name="Bold/Border 14 6" xfId="10504"/>
    <cellStyle name="Bold/Border 14 7" xfId="10505"/>
    <cellStyle name="Bold/Border 14 8" xfId="10506"/>
    <cellStyle name="Bold/Border 14 9" xfId="10507"/>
    <cellStyle name="Bold/Border 14_분양(100%)" xfId="38530"/>
    <cellStyle name="Bold/Border 15" xfId="10508"/>
    <cellStyle name="Bold/Border 16" xfId="10509"/>
    <cellStyle name="Bold/Border 17" xfId="10510"/>
    <cellStyle name="Bold/Border 18" xfId="10511"/>
    <cellStyle name="Bold/Border 19" xfId="10512"/>
    <cellStyle name="Bold/Border 2" xfId="10513"/>
    <cellStyle name="Bold/Border 2 10" xfId="10514"/>
    <cellStyle name="Bold/Border 2 11" xfId="10515"/>
    <cellStyle name="Bold/Border 2 12" xfId="10516"/>
    <cellStyle name="Bold/Border 2 13" xfId="10517"/>
    <cellStyle name="Bold/Border 2 14" xfId="10518"/>
    <cellStyle name="Bold/Border 2 15" xfId="10519"/>
    <cellStyle name="Bold/Border 2 16" xfId="10520"/>
    <cellStyle name="Bold/Border 2 17" xfId="10521"/>
    <cellStyle name="Bold/Border 2 18" xfId="10522"/>
    <cellStyle name="Bold/Border 2 19" xfId="10523"/>
    <cellStyle name="Bold/Border 2 2" xfId="10524"/>
    <cellStyle name="Bold/Border 2 20" xfId="10525"/>
    <cellStyle name="Bold/Border 2 21" xfId="10526"/>
    <cellStyle name="Bold/Border 2 22" xfId="10527"/>
    <cellStyle name="Bold/Border 2 23" xfId="10528"/>
    <cellStyle name="Bold/Border 2 24" xfId="10529"/>
    <cellStyle name="Bold/Border 2 25" xfId="10530"/>
    <cellStyle name="Bold/Border 2 26" xfId="10531"/>
    <cellStyle name="Bold/Border 2 27" xfId="10532"/>
    <cellStyle name="Bold/Border 2 28" xfId="10533"/>
    <cellStyle name="Bold/Border 2 29" xfId="10534"/>
    <cellStyle name="Bold/Border 2 3" xfId="10535"/>
    <cellStyle name="Bold/Border 2 30" xfId="10536"/>
    <cellStyle name="Bold/Border 2 31" xfId="10537"/>
    <cellStyle name="Bold/Border 2 32" xfId="10538"/>
    <cellStyle name="Bold/Border 2 33" xfId="10539"/>
    <cellStyle name="Bold/Border 2 34" xfId="10540"/>
    <cellStyle name="Bold/Border 2 35" xfId="10541"/>
    <cellStyle name="Bold/Border 2 36" xfId="10542"/>
    <cellStyle name="Bold/Border 2 37" xfId="10543"/>
    <cellStyle name="Bold/Border 2 38" xfId="10544"/>
    <cellStyle name="Bold/Border 2 39" xfId="10545"/>
    <cellStyle name="Bold/Border 2 4" xfId="10546"/>
    <cellStyle name="Bold/Border 2 40" xfId="10547"/>
    <cellStyle name="Bold/Border 2 41" xfId="10548"/>
    <cellStyle name="Bold/Border 2 42" xfId="10549"/>
    <cellStyle name="Bold/Border 2 43" xfId="10550"/>
    <cellStyle name="Bold/Border 2 5" xfId="10551"/>
    <cellStyle name="Bold/Border 2 6" xfId="10552"/>
    <cellStyle name="Bold/Border 2 7" xfId="10553"/>
    <cellStyle name="Bold/Border 2 8" xfId="10554"/>
    <cellStyle name="Bold/Border 2 9" xfId="10555"/>
    <cellStyle name="Bold/Border 2_분양(100%)" xfId="38531"/>
    <cellStyle name="Bold/Border 20" xfId="10556"/>
    <cellStyle name="Bold/Border 21" xfId="10557"/>
    <cellStyle name="Bold/Border 22" xfId="10558"/>
    <cellStyle name="Bold/Border 23" xfId="10559"/>
    <cellStyle name="Bold/Border 24" xfId="10560"/>
    <cellStyle name="Bold/Border 25" xfId="10561"/>
    <cellStyle name="Bold/Border 26" xfId="10562"/>
    <cellStyle name="Bold/Border 27" xfId="10563"/>
    <cellStyle name="Bold/Border 28" xfId="10564"/>
    <cellStyle name="Bold/Border 29" xfId="10565"/>
    <cellStyle name="Bold/Border 3" xfId="10566"/>
    <cellStyle name="Bold/Border 3 10" xfId="10567"/>
    <cellStyle name="Bold/Border 3 11" xfId="10568"/>
    <cellStyle name="Bold/Border 3 12" xfId="10569"/>
    <cellStyle name="Bold/Border 3 13" xfId="10570"/>
    <cellStyle name="Bold/Border 3 14" xfId="10571"/>
    <cellStyle name="Bold/Border 3 15" xfId="10572"/>
    <cellStyle name="Bold/Border 3 16" xfId="10573"/>
    <cellStyle name="Bold/Border 3 17" xfId="10574"/>
    <cellStyle name="Bold/Border 3 18" xfId="10575"/>
    <cellStyle name="Bold/Border 3 19" xfId="10576"/>
    <cellStyle name="Bold/Border 3 2" xfId="10577"/>
    <cellStyle name="Bold/Border 3 20" xfId="10578"/>
    <cellStyle name="Bold/Border 3 21" xfId="10579"/>
    <cellStyle name="Bold/Border 3 22" xfId="10580"/>
    <cellStyle name="Bold/Border 3 23" xfId="10581"/>
    <cellStyle name="Bold/Border 3 24" xfId="10582"/>
    <cellStyle name="Bold/Border 3 25" xfId="10583"/>
    <cellStyle name="Bold/Border 3 26" xfId="10584"/>
    <cellStyle name="Bold/Border 3 27" xfId="10585"/>
    <cellStyle name="Bold/Border 3 28" xfId="10586"/>
    <cellStyle name="Bold/Border 3 29" xfId="10587"/>
    <cellStyle name="Bold/Border 3 3" xfId="10588"/>
    <cellStyle name="Bold/Border 3 30" xfId="10589"/>
    <cellStyle name="Bold/Border 3 31" xfId="10590"/>
    <cellStyle name="Bold/Border 3 32" xfId="10591"/>
    <cellStyle name="Bold/Border 3 33" xfId="10592"/>
    <cellStyle name="Bold/Border 3 34" xfId="10593"/>
    <cellStyle name="Bold/Border 3 35" xfId="10594"/>
    <cellStyle name="Bold/Border 3 36" xfId="10595"/>
    <cellStyle name="Bold/Border 3 37" xfId="10596"/>
    <cellStyle name="Bold/Border 3 38" xfId="10597"/>
    <cellStyle name="Bold/Border 3 39" xfId="10598"/>
    <cellStyle name="Bold/Border 3 4" xfId="10599"/>
    <cellStyle name="Bold/Border 3 40" xfId="10600"/>
    <cellStyle name="Bold/Border 3 41" xfId="10601"/>
    <cellStyle name="Bold/Border 3 42" xfId="10602"/>
    <cellStyle name="Bold/Border 3 43" xfId="10603"/>
    <cellStyle name="Bold/Border 3 5" xfId="10604"/>
    <cellStyle name="Bold/Border 3 6" xfId="10605"/>
    <cellStyle name="Bold/Border 3 7" xfId="10606"/>
    <cellStyle name="Bold/Border 3 8" xfId="10607"/>
    <cellStyle name="Bold/Border 3 9" xfId="10608"/>
    <cellStyle name="Bold/Border 3_분양(100%)" xfId="38532"/>
    <cellStyle name="Bold/Border 30" xfId="10609"/>
    <cellStyle name="Bold/Border 31" xfId="10610"/>
    <cellStyle name="Bold/Border 32" xfId="10611"/>
    <cellStyle name="Bold/Border 33" xfId="10612"/>
    <cellStyle name="Bold/Border 34" xfId="10613"/>
    <cellStyle name="Bold/Border 35" xfId="10614"/>
    <cellStyle name="Bold/Border 36" xfId="10615"/>
    <cellStyle name="Bold/Border 37" xfId="10616"/>
    <cellStyle name="Bold/Border 38" xfId="10617"/>
    <cellStyle name="Bold/Border 4" xfId="10618"/>
    <cellStyle name="Bold/Border 4 10" xfId="10619"/>
    <cellStyle name="Bold/Border 4 11" xfId="10620"/>
    <cellStyle name="Bold/Border 4 12" xfId="10621"/>
    <cellStyle name="Bold/Border 4 13" xfId="10622"/>
    <cellStyle name="Bold/Border 4 14" xfId="10623"/>
    <cellStyle name="Bold/Border 4 15" xfId="10624"/>
    <cellStyle name="Bold/Border 4 16" xfId="10625"/>
    <cellStyle name="Bold/Border 4 17" xfId="10626"/>
    <cellStyle name="Bold/Border 4 18" xfId="10627"/>
    <cellStyle name="Bold/Border 4 19" xfId="10628"/>
    <cellStyle name="Bold/Border 4 2" xfId="10629"/>
    <cellStyle name="Bold/Border 4 20" xfId="10630"/>
    <cellStyle name="Bold/Border 4 21" xfId="10631"/>
    <cellStyle name="Bold/Border 4 22" xfId="10632"/>
    <cellStyle name="Bold/Border 4 23" xfId="10633"/>
    <cellStyle name="Bold/Border 4 24" xfId="10634"/>
    <cellStyle name="Bold/Border 4 25" xfId="10635"/>
    <cellStyle name="Bold/Border 4 26" xfId="10636"/>
    <cellStyle name="Bold/Border 4 27" xfId="10637"/>
    <cellStyle name="Bold/Border 4 28" xfId="10638"/>
    <cellStyle name="Bold/Border 4 29" xfId="10639"/>
    <cellStyle name="Bold/Border 4 3" xfId="10640"/>
    <cellStyle name="Bold/Border 4 30" xfId="10641"/>
    <cellStyle name="Bold/Border 4 31" xfId="10642"/>
    <cellStyle name="Bold/Border 4 32" xfId="10643"/>
    <cellStyle name="Bold/Border 4 33" xfId="10644"/>
    <cellStyle name="Bold/Border 4 34" xfId="10645"/>
    <cellStyle name="Bold/Border 4 35" xfId="10646"/>
    <cellStyle name="Bold/Border 4 36" xfId="10647"/>
    <cellStyle name="Bold/Border 4 37" xfId="10648"/>
    <cellStyle name="Bold/Border 4 38" xfId="10649"/>
    <cellStyle name="Bold/Border 4 39" xfId="10650"/>
    <cellStyle name="Bold/Border 4 4" xfId="10651"/>
    <cellStyle name="Bold/Border 4 40" xfId="10652"/>
    <cellStyle name="Bold/Border 4 41" xfId="10653"/>
    <cellStyle name="Bold/Border 4 42" xfId="10654"/>
    <cellStyle name="Bold/Border 4 43" xfId="10655"/>
    <cellStyle name="Bold/Border 4 5" xfId="10656"/>
    <cellStyle name="Bold/Border 4 6" xfId="10657"/>
    <cellStyle name="Bold/Border 4 7" xfId="10658"/>
    <cellStyle name="Bold/Border 4 8" xfId="10659"/>
    <cellStyle name="Bold/Border 4 9" xfId="10660"/>
    <cellStyle name="Bold/Border 4_분양(100%)" xfId="38533"/>
    <cellStyle name="Bold/Border 5" xfId="10661"/>
    <cellStyle name="Bold/Border 5 10" xfId="10662"/>
    <cellStyle name="Bold/Border 5 11" xfId="10663"/>
    <cellStyle name="Bold/Border 5 12" xfId="10664"/>
    <cellStyle name="Bold/Border 5 13" xfId="10665"/>
    <cellStyle name="Bold/Border 5 14" xfId="10666"/>
    <cellStyle name="Bold/Border 5 15" xfId="10667"/>
    <cellStyle name="Bold/Border 5 16" xfId="10668"/>
    <cellStyle name="Bold/Border 5 17" xfId="10669"/>
    <cellStyle name="Bold/Border 5 18" xfId="10670"/>
    <cellStyle name="Bold/Border 5 19" xfId="10671"/>
    <cellStyle name="Bold/Border 5 2" xfId="10672"/>
    <cellStyle name="Bold/Border 5 20" xfId="10673"/>
    <cellStyle name="Bold/Border 5 21" xfId="10674"/>
    <cellStyle name="Bold/Border 5 22" xfId="10675"/>
    <cellStyle name="Bold/Border 5 23" xfId="10676"/>
    <cellStyle name="Bold/Border 5 24" xfId="10677"/>
    <cellStyle name="Bold/Border 5 25" xfId="10678"/>
    <cellStyle name="Bold/Border 5 26" xfId="10679"/>
    <cellStyle name="Bold/Border 5 27" xfId="10680"/>
    <cellStyle name="Bold/Border 5 28" xfId="10681"/>
    <cellStyle name="Bold/Border 5 29" xfId="10682"/>
    <cellStyle name="Bold/Border 5 3" xfId="10683"/>
    <cellStyle name="Bold/Border 5 30" xfId="10684"/>
    <cellStyle name="Bold/Border 5 31" xfId="10685"/>
    <cellStyle name="Bold/Border 5 32" xfId="10686"/>
    <cellStyle name="Bold/Border 5 33" xfId="10687"/>
    <cellStyle name="Bold/Border 5 34" xfId="10688"/>
    <cellStyle name="Bold/Border 5 35" xfId="10689"/>
    <cellStyle name="Bold/Border 5 36" xfId="10690"/>
    <cellStyle name="Bold/Border 5 37" xfId="10691"/>
    <cellStyle name="Bold/Border 5 38" xfId="10692"/>
    <cellStyle name="Bold/Border 5 39" xfId="10693"/>
    <cellStyle name="Bold/Border 5 4" xfId="10694"/>
    <cellStyle name="Bold/Border 5 40" xfId="10695"/>
    <cellStyle name="Bold/Border 5 41" xfId="10696"/>
    <cellStyle name="Bold/Border 5 42" xfId="10697"/>
    <cellStyle name="Bold/Border 5 43" xfId="10698"/>
    <cellStyle name="Bold/Border 5 5" xfId="10699"/>
    <cellStyle name="Bold/Border 5 6" xfId="10700"/>
    <cellStyle name="Bold/Border 5 7" xfId="10701"/>
    <cellStyle name="Bold/Border 5 8" xfId="10702"/>
    <cellStyle name="Bold/Border 5 9" xfId="10703"/>
    <cellStyle name="Bold/Border 5_분양(100%)" xfId="38534"/>
    <cellStyle name="Bold/Border 6" xfId="10704"/>
    <cellStyle name="Bold/Border 6 10" xfId="10705"/>
    <cellStyle name="Bold/Border 6 11" xfId="10706"/>
    <cellStyle name="Bold/Border 6 12" xfId="10707"/>
    <cellStyle name="Bold/Border 6 13" xfId="10708"/>
    <cellStyle name="Bold/Border 6 14" xfId="10709"/>
    <cellStyle name="Bold/Border 6 15" xfId="10710"/>
    <cellStyle name="Bold/Border 6 16" xfId="10711"/>
    <cellStyle name="Bold/Border 6 17" xfId="10712"/>
    <cellStyle name="Bold/Border 6 18" xfId="10713"/>
    <cellStyle name="Bold/Border 6 19" xfId="10714"/>
    <cellStyle name="Bold/Border 6 2" xfId="10715"/>
    <cellStyle name="Bold/Border 6 20" xfId="10716"/>
    <cellStyle name="Bold/Border 6 21" xfId="10717"/>
    <cellStyle name="Bold/Border 6 22" xfId="10718"/>
    <cellStyle name="Bold/Border 6 23" xfId="10719"/>
    <cellStyle name="Bold/Border 6 24" xfId="10720"/>
    <cellStyle name="Bold/Border 6 25" xfId="10721"/>
    <cellStyle name="Bold/Border 6 26" xfId="10722"/>
    <cellStyle name="Bold/Border 6 27" xfId="10723"/>
    <cellStyle name="Bold/Border 6 28" xfId="10724"/>
    <cellStyle name="Bold/Border 6 29" xfId="10725"/>
    <cellStyle name="Bold/Border 6 3" xfId="10726"/>
    <cellStyle name="Bold/Border 6 30" xfId="10727"/>
    <cellStyle name="Bold/Border 6 31" xfId="10728"/>
    <cellStyle name="Bold/Border 6 32" xfId="10729"/>
    <cellStyle name="Bold/Border 6 33" xfId="10730"/>
    <cellStyle name="Bold/Border 6 34" xfId="10731"/>
    <cellStyle name="Bold/Border 6 35" xfId="10732"/>
    <cellStyle name="Bold/Border 6 36" xfId="10733"/>
    <cellStyle name="Bold/Border 6 37" xfId="10734"/>
    <cellStyle name="Bold/Border 6 38" xfId="10735"/>
    <cellStyle name="Bold/Border 6 39" xfId="10736"/>
    <cellStyle name="Bold/Border 6 4" xfId="10737"/>
    <cellStyle name="Bold/Border 6 40" xfId="10738"/>
    <cellStyle name="Bold/Border 6 41" xfId="10739"/>
    <cellStyle name="Bold/Border 6 42" xfId="10740"/>
    <cellStyle name="Bold/Border 6 43" xfId="10741"/>
    <cellStyle name="Bold/Border 6 44" xfId="10742"/>
    <cellStyle name="Bold/Border 6 45" xfId="10743"/>
    <cellStyle name="Bold/Border 6 46" xfId="10744"/>
    <cellStyle name="Bold/Border 6 47" xfId="10745"/>
    <cellStyle name="Bold/Border 6 48" xfId="10746"/>
    <cellStyle name="Bold/Border 6 49" xfId="10747"/>
    <cellStyle name="Bold/Border 6 5" xfId="10748"/>
    <cellStyle name="Bold/Border 6 50" xfId="10749"/>
    <cellStyle name="Bold/Border 6 51" xfId="10750"/>
    <cellStyle name="Bold/Border 6 52" xfId="10751"/>
    <cellStyle name="Bold/Border 6 53" xfId="10752"/>
    <cellStyle name="Bold/Border 6 6" xfId="10753"/>
    <cellStyle name="Bold/Border 6 7" xfId="10754"/>
    <cellStyle name="Bold/Border 6 8" xfId="10755"/>
    <cellStyle name="Bold/Border 6 9" xfId="10756"/>
    <cellStyle name="Bold/Border 6_분양(100%)" xfId="38535"/>
    <cellStyle name="Bold/Border 7" xfId="10757"/>
    <cellStyle name="Bold/Border 7 10" xfId="10758"/>
    <cellStyle name="Bold/Border 7 11" xfId="10759"/>
    <cellStyle name="Bold/Border 7 12" xfId="10760"/>
    <cellStyle name="Bold/Border 7 13" xfId="10761"/>
    <cellStyle name="Bold/Border 7 14" xfId="10762"/>
    <cellStyle name="Bold/Border 7 15" xfId="10763"/>
    <cellStyle name="Bold/Border 7 16" xfId="10764"/>
    <cellStyle name="Bold/Border 7 17" xfId="10765"/>
    <cellStyle name="Bold/Border 7 18" xfId="10766"/>
    <cellStyle name="Bold/Border 7 19" xfId="10767"/>
    <cellStyle name="Bold/Border 7 2" xfId="10768"/>
    <cellStyle name="Bold/Border 7 20" xfId="10769"/>
    <cellStyle name="Bold/Border 7 21" xfId="10770"/>
    <cellStyle name="Bold/Border 7 22" xfId="10771"/>
    <cellStyle name="Bold/Border 7 23" xfId="10772"/>
    <cellStyle name="Bold/Border 7 24" xfId="10773"/>
    <cellStyle name="Bold/Border 7 25" xfId="10774"/>
    <cellStyle name="Bold/Border 7 26" xfId="10775"/>
    <cellStyle name="Bold/Border 7 27" xfId="10776"/>
    <cellStyle name="Bold/Border 7 28" xfId="10777"/>
    <cellStyle name="Bold/Border 7 29" xfId="10778"/>
    <cellStyle name="Bold/Border 7 3" xfId="10779"/>
    <cellStyle name="Bold/Border 7 30" xfId="10780"/>
    <cellStyle name="Bold/Border 7 31" xfId="10781"/>
    <cellStyle name="Bold/Border 7 32" xfId="10782"/>
    <cellStyle name="Bold/Border 7 33" xfId="10783"/>
    <cellStyle name="Bold/Border 7 34" xfId="10784"/>
    <cellStyle name="Bold/Border 7 35" xfId="10785"/>
    <cellStyle name="Bold/Border 7 36" xfId="10786"/>
    <cellStyle name="Bold/Border 7 37" xfId="10787"/>
    <cellStyle name="Bold/Border 7 38" xfId="10788"/>
    <cellStyle name="Bold/Border 7 39" xfId="10789"/>
    <cellStyle name="Bold/Border 7 4" xfId="10790"/>
    <cellStyle name="Bold/Border 7 40" xfId="10791"/>
    <cellStyle name="Bold/Border 7 41" xfId="10792"/>
    <cellStyle name="Bold/Border 7 42" xfId="10793"/>
    <cellStyle name="Bold/Border 7 43" xfId="10794"/>
    <cellStyle name="Bold/Border 7 44" xfId="10795"/>
    <cellStyle name="Bold/Border 7 45" xfId="10796"/>
    <cellStyle name="Bold/Border 7 46" xfId="10797"/>
    <cellStyle name="Bold/Border 7 47" xfId="10798"/>
    <cellStyle name="Bold/Border 7 48" xfId="10799"/>
    <cellStyle name="Bold/Border 7 49" xfId="10800"/>
    <cellStyle name="Bold/Border 7 5" xfId="10801"/>
    <cellStyle name="Bold/Border 7 50" xfId="10802"/>
    <cellStyle name="Bold/Border 7 51" xfId="10803"/>
    <cellStyle name="Bold/Border 7 52" xfId="10804"/>
    <cellStyle name="Bold/Border 7 53" xfId="10805"/>
    <cellStyle name="Bold/Border 7 6" xfId="10806"/>
    <cellStyle name="Bold/Border 7 7" xfId="10807"/>
    <cellStyle name="Bold/Border 7 8" xfId="10808"/>
    <cellStyle name="Bold/Border 7 9" xfId="10809"/>
    <cellStyle name="Bold/Border 7_분양(100%)" xfId="38536"/>
    <cellStyle name="Bold/Border 8" xfId="10810"/>
    <cellStyle name="Bold/Border 8 10" xfId="10811"/>
    <cellStyle name="Bold/Border 8 11" xfId="10812"/>
    <cellStyle name="Bold/Border 8 12" xfId="10813"/>
    <cellStyle name="Bold/Border 8 13" xfId="10814"/>
    <cellStyle name="Bold/Border 8 14" xfId="10815"/>
    <cellStyle name="Bold/Border 8 15" xfId="10816"/>
    <cellStyle name="Bold/Border 8 16" xfId="10817"/>
    <cellStyle name="Bold/Border 8 17" xfId="10818"/>
    <cellStyle name="Bold/Border 8 18" xfId="10819"/>
    <cellStyle name="Bold/Border 8 19" xfId="10820"/>
    <cellStyle name="Bold/Border 8 2" xfId="10821"/>
    <cellStyle name="Bold/Border 8 20" xfId="10822"/>
    <cellStyle name="Bold/Border 8 21" xfId="10823"/>
    <cellStyle name="Bold/Border 8 22" xfId="10824"/>
    <cellStyle name="Bold/Border 8 23" xfId="10825"/>
    <cellStyle name="Bold/Border 8 24" xfId="10826"/>
    <cellStyle name="Bold/Border 8 25" xfId="10827"/>
    <cellStyle name="Bold/Border 8 26" xfId="10828"/>
    <cellStyle name="Bold/Border 8 27" xfId="10829"/>
    <cellStyle name="Bold/Border 8 28" xfId="10830"/>
    <cellStyle name="Bold/Border 8 29" xfId="10831"/>
    <cellStyle name="Bold/Border 8 3" xfId="10832"/>
    <cellStyle name="Bold/Border 8 30" xfId="10833"/>
    <cellStyle name="Bold/Border 8 31" xfId="10834"/>
    <cellStyle name="Bold/Border 8 32" xfId="10835"/>
    <cellStyle name="Bold/Border 8 33" xfId="10836"/>
    <cellStyle name="Bold/Border 8 34" xfId="10837"/>
    <cellStyle name="Bold/Border 8 35" xfId="10838"/>
    <cellStyle name="Bold/Border 8 36" xfId="10839"/>
    <cellStyle name="Bold/Border 8 37" xfId="10840"/>
    <cellStyle name="Bold/Border 8 38" xfId="10841"/>
    <cellStyle name="Bold/Border 8 39" xfId="10842"/>
    <cellStyle name="Bold/Border 8 4" xfId="10843"/>
    <cellStyle name="Bold/Border 8 40" xfId="10844"/>
    <cellStyle name="Bold/Border 8 41" xfId="10845"/>
    <cellStyle name="Bold/Border 8 42" xfId="10846"/>
    <cellStyle name="Bold/Border 8 43" xfId="10847"/>
    <cellStyle name="Bold/Border 8 44" xfId="10848"/>
    <cellStyle name="Bold/Border 8 45" xfId="10849"/>
    <cellStyle name="Bold/Border 8 46" xfId="10850"/>
    <cellStyle name="Bold/Border 8 47" xfId="10851"/>
    <cellStyle name="Bold/Border 8 48" xfId="10852"/>
    <cellStyle name="Bold/Border 8 49" xfId="10853"/>
    <cellStyle name="Bold/Border 8 5" xfId="10854"/>
    <cellStyle name="Bold/Border 8 50" xfId="10855"/>
    <cellStyle name="Bold/Border 8 51" xfId="10856"/>
    <cellStyle name="Bold/Border 8 52" xfId="10857"/>
    <cellStyle name="Bold/Border 8 53" xfId="10858"/>
    <cellStyle name="Bold/Border 8 6" xfId="10859"/>
    <cellStyle name="Bold/Border 8 7" xfId="10860"/>
    <cellStyle name="Bold/Border 8 8" xfId="10861"/>
    <cellStyle name="Bold/Border 8 9" xfId="10862"/>
    <cellStyle name="Bold/Border 8_분양(100%)" xfId="38537"/>
    <cellStyle name="Bold/Border 9" xfId="10863"/>
    <cellStyle name="Bold/Border 9 10" xfId="10864"/>
    <cellStyle name="Bold/Border 9 11" xfId="10865"/>
    <cellStyle name="Bold/Border 9 12" xfId="10866"/>
    <cellStyle name="Bold/Border 9 13" xfId="10867"/>
    <cellStyle name="Bold/Border 9 14" xfId="10868"/>
    <cellStyle name="Bold/Border 9 15" xfId="10869"/>
    <cellStyle name="Bold/Border 9 16" xfId="10870"/>
    <cellStyle name="Bold/Border 9 17" xfId="10871"/>
    <cellStyle name="Bold/Border 9 18" xfId="10872"/>
    <cellStyle name="Bold/Border 9 19" xfId="10873"/>
    <cellStyle name="Bold/Border 9 2" xfId="10874"/>
    <cellStyle name="Bold/Border 9 20" xfId="10875"/>
    <cellStyle name="Bold/Border 9 21" xfId="10876"/>
    <cellStyle name="Bold/Border 9 22" xfId="10877"/>
    <cellStyle name="Bold/Border 9 23" xfId="10878"/>
    <cellStyle name="Bold/Border 9 24" xfId="10879"/>
    <cellStyle name="Bold/Border 9 25" xfId="10880"/>
    <cellStyle name="Bold/Border 9 26" xfId="10881"/>
    <cellStyle name="Bold/Border 9 27" xfId="10882"/>
    <cellStyle name="Bold/Border 9 28" xfId="10883"/>
    <cellStyle name="Bold/Border 9 29" xfId="10884"/>
    <cellStyle name="Bold/Border 9 3" xfId="10885"/>
    <cellStyle name="Bold/Border 9 30" xfId="10886"/>
    <cellStyle name="Bold/Border 9 31" xfId="10887"/>
    <cellStyle name="Bold/Border 9 32" xfId="10888"/>
    <cellStyle name="Bold/Border 9 33" xfId="10889"/>
    <cellStyle name="Bold/Border 9 34" xfId="10890"/>
    <cellStyle name="Bold/Border 9 35" xfId="10891"/>
    <cellStyle name="Bold/Border 9 36" xfId="10892"/>
    <cellStyle name="Bold/Border 9 37" xfId="10893"/>
    <cellStyle name="Bold/Border 9 38" xfId="10894"/>
    <cellStyle name="Bold/Border 9 39" xfId="10895"/>
    <cellStyle name="Bold/Border 9 4" xfId="10896"/>
    <cellStyle name="Bold/Border 9 40" xfId="10897"/>
    <cellStyle name="Bold/Border 9 41" xfId="10898"/>
    <cellStyle name="Bold/Border 9 42" xfId="10899"/>
    <cellStyle name="Bold/Border 9 43" xfId="10900"/>
    <cellStyle name="Bold/Border 9 44" xfId="10901"/>
    <cellStyle name="Bold/Border 9 45" xfId="10902"/>
    <cellStyle name="Bold/Border 9 46" xfId="10903"/>
    <cellStyle name="Bold/Border 9 47" xfId="10904"/>
    <cellStyle name="Bold/Border 9 48" xfId="10905"/>
    <cellStyle name="Bold/Border 9 49" xfId="10906"/>
    <cellStyle name="Bold/Border 9 5" xfId="10907"/>
    <cellStyle name="Bold/Border 9 50" xfId="10908"/>
    <cellStyle name="Bold/Border 9 51" xfId="10909"/>
    <cellStyle name="Bold/Border 9 52" xfId="10910"/>
    <cellStyle name="Bold/Border 9 53" xfId="10911"/>
    <cellStyle name="Bold/Border 9 6" xfId="10912"/>
    <cellStyle name="Bold/Border 9 7" xfId="10913"/>
    <cellStyle name="Bold/Border 9 8" xfId="10914"/>
    <cellStyle name="Bold/Border 9 9" xfId="10915"/>
    <cellStyle name="Bold/Border 9_분양(100%)" xfId="38538"/>
    <cellStyle name="Bold/Border_분양(100%)" xfId="38525"/>
    <cellStyle name="Border Heavy" xfId="10916"/>
    <cellStyle name="Border Thin" xfId="10917"/>
    <cellStyle name="Border Thin 10" xfId="10918"/>
    <cellStyle name="Border Thin 10 10" xfId="10919"/>
    <cellStyle name="Border Thin 10 11" xfId="10920"/>
    <cellStyle name="Border Thin 10 12" xfId="10921"/>
    <cellStyle name="Border Thin 10 13" xfId="10922"/>
    <cellStyle name="Border Thin 10 14" xfId="10923"/>
    <cellStyle name="Border Thin 10 15" xfId="10924"/>
    <cellStyle name="Border Thin 10 16" xfId="10925"/>
    <cellStyle name="Border Thin 10 17" xfId="10926"/>
    <cellStyle name="Border Thin 10 18" xfId="10927"/>
    <cellStyle name="Border Thin 10 19" xfId="10928"/>
    <cellStyle name="Border Thin 10 2" xfId="10929"/>
    <cellStyle name="Border Thin 10 20" xfId="10930"/>
    <cellStyle name="Border Thin 10 21" xfId="10931"/>
    <cellStyle name="Border Thin 10 22" xfId="10932"/>
    <cellStyle name="Border Thin 10 23" xfId="10933"/>
    <cellStyle name="Border Thin 10 24" xfId="10934"/>
    <cellStyle name="Border Thin 10 25" xfId="10935"/>
    <cellStyle name="Border Thin 10 26" xfId="10936"/>
    <cellStyle name="Border Thin 10 27" xfId="10937"/>
    <cellStyle name="Border Thin 10 28" xfId="10938"/>
    <cellStyle name="Border Thin 10 29" xfId="10939"/>
    <cellStyle name="Border Thin 10 3" xfId="10940"/>
    <cellStyle name="Border Thin 10 30" xfId="10941"/>
    <cellStyle name="Border Thin 10 31" xfId="10942"/>
    <cellStyle name="Border Thin 10 32" xfId="10943"/>
    <cellStyle name="Border Thin 10 33" xfId="10944"/>
    <cellStyle name="Border Thin 10 34" xfId="10945"/>
    <cellStyle name="Border Thin 10 35" xfId="10946"/>
    <cellStyle name="Border Thin 10 36" xfId="10947"/>
    <cellStyle name="Border Thin 10 37" xfId="10948"/>
    <cellStyle name="Border Thin 10 38" xfId="10949"/>
    <cellStyle name="Border Thin 10 39" xfId="10950"/>
    <cellStyle name="Border Thin 10 4" xfId="10951"/>
    <cellStyle name="Border Thin 10 40" xfId="10952"/>
    <cellStyle name="Border Thin 10 41" xfId="10953"/>
    <cellStyle name="Border Thin 10 42" xfId="10954"/>
    <cellStyle name="Border Thin 10 43" xfId="10955"/>
    <cellStyle name="Border Thin 10 44" xfId="10956"/>
    <cellStyle name="Border Thin 10 45" xfId="10957"/>
    <cellStyle name="Border Thin 10 46" xfId="10958"/>
    <cellStyle name="Border Thin 10 47" xfId="10959"/>
    <cellStyle name="Border Thin 10 48" xfId="10960"/>
    <cellStyle name="Border Thin 10 49" xfId="10961"/>
    <cellStyle name="Border Thin 10 5" xfId="10962"/>
    <cellStyle name="Border Thin 10 50" xfId="10963"/>
    <cellStyle name="Border Thin 10 51" xfId="10964"/>
    <cellStyle name="Border Thin 10 52" xfId="10965"/>
    <cellStyle name="Border Thin 10 53" xfId="10966"/>
    <cellStyle name="Border Thin 10 6" xfId="10967"/>
    <cellStyle name="Border Thin 10 7" xfId="10968"/>
    <cellStyle name="Border Thin 10 8" xfId="10969"/>
    <cellStyle name="Border Thin 10 9" xfId="10970"/>
    <cellStyle name="Border Thin 10_분양(100%)" xfId="38540"/>
    <cellStyle name="Border Thin 11" xfId="10971"/>
    <cellStyle name="Border Thin 11 10" xfId="10972"/>
    <cellStyle name="Border Thin 11 11" xfId="10973"/>
    <cellStyle name="Border Thin 11 12" xfId="10974"/>
    <cellStyle name="Border Thin 11 13" xfId="10975"/>
    <cellStyle name="Border Thin 11 14" xfId="10976"/>
    <cellStyle name="Border Thin 11 15" xfId="10977"/>
    <cellStyle name="Border Thin 11 16" xfId="10978"/>
    <cellStyle name="Border Thin 11 17" xfId="10979"/>
    <cellStyle name="Border Thin 11 18" xfId="10980"/>
    <cellStyle name="Border Thin 11 19" xfId="10981"/>
    <cellStyle name="Border Thin 11 2" xfId="10982"/>
    <cellStyle name="Border Thin 11 20" xfId="10983"/>
    <cellStyle name="Border Thin 11 21" xfId="10984"/>
    <cellStyle name="Border Thin 11 22" xfId="10985"/>
    <cellStyle name="Border Thin 11 23" xfId="10986"/>
    <cellStyle name="Border Thin 11 24" xfId="10987"/>
    <cellStyle name="Border Thin 11 25" xfId="10988"/>
    <cellStyle name="Border Thin 11 26" xfId="10989"/>
    <cellStyle name="Border Thin 11 27" xfId="10990"/>
    <cellStyle name="Border Thin 11 28" xfId="10991"/>
    <cellStyle name="Border Thin 11 29" xfId="10992"/>
    <cellStyle name="Border Thin 11 3" xfId="10993"/>
    <cellStyle name="Border Thin 11 30" xfId="10994"/>
    <cellStyle name="Border Thin 11 31" xfId="10995"/>
    <cellStyle name="Border Thin 11 32" xfId="10996"/>
    <cellStyle name="Border Thin 11 33" xfId="10997"/>
    <cellStyle name="Border Thin 11 34" xfId="10998"/>
    <cellStyle name="Border Thin 11 35" xfId="10999"/>
    <cellStyle name="Border Thin 11 36" xfId="11000"/>
    <cellStyle name="Border Thin 11 37" xfId="11001"/>
    <cellStyle name="Border Thin 11 38" xfId="11002"/>
    <cellStyle name="Border Thin 11 39" xfId="11003"/>
    <cellStyle name="Border Thin 11 4" xfId="11004"/>
    <cellStyle name="Border Thin 11 40" xfId="11005"/>
    <cellStyle name="Border Thin 11 41" xfId="11006"/>
    <cellStyle name="Border Thin 11 42" xfId="11007"/>
    <cellStyle name="Border Thin 11 43" xfId="11008"/>
    <cellStyle name="Border Thin 11 44" xfId="11009"/>
    <cellStyle name="Border Thin 11 45" xfId="11010"/>
    <cellStyle name="Border Thin 11 46" xfId="11011"/>
    <cellStyle name="Border Thin 11 47" xfId="11012"/>
    <cellStyle name="Border Thin 11 48" xfId="11013"/>
    <cellStyle name="Border Thin 11 49" xfId="11014"/>
    <cellStyle name="Border Thin 11 5" xfId="11015"/>
    <cellStyle name="Border Thin 11 50" xfId="11016"/>
    <cellStyle name="Border Thin 11 51" xfId="11017"/>
    <cellStyle name="Border Thin 11 52" xfId="11018"/>
    <cellStyle name="Border Thin 11 53" xfId="11019"/>
    <cellStyle name="Border Thin 11 6" xfId="11020"/>
    <cellStyle name="Border Thin 11 7" xfId="11021"/>
    <cellStyle name="Border Thin 11 8" xfId="11022"/>
    <cellStyle name="Border Thin 11 9" xfId="11023"/>
    <cellStyle name="Border Thin 11_분양(100%)" xfId="38541"/>
    <cellStyle name="Border Thin 12" xfId="11024"/>
    <cellStyle name="Border Thin 12 10" xfId="11025"/>
    <cellStyle name="Border Thin 12 11" xfId="11026"/>
    <cellStyle name="Border Thin 12 12" xfId="11027"/>
    <cellStyle name="Border Thin 12 13" xfId="11028"/>
    <cellStyle name="Border Thin 12 14" xfId="11029"/>
    <cellStyle name="Border Thin 12 15" xfId="11030"/>
    <cellStyle name="Border Thin 12 16" xfId="11031"/>
    <cellStyle name="Border Thin 12 17" xfId="11032"/>
    <cellStyle name="Border Thin 12 18" xfId="11033"/>
    <cellStyle name="Border Thin 12 19" xfId="11034"/>
    <cellStyle name="Border Thin 12 2" xfId="11035"/>
    <cellStyle name="Border Thin 12 20" xfId="11036"/>
    <cellStyle name="Border Thin 12 21" xfId="11037"/>
    <cellStyle name="Border Thin 12 22" xfId="11038"/>
    <cellStyle name="Border Thin 12 23" xfId="11039"/>
    <cellStyle name="Border Thin 12 24" xfId="11040"/>
    <cellStyle name="Border Thin 12 25" xfId="11041"/>
    <cellStyle name="Border Thin 12 26" xfId="11042"/>
    <cellStyle name="Border Thin 12 27" xfId="11043"/>
    <cellStyle name="Border Thin 12 28" xfId="11044"/>
    <cellStyle name="Border Thin 12 29" xfId="11045"/>
    <cellStyle name="Border Thin 12 3" xfId="11046"/>
    <cellStyle name="Border Thin 12 30" xfId="11047"/>
    <cellStyle name="Border Thin 12 31" xfId="11048"/>
    <cellStyle name="Border Thin 12 32" xfId="11049"/>
    <cellStyle name="Border Thin 12 33" xfId="11050"/>
    <cellStyle name="Border Thin 12 34" xfId="11051"/>
    <cellStyle name="Border Thin 12 35" xfId="11052"/>
    <cellStyle name="Border Thin 12 36" xfId="11053"/>
    <cellStyle name="Border Thin 12 37" xfId="11054"/>
    <cellStyle name="Border Thin 12 38" xfId="11055"/>
    <cellStyle name="Border Thin 12 39" xfId="11056"/>
    <cellStyle name="Border Thin 12 4" xfId="11057"/>
    <cellStyle name="Border Thin 12 40" xfId="11058"/>
    <cellStyle name="Border Thin 12 41" xfId="11059"/>
    <cellStyle name="Border Thin 12 42" xfId="11060"/>
    <cellStyle name="Border Thin 12 43" xfId="11061"/>
    <cellStyle name="Border Thin 12 44" xfId="11062"/>
    <cellStyle name="Border Thin 12 45" xfId="11063"/>
    <cellStyle name="Border Thin 12 46" xfId="11064"/>
    <cellStyle name="Border Thin 12 47" xfId="11065"/>
    <cellStyle name="Border Thin 12 48" xfId="11066"/>
    <cellStyle name="Border Thin 12 49" xfId="11067"/>
    <cellStyle name="Border Thin 12 5" xfId="11068"/>
    <cellStyle name="Border Thin 12 50" xfId="11069"/>
    <cellStyle name="Border Thin 12 51" xfId="11070"/>
    <cellStyle name="Border Thin 12 52" xfId="11071"/>
    <cellStyle name="Border Thin 12 53" xfId="11072"/>
    <cellStyle name="Border Thin 12 6" xfId="11073"/>
    <cellStyle name="Border Thin 12 7" xfId="11074"/>
    <cellStyle name="Border Thin 12 8" xfId="11075"/>
    <cellStyle name="Border Thin 12 9" xfId="11076"/>
    <cellStyle name="Border Thin 12_분양(100%)" xfId="38542"/>
    <cellStyle name="Border Thin 13" xfId="11077"/>
    <cellStyle name="Border Thin 14" xfId="11078"/>
    <cellStyle name="Border Thin 15" xfId="11079"/>
    <cellStyle name="Border Thin 16" xfId="11080"/>
    <cellStyle name="Border Thin 17" xfId="11081"/>
    <cellStyle name="Border Thin 18" xfId="11082"/>
    <cellStyle name="Border Thin 19" xfId="11083"/>
    <cellStyle name="Border Thin 2" xfId="11084"/>
    <cellStyle name="Border Thin 2 10" xfId="11085"/>
    <cellStyle name="Border Thin 2 11" xfId="11086"/>
    <cellStyle name="Border Thin 2 12" xfId="11087"/>
    <cellStyle name="Border Thin 2 13" xfId="11088"/>
    <cellStyle name="Border Thin 2 14" xfId="11089"/>
    <cellStyle name="Border Thin 2 15" xfId="11090"/>
    <cellStyle name="Border Thin 2 16" xfId="11091"/>
    <cellStyle name="Border Thin 2 17" xfId="11092"/>
    <cellStyle name="Border Thin 2 18" xfId="11093"/>
    <cellStyle name="Border Thin 2 19" xfId="11094"/>
    <cellStyle name="Border Thin 2 2" xfId="11095"/>
    <cellStyle name="Border Thin 2 20" xfId="11096"/>
    <cellStyle name="Border Thin 2 21" xfId="11097"/>
    <cellStyle name="Border Thin 2 22" xfId="11098"/>
    <cellStyle name="Border Thin 2 23" xfId="11099"/>
    <cellStyle name="Border Thin 2 24" xfId="11100"/>
    <cellStyle name="Border Thin 2 25" xfId="11101"/>
    <cellStyle name="Border Thin 2 26" xfId="11102"/>
    <cellStyle name="Border Thin 2 27" xfId="11103"/>
    <cellStyle name="Border Thin 2 28" xfId="11104"/>
    <cellStyle name="Border Thin 2 29" xfId="11105"/>
    <cellStyle name="Border Thin 2 3" xfId="11106"/>
    <cellStyle name="Border Thin 2 30" xfId="11107"/>
    <cellStyle name="Border Thin 2 31" xfId="11108"/>
    <cellStyle name="Border Thin 2 32" xfId="11109"/>
    <cellStyle name="Border Thin 2 33" xfId="11110"/>
    <cellStyle name="Border Thin 2 34" xfId="11111"/>
    <cellStyle name="Border Thin 2 35" xfId="11112"/>
    <cellStyle name="Border Thin 2 36" xfId="11113"/>
    <cellStyle name="Border Thin 2 37" xfId="11114"/>
    <cellStyle name="Border Thin 2 38" xfId="11115"/>
    <cellStyle name="Border Thin 2 39" xfId="11116"/>
    <cellStyle name="Border Thin 2 4" xfId="11117"/>
    <cellStyle name="Border Thin 2 40" xfId="11118"/>
    <cellStyle name="Border Thin 2 41" xfId="11119"/>
    <cellStyle name="Border Thin 2 42" xfId="11120"/>
    <cellStyle name="Border Thin 2 43" xfId="11121"/>
    <cellStyle name="Border Thin 2 44" xfId="11122"/>
    <cellStyle name="Border Thin 2 45" xfId="11123"/>
    <cellStyle name="Border Thin 2 46" xfId="11124"/>
    <cellStyle name="Border Thin 2 47" xfId="11125"/>
    <cellStyle name="Border Thin 2 48" xfId="11126"/>
    <cellStyle name="Border Thin 2 49" xfId="11127"/>
    <cellStyle name="Border Thin 2 5" xfId="11128"/>
    <cellStyle name="Border Thin 2 6" xfId="11129"/>
    <cellStyle name="Border Thin 2 7" xfId="11130"/>
    <cellStyle name="Border Thin 2 8" xfId="11131"/>
    <cellStyle name="Border Thin 2 9" xfId="11132"/>
    <cellStyle name="Border Thin 2_분양(100%)" xfId="38543"/>
    <cellStyle name="Border Thin 20" xfId="11133"/>
    <cellStyle name="Border Thin 21" xfId="11134"/>
    <cellStyle name="Border Thin 22" xfId="11135"/>
    <cellStyle name="Border Thin 23" xfId="11136"/>
    <cellStyle name="Border Thin 24" xfId="11137"/>
    <cellStyle name="Border Thin 25" xfId="11138"/>
    <cellStyle name="Border Thin 26" xfId="11139"/>
    <cellStyle name="Border Thin 27" xfId="11140"/>
    <cellStyle name="Border Thin 28" xfId="11141"/>
    <cellStyle name="Border Thin 29" xfId="11142"/>
    <cellStyle name="Border Thin 3" xfId="11143"/>
    <cellStyle name="Border Thin 3 10" xfId="11144"/>
    <cellStyle name="Border Thin 3 11" xfId="11145"/>
    <cellStyle name="Border Thin 3 12" xfId="11146"/>
    <cellStyle name="Border Thin 3 13" xfId="11147"/>
    <cellStyle name="Border Thin 3 14" xfId="11148"/>
    <cellStyle name="Border Thin 3 15" xfId="11149"/>
    <cellStyle name="Border Thin 3 16" xfId="11150"/>
    <cellStyle name="Border Thin 3 17" xfId="11151"/>
    <cellStyle name="Border Thin 3 18" xfId="11152"/>
    <cellStyle name="Border Thin 3 19" xfId="11153"/>
    <cellStyle name="Border Thin 3 2" xfId="11154"/>
    <cellStyle name="Border Thin 3 20" xfId="11155"/>
    <cellStyle name="Border Thin 3 21" xfId="11156"/>
    <cellStyle name="Border Thin 3 22" xfId="11157"/>
    <cellStyle name="Border Thin 3 23" xfId="11158"/>
    <cellStyle name="Border Thin 3 24" xfId="11159"/>
    <cellStyle name="Border Thin 3 25" xfId="11160"/>
    <cellStyle name="Border Thin 3 26" xfId="11161"/>
    <cellStyle name="Border Thin 3 27" xfId="11162"/>
    <cellStyle name="Border Thin 3 28" xfId="11163"/>
    <cellStyle name="Border Thin 3 29" xfId="11164"/>
    <cellStyle name="Border Thin 3 3" xfId="11165"/>
    <cellStyle name="Border Thin 3 30" xfId="11166"/>
    <cellStyle name="Border Thin 3 31" xfId="11167"/>
    <cellStyle name="Border Thin 3 32" xfId="11168"/>
    <cellStyle name="Border Thin 3 33" xfId="11169"/>
    <cellStyle name="Border Thin 3 34" xfId="11170"/>
    <cellStyle name="Border Thin 3 35" xfId="11171"/>
    <cellStyle name="Border Thin 3 36" xfId="11172"/>
    <cellStyle name="Border Thin 3 37" xfId="11173"/>
    <cellStyle name="Border Thin 3 38" xfId="11174"/>
    <cellStyle name="Border Thin 3 39" xfId="11175"/>
    <cellStyle name="Border Thin 3 4" xfId="11176"/>
    <cellStyle name="Border Thin 3 40" xfId="11177"/>
    <cellStyle name="Border Thin 3 41" xfId="11178"/>
    <cellStyle name="Border Thin 3 42" xfId="11179"/>
    <cellStyle name="Border Thin 3 43" xfId="11180"/>
    <cellStyle name="Border Thin 3 44" xfId="11181"/>
    <cellStyle name="Border Thin 3 45" xfId="11182"/>
    <cellStyle name="Border Thin 3 46" xfId="11183"/>
    <cellStyle name="Border Thin 3 47" xfId="11184"/>
    <cellStyle name="Border Thin 3 48" xfId="11185"/>
    <cellStyle name="Border Thin 3 49" xfId="11186"/>
    <cellStyle name="Border Thin 3 5" xfId="11187"/>
    <cellStyle name="Border Thin 3 6" xfId="11188"/>
    <cellStyle name="Border Thin 3 7" xfId="11189"/>
    <cellStyle name="Border Thin 3 8" xfId="11190"/>
    <cellStyle name="Border Thin 3 9" xfId="11191"/>
    <cellStyle name="Border Thin 3_분양(100%)" xfId="38544"/>
    <cellStyle name="Border Thin 30" xfId="11192"/>
    <cellStyle name="Border Thin 31" xfId="11193"/>
    <cellStyle name="Border Thin 32" xfId="11194"/>
    <cellStyle name="Border Thin 33" xfId="11195"/>
    <cellStyle name="Border Thin 4" xfId="11196"/>
    <cellStyle name="Border Thin 4 10" xfId="11197"/>
    <cellStyle name="Border Thin 4 11" xfId="11198"/>
    <cellStyle name="Border Thin 4 12" xfId="11199"/>
    <cellStyle name="Border Thin 4 13" xfId="11200"/>
    <cellStyle name="Border Thin 4 14" xfId="11201"/>
    <cellStyle name="Border Thin 4 15" xfId="11202"/>
    <cellStyle name="Border Thin 4 16" xfId="11203"/>
    <cellStyle name="Border Thin 4 17" xfId="11204"/>
    <cellStyle name="Border Thin 4 18" xfId="11205"/>
    <cellStyle name="Border Thin 4 19" xfId="11206"/>
    <cellStyle name="Border Thin 4 2" xfId="11207"/>
    <cellStyle name="Border Thin 4 20" xfId="11208"/>
    <cellStyle name="Border Thin 4 21" xfId="11209"/>
    <cellStyle name="Border Thin 4 22" xfId="11210"/>
    <cellStyle name="Border Thin 4 23" xfId="11211"/>
    <cellStyle name="Border Thin 4 24" xfId="11212"/>
    <cellStyle name="Border Thin 4 25" xfId="11213"/>
    <cellStyle name="Border Thin 4 26" xfId="11214"/>
    <cellStyle name="Border Thin 4 27" xfId="11215"/>
    <cellStyle name="Border Thin 4 28" xfId="11216"/>
    <cellStyle name="Border Thin 4 29" xfId="11217"/>
    <cellStyle name="Border Thin 4 3" xfId="11218"/>
    <cellStyle name="Border Thin 4 30" xfId="11219"/>
    <cellStyle name="Border Thin 4 31" xfId="11220"/>
    <cellStyle name="Border Thin 4 32" xfId="11221"/>
    <cellStyle name="Border Thin 4 33" xfId="11222"/>
    <cellStyle name="Border Thin 4 34" xfId="11223"/>
    <cellStyle name="Border Thin 4 35" xfId="11224"/>
    <cellStyle name="Border Thin 4 36" xfId="11225"/>
    <cellStyle name="Border Thin 4 37" xfId="11226"/>
    <cellStyle name="Border Thin 4 38" xfId="11227"/>
    <cellStyle name="Border Thin 4 39" xfId="11228"/>
    <cellStyle name="Border Thin 4 4" xfId="11229"/>
    <cellStyle name="Border Thin 4 40" xfId="11230"/>
    <cellStyle name="Border Thin 4 41" xfId="11231"/>
    <cellStyle name="Border Thin 4 42" xfId="11232"/>
    <cellStyle name="Border Thin 4 43" xfId="11233"/>
    <cellStyle name="Border Thin 4 44" xfId="11234"/>
    <cellStyle name="Border Thin 4 45" xfId="11235"/>
    <cellStyle name="Border Thin 4 46" xfId="11236"/>
    <cellStyle name="Border Thin 4 47" xfId="11237"/>
    <cellStyle name="Border Thin 4 48" xfId="11238"/>
    <cellStyle name="Border Thin 4 49" xfId="11239"/>
    <cellStyle name="Border Thin 4 5" xfId="11240"/>
    <cellStyle name="Border Thin 4 6" xfId="11241"/>
    <cellStyle name="Border Thin 4 7" xfId="11242"/>
    <cellStyle name="Border Thin 4 8" xfId="11243"/>
    <cellStyle name="Border Thin 4 9" xfId="11244"/>
    <cellStyle name="Border Thin 4_분양(100%)" xfId="38545"/>
    <cellStyle name="Border Thin 5" xfId="11245"/>
    <cellStyle name="Border Thin 5 10" xfId="11246"/>
    <cellStyle name="Border Thin 5 11" xfId="11247"/>
    <cellStyle name="Border Thin 5 12" xfId="11248"/>
    <cellStyle name="Border Thin 5 13" xfId="11249"/>
    <cellStyle name="Border Thin 5 14" xfId="11250"/>
    <cellStyle name="Border Thin 5 15" xfId="11251"/>
    <cellStyle name="Border Thin 5 16" xfId="11252"/>
    <cellStyle name="Border Thin 5 17" xfId="11253"/>
    <cellStyle name="Border Thin 5 18" xfId="11254"/>
    <cellStyle name="Border Thin 5 19" xfId="11255"/>
    <cellStyle name="Border Thin 5 2" xfId="11256"/>
    <cellStyle name="Border Thin 5 20" xfId="11257"/>
    <cellStyle name="Border Thin 5 21" xfId="11258"/>
    <cellStyle name="Border Thin 5 22" xfId="11259"/>
    <cellStyle name="Border Thin 5 23" xfId="11260"/>
    <cellStyle name="Border Thin 5 24" xfId="11261"/>
    <cellStyle name="Border Thin 5 25" xfId="11262"/>
    <cellStyle name="Border Thin 5 26" xfId="11263"/>
    <cellStyle name="Border Thin 5 27" xfId="11264"/>
    <cellStyle name="Border Thin 5 28" xfId="11265"/>
    <cellStyle name="Border Thin 5 29" xfId="11266"/>
    <cellStyle name="Border Thin 5 3" xfId="11267"/>
    <cellStyle name="Border Thin 5 30" xfId="11268"/>
    <cellStyle name="Border Thin 5 31" xfId="11269"/>
    <cellStyle name="Border Thin 5 32" xfId="11270"/>
    <cellStyle name="Border Thin 5 33" xfId="11271"/>
    <cellStyle name="Border Thin 5 34" xfId="11272"/>
    <cellStyle name="Border Thin 5 35" xfId="11273"/>
    <cellStyle name="Border Thin 5 36" xfId="11274"/>
    <cellStyle name="Border Thin 5 37" xfId="11275"/>
    <cellStyle name="Border Thin 5 38" xfId="11276"/>
    <cellStyle name="Border Thin 5 39" xfId="11277"/>
    <cellStyle name="Border Thin 5 4" xfId="11278"/>
    <cellStyle name="Border Thin 5 40" xfId="11279"/>
    <cellStyle name="Border Thin 5 41" xfId="11280"/>
    <cellStyle name="Border Thin 5 42" xfId="11281"/>
    <cellStyle name="Border Thin 5 43" xfId="11282"/>
    <cellStyle name="Border Thin 5 44" xfId="11283"/>
    <cellStyle name="Border Thin 5 45" xfId="11284"/>
    <cellStyle name="Border Thin 5 46" xfId="11285"/>
    <cellStyle name="Border Thin 5 47" xfId="11286"/>
    <cellStyle name="Border Thin 5 48" xfId="11287"/>
    <cellStyle name="Border Thin 5 49" xfId="11288"/>
    <cellStyle name="Border Thin 5 5" xfId="11289"/>
    <cellStyle name="Border Thin 5 6" xfId="11290"/>
    <cellStyle name="Border Thin 5 7" xfId="11291"/>
    <cellStyle name="Border Thin 5 8" xfId="11292"/>
    <cellStyle name="Border Thin 5 9" xfId="11293"/>
    <cellStyle name="Border Thin 5_분양(100%)" xfId="38546"/>
    <cellStyle name="Border Thin 6" xfId="11294"/>
    <cellStyle name="Border Thin 6 10" xfId="11295"/>
    <cellStyle name="Border Thin 6 11" xfId="11296"/>
    <cellStyle name="Border Thin 6 12" xfId="11297"/>
    <cellStyle name="Border Thin 6 13" xfId="11298"/>
    <cellStyle name="Border Thin 6 14" xfId="11299"/>
    <cellStyle name="Border Thin 6 15" xfId="11300"/>
    <cellStyle name="Border Thin 6 16" xfId="11301"/>
    <cellStyle name="Border Thin 6 17" xfId="11302"/>
    <cellStyle name="Border Thin 6 18" xfId="11303"/>
    <cellStyle name="Border Thin 6 19" xfId="11304"/>
    <cellStyle name="Border Thin 6 2" xfId="11305"/>
    <cellStyle name="Border Thin 6 20" xfId="11306"/>
    <cellStyle name="Border Thin 6 21" xfId="11307"/>
    <cellStyle name="Border Thin 6 22" xfId="11308"/>
    <cellStyle name="Border Thin 6 23" xfId="11309"/>
    <cellStyle name="Border Thin 6 24" xfId="11310"/>
    <cellStyle name="Border Thin 6 25" xfId="11311"/>
    <cellStyle name="Border Thin 6 26" xfId="11312"/>
    <cellStyle name="Border Thin 6 27" xfId="11313"/>
    <cellStyle name="Border Thin 6 28" xfId="11314"/>
    <cellStyle name="Border Thin 6 29" xfId="11315"/>
    <cellStyle name="Border Thin 6 3" xfId="11316"/>
    <cellStyle name="Border Thin 6 30" xfId="11317"/>
    <cellStyle name="Border Thin 6 31" xfId="11318"/>
    <cellStyle name="Border Thin 6 32" xfId="11319"/>
    <cellStyle name="Border Thin 6 33" xfId="11320"/>
    <cellStyle name="Border Thin 6 34" xfId="11321"/>
    <cellStyle name="Border Thin 6 35" xfId="11322"/>
    <cellStyle name="Border Thin 6 36" xfId="11323"/>
    <cellStyle name="Border Thin 6 37" xfId="11324"/>
    <cellStyle name="Border Thin 6 38" xfId="11325"/>
    <cellStyle name="Border Thin 6 39" xfId="11326"/>
    <cellStyle name="Border Thin 6 4" xfId="11327"/>
    <cellStyle name="Border Thin 6 40" xfId="11328"/>
    <cellStyle name="Border Thin 6 41" xfId="11329"/>
    <cellStyle name="Border Thin 6 42" xfId="11330"/>
    <cellStyle name="Border Thin 6 43" xfId="11331"/>
    <cellStyle name="Border Thin 6 44" xfId="11332"/>
    <cellStyle name="Border Thin 6 45" xfId="11333"/>
    <cellStyle name="Border Thin 6 46" xfId="11334"/>
    <cellStyle name="Border Thin 6 47" xfId="11335"/>
    <cellStyle name="Border Thin 6 48" xfId="11336"/>
    <cellStyle name="Border Thin 6 49" xfId="11337"/>
    <cellStyle name="Border Thin 6 5" xfId="11338"/>
    <cellStyle name="Border Thin 6 50" xfId="11339"/>
    <cellStyle name="Border Thin 6 51" xfId="11340"/>
    <cellStyle name="Border Thin 6 52" xfId="11341"/>
    <cellStyle name="Border Thin 6 53" xfId="11342"/>
    <cellStyle name="Border Thin 6 6" xfId="11343"/>
    <cellStyle name="Border Thin 6 7" xfId="11344"/>
    <cellStyle name="Border Thin 6 8" xfId="11345"/>
    <cellStyle name="Border Thin 6 9" xfId="11346"/>
    <cellStyle name="Border Thin 6_분양(100%)" xfId="38547"/>
    <cellStyle name="Border Thin 7" xfId="11347"/>
    <cellStyle name="Border Thin 7 10" xfId="11348"/>
    <cellStyle name="Border Thin 7 11" xfId="11349"/>
    <cellStyle name="Border Thin 7 12" xfId="11350"/>
    <cellStyle name="Border Thin 7 13" xfId="11351"/>
    <cellStyle name="Border Thin 7 14" xfId="11352"/>
    <cellStyle name="Border Thin 7 15" xfId="11353"/>
    <cellStyle name="Border Thin 7 16" xfId="11354"/>
    <cellStyle name="Border Thin 7 17" xfId="11355"/>
    <cellStyle name="Border Thin 7 18" xfId="11356"/>
    <cellStyle name="Border Thin 7 19" xfId="11357"/>
    <cellStyle name="Border Thin 7 2" xfId="11358"/>
    <cellStyle name="Border Thin 7 20" xfId="11359"/>
    <cellStyle name="Border Thin 7 21" xfId="11360"/>
    <cellStyle name="Border Thin 7 22" xfId="11361"/>
    <cellStyle name="Border Thin 7 23" xfId="11362"/>
    <cellStyle name="Border Thin 7 24" xfId="11363"/>
    <cellStyle name="Border Thin 7 25" xfId="11364"/>
    <cellStyle name="Border Thin 7 26" xfId="11365"/>
    <cellStyle name="Border Thin 7 27" xfId="11366"/>
    <cellStyle name="Border Thin 7 28" xfId="11367"/>
    <cellStyle name="Border Thin 7 29" xfId="11368"/>
    <cellStyle name="Border Thin 7 3" xfId="11369"/>
    <cellStyle name="Border Thin 7 30" xfId="11370"/>
    <cellStyle name="Border Thin 7 31" xfId="11371"/>
    <cellStyle name="Border Thin 7 32" xfId="11372"/>
    <cellStyle name="Border Thin 7 33" xfId="11373"/>
    <cellStyle name="Border Thin 7 34" xfId="11374"/>
    <cellStyle name="Border Thin 7 35" xfId="11375"/>
    <cellStyle name="Border Thin 7 36" xfId="11376"/>
    <cellStyle name="Border Thin 7 37" xfId="11377"/>
    <cellStyle name="Border Thin 7 38" xfId="11378"/>
    <cellStyle name="Border Thin 7 39" xfId="11379"/>
    <cellStyle name="Border Thin 7 4" xfId="11380"/>
    <cellStyle name="Border Thin 7 40" xfId="11381"/>
    <cellStyle name="Border Thin 7 41" xfId="11382"/>
    <cellStyle name="Border Thin 7 42" xfId="11383"/>
    <cellStyle name="Border Thin 7 43" xfId="11384"/>
    <cellStyle name="Border Thin 7 44" xfId="11385"/>
    <cellStyle name="Border Thin 7 45" xfId="11386"/>
    <cellStyle name="Border Thin 7 46" xfId="11387"/>
    <cellStyle name="Border Thin 7 47" xfId="11388"/>
    <cellStyle name="Border Thin 7 48" xfId="11389"/>
    <cellStyle name="Border Thin 7 49" xfId="11390"/>
    <cellStyle name="Border Thin 7 5" xfId="11391"/>
    <cellStyle name="Border Thin 7 50" xfId="11392"/>
    <cellStyle name="Border Thin 7 51" xfId="11393"/>
    <cellStyle name="Border Thin 7 52" xfId="11394"/>
    <cellStyle name="Border Thin 7 53" xfId="11395"/>
    <cellStyle name="Border Thin 7 6" xfId="11396"/>
    <cellStyle name="Border Thin 7 7" xfId="11397"/>
    <cellStyle name="Border Thin 7 8" xfId="11398"/>
    <cellStyle name="Border Thin 7 9" xfId="11399"/>
    <cellStyle name="Border Thin 7_분양(100%)" xfId="38548"/>
    <cellStyle name="Border Thin 8" xfId="11400"/>
    <cellStyle name="Border Thin 8 10" xfId="11401"/>
    <cellStyle name="Border Thin 8 11" xfId="11402"/>
    <cellStyle name="Border Thin 8 12" xfId="11403"/>
    <cellStyle name="Border Thin 8 13" xfId="11404"/>
    <cellStyle name="Border Thin 8 14" xfId="11405"/>
    <cellStyle name="Border Thin 8 15" xfId="11406"/>
    <cellStyle name="Border Thin 8 16" xfId="11407"/>
    <cellStyle name="Border Thin 8 17" xfId="11408"/>
    <cellStyle name="Border Thin 8 18" xfId="11409"/>
    <cellStyle name="Border Thin 8 19" xfId="11410"/>
    <cellStyle name="Border Thin 8 2" xfId="11411"/>
    <cellStyle name="Border Thin 8 20" xfId="11412"/>
    <cellStyle name="Border Thin 8 21" xfId="11413"/>
    <cellStyle name="Border Thin 8 22" xfId="11414"/>
    <cellStyle name="Border Thin 8 23" xfId="11415"/>
    <cellStyle name="Border Thin 8 24" xfId="11416"/>
    <cellStyle name="Border Thin 8 25" xfId="11417"/>
    <cellStyle name="Border Thin 8 26" xfId="11418"/>
    <cellStyle name="Border Thin 8 27" xfId="11419"/>
    <cellStyle name="Border Thin 8 28" xfId="11420"/>
    <cellStyle name="Border Thin 8 29" xfId="11421"/>
    <cellStyle name="Border Thin 8 3" xfId="11422"/>
    <cellStyle name="Border Thin 8 30" xfId="11423"/>
    <cellStyle name="Border Thin 8 31" xfId="11424"/>
    <cellStyle name="Border Thin 8 32" xfId="11425"/>
    <cellStyle name="Border Thin 8 33" xfId="11426"/>
    <cellStyle name="Border Thin 8 34" xfId="11427"/>
    <cellStyle name="Border Thin 8 35" xfId="11428"/>
    <cellStyle name="Border Thin 8 36" xfId="11429"/>
    <cellStyle name="Border Thin 8 37" xfId="11430"/>
    <cellStyle name="Border Thin 8 38" xfId="11431"/>
    <cellStyle name="Border Thin 8 39" xfId="11432"/>
    <cellStyle name="Border Thin 8 4" xfId="11433"/>
    <cellStyle name="Border Thin 8 40" xfId="11434"/>
    <cellStyle name="Border Thin 8 41" xfId="11435"/>
    <cellStyle name="Border Thin 8 42" xfId="11436"/>
    <cellStyle name="Border Thin 8 43" xfId="11437"/>
    <cellStyle name="Border Thin 8 44" xfId="11438"/>
    <cellStyle name="Border Thin 8 45" xfId="11439"/>
    <cellStyle name="Border Thin 8 46" xfId="11440"/>
    <cellStyle name="Border Thin 8 47" xfId="11441"/>
    <cellStyle name="Border Thin 8 48" xfId="11442"/>
    <cellStyle name="Border Thin 8 49" xfId="11443"/>
    <cellStyle name="Border Thin 8 5" xfId="11444"/>
    <cellStyle name="Border Thin 8 50" xfId="11445"/>
    <cellStyle name="Border Thin 8 51" xfId="11446"/>
    <cellStyle name="Border Thin 8 52" xfId="11447"/>
    <cellStyle name="Border Thin 8 53" xfId="11448"/>
    <cellStyle name="Border Thin 8 6" xfId="11449"/>
    <cellStyle name="Border Thin 8 7" xfId="11450"/>
    <cellStyle name="Border Thin 8 8" xfId="11451"/>
    <cellStyle name="Border Thin 8 9" xfId="11452"/>
    <cellStyle name="Border Thin 8_분양(100%)" xfId="38549"/>
    <cellStyle name="Border Thin 9" xfId="11453"/>
    <cellStyle name="Border Thin 9 10" xfId="11454"/>
    <cellStyle name="Border Thin 9 11" xfId="11455"/>
    <cellStyle name="Border Thin 9 12" xfId="11456"/>
    <cellStyle name="Border Thin 9 13" xfId="11457"/>
    <cellStyle name="Border Thin 9 14" xfId="11458"/>
    <cellStyle name="Border Thin 9 15" xfId="11459"/>
    <cellStyle name="Border Thin 9 16" xfId="11460"/>
    <cellStyle name="Border Thin 9 17" xfId="11461"/>
    <cellStyle name="Border Thin 9 18" xfId="11462"/>
    <cellStyle name="Border Thin 9 19" xfId="11463"/>
    <cellStyle name="Border Thin 9 2" xfId="11464"/>
    <cellStyle name="Border Thin 9 20" xfId="11465"/>
    <cellStyle name="Border Thin 9 21" xfId="11466"/>
    <cellStyle name="Border Thin 9 22" xfId="11467"/>
    <cellStyle name="Border Thin 9 23" xfId="11468"/>
    <cellStyle name="Border Thin 9 24" xfId="11469"/>
    <cellStyle name="Border Thin 9 25" xfId="11470"/>
    <cellStyle name="Border Thin 9 26" xfId="11471"/>
    <cellStyle name="Border Thin 9 27" xfId="11472"/>
    <cellStyle name="Border Thin 9 28" xfId="11473"/>
    <cellStyle name="Border Thin 9 29" xfId="11474"/>
    <cellStyle name="Border Thin 9 3" xfId="11475"/>
    <cellStyle name="Border Thin 9 30" xfId="11476"/>
    <cellStyle name="Border Thin 9 31" xfId="11477"/>
    <cellStyle name="Border Thin 9 32" xfId="11478"/>
    <cellStyle name="Border Thin 9 33" xfId="11479"/>
    <cellStyle name="Border Thin 9 34" xfId="11480"/>
    <cellStyle name="Border Thin 9 35" xfId="11481"/>
    <cellStyle name="Border Thin 9 36" xfId="11482"/>
    <cellStyle name="Border Thin 9 37" xfId="11483"/>
    <cellStyle name="Border Thin 9 38" xfId="11484"/>
    <cellStyle name="Border Thin 9 39" xfId="11485"/>
    <cellStyle name="Border Thin 9 4" xfId="11486"/>
    <cellStyle name="Border Thin 9 40" xfId="11487"/>
    <cellStyle name="Border Thin 9 41" xfId="11488"/>
    <cellStyle name="Border Thin 9 42" xfId="11489"/>
    <cellStyle name="Border Thin 9 43" xfId="11490"/>
    <cellStyle name="Border Thin 9 44" xfId="11491"/>
    <cellStyle name="Border Thin 9 45" xfId="11492"/>
    <cellStyle name="Border Thin 9 46" xfId="11493"/>
    <cellStyle name="Border Thin 9 47" xfId="11494"/>
    <cellStyle name="Border Thin 9 48" xfId="11495"/>
    <cellStyle name="Border Thin 9 49" xfId="11496"/>
    <cellStyle name="Border Thin 9 5" xfId="11497"/>
    <cellStyle name="Border Thin 9 50" xfId="11498"/>
    <cellStyle name="Border Thin 9 51" xfId="11499"/>
    <cellStyle name="Border Thin 9 52" xfId="11500"/>
    <cellStyle name="Border Thin 9 53" xfId="11501"/>
    <cellStyle name="Border Thin 9 6" xfId="11502"/>
    <cellStyle name="Border Thin 9 7" xfId="11503"/>
    <cellStyle name="Border Thin 9 8" xfId="11504"/>
    <cellStyle name="Border Thin 9 9" xfId="11505"/>
    <cellStyle name="Border Thin 9_분양(100%)" xfId="38550"/>
    <cellStyle name="Border Thin_분양(100%)" xfId="38539"/>
    <cellStyle name="Brand Align Left Text" xfId="51"/>
    <cellStyle name="Brand Default" xfId="52"/>
    <cellStyle name="Brand Default 2" xfId="11506"/>
    <cellStyle name="Brand Default 3" xfId="11507"/>
    <cellStyle name="Brand Default_분양(100%)" xfId="38551"/>
    <cellStyle name="Brand Percent" xfId="53"/>
    <cellStyle name="Brand Percent 2" xfId="11508"/>
    <cellStyle name="Brand Percent_분양(100%)" xfId="38552"/>
    <cellStyle name="Brand Source" xfId="54"/>
    <cellStyle name="Brand Subtitle with Underline" xfId="55"/>
    <cellStyle name="Brand Subtitle with Underline 2" xfId="3572"/>
    <cellStyle name="Brand Subtitle with Underline_분양(100%)" xfId="38553"/>
    <cellStyle name="Brand Subtitle without Underline" xfId="56"/>
    <cellStyle name="Brand Title" xfId="57"/>
    <cellStyle name="Bridge " xfId="11509"/>
    <cellStyle name="British Pound" xfId="11510"/>
    <cellStyle name="Bullet" xfId="11511"/>
    <cellStyle name="Bullet 2" xfId="11512"/>
    <cellStyle name="Bullet_분양(100%)" xfId="38554"/>
    <cellStyle name="C" xfId="2589"/>
    <cellStyle name="C_20030218144011020-E1C865BF" xfId="11513"/>
    <cellStyle name="C_20030218144011020-E1C865BF_분양(100%)" xfId="38556"/>
    <cellStyle name="C_20030218144011020-E1C865BF_현대오일뱅크 철골공사" xfId="11514"/>
    <cellStyle name="C_20030218144011020-E1C865BF_현대오일뱅크 철골공사_분양(100%)" xfId="38557"/>
    <cellStyle name="C_도로" xfId="2590"/>
    <cellStyle name="C_부대초안" xfId="2591"/>
    <cellStyle name="C_부대초안_견적의뢰" xfId="2592"/>
    <cellStyle name="C_부대초안_견적의뢰_삽교천개수공사(03.30)" xfId="2593"/>
    <cellStyle name="C_부대초안_견적의뢰_삽교천개수공사(03.30)_구일초(06.17)-부대" xfId="2594"/>
    <cellStyle name="C_부대초안_견적의뢰_삽교천개수공사(03.30)_남성지구(05.26)" xfId="2595"/>
    <cellStyle name="C_부대초안_견적의뢰_삽교천개수공사(03.30)_동산초(06.1)" xfId="2596"/>
    <cellStyle name="C_부대초안_견적의뢰_삽교천개수공사(03.30)_삽교천개수공사(03.30)" xfId="2597"/>
    <cellStyle name="C_부대초안_견적의뢰_삽교천개수공사(03.30)_안산남부경찰서(06.16)-부대" xfId="2598"/>
    <cellStyle name="C_부대초안_견적의뢰_삽교천개수공사(03.30)_제주제성교(05.27)" xfId="2599"/>
    <cellStyle name="C_부대초안_견적의뢰_삽교천개수공사(03.30)_행목지구하천환경(05.25)" xfId="2600"/>
    <cellStyle name="C_부대초안_김포투찰" xfId="2601"/>
    <cellStyle name="C_부대초안_김포투찰_견적의뢰" xfId="2602"/>
    <cellStyle name="C_부대초안_김포투찰_견적의뢰_삽교천개수공사(03.30)" xfId="2603"/>
    <cellStyle name="C_부대초안_김포투찰_견적의뢰_삽교천개수공사(03.30)_구일초(06.17)-부대" xfId="2604"/>
    <cellStyle name="C_부대초안_김포투찰_견적의뢰_삽교천개수공사(03.30)_남성지구(05.26)" xfId="2605"/>
    <cellStyle name="C_부대초안_김포투찰_견적의뢰_삽교천개수공사(03.30)_동산초(06.1)" xfId="2606"/>
    <cellStyle name="C_부대초안_김포투찰_견적의뢰_삽교천개수공사(03.30)_삽교천개수공사(03.30)" xfId="2607"/>
    <cellStyle name="C_부대초안_김포투찰_견적의뢰_삽교천개수공사(03.30)_안산남부경찰서(06.16)-부대" xfId="2608"/>
    <cellStyle name="C_부대초안_김포투찰_견적의뢰_삽교천개수공사(03.30)_제주제성교(05.27)" xfId="2609"/>
    <cellStyle name="C_부대초안_김포투찰_견적의뢰_삽교천개수공사(03.30)_행목지구하천환경(05.25)" xfId="2610"/>
    <cellStyle name="C_부대초안_삽교천개수공사(03.30)" xfId="2611"/>
    <cellStyle name="C_부대초안_삽교천개수공사(03.30)_구일초(06.17)-부대" xfId="2612"/>
    <cellStyle name="C_부대초안_삽교천개수공사(03.30)_남성지구(05.26)" xfId="2613"/>
    <cellStyle name="C_부대초안_삽교천개수공사(03.30)_동산초(06.1)" xfId="2614"/>
    <cellStyle name="C_부대초안_삽교천개수공사(03.30)_삽교천개수공사(03.30)" xfId="2615"/>
    <cellStyle name="C_부대초안_삽교천개수공사(03.30)_안산남부경찰서(06.16)-부대" xfId="2616"/>
    <cellStyle name="C_부대초안_삽교천개수공사(03.30)_제주제성교(05.27)" xfId="2617"/>
    <cellStyle name="C_부대초안_삽교천개수공사(03.30)_행목지구하천환경(05.25)" xfId="2618"/>
    <cellStyle name="C_분양(100%)" xfId="38555"/>
    <cellStyle name="C_사급재료비및운반비" xfId="11515"/>
    <cellStyle name="C_사급재료비및운반비_분양(100%)" xfId="38558"/>
    <cellStyle name="C_사급재료비및운반비_현대오일뱅크 철골공사" xfId="11516"/>
    <cellStyle name="C_사급재료비및운반비_현대오일뱅크 철골공사_분양(100%)" xfId="38559"/>
    <cellStyle name="C_삽교천개수공사(03.30)" xfId="2619"/>
    <cellStyle name="C_삽교천개수공사(03.30)_구일초(06.17)-부대" xfId="2620"/>
    <cellStyle name="C_삽교천개수공사(03.30)_남성지구(05.26)" xfId="2621"/>
    <cellStyle name="C_삽교천개수공사(03.30)_동산초(06.1)" xfId="2622"/>
    <cellStyle name="C_삽교천개수공사(03.30)_삽교천개수공사(03.30)" xfId="2623"/>
    <cellStyle name="C_삽교천개수공사(03.30)_안산남부경찰서(06.16)-부대" xfId="2624"/>
    <cellStyle name="C_삽교천개수공사(03.30)_제주제성교(05.27)" xfId="2625"/>
    <cellStyle name="C_삽교천개수공사(03.30)_행목지구하천환경(05.25)" xfId="2626"/>
    <cellStyle name="C_수량및 단가 산출내용표" xfId="11517"/>
    <cellStyle name="C_수량및 단가 산출내용표_분양(100%)" xfId="38560"/>
    <cellStyle name="C_수량및 단가 산출내용표_현대오일뱅크 철골공사" xfId="11518"/>
    <cellStyle name="C_수량및 단가 산출내용표_현대오일뱅크 철골공사_분양(100%)" xfId="38561"/>
    <cellStyle name="C_영흥#3,4 보일러철골설치및마감(MC-01)FINAL" xfId="11519"/>
    <cellStyle name="C_영흥#3,4 보일러철골설치및마감(MC-01)FINAL_분양(100%)" xfId="38562"/>
    <cellStyle name="C_영흥#3,4 보일러철골설치및마감(MC-01)FINAL_현대오일뱅크 철골공사" xfId="11520"/>
    <cellStyle name="C_영흥#3,4 보일러철골설치및마감(MC-01)FINAL_현대오일뱅크 철골공사_분양(100%)" xfId="38563"/>
    <cellStyle name="C_영흥#3,4 옥내기기기초(AC-05)" xfId="11521"/>
    <cellStyle name="C_영흥#3,4 옥내기기기초(AC-05)_분양(100%)" xfId="38564"/>
    <cellStyle name="C_영흥#3,4 옥내기기기초(AC-05)_현대오일뱅크 철골공사" xfId="11522"/>
    <cellStyle name="C_영흥#3,4 옥내기기기초(AC-05)_현대오일뱅크 철골공사_분양(100%)" xfId="38565"/>
    <cellStyle name="C_영흥#3,4 터빈발전기기초(AC-04)" xfId="11523"/>
    <cellStyle name="C_영흥#3,4 터빈발전기기초(AC-04)_분양(100%)" xfId="38566"/>
    <cellStyle name="C_영흥#3,4 터빈발전기기초(AC-04)_현대오일뱅크 철골공사" xfId="11524"/>
    <cellStyle name="C_영흥#3,4 터빈발전기기초(AC-04)_현대오일뱅크 철골공사_분양(100%)" xfId="38567"/>
    <cellStyle name="C_토목내역서" xfId="2627"/>
    <cellStyle name="C_토목내역서_도로" xfId="2628"/>
    <cellStyle name="C_토목내역서_부대초안" xfId="2629"/>
    <cellStyle name="C_토목내역서_부대초안_견적의뢰" xfId="2630"/>
    <cellStyle name="C_토목내역서_부대초안_견적의뢰_삽교천개수공사(03.30)" xfId="2631"/>
    <cellStyle name="C_토목내역서_부대초안_견적의뢰_삽교천개수공사(03.30)_구일초(06.17)-부대" xfId="2632"/>
    <cellStyle name="C_토목내역서_부대초안_견적의뢰_삽교천개수공사(03.30)_남성지구(05.26)" xfId="2633"/>
    <cellStyle name="C_토목내역서_부대초안_견적의뢰_삽교천개수공사(03.30)_동산초(06.1)" xfId="2634"/>
    <cellStyle name="C_토목내역서_부대초안_견적의뢰_삽교천개수공사(03.30)_삽교천개수공사(03.30)" xfId="2635"/>
    <cellStyle name="C_토목내역서_부대초안_견적의뢰_삽교천개수공사(03.30)_안산남부경찰서(06.16)-부대" xfId="2636"/>
    <cellStyle name="C_토목내역서_부대초안_견적의뢰_삽교천개수공사(03.30)_제주제성교(05.27)" xfId="2637"/>
    <cellStyle name="C_토목내역서_부대초안_견적의뢰_삽교천개수공사(03.30)_행목지구하천환경(05.25)" xfId="2638"/>
    <cellStyle name="C_토목내역서_부대초안_김포투찰" xfId="2639"/>
    <cellStyle name="C_토목내역서_부대초안_김포투찰_견적의뢰" xfId="2640"/>
    <cellStyle name="C_토목내역서_부대초안_김포투찰_견적의뢰_삽교천개수공사(03.30)" xfId="2641"/>
    <cellStyle name="C_토목내역서_부대초안_김포투찰_견적의뢰_삽교천개수공사(03.30)_구일초(06.17)-부대" xfId="2642"/>
    <cellStyle name="C_토목내역서_부대초안_김포투찰_견적의뢰_삽교천개수공사(03.30)_남성지구(05.26)" xfId="2643"/>
    <cellStyle name="C_토목내역서_부대초안_김포투찰_견적의뢰_삽교천개수공사(03.30)_동산초(06.1)" xfId="2644"/>
    <cellStyle name="C_토목내역서_부대초안_김포투찰_견적의뢰_삽교천개수공사(03.30)_삽교천개수공사(03.30)" xfId="2645"/>
    <cellStyle name="C_토목내역서_부대초안_김포투찰_견적의뢰_삽교천개수공사(03.30)_안산남부경찰서(06.16)-부대" xfId="2646"/>
    <cellStyle name="C_토목내역서_부대초안_김포투찰_견적의뢰_삽교천개수공사(03.30)_제주제성교(05.27)" xfId="2647"/>
    <cellStyle name="C_토목내역서_부대초안_김포투찰_견적의뢰_삽교천개수공사(03.30)_행목지구하천환경(05.25)" xfId="2648"/>
    <cellStyle name="C_토목내역서_부대초안_삽교천개수공사(03.30)" xfId="2649"/>
    <cellStyle name="C_토목내역서_부대초안_삽교천개수공사(03.30)_구일초(06.17)-부대" xfId="2650"/>
    <cellStyle name="C_토목내역서_부대초안_삽교천개수공사(03.30)_남성지구(05.26)" xfId="2651"/>
    <cellStyle name="C_토목내역서_부대초안_삽교천개수공사(03.30)_동산초(06.1)" xfId="2652"/>
    <cellStyle name="C_토목내역서_부대초안_삽교천개수공사(03.30)_삽교천개수공사(03.30)" xfId="2653"/>
    <cellStyle name="C_토목내역서_부대초안_삽교천개수공사(03.30)_안산남부경찰서(06.16)-부대" xfId="2654"/>
    <cellStyle name="C_토목내역서_부대초안_삽교천개수공사(03.30)_제주제성교(05.27)" xfId="2655"/>
    <cellStyle name="C_토목내역서_부대초안_삽교천개수공사(03.30)_행목지구하천환경(05.25)" xfId="2656"/>
    <cellStyle name="C_토목내역서_삽교천개수공사(03.30)" xfId="2657"/>
    <cellStyle name="C_토목내역서_삽교천개수공사(03.30)_구일초(06.17)-부대" xfId="2658"/>
    <cellStyle name="C_토목내역서_삽교천개수공사(03.30)_남성지구(05.26)" xfId="2659"/>
    <cellStyle name="C_토목내역서_삽교천개수공사(03.30)_동산초(06.1)" xfId="2660"/>
    <cellStyle name="C_토목내역서_삽교천개수공사(03.30)_삽교천개수공사(03.30)" xfId="2661"/>
    <cellStyle name="C_토목내역서_삽교천개수공사(03.30)_안산남부경찰서(06.16)-부대" xfId="2662"/>
    <cellStyle name="C_토목내역서_삽교천개수공사(03.30)_제주제성교(05.27)" xfId="2663"/>
    <cellStyle name="C_토목내역서_삽교천개수공사(03.30)_행목지구하천환경(05.25)" xfId="2664"/>
    <cellStyle name="C¡" xfId="11525"/>
    <cellStyle name="C¡IA¨ª_#1,2" xfId="11526"/>
    <cellStyle name="C¡ÍA¨ª_¡íc¨ú¡À¨¬I¨¬¡Æ AN¡Æe " xfId="11527"/>
    <cellStyle name="C¡IA¨ª_AO¨uRCN¡¾U " xfId="11528"/>
    <cellStyle name="C¢" xfId="11529"/>
    <cellStyle name="C￠RIA¡§¨￡_#1,2" xfId="11530"/>
    <cellStyle name="Ç¥" xfId="11531"/>
    <cellStyle name="Ç¥áø" xfId="11532"/>
    <cellStyle name="C￥AØ_  A¾  CO  " xfId="11533"/>
    <cellStyle name="Ç¥ÁØ_ 97³â °æ¿µºÐ¼®(¾È)" xfId="11534"/>
    <cellStyle name="C￥AØ_´eAN°yC￥ " xfId="4311"/>
    <cellStyle name="Ç¥ÁØ_¸ÅÃâ" xfId="11535"/>
    <cellStyle name="C￥AØ_¸AAa.¼OAI " xfId="11536"/>
    <cellStyle name="Ç¥ÁØ_¸ÅÃâ_분양(100%)" xfId="38568"/>
    <cellStyle name="C￥AØ_¿¹≫e¿aA≫ " xfId="11537"/>
    <cellStyle name="Ç¥ÁØ_±¸¸Å³³±â" xfId="11538"/>
    <cellStyle name="C￥AØ_≫c±O(AI≫c)" xfId="11539"/>
    <cellStyle name="Ç¥ÁØ_°Å·¡¸í¼¼Ç¥" xfId="11540"/>
    <cellStyle name="C￥AØ_°ø≫cºn¿¹≫e¼­ " xfId="11541"/>
    <cellStyle name="Ç¥ÁØ_°ø¹®" xfId="11542"/>
    <cellStyle name="C￥AØ_0N-HANDLING " xfId="11543"/>
    <cellStyle name="Ç¥ÁØ_0N-HANDLING " xfId="58"/>
    <cellStyle name="C￥AØ_0N-HANDLING _99사업계획" xfId="11544"/>
    <cellStyle name="Ç¥ÁØ_0N-HANDLING _분양(100%)" xfId="38569"/>
    <cellStyle name="C￥AØ_0N-HANDLING _착수결의(평택손익)2" xfId="59"/>
    <cellStyle name="Ç¥ÁØ_0N-HANDLING _착수결의(평택손익)2" xfId="60"/>
    <cellStyle name="C￥AØ_0N-HANDLING _착수결의(평택손익)2_분양(100%)" xfId="38570"/>
    <cellStyle name="Ç¥ÁØ_0N-HANDLING _착수결의(평택손익)2_분양(100%)" xfId="38571"/>
    <cellStyle name="C￥AØ_0N-HANDLING _착수결의서(도곡동하이페리온)" xfId="61"/>
    <cellStyle name="Ç¥ÁØ_0N-HANDLING _착수결의서(도곡동하이페리온)" xfId="62"/>
    <cellStyle name="C￥AØ_0N-HANDLING _착수결의서(도곡동하이페리온).xls Chart 1" xfId="63"/>
    <cellStyle name="Ç¥ÁØ_0N-HANDLING _착수결의서(도곡동하이페리온).xls Chart 1" xfId="64"/>
    <cellStyle name="C￥AØ_0N-HANDLING _착수결의서(도곡동하이페리온).xls Chart 1_분양(100%)" xfId="38574"/>
    <cellStyle name="Ç¥ÁØ_0N-HANDLING _착수결의서(도곡동하이페리온).xls Chart 1_분양(100%)" xfId="38575"/>
    <cellStyle name="C￥AØ_0N-HANDLING _착수결의서(도곡동하이페리온)_분양(100%)" xfId="38572"/>
    <cellStyle name="Ç¥ÁØ_0N-HANDLING _착수결의서(도곡동하이페리온)_분양(100%)" xfId="38573"/>
    <cellStyle name="C￥AØ_0N-HANDLING _착수결의서(하남신장)" xfId="65"/>
    <cellStyle name="Ç¥ÁØ_0N-HANDLING _착수결의서(하남신장)" xfId="66"/>
    <cellStyle name="C￥AØ_0N-HANDLING _착수결의서(하남신장)_분양(100%)" xfId="38576"/>
    <cellStyle name="Ç¥ÁØ_0N-HANDLING _착수결의서(하남신장)_분양(100%)" xfId="38577"/>
    <cellStyle name="C￥AØ_0N-HANDLING _초기예산총괄(조정_영노)" xfId="67"/>
    <cellStyle name="Ç¥ÁØ_¼±ÅõÀç°í_³»ºÎ°èÈ¹´ë ÃßÁ¤Â÷ÀÌ " xfId="11545"/>
    <cellStyle name="C￥AØ_¼±AoAc°i_³≫ºI°eE¹´e AßA¤A÷AI " xfId="11546"/>
    <cellStyle name="Ç¥ÁØ_¼ÕÀÍÂ÷ (2)_1_³»ºÎ°èÈ¹´ë ÃßÁ¤Â÷ÀÌ " xfId="11547"/>
    <cellStyle name="C￥AØ_¼OAIA÷ (2)_1_³≫ºI°eE¹´e AßA¤A÷AI " xfId="11548"/>
    <cellStyle name="Ç¥ÁØ_¼ÕÀÍÂ÷ (2)_³»ºÎ°èÈ¹´ë ÃßÁ¤Â÷ÀÌ " xfId="11549"/>
    <cellStyle name="C￥AØ_¼OAIA÷ (2)_³≫ºI°eE¹´e AßA¤A÷AI " xfId="11550"/>
    <cellStyle name="Ç¥ÁØ_½Ç½Ã (2)" xfId="11551"/>
    <cellStyle name="C￥AØ_¾c½A _¹≪¿ª10¿u " xfId="11552"/>
    <cellStyle name="Ç¥ÁØ_12¿ù " xfId="11553"/>
    <cellStyle name="C￥AØ_12AO " xfId="11554"/>
    <cellStyle name="Ç¥ÁØ_³»ºÎ°èÈ¹´ë ÃßÁ¤Â÷ÀÌ " xfId="11555"/>
    <cellStyle name="C￥AØ_³≫ºI°eE¹´e AßA¤A÷AI " xfId="11556"/>
    <cellStyle name="Ç¥ÁØ_³ªÁÖ°¡¼³" xfId="11557"/>
    <cellStyle name="C￥AØ_5-1±¤°i " xfId="11558"/>
    <cellStyle name="Ç¥ÁØ_5-1±¤°í " xfId="68"/>
    <cellStyle name="C￥AØ_5-1±¤°i _¹≪¿ª10¿u " xfId="11559"/>
    <cellStyle name="Ç¥ÁØ_5-1±¤°í _매출_tele_시스템_0119" xfId="11560"/>
    <cellStyle name="C￥AØ_5-1±¤°i _분양(100%)" xfId="38578"/>
    <cellStyle name="Ç¥ÁØ_5-1±¤°í _분양(100%)" xfId="38579"/>
    <cellStyle name="C￥AØ_5-1±¤°i _산재매입세" xfId="69"/>
    <cellStyle name="Ç¥ÁØ_5-1±¤°í _자금운용" xfId="70"/>
    <cellStyle name="C￥AØ_5-1±¤°i _착수결의(평택손익)2" xfId="71"/>
    <cellStyle name="Ç¥ÁØ_5-1±¤°í _착수결의(평택손익)2" xfId="72"/>
    <cellStyle name="C￥AØ_5-1±¤°i _착수결의(평택손익)2_분양(100%)" xfId="38580"/>
    <cellStyle name="Ç¥ÁØ_5-1±¤°í _착수결의(평택손익)2_분양(100%)" xfId="38581"/>
    <cellStyle name="C￥AØ_5-1±¤°i _착수결의서(도곡동하이페리온)" xfId="73"/>
    <cellStyle name="Ç¥ÁØ_5-1±¤°í _착수결의서(도곡동하이페리온)" xfId="74"/>
    <cellStyle name="C￥AØ_5-1±¤°i _착수결의서(도곡동하이페리온).xls Chart 1" xfId="75"/>
    <cellStyle name="Ç¥ÁØ_5-1±¤°í _착수결의서(도곡동하이페리온).xls Chart 1" xfId="76"/>
    <cellStyle name="C￥AØ_5-1±¤°i _착수결의서(도곡동하이페리온).xls Chart 1_분양(100%)" xfId="38584"/>
    <cellStyle name="Ç¥ÁØ_5-1±¤°í _착수결의서(도곡동하이페리온).xls Chart 1_분양(100%)" xfId="38585"/>
    <cellStyle name="C￥AØ_5-1±¤°i _착수결의서(도곡동하이페리온)_분양(100%)" xfId="38582"/>
    <cellStyle name="Ç¥ÁØ_5-1±¤°í _착수결의서(도곡동하이페리온)_분양(100%)" xfId="38583"/>
    <cellStyle name="C￥AØ_5-1±¤°i _착수결의서(동서울)" xfId="77"/>
    <cellStyle name="Ç¥ÁØ_5-1±¤°í _착수결의서(죽전4차2단지)" xfId="78"/>
    <cellStyle name="C￥AØ_5-1±¤°i _착수결의서(하남신장)" xfId="79"/>
    <cellStyle name="Ç¥ÁØ_5-1±¤°í _착수결의서(하남신장)" xfId="80"/>
    <cellStyle name="C￥AØ_5-1±¤°i _착수결의서(하남신장)_분양(100%)" xfId="38586"/>
    <cellStyle name="Ç¥ÁØ_5-1±¤°í _착수결의서(하남신장)_분양(100%)" xfId="38587"/>
    <cellStyle name="C￥AØ_5-1±¤°i _착수결의서020129(동서울1)" xfId="81"/>
    <cellStyle name="Ç¥ÁØ_5-1±¤°í _착수결의서변경양식(excel)" xfId="82"/>
    <cellStyle name="C￥AØ_5-1±¤°i _초기예산총괄(조정_영노)" xfId="83"/>
    <cellStyle name="Ç¥ÁØ_64MSD LGS Vs. Dese " xfId="11561"/>
    <cellStyle name="C￥AØ_7¿u~12¿u Aa°i ¿¹≫o " xfId="11562"/>
    <cellStyle name="Ç¥ÁØ_Å¸»çºÐ_³»ºÎ°èÈ¹´ë ÃßÁ¤Â÷ÀÌ " xfId="11563"/>
    <cellStyle name="C￥AØ_A¸≫cºÐ_³≫ºI°eE¹´e AßA¤A÷AI " xfId="11564"/>
    <cellStyle name="Ç¥ÁØ_Áý°èÇ¥(2¿ù) " xfId="84"/>
    <cellStyle name="C￥AØ_Ay°eC￥(2¿u) _산재매입세" xfId="85"/>
    <cellStyle name="Ç¥ÁØ_Áý°èÇ¥(2¿ù) _자금운용" xfId="86"/>
    <cellStyle name="C￥AØ_Ay°eC￥(2¿u) _착수결의(평택손익)2" xfId="87"/>
    <cellStyle name="Ç¥ÁØ_Áý°èÇ¥(2¿ù) _착수결의(평택손익)2" xfId="88"/>
    <cellStyle name="C￥AØ_Ay°eC￥(2¿u) _착수결의(평택손익)2_분양(100%)" xfId="38588"/>
    <cellStyle name="Ç¥ÁØ_Áý°èÇ¥(2¿ù) _착수결의(평택손익)2_분양(100%)" xfId="38589"/>
    <cellStyle name="C￥AØ_Ay°eC￥(2¿u) _착수결의서(도곡동하이페리온)" xfId="89"/>
    <cellStyle name="Ç¥ÁØ_Áý°èÇ¥(2¿ù) _착수결의서(도곡동하이페리온)" xfId="90"/>
    <cellStyle name="C￥AØ_Ay°eC￥(2¿u) _착수결의서(도곡동하이페리온).xls Chart 1" xfId="91"/>
    <cellStyle name="Ç¥ÁØ_Áý°èÇ¥(2¿ù) _착수결의서(도곡동하이페리온).xls Chart 1" xfId="92"/>
    <cellStyle name="C￥AØ_Ay°eC￥(2¿u) _착수결의서(도곡동하이페리온).xls Chart 1_분양(100%)" xfId="38592"/>
    <cellStyle name="Ç¥ÁØ_Áý°èÇ¥(2¿ù) _착수결의서(도곡동하이페리온).xls Chart 1_분양(100%)" xfId="38593"/>
    <cellStyle name="C￥AØ_Ay°eC￥(2¿u) _착수결의서(도곡동하이페리온)_분양(100%)" xfId="38590"/>
    <cellStyle name="Ç¥ÁØ_Áý°èÇ¥(2¿ù) _착수결의서(도곡동하이페리온)_분양(100%)" xfId="38591"/>
    <cellStyle name="C￥AØ_Ay°eC￥(2¿u) _착수결의서(동서울)" xfId="93"/>
    <cellStyle name="Ç¥ÁØ_Áý°èÇ¥(2¿ù) _착수결의서(죽전4차2단지)" xfId="94"/>
    <cellStyle name="C￥AØ_Ay°eC￥(2¿u) _착수결의서(하남신장)" xfId="95"/>
    <cellStyle name="Ç¥ÁØ_Áý°èÇ¥(2¿ù) _착수결의서(하남신장)" xfId="96"/>
    <cellStyle name="C￥AØ_Ay°eC￥(2¿u) _착수결의서(하남신장)_분양(100%)" xfId="38594"/>
    <cellStyle name="Ç¥ÁØ_Áý°èÇ¥(2¿ù) _착수결의서(하남신장)_분양(100%)" xfId="38595"/>
    <cellStyle name="C￥AØ_Ay°eC￥(2¿u) _착수결의서020129(동서울1)" xfId="97"/>
    <cellStyle name="Ç¥ÁØ_Áý°èÇ¥(2¿ù) _착수결의서변경양식(excel)" xfId="98"/>
    <cellStyle name="C￥AØ_Ay°eC￥(2¿u) _초기예산총괄(조정_영노)" xfId="99"/>
    <cellStyle name="Ç¥ÁØ_ÇöÁö¹ýÀÎ °Å¾×¿©½Å " xfId="100"/>
    <cellStyle name="C￥AØ_CoAo¹yAI °A¾×¿ⓒ½A " xfId="101"/>
    <cellStyle name="Ç¥ÁØ_ÇöÈ²_¹®Á¦Á¡ " xfId="11565"/>
    <cellStyle name="C￥AØ_E¸AaAO½A " xfId="11566"/>
    <cellStyle name="Ç¥ÁØ_ÈÞÀÏ±Ù·Î" xfId="11567"/>
    <cellStyle name="C￥AØ_FIRE " xfId="11568"/>
    <cellStyle name="Ç¥ÁØ_HATCO HQ" xfId="11569"/>
    <cellStyle name="C￥AØ_laroux_1" xfId="11570"/>
    <cellStyle name="Ç¥ÁØ_laroux_1" xfId="11571"/>
    <cellStyle name="C￥AØ_laroux_1_분양(100%)" xfId="38596"/>
    <cellStyle name="Ç¥ÁØ_laroux_1_분양(100%)" xfId="38597"/>
    <cellStyle name="C￥AØ_laroux_2" xfId="11572"/>
    <cellStyle name="Ç¥ÁØ_laroux_2" xfId="11573"/>
    <cellStyle name="C￥AØ_laroux_2_법인세(SR)" xfId="11574"/>
    <cellStyle name="Ç¥ÁØ_laroux_2_분양(100%)" xfId="38598"/>
    <cellStyle name="C￥AØ_laroux_3_법인세(SR)" xfId="11575"/>
    <cellStyle name="Ç¥ÁØ_laroux_3_분양(100%)" xfId="38599"/>
    <cellStyle name="C￥AØ_LIGHTNING " xfId="11576"/>
    <cellStyle name="Ç¥ÁØ_º¯°æ(ÃÖÁ¾)" xfId="11577"/>
    <cellStyle name="C￥AØ_ºIAøºI¹R(Æ?ÆC) (1¿u)_1_¹≪¿ª10¿u " xfId="11578"/>
    <cellStyle name="Ç¥ÁØ_PERSONAL" xfId="11579"/>
    <cellStyle name="C￥AØ_PERSONAL_1" xfId="11580"/>
    <cellStyle name="Ç¥ÁØ_PERSONAL_1" xfId="11581"/>
    <cellStyle name="C￥AØ_PERSONAL_1_분양(100%)" xfId="38600"/>
    <cellStyle name="Ç¥ÁØ_PERSONAL_1_분양(100%)" xfId="38601"/>
    <cellStyle name="C￥AØ_PERSONAL_외환은행2011년2월까지(0318)수정-최종보고자료임(0514)" xfId="11582"/>
    <cellStyle name="Ç¥ÁØ_Sheet1_¿µ¾÷ÇöÈ² " xfId="102"/>
    <cellStyle name="C￥AØ_Sheet1_¿μ¾÷CoE² " xfId="103"/>
    <cellStyle name="Ç¥ÁØ_Sheet1_0N-HANDLING " xfId="104"/>
    <cellStyle name="C￥AØ_Sheet1_0N-HANDLING _착수결의(평택손익)2" xfId="105"/>
    <cellStyle name="Ç¥ÁØ_Sheet1_0N-HANDLING _착수결의(평택손익)2" xfId="106"/>
    <cellStyle name="C￥AØ_Sheet1_0N-HANDLING _착수결의(평택손익)2_분양(100%)" xfId="38602"/>
    <cellStyle name="Ç¥ÁØ_Sheet1_0N-HANDLING _착수결의(평택손익)2_분양(100%)" xfId="38603"/>
    <cellStyle name="C￥AØ_Sheet1_0N-HANDLING _착수결의서(도곡동하이페리온)" xfId="107"/>
    <cellStyle name="Ç¥ÁØ_Sheet1_0N-HANDLING _착수결의서(도곡동하이페리온)" xfId="108"/>
    <cellStyle name="C￥AØ_Sheet1_0N-HANDLING _착수결의서(도곡동하이페리온).xls Chart 1" xfId="109"/>
    <cellStyle name="Ç¥ÁØ_Sheet1_0N-HANDLING _착수결의서(도곡동하이페리온).xls Chart 1" xfId="110"/>
    <cellStyle name="C￥AØ_Sheet1_0N-HANDLING _착수결의서(도곡동하이페리온).xls Chart 1_1" xfId="111"/>
    <cellStyle name="Ç¥ÁØ_Sheet1_0N-HANDLING _착수결의서(도곡동하이페리온).xls Chart 1_1" xfId="112"/>
    <cellStyle name="C￥AØ_Sheet1_0N-HANDLING _착수결의서(도곡동하이페리온).xls Chart 1_1_박달수주심의보고" xfId="2665"/>
    <cellStyle name="Ç¥ÁØ_Sheet1_0N-HANDLING _착수결의서(도곡동하이페리온).xls Chart 1_1_박달수주심의보고" xfId="2666"/>
    <cellStyle name="C￥AØ_Sheet1_0N-HANDLING _착수결의서(도곡동하이페리온).xls Chart 1_1_분양(100%)" xfId="38608"/>
    <cellStyle name="Ç¥ÁØ_Sheet1_0N-HANDLING _착수결의서(도곡동하이페리온).xls Chart 1_1_분양(100%)" xfId="38609"/>
    <cellStyle name="C￥AØ_Sheet1_0N-HANDLING _착수결의서(도곡동하이페리온).xls Chart 1_1_오창사업성(수주심사최종)" xfId="2667"/>
    <cellStyle name="Ç¥ÁØ_Sheet1_0N-HANDLING _착수결의서(도곡동하이페리온).xls Chart 1_1_오창사업성(수주심사최종)" xfId="2668"/>
    <cellStyle name="C￥AØ_Sheet1_0N-HANDLING _착수결의서(도곡동하이페리온).xls Chart 1_분양(100%)" xfId="38606"/>
    <cellStyle name="Ç¥ÁØ_Sheet1_0N-HANDLING _착수결의서(도곡동하이페리온).xls Chart 1_분양(100%)" xfId="38607"/>
    <cellStyle name="C￥AØ_Sheet1_0N-HANDLING _착수결의서(도곡동하이페리온)_박달수주심의보고" xfId="2669"/>
    <cellStyle name="Ç¥ÁØ_Sheet1_0N-HANDLING _착수결의서(도곡동하이페리온)_박달수주심의보고" xfId="2670"/>
    <cellStyle name="C￥AØ_Sheet1_0N-HANDLING _착수결의서(도곡동하이페리온)_분양(100%)" xfId="38604"/>
    <cellStyle name="Ç¥ÁØ_Sheet1_0N-HANDLING _착수결의서(도곡동하이페리온)_분양(100%)" xfId="38605"/>
    <cellStyle name="C￥AØ_Sheet1_0N-HANDLING _착수결의서(도곡동하이페리온)_오창사업성(수주심사최종)" xfId="2671"/>
    <cellStyle name="Ç¥ÁØ_Sheet1_0N-HANDLING _착수결의서(도곡동하이페리온)_오창사업성(수주심사최종)" xfId="2672"/>
    <cellStyle name="C￥AØ_Sheet1_0N-HANDLING _착수결의서(하남신장)" xfId="113"/>
    <cellStyle name="Ç¥ÁØ_Sheet1_0N-HANDLING _착수결의서(하남신장)" xfId="114"/>
    <cellStyle name="C￥AØ_Sheet1_0N-HANDLING _착수결의서(하남신장)_분양(100%)" xfId="38610"/>
    <cellStyle name="Ç¥ÁØ_Sheet1_0N-HANDLING _착수결의서(하남신장)_분양(100%)" xfId="38611"/>
    <cellStyle name="C￥AØ_Sheet1_4PART " xfId="11583"/>
    <cellStyle name="Ç¥ÁØ_Sheet1_Áý°èÇ¥(2¿ù) " xfId="115"/>
    <cellStyle name="C￥AØ_Sheet1_Ay°eC￥(2¿u) _자금운용" xfId="116"/>
    <cellStyle name="Ç¥ÁØ_Sheet1_Áý°èÇ¥(2¿ù) _자금운용" xfId="117"/>
    <cellStyle name="C￥AØ_Sheet1_Ay°eC￥(2¿u) _자금운용(현장최종)" xfId="118"/>
    <cellStyle name="Ç¥ÁØ_Sheet1_Áý°èÇ¥(2¿ù) _자금운용(현장최종)" xfId="119"/>
    <cellStyle name="C￥AØ_Sheet1_Ay°eC￥(2¿u) _자금운용(현장최종)_박달수주심의보고" xfId="2673"/>
    <cellStyle name="Ç¥ÁØ_Sheet1_Áý°èÇ¥(2¿ù) _자금운용(현장최종)_박달수주심의보고" xfId="2674"/>
    <cellStyle name="C￥AØ_Sheet1_Ay°eC￥(2¿u) _자금운용(현장최종)_분양(100%)" xfId="38614"/>
    <cellStyle name="Ç¥ÁØ_Sheet1_Áý°èÇ¥(2¿ù) _자금운용(현장최종)_분양(100%)" xfId="38615"/>
    <cellStyle name="C￥AØ_Sheet1_Ay°eC￥(2¿u) _자금운용(현장최종)_오창사업성(수주심사최종)" xfId="2675"/>
    <cellStyle name="Ç¥ÁØ_Sheet1_Áý°èÇ¥(2¿ù) _자금운용(현장최종)_오창사업성(수주심사최종)" xfId="2676"/>
    <cellStyle name="C￥AØ_Sheet1_Ay°eC￥(2¿u) _자금운용(현장최종2)" xfId="120"/>
    <cellStyle name="Ç¥ÁØ_Sheet1_Áý°èÇ¥(2¿ù) _자금운용(현장최종2)" xfId="121"/>
    <cellStyle name="C￥AØ_Sheet1_Ay°eC￥(2¿u) _자금운용(현장최종2)_박달수주심의보고" xfId="2677"/>
    <cellStyle name="Ç¥ÁØ_Sheet1_Áý°èÇ¥(2¿ù) _자금운용(현장최종2)_박달수주심의보고" xfId="2678"/>
    <cellStyle name="C￥AØ_Sheet1_Ay°eC￥(2¿u) _자금운용(현장최종2)_분양(100%)" xfId="38616"/>
    <cellStyle name="Ç¥ÁØ_Sheet1_Áý°èÇ¥(2¿ù) _자금운용(현장최종2)_분양(100%)" xfId="38617"/>
    <cellStyle name="C￥AØ_Sheet1_Ay°eC￥(2¿u) _자금운용(현장최종2)_오창사업성(수주심사최종)" xfId="2679"/>
    <cellStyle name="Ç¥ÁØ_Sheet1_Áý°èÇ¥(2¿ù) _자금운용(현장최종2)_오창사업성(수주심사최종)" xfId="2680"/>
    <cellStyle name="C￥AØ_Sheet1_Ay°eC￥(2¿u) _자금운용(현장최종3)" xfId="122"/>
    <cellStyle name="Ç¥ÁØ_Sheet1_Áý°èÇ¥(2¿ù) _자금운용(현장최종3)" xfId="123"/>
    <cellStyle name="C￥AØ_Sheet1_Ay°eC￥(2¿u) _자금운용(현장최종3)_박달수주심의보고" xfId="2681"/>
    <cellStyle name="Ç¥ÁØ_Sheet1_Áý°èÇ¥(2¿ù) _자금운용(현장최종3)_박달수주심의보고" xfId="2682"/>
    <cellStyle name="C￥AØ_Sheet1_Ay°eC￥(2¿u) _자금운용(현장최종3)_분양(100%)" xfId="38618"/>
    <cellStyle name="Ç¥ÁØ_Sheet1_Áý°èÇ¥(2¿ù) _자금운용(현장최종3)_분양(100%)" xfId="38619"/>
    <cellStyle name="C￥AØ_Sheet1_Ay°eC￥(2¿u) _자금운용(현장최종3)_오창사업성(수주심사최종)" xfId="2683"/>
    <cellStyle name="Ç¥ÁØ_Sheet1_Áý°èÇ¥(2¿ù) _자금운용(현장최종3)_오창사업성(수주심사최종)" xfId="2684"/>
    <cellStyle name="C￥AØ_Sheet1_Ay°eC￥(2¿u) _자금운용_박달수주심의보고" xfId="2685"/>
    <cellStyle name="Ç¥ÁØ_Sheet1_Áý°èÇ¥(2¿ù) _자금운용_박달수주심의보고" xfId="2686"/>
    <cellStyle name="C￥AØ_Sheet1_Ay°eC￥(2¿u) _자금운용_분양(100%)" xfId="38612"/>
    <cellStyle name="Ç¥ÁØ_Sheet1_Áý°èÇ¥(2¿ù) _자금운용_분양(100%)" xfId="38613"/>
    <cellStyle name="C￥AØ_Sheet1_Ay°eC￥(2¿u) _자금운용_오창사업성(수주심사최종)" xfId="2687"/>
    <cellStyle name="Ç¥ÁØ_Sheet1_Áý°èÇ¥(2¿ù) _자금운용_오창사업성(수주심사최종)" xfId="2688"/>
    <cellStyle name="C￥AØ_Sheet1_Ay°eC￥(2¿u) _자금운용계획(3월준공 어음)" xfId="124"/>
    <cellStyle name="Ç¥ÁØ_Sheet1_Áý°èÇ¥(2¿ù) _자금운용계획(3월준공 어음)" xfId="125"/>
    <cellStyle name="C￥AØ_Sheet1_Ay°eC￥(2¿u) _자금운용계획(3월준공 어음)_박달수주심의보고" xfId="2689"/>
    <cellStyle name="Ç¥ÁØ_Sheet1_Áý°èÇ¥(2¿ù) _자금운용계획(3월준공 어음)_박달수주심의보고" xfId="2690"/>
    <cellStyle name="C￥AØ_Sheet1_Ay°eC￥(2¿u) _자금운용계획(3월준공 어음)_분양(100%)" xfId="38620"/>
    <cellStyle name="Ç¥ÁØ_Sheet1_Áý°èÇ¥(2¿ù) _자금운용계획(3월준공 어음)_분양(100%)" xfId="38621"/>
    <cellStyle name="C￥AØ_Sheet1_Ay°eC￥(2¿u) _자금운용계획(3월준공 어음)_오창사업성(수주심사최종)" xfId="2691"/>
    <cellStyle name="Ç¥ÁØ_Sheet1_Áý°èÇ¥(2¿ù) _자금운용계획(3월준공 어음)_오창사업성(수주심사최종)" xfId="2692"/>
    <cellStyle name="C￥AØ_Sheet1_Ay°eC￥(2¿u) _착수결의(평택손익)2" xfId="126"/>
    <cellStyle name="Ç¥ÁØ_Sheet1_Áý°èÇ¥(2¿ù) _착수결의(평택손익)2" xfId="127"/>
    <cellStyle name="C￥AØ_Sheet1_Ay°eC￥(2¿u) _착수결의(평택손익)2_분양(100%)" xfId="38622"/>
    <cellStyle name="Ç¥ÁØ_Sheet1_Áý°èÇ¥(2¿ù) _착수결의(평택손익)2_분양(100%)" xfId="38623"/>
    <cellStyle name="C￥AØ_Sheet1_Ay°eC￥(2¿u) _착수결의서" xfId="128"/>
    <cellStyle name="Ç¥ÁØ_Sheet1_Áý°èÇ¥(2¿ù) _착수결의서" xfId="129"/>
    <cellStyle name="C￥AØ_Sheet1_Ay°eC￥(2¿u) _착수결의서(견적실조정안)_0618" xfId="130"/>
    <cellStyle name="Ç¥ÁØ_Sheet1_Áý°èÇ¥(2¿ù) _착수결의서(견적실조정안)_0618" xfId="131"/>
    <cellStyle name="C￥AØ_Sheet1_Ay°eC￥(2¿u) _착수결의서(견적실조정안)_0618_분양(100%)" xfId="38626"/>
    <cellStyle name="Ç¥ÁØ_Sheet1_Áý°èÇ¥(2¿ù) _착수결의서(견적실조정안)_0618_분양(100%)" xfId="38627"/>
    <cellStyle name="C￥AØ_Sheet1_Ay°eC￥(2¿u) _착수결의서(도곡동하이페리온)" xfId="132"/>
    <cellStyle name="Ç¥ÁØ_Sheet1_Áý°èÇ¥(2¿ù) _착수결의서(도곡동하이페리온)" xfId="133"/>
    <cellStyle name="C￥AØ_Sheet1_Ay°eC￥(2¿u) _착수결의서(도곡동하이페리온).xls Chart 1" xfId="134"/>
    <cellStyle name="Ç¥ÁØ_Sheet1_Áý°èÇ¥(2¿ù) _착수결의서(도곡동하이페리온).xls Chart 1" xfId="135"/>
    <cellStyle name="C￥AØ_Sheet1_Ay°eC￥(2¿u) _착수결의서(도곡동하이페리온).xls Chart 1_1" xfId="136"/>
    <cellStyle name="Ç¥ÁØ_Sheet1_Áý°èÇ¥(2¿ù) _착수결의서(도곡동하이페리온).xls Chart 1_1" xfId="137"/>
    <cellStyle name="C￥AØ_Sheet1_Ay°eC￥(2¿u) _착수결의서(도곡동하이페리온).xls Chart 1_1_박달수주심의보고" xfId="2693"/>
    <cellStyle name="Ç¥ÁØ_Sheet1_Áý°èÇ¥(2¿ù) _착수결의서(도곡동하이페리온).xls Chart 1_1_박달수주심의보고" xfId="2694"/>
    <cellStyle name="C￥AØ_Sheet1_Ay°eC￥(2¿u) _착수결의서(도곡동하이페리온).xls Chart 1_1_분양(100%)" xfId="38632"/>
    <cellStyle name="Ç¥ÁØ_Sheet1_Áý°èÇ¥(2¿ù) _착수결의서(도곡동하이페리온).xls Chart 1_1_분양(100%)" xfId="38633"/>
    <cellStyle name="C￥AØ_Sheet1_Ay°eC￥(2¿u) _착수결의서(도곡동하이페리온).xls Chart 1_1_오창사업성(수주심사최종)" xfId="2695"/>
    <cellStyle name="Ç¥ÁØ_Sheet1_Áý°èÇ¥(2¿ù) _착수결의서(도곡동하이페리온).xls Chart 1_1_오창사업성(수주심사최종)" xfId="2696"/>
    <cellStyle name="C￥AØ_Sheet1_Ay°eC￥(2¿u) _착수결의서(도곡동하이페리온).xls Chart 1_분양(100%)" xfId="38630"/>
    <cellStyle name="Ç¥ÁØ_Sheet1_Áý°èÇ¥(2¿ù) _착수결의서(도곡동하이페리온).xls Chart 1_분양(100%)" xfId="38631"/>
    <cellStyle name="C￥AØ_Sheet1_Ay°eC￥(2¿u) _착수결의서(도곡동하이페리온)_박달수주심의보고" xfId="2697"/>
    <cellStyle name="Ç¥ÁØ_Sheet1_Áý°èÇ¥(2¿ù) _착수결의서(도곡동하이페리온)_박달수주심의보고" xfId="2698"/>
    <cellStyle name="C￥AØ_Sheet1_Ay°eC￥(2¿u) _착수결의서(도곡동하이페리온)_분양(100%)" xfId="38628"/>
    <cellStyle name="Ç¥ÁØ_Sheet1_Áý°èÇ¥(2¿ù) _착수결의서(도곡동하이페리온)_분양(100%)" xfId="38629"/>
    <cellStyle name="C￥AØ_Sheet1_Ay°eC￥(2¿u) _착수결의서(도곡동하이페리온)_오창사업성(수주심사최종)" xfId="2699"/>
    <cellStyle name="Ç¥ÁØ_Sheet1_Áý°èÇ¥(2¿ù) _착수결의서(도곡동하이페리온)_오창사업성(수주심사최종)" xfId="2700"/>
    <cellStyle name="C￥AØ_Sheet1_Ay°eC￥(2¿u) _착수결의서(죽전4차2단지)" xfId="138"/>
    <cellStyle name="Ç¥ÁØ_Sheet1_Áý°èÇ¥(2¿ù) _착수결의서(죽전4차2단지)" xfId="139"/>
    <cellStyle name="C￥AØ_Sheet1_Ay°eC￥(2¿u) _착수결의서(죽전4차2단지)_박달수주심의보고" xfId="2701"/>
    <cellStyle name="Ç¥ÁØ_Sheet1_Áý°èÇ¥(2¿ù) _착수결의서(죽전4차2단지)_박달수주심의보고" xfId="2702"/>
    <cellStyle name="C￥AØ_Sheet1_Ay°eC￥(2¿u) _착수결의서(죽전4차2단지)_분양(100%)" xfId="38634"/>
    <cellStyle name="Ç¥ÁØ_Sheet1_Áý°èÇ¥(2¿ù) _착수결의서(죽전4차2단지)_분양(100%)" xfId="38635"/>
    <cellStyle name="C￥AØ_Sheet1_Ay°eC￥(2¿u) _착수결의서(죽전4차2단지)_오창사업성(수주심사최종)" xfId="2703"/>
    <cellStyle name="Ç¥ÁØ_Sheet1_Áý°èÇ¥(2¿ù) _착수결의서(죽전4차2단지)_오창사업성(수주심사최종)" xfId="2704"/>
    <cellStyle name="C￥AØ_Sheet1_Ay°eC￥(2¿u) _착수결의서(죽전6차수정0603)" xfId="140"/>
    <cellStyle name="Ç¥ÁØ_Sheet1_Áý°èÇ¥(2¿ù) _착수결의서(죽전6차수정0603)" xfId="141"/>
    <cellStyle name="C￥AØ_Sheet1_Ay°eC￥(2¿u) _착수결의서(죽전6차수정0603)_박달수주심의보고" xfId="2705"/>
    <cellStyle name="Ç¥ÁØ_Sheet1_Áý°èÇ¥(2¿ù) _착수결의서(죽전6차수정0603)_박달수주심의보고" xfId="2706"/>
    <cellStyle name="C￥AØ_Sheet1_Ay°eC￥(2¿u) _착수결의서(죽전6차수정0603)_분양(100%)" xfId="38636"/>
    <cellStyle name="Ç¥ÁØ_Sheet1_Áý°èÇ¥(2¿ù) _착수결의서(죽전6차수정0603)_분양(100%)" xfId="38637"/>
    <cellStyle name="C￥AØ_Sheet1_Ay°eC￥(2¿u) _착수결의서(죽전6차수정0603)_오창사업성(수주심사최종)" xfId="2707"/>
    <cellStyle name="Ç¥ÁØ_Sheet1_Áý°èÇ¥(2¿ù) _착수결의서(죽전6차수정0603)_오창사업성(수주심사최종)" xfId="2708"/>
    <cellStyle name="C￥AØ_Sheet1_Ay°eC￥(2¿u) _착수결의서(최종)" xfId="142"/>
    <cellStyle name="Ç¥ÁØ_Sheet1_Áý°èÇ¥(2¿ù) _착수결의서(최종)" xfId="143"/>
    <cellStyle name="C￥AØ_Sheet1_Ay°eC￥(2¿u) _착수결의서(최종)_박달수주심의보고" xfId="2709"/>
    <cellStyle name="Ç¥ÁØ_Sheet1_Áý°èÇ¥(2¿ù) _착수결의서(최종)_박달수주심의보고" xfId="2710"/>
    <cellStyle name="C￥AØ_Sheet1_Ay°eC￥(2¿u) _착수결의서(최종)_분양(100%)" xfId="38638"/>
    <cellStyle name="Ç¥ÁØ_Sheet1_Áý°èÇ¥(2¿ù) _착수결의서(최종)_분양(100%)" xfId="38639"/>
    <cellStyle name="C￥AØ_Sheet1_Ay°eC￥(2¿u) _착수결의서(최종)_오창사업성(수주심사최종)" xfId="2711"/>
    <cellStyle name="Ç¥ÁØ_Sheet1_Áý°èÇ¥(2¿ù) _착수결의서(최종)_오창사업성(수주심사최종)" xfId="2712"/>
    <cellStyle name="C￥AØ_Sheet1_Ay°eC￥(2¿u) _착수결의서(최종2)" xfId="144"/>
    <cellStyle name="Ç¥ÁØ_Sheet1_Áý°èÇ¥(2¿ù) _착수결의서(최종2)" xfId="145"/>
    <cellStyle name="C￥AØ_Sheet1_Ay°eC￥(2¿u) _착수결의서(최종2)_박달수주심의보고" xfId="2713"/>
    <cellStyle name="Ç¥ÁØ_Sheet1_Áý°èÇ¥(2¿ù) _착수결의서(최종2)_박달수주심의보고" xfId="2714"/>
    <cellStyle name="C￥AØ_Sheet1_Ay°eC￥(2¿u) _착수결의서(최종2)_분양(100%)" xfId="38640"/>
    <cellStyle name="Ç¥ÁØ_Sheet1_Áý°èÇ¥(2¿ù) _착수결의서(최종2)_분양(100%)" xfId="38641"/>
    <cellStyle name="C￥AØ_Sheet1_Ay°eC￥(2¿u) _착수결의서(최종2)_오창사업성(수주심사최종)" xfId="2715"/>
    <cellStyle name="Ç¥ÁØ_Sheet1_Áý°èÇ¥(2¿ù) _착수결의서(최종2)_오창사업성(수주심사최종)" xfId="2716"/>
    <cellStyle name="C￥AØ_Sheet1_Ay°eC￥(2¿u) _착수결의서(최종2_죽전6차)" xfId="146"/>
    <cellStyle name="Ç¥ÁØ_Sheet1_Áý°èÇ¥(2¿ù) _착수결의서(최종2_죽전6차)" xfId="147"/>
    <cellStyle name="C￥AØ_Sheet1_Ay°eC￥(2¿u) _착수결의서(최종2_죽전6차)_박달수주심의보고" xfId="2717"/>
    <cellStyle name="Ç¥ÁØ_Sheet1_Áý°èÇ¥(2¿ù) _착수결의서(최종2_죽전6차)_박달수주심의보고" xfId="2718"/>
    <cellStyle name="C￥AØ_Sheet1_Ay°eC￥(2¿u) _착수결의서(최종2_죽전6차)_분양(100%)" xfId="38642"/>
    <cellStyle name="Ç¥ÁØ_Sheet1_Áý°èÇ¥(2¿ù) _착수결의서(최종2_죽전6차)_분양(100%)" xfId="38643"/>
    <cellStyle name="C￥AØ_Sheet1_Ay°eC￥(2¿u) _착수결의서(최종2_죽전6차)_오창사업성(수주심사최종)" xfId="2719"/>
    <cellStyle name="Ç¥ÁØ_Sheet1_Áý°èÇ¥(2¿ù) _착수결의서(최종2_죽전6차)_오창사업성(수주심사최종)" xfId="2720"/>
    <cellStyle name="C￥AØ_Sheet1_Ay°eC￥(2¿u) _착수결의서(하남신장)" xfId="148"/>
    <cellStyle name="Ç¥ÁØ_Sheet1_Áý°èÇ¥(2¿ù) _착수결의서(하남신장)" xfId="149"/>
    <cellStyle name="C￥AØ_Sheet1_Ay°eC￥(2¿u) _착수결의서(하남신장)_분양(100%)" xfId="38644"/>
    <cellStyle name="Ç¥ÁØ_Sheet1_Áý°èÇ¥(2¿ù) _착수결의서(하남신장)_분양(100%)" xfId="38645"/>
    <cellStyle name="C￥AØ_Sheet1_Ay°eC￥(2¿u) _착수결의서(현장1)" xfId="150"/>
    <cellStyle name="Ç¥ÁØ_Sheet1_Áý°èÇ¥(2¿ù) _착수결의서(현장1)" xfId="151"/>
    <cellStyle name="C￥AØ_Sheet1_Ay°eC￥(2¿u) _착수결의서(현장1).xls Chart 1" xfId="152"/>
    <cellStyle name="Ç¥ÁØ_Sheet1_Áý°èÇ¥(2¿ù) _착수결의서(현장1).xls Chart 1" xfId="153"/>
    <cellStyle name="C￥AØ_Sheet1_Ay°eC￥(2¿u) _착수결의서(현장1).xls Chart 1_박달수주심의보고" xfId="2721"/>
    <cellStyle name="Ç¥ÁØ_Sheet1_Áý°èÇ¥(2¿ù) _착수결의서(현장1).xls Chart 1_박달수주심의보고" xfId="2722"/>
    <cellStyle name="C￥AØ_Sheet1_Ay°eC￥(2¿u) _착수결의서(현장1).xls Chart 1_분양(100%)" xfId="38648"/>
    <cellStyle name="Ç¥ÁØ_Sheet1_Áý°èÇ¥(2¿ù) _착수결의서(현장1).xls Chart 1_분양(100%)" xfId="38649"/>
    <cellStyle name="C￥AØ_Sheet1_Ay°eC￥(2¿u) _착수결의서(현장1).xls Chart 1_오창사업성(수주심사최종)" xfId="2723"/>
    <cellStyle name="Ç¥ÁØ_Sheet1_Áý°èÇ¥(2¿ù) _착수결의서(현장1).xls Chart 1_오창사업성(수주심사최종)" xfId="2724"/>
    <cellStyle name="C￥AØ_Sheet1_Ay°eC￥(2¿u) _착수결의서(현장1).xls Chart 2" xfId="154"/>
    <cellStyle name="Ç¥ÁØ_Sheet1_Áý°èÇ¥(2¿ù) _착수결의서(현장1).xls Chart 2" xfId="155"/>
    <cellStyle name="C￥AØ_Sheet1_Ay°eC￥(2¿u) _착수결의서(현장1).xls Chart 2_박달수주심의보고" xfId="2725"/>
    <cellStyle name="Ç¥ÁØ_Sheet1_Áý°èÇ¥(2¿ù) _착수결의서(현장1).xls Chart 2_박달수주심의보고" xfId="2726"/>
    <cellStyle name="C￥AØ_Sheet1_Ay°eC￥(2¿u) _착수결의서(현장1).xls Chart 2_분양(100%)" xfId="38650"/>
    <cellStyle name="Ç¥ÁØ_Sheet1_Áý°èÇ¥(2¿ù) _착수결의서(현장1).xls Chart 2_분양(100%)" xfId="38651"/>
    <cellStyle name="C￥AØ_Sheet1_Ay°eC￥(2¿u) _착수결의서(현장1).xls Chart 2_오창사업성(수주심사최종)" xfId="2727"/>
    <cellStyle name="Ç¥ÁØ_Sheet1_Áý°èÇ¥(2¿ù) _착수결의서(현장1).xls Chart 2_오창사업성(수주심사최종)" xfId="2728"/>
    <cellStyle name="C￥AØ_Sheet1_Ay°eC￥(2¿u) _착수결의서(현장1)_박달수주심의보고" xfId="2729"/>
    <cellStyle name="Ç¥ÁØ_Sheet1_Áý°èÇ¥(2¿ù) _착수결의서(현장1)_박달수주심의보고" xfId="2730"/>
    <cellStyle name="C￥AØ_Sheet1_Ay°eC￥(2¿u) _착수결의서(현장1)_분양(100%)" xfId="38646"/>
    <cellStyle name="Ç¥ÁØ_Sheet1_Áý°èÇ¥(2¿ù) _착수결의서(현장1)_분양(100%)" xfId="38647"/>
    <cellStyle name="C￥AØ_Sheet1_Ay°eC￥(2¿u) _착수결의서(현장1)_오창사업성(수주심사최종)" xfId="2731"/>
    <cellStyle name="Ç¥ÁØ_Sheet1_Áý°èÇ¥(2¿ù) _착수결의서(현장1)_오창사업성(수주심사최종)" xfId="2732"/>
    <cellStyle name="C￥AØ_Sheet1_Ay°eC￥(2¿u) _착수결의서_박달수주심의보고" xfId="2733"/>
    <cellStyle name="Ç¥ÁØ_Sheet1_Áý°èÇ¥(2¿ù) _착수결의서_박달수주심의보고" xfId="2734"/>
    <cellStyle name="C￥AØ_Sheet1_Ay°eC￥(2¿u) _착수결의서_분양(100%)" xfId="38624"/>
    <cellStyle name="Ç¥ÁØ_Sheet1_Áý°èÇ¥(2¿ù) _착수결의서_분양(100%)" xfId="38625"/>
    <cellStyle name="C￥AØ_Sheet1_Ay°eC￥(2¿u) _착수결의서_오창사업성(수주심사최종)" xfId="2735"/>
    <cellStyle name="Ç¥ÁØ_Sheet1_Áý°èÇ¥(2¿ù) _착수결의서_오창사업성(수주심사최종)" xfId="2736"/>
    <cellStyle name="C￥AØ_Sheet1_Ay°eC￥(2¿u) _착수결의서변경양식(excel)" xfId="156"/>
    <cellStyle name="Ç¥ÁØ_Sheet1_Áý°èÇ¥(2¿ù) _착수결의서변경양식(excel)" xfId="157"/>
    <cellStyle name="C￥AØ_Sheet1_Ay°eC￥(2¿u) _착수결의서변경양식(excel)_분양(100%)" xfId="38652"/>
    <cellStyle name="Ç¥ÁØ_Sheet1_Áý°èÇ¥(2¿ù) _착수결의서변경양식(excel)_분양(100%)" xfId="38653"/>
    <cellStyle name="C￥AØ_SOON1 " xfId="158"/>
    <cellStyle name="Ç¥ÁØ_SOON1 " xfId="11584"/>
    <cellStyle name="C￥AØ_SOON1 _¹≪¿ª10¿u " xfId="11585"/>
    <cellStyle name="Ç¥ÁØ_SOON1 _분양(100%)" xfId="38654"/>
    <cellStyle name="C￥AØ_trr-runsheet . full . final " xfId="11586"/>
    <cellStyle name="Ç¥ÁØ_trr-runsheet . full . final " xfId="11587"/>
    <cellStyle name="C￥AØ_trr-runsheet . full . final _분양(100%)" xfId="38655"/>
    <cellStyle name="Ç¥ÁØ_trr-runsheet . full . final _분양(100%)" xfId="38656"/>
    <cellStyle name="Calc Currency (0)" xfId="642"/>
    <cellStyle name="Calc Currency (0) 2" xfId="11588"/>
    <cellStyle name="Calc Currency (0) 2 2" xfId="11589"/>
    <cellStyle name="Calc Currency (0) 2_분양(100%)" xfId="38658"/>
    <cellStyle name="Calc Currency (0) 3" xfId="11590"/>
    <cellStyle name="Calc Currency (0)_분양(100%)" xfId="38657"/>
    <cellStyle name="Calc Currency (2)" xfId="11591"/>
    <cellStyle name="Calc Percent (0)" xfId="11592"/>
    <cellStyle name="Calc Percent (1)" xfId="11593"/>
    <cellStyle name="Calc Percent (1) 2" xfId="11594"/>
    <cellStyle name="Calc Percent (1)_분양(100%)" xfId="38659"/>
    <cellStyle name="Calc Percent (2)" xfId="11595"/>
    <cellStyle name="Calc Units (0)" xfId="11596"/>
    <cellStyle name="Calc Units (0) 2" xfId="11597"/>
    <cellStyle name="Calc Units (0) 3" xfId="11598"/>
    <cellStyle name="Calc Units (0)_분양(100%)" xfId="38660"/>
    <cellStyle name="Calc Units (1)" xfId="11599"/>
    <cellStyle name="Calc Units (2)" xfId="11600"/>
    <cellStyle name="Calc0" xfId="11601"/>
    <cellStyle name="Calc1" xfId="11602"/>
    <cellStyle name="Calc2" xfId="11603"/>
    <cellStyle name="Calc4" xfId="11604"/>
    <cellStyle name="Calculation" xfId="159"/>
    <cellStyle name="Calculation 10" xfId="3573"/>
    <cellStyle name="Calculation 10 10" xfId="11605"/>
    <cellStyle name="Calculation 10 11" xfId="11606"/>
    <cellStyle name="Calculation 10 12" xfId="11607"/>
    <cellStyle name="Calculation 10 13" xfId="11608"/>
    <cellStyle name="Calculation 10 14" xfId="11609"/>
    <cellStyle name="Calculation 10 15" xfId="11610"/>
    <cellStyle name="Calculation 10 16" xfId="11611"/>
    <cellStyle name="Calculation 10 17" xfId="11612"/>
    <cellStyle name="Calculation 10 18" xfId="11613"/>
    <cellStyle name="Calculation 10 19" xfId="11614"/>
    <cellStyle name="Calculation 10 2" xfId="4645"/>
    <cellStyle name="Calculation 10 20" xfId="11615"/>
    <cellStyle name="Calculation 10 21" xfId="11616"/>
    <cellStyle name="Calculation 10 22" xfId="11617"/>
    <cellStyle name="Calculation 10 23" xfId="11618"/>
    <cellStyle name="Calculation 10 24" xfId="11619"/>
    <cellStyle name="Calculation 10 25" xfId="11620"/>
    <cellStyle name="Calculation 10 26" xfId="11621"/>
    <cellStyle name="Calculation 10 27" xfId="11622"/>
    <cellStyle name="Calculation 10 28" xfId="11623"/>
    <cellStyle name="Calculation 10 29" xfId="11624"/>
    <cellStyle name="Calculation 10 3" xfId="4999"/>
    <cellStyle name="Calculation 10 30" xfId="11625"/>
    <cellStyle name="Calculation 10 31" xfId="11626"/>
    <cellStyle name="Calculation 10 32" xfId="11627"/>
    <cellStyle name="Calculation 10 33" xfId="11628"/>
    <cellStyle name="Calculation 10 34" xfId="11629"/>
    <cellStyle name="Calculation 10 35" xfId="11630"/>
    <cellStyle name="Calculation 10 36" xfId="11631"/>
    <cellStyle name="Calculation 10 37" xfId="11632"/>
    <cellStyle name="Calculation 10 38" xfId="11633"/>
    <cellStyle name="Calculation 10 39" xfId="11634"/>
    <cellStyle name="Calculation 10 4" xfId="11635"/>
    <cellStyle name="Calculation 10 40" xfId="11636"/>
    <cellStyle name="Calculation 10 41" xfId="11637"/>
    <cellStyle name="Calculation 10 42" xfId="11638"/>
    <cellStyle name="Calculation 10 43" xfId="11639"/>
    <cellStyle name="Calculation 10 5" xfId="11640"/>
    <cellStyle name="Calculation 10 6" xfId="11641"/>
    <cellStyle name="Calculation 10 7" xfId="11642"/>
    <cellStyle name="Calculation 10 8" xfId="11643"/>
    <cellStyle name="Calculation 10 9" xfId="11644"/>
    <cellStyle name="Calculation 10_분양(100%)" xfId="38662"/>
    <cellStyle name="Calculation 11" xfId="11645"/>
    <cellStyle name="Calculation 11 10" xfId="11646"/>
    <cellStyle name="Calculation 11 11" xfId="11647"/>
    <cellStyle name="Calculation 11 12" xfId="11648"/>
    <cellStyle name="Calculation 11 13" xfId="11649"/>
    <cellStyle name="Calculation 11 14" xfId="11650"/>
    <cellStyle name="Calculation 11 15" xfId="11651"/>
    <cellStyle name="Calculation 11 16" xfId="11652"/>
    <cellStyle name="Calculation 11 17" xfId="11653"/>
    <cellStyle name="Calculation 11 18" xfId="11654"/>
    <cellStyle name="Calculation 11 19" xfId="11655"/>
    <cellStyle name="Calculation 11 2" xfId="11656"/>
    <cellStyle name="Calculation 11 20" xfId="11657"/>
    <cellStyle name="Calculation 11 21" xfId="11658"/>
    <cellStyle name="Calculation 11 22" xfId="11659"/>
    <cellStyle name="Calculation 11 23" xfId="11660"/>
    <cellStyle name="Calculation 11 24" xfId="11661"/>
    <cellStyle name="Calculation 11 25" xfId="11662"/>
    <cellStyle name="Calculation 11 26" xfId="11663"/>
    <cellStyle name="Calculation 11 27" xfId="11664"/>
    <cellStyle name="Calculation 11 28" xfId="11665"/>
    <cellStyle name="Calculation 11 29" xfId="11666"/>
    <cellStyle name="Calculation 11 3" xfId="11667"/>
    <cellStyle name="Calculation 11 30" xfId="11668"/>
    <cellStyle name="Calculation 11 31" xfId="11669"/>
    <cellStyle name="Calculation 11 32" xfId="11670"/>
    <cellStyle name="Calculation 11 33" xfId="11671"/>
    <cellStyle name="Calculation 11 34" xfId="11672"/>
    <cellStyle name="Calculation 11 35" xfId="11673"/>
    <cellStyle name="Calculation 11 36" xfId="11674"/>
    <cellStyle name="Calculation 11 37" xfId="11675"/>
    <cellStyle name="Calculation 11 38" xfId="11676"/>
    <cellStyle name="Calculation 11 39" xfId="11677"/>
    <cellStyle name="Calculation 11 4" xfId="11678"/>
    <cellStyle name="Calculation 11 40" xfId="11679"/>
    <cellStyle name="Calculation 11 41" xfId="11680"/>
    <cellStyle name="Calculation 11 42" xfId="11681"/>
    <cellStyle name="Calculation 11 43" xfId="11682"/>
    <cellStyle name="Calculation 11 5" xfId="11683"/>
    <cellStyle name="Calculation 11 6" xfId="11684"/>
    <cellStyle name="Calculation 11 7" xfId="11685"/>
    <cellStyle name="Calculation 11 8" xfId="11686"/>
    <cellStyle name="Calculation 11 9" xfId="11687"/>
    <cellStyle name="Calculation 11_분양(100%)" xfId="38663"/>
    <cellStyle name="Calculation 12" xfId="11688"/>
    <cellStyle name="Calculation 12 10" xfId="11689"/>
    <cellStyle name="Calculation 12 11" xfId="11690"/>
    <cellStyle name="Calculation 12 12" xfId="11691"/>
    <cellStyle name="Calculation 12 13" xfId="11692"/>
    <cellStyle name="Calculation 12 14" xfId="11693"/>
    <cellStyle name="Calculation 12 15" xfId="11694"/>
    <cellStyle name="Calculation 12 16" xfId="11695"/>
    <cellStyle name="Calculation 12 17" xfId="11696"/>
    <cellStyle name="Calculation 12 18" xfId="11697"/>
    <cellStyle name="Calculation 12 19" xfId="11698"/>
    <cellStyle name="Calculation 12 2" xfId="11699"/>
    <cellStyle name="Calculation 12 20" xfId="11700"/>
    <cellStyle name="Calculation 12 21" xfId="11701"/>
    <cellStyle name="Calculation 12 22" xfId="11702"/>
    <cellStyle name="Calculation 12 23" xfId="11703"/>
    <cellStyle name="Calculation 12 24" xfId="11704"/>
    <cellStyle name="Calculation 12 25" xfId="11705"/>
    <cellStyle name="Calculation 12 26" xfId="11706"/>
    <cellStyle name="Calculation 12 27" xfId="11707"/>
    <cellStyle name="Calculation 12 28" xfId="11708"/>
    <cellStyle name="Calculation 12 29" xfId="11709"/>
    <cellStyle name="Calculation 12 3" xfId="11710"/>
    <cellStyle name="Calculation 12 30" xfId="11711"/>
    <cellStyle name="Calculation 12 31" xfId="11712"/>
    <cellStyle name="Calculation 12 32" xfId="11713"/>
    <cellStyle name="Calculation 12 33" xfId="11714"/>
    <cellStyle name="Calculation 12 34" xfId="11715"/>
    <cellStyle name="Calculation 12 35" xfId="11716"/>
    <cellStyle name="Calculation 12 36" xfId="11717"/>
    <cellStyle name="Calculation 12 37" xfId="11718"/>
    <cellStyle name="Calculation 12 38" xfId="11719"/>
    <cellStyle name="Calculation 12 39" xfId="11720"/>
    <cellStyle name="Calculation 12 4" xfId="11721"/>
    <cellStyle name="Calculation 12 40" xfId="11722"/>
    <cellStyle name="Calculation 12 41" xfId="11723"/>
    <cellStyle name="Calculation 12 42" xfId="11724"/>
    <cellStyle name="Calculation 12 43" xfId="11725"/>
    <cellStyle name="Calculation 12 5" xfId="11726"/>
    <cellStyle name="Calculation 12 6" xfId="11727"/>
    <cellStyle name="Calculation 12 7" xfId="11728"/>
    <cellStyle name="Calculation 12 8" xfId="11729"/>
    <cellStyle name="Calculation 12 9" xfId="11730"/>
    <cellStyle name="Calculation 12_분양(100%)" xfId="38664"/>
    <cellStyle name="Calculation 13" xfId="11731"/>
    <cellStyle name="Calculation 13 10" xfId="11732"/>
    <cellStyle name="Calculation 13 11" xfId="11733"/>
    <cellStyle name="Calculation 13 12" xfId="11734"/>
    <cellStyle name="Calculation 13 13" xfId="11735"/>
    <cellStyle name="Calculation 13 14" xfId="11736"/>
    <cellStyle name="Calculation 13 15" xfId="11737"/>
    <cellStyle name="Calculation 13 16" xfId="11738"/>
    <cellStyle name="Calculation 13 17" xfId="11739"/>
    <cellStyle name="Calculation 13 18" xfId="11740"/>
    <cellStyle name="Calculation 13 19" xfId="11741"/>
    <cellStyle name="Calculation 13 2" xfId="11742"/>
    <cellStyle name="Calculation 13 20" xfId="11743"/>
    <cellStyle name="Calculation 13 21" xfId="11744"/>
    <cellStyle name="Calculation 13 22" xfId="11745"/>
    <cellStyle name="Calculation 13 23" xfId="11746"/>
    <cellStyle name="Calculation 13 24" xfId="11747"/>
    <cellStyle name="Calculation 13 25" xfId="11748"/>
    <cellStyle name="Calculation 13 26" xfId="11749"/>
    <cellStyle name="Calculation 13 27" xfId="11750"/>
    <cellStyle name="Calculation 13 28" xfId="11751"/>
    <cellStyle name="Calculation 13 29" xfId="11752"/>
    <cellStyle name="Calculation 13 3" xfId="11753"/>
    <cellStyle name="Calculation 13 30" xfId="11754"/>
    <cellStyle name="Calculation 13 31" xfId="11755"/>
    <cellStyle name="Calculation 13 32" xfId="11756"/>
    <cellStyle name="Calculation 13 33" xfId="11757"/>
    <cellStyle name="Calculation 13 34" xfId="11758"/>
    <cellStyle name="Calculation 13 35" xfId="11759"/>
    <cellStyle name="Calculation 13 36" xfId="11760"/>
    <cellStyle name="Calculation 13 37" xfId="11761"/>
    <cellStyle name="Calculation 13 38" xfId="11762"/>
    <cellStyle name="Calculation 13 39" xfId="11763"/>
    <cellStyle name="Calculation 13 4" xfId="11764"/>
    <cellStyle name="Calculation 13 40" xfId="11765"/>
    <cellStyle name="Calculation 13 41" xfId="11766"/>
    <cellStyle name="Calculation 13 42" xfId="11767"/>
    <cellStyle name="Calculation 13 43" xfId="11768"/>
    <cellStyle name="Calculation 13 5" xfId="11769"/>
    <cellStyle name="Calculation 13 6" xfId="11770"/>
    <cellStyle name="Calculation 13 7" xfId="11771"/>
    <cellStyle name="Calculation 13 8" xfId="11772"/>
    <cellStyle name="Calculation 13 9" xfId="11773"/>
    <cellStyle name="Calculation 13_분양(100%)" xfId="38665"/>
    <cellStyle name="Calculation 14" xfId="11774"/>
    <cellStyle name="Calculation 14 10" xfId="11775"/>
    <cellStyle name="Calculation 14 11" xfId="11776"/>
    <cellStyle name="Calculation 14 12" xfId="11777"/>
    <cellStyle name="Calculation 14 13" xfId="11778"/>
    <cellStyle name="Calculation 14 14" xfId="11779"/>
    <cellStyle name="Calculation 14 15" xfId="11780"/>
    <cellStyle name="Calculation 14 16" xfId="11781"/>
    <cellStyle name="Calculation 14 17" xfId="11782"/>
    <cellStyle name="Calculation 14 18" xfId="11783"/>
    <cellStyle name="Calculation 14 19" xfId="11784"/>
    <cellStyle name="Calculation 14 2" xfId="11785"/>
    <cellStyle name="Calculation 14 20" xfId="11786"/>
    <cellStyle name="Calculation 14 21" xfId="11787"/>
    <cellStyle name="Calculation 14 22" xfId="11788"/>
    <cellStyle name="Calculation 14 23" xfId="11789"/>
    <cellStyle name="Calculation 14 24" xfId="11790"/>
    <cellStyle name="Calculation 14 25" xfId="11791"/>
    <cellStyle name="Calculation 14 26" xfId="11792"/>
    <cellStyle name="Calculation 14 27" xfId="11793"/>
    <cellStyle name="Calculation 14 28" xfId="11794"/>
    <cellStyle name="Calculation 14 29" xfId="11795"/>
    <cellStyle name="Calculation 14 3" xfId="11796"/>
    <cellStyle name="Calculation 14 30" xfId="11797"/>
    <cellStyle name="Calculation 14 31" xfId="11798"/>
    <cellStyle name="Calculation 14 32" xfId="11799"/>
    <cellStyle name="Calculation 14 33" xfId="11800"/>
    <cellStyle name="Calculation 14 34" xfId="11801"/>
    <cellStyle name="Calculation 14 35" xfId="11802"/>
    <cellStyle name="Calculation 14 36" xfId="11803"/>
    <cellStyle name="Calculation 14 37" xfId="11804"/>
    <cellStyle name="Calculation 14 38" xfId="11805"/>
    <cellStyle name="Calculation 14 39" xfId="11806"/>
    <cellStyle name="Calculation 14 4" xfId="11807"/>
    <cellStyle name="Calculation 14 40" xfId="11808"/>
    <cellStyle name="Calculation 14 41" xfId="11809"/>
    <cellStyle name="Calculation 14 42" xfId="11810"/>
    <cellStyle name="Calculation 14 43" xfId="11811"/>
    <cellStyle name="Calculation 14 5" xfId="11812"/>
    <cellStyle name="Calculation 14 6" xfId="11813"/>
    <cellStyle name="Calculation 14 7" xfId="11814"/>
    <cellStyle name="Calculation 14 8" xfId="11815"/>
    <cellStyle name="Calculation 14 9" xfId="11816"/>
    <cellStyle name="Calculation 14_분양(100%)" xfId="38666"/>
    <cellStyle name="Calculation 15" xfId="11817"/>
    <cellStyle name="Calculation 15 10" xfId="11818"/>
    <cellStyle name="Calculation 15 11" xfId="11819"/>
    <cellStyle name="Calculation 15 12" xfId="11820"/>
    <cellStyle name="Calculation 15 13" xfId="11821"/>
    <cellStyle name="Calculation 15 14" xfId="11822"/>
    <cellStyle name="Calculation 15 15" xfId="11823"/>
    <cellStyle name="Calculation 15 16" xfId="11824"/>
    <cellStyle name="Calculation 15 17" xfId="11825"/>
    <cellStyle name="Calculation 15 18" xfId="11826"/>
    <cellStyle name="Calculation 15 19" xfId="11827"/>
    <cellStyle name="Calculation 15 2" xfId="11828"/>
    <cellStyle name="Calculation 15 20" xfId="11829"/>
    <cellStyle name="Calculation 15 21" xfId="11830"/>
    <cellStyle name="Calculation 15 22" xfId="11831"/>
    <cellStyle name="Calculation 15 23" xfId="11832"/>
    <cellStyle name="Calculation 15 24" xfId="11833"/>
    <cellStyle name="Calculation 15 25" xfId="11834"/>
    <cellStyle name="Calculation 15 26" xfId="11835"/>
    <cellStyle name="Calculation 15 27" xfId="11836"/>
    <cellStyle name="Calculation 15 28" xfId="11837"/>
    <cellStyle name="Calculation 15 29" xfId="11838"/>
    <cellStyle name="Calculation 15 3" xfId="11839"/>
    <cellStyle name="Calculation 15 30" xfId="11840"/>
    <cellStyle name="Calculation 15 31" xfId="11841"/>
    <cellStyle name="Calculation 15 32" xfId="11842"/>
    <cellStyle name="Calculation 15 33" xfId="11843"/>
    <cellStyle name="Calculation 15 34" xfId="11844"/>
    <cellStyle name="Calculation 15 35" xfId="11845"/>
    <cellStyle name="Calculation 15 36" xfId="11846"/>
    <cellStyle name="Calculation 15 37" xfId="11847"/>
    <cellStyle name="Calculation 15 38" xfId="11848"/>
    <cellStyle name="Calculation 15 39" xfId="11849"/>
    <cellStyle name="Calculation 15 4" xfId="11850"/>
    <cellStyle name="Calculation 15 40" xfId="11851"/>
    <cellStyle name="Calculation 15 41" xfId="11852"/>
    <cellStyle name="Calculation 15 42" xfId="11853"/>
    <cellStyle name="Calculation 15 43" xfId="11854"/>
    <cellStyle name="Calculation 15 5" xfId="11855"/>
    <cellStyle name="Calculation 15 6" xfId="11856"/>
    <cellStyle name="Calculation 15 7" xfId="11857"/>
    <cellStyle name="Calculation 15 8" xfId="11858"/>
    <cellStyle name="Calculation 15 9" xfId="11859"/>
    <cellStyle name="Calculation 15_분양(100%)" xfId="38667"/>
    <cellStyle name="Calculation 16" xfId="11860"/>
    <cellStyle name="Calculation 16 10" xfId="11861"/>
    <cellStyle name="Calculation 16 11" xfId="11862"/>
    <cellStyle name="Calculation 16 12" xfId="11863"/>
    <cellStyle name="Calculation 16 13" xfId="11864"/>
    <cellStyle name="Calculation 16 14" xfId="11865"/>
    <cellStyle name="Calculation 16 15" xfId="11866"/>
    <cellStyle name="Calculation 16 16" xfId="11867"/>
    <cellStyle name="Calculation 16 17" xfId="11868"/>
    <cellStyle name="Calculation 16 18" xfId="11869"/>
    <cellStyle name="Calculation 16 19" xfId="11870"/>
    <cellStyle name="Calculation 16 2" xfId="11871"/>
    <cellStyle name="Calculation 16 20" xfId="11872"/>
    <cellStyle name="Calculation 16 21" xfId="11873"/>
    <cellStyle name="Calculation 16 22" xfId="11874"/>
    <cellStyle name="Calculation 16 23" xfId="11875"/>
    <cellStyle name="Calculation 16 24" xfId="11876"/>
    <cellStyle name="Calculation 16 25" xfId="11877"/>
    <cellStyle name="Calculation 16 26" xfId="11878"/>
    <cellStyle name="Calculation 16 27" xfId="11879"/>
    <cellStyle name="Calculation 16 28" xfId="11880"/>
    <cellStyle name="Calculation 16 29" xfId="11881"/>
    <cellStyle name="Calculation 16 3" xfId="11882"/>
    <cellStyle name="Calculation 16 30" xfId="11883"/>
    <cellStyle name="Calculation 16 31" xfId="11884"/>
    <cellStyle name="Calculation 16 32" xfId="11885"/>
    <cellStyle name="Calculation 16 33" xfId="11886"/>
    <cellStyle name="Calculation 16 34" xfId="11887"/>
    <cellStyle name="Calculation 16 35" xfId="11888"/>
    <cellStyle name="Calculation 16 36" xfId="11889"/>
    <cellStyle name="Calculation 16 37" xfId="11890"/>
    <cellStyle name="Calculation 16 38" xfId="11891"/>
    <cellStyle name="Calculation 16 39" xfId="11892"/>
    <cellStyle name="Calculation 16 4" xfId="11893"/>
    <cellStyle name="Calculation 16 40" xfId="11894"/>
    <cellStyle name="Calculation 16 41" xfId="11895"/>
    <cellStyle name="Calculation 16 42" xfId="11896"/>
    <cellStyle name="Calculation 16 43" xfId="11897"/>
    <cellStyle name="Calculation 16 5" xfId="11898"/>
    <cellStyle name="Calculation 16 6" xfId="11899"/>
    <cellStyle name="Calculation 16 7" xfId="11900"/>
    <cellStyle name="Calculation 16 8" xfId="11901"/>
    <cellStyle name="Calculation 16 9" xfId="11902"/>
    <cellStyle name="Calculation 16_분양(100%)" xfId="38668"/>
    <cellStyle name="Calculation 17" xfId="11903"/>
    <cellStyle name="Calculation 17 10" xfId="11904"/>
    <cellStyle name="Calculation 17 11" xfId="11905"/>
    <cellStyle name="Calculation 17 12" xfId="11906"/>
    <cellStyle name="Calculation 17 13" xfId="11907"/>
    <cellStyle name="Calculation 17 14" xfId="11908"/>
    <cellStyle name="Calculation 17 15" xfId="11909"/>
    <cellStyle name="Calculation 17 16" xfId="11910"/>
    <cellStyle name="Calculation 17 17" xfId="11911"/>
    <cellStyle name="Calculation 17 18" xfId="11912"/>
    <cellStyle name="Calculation 17 19" xfId="11913"/>
    <cellStyle name="Calculation 17 2" xfId="11914"/>
    <cellStyle name="Calculation 17 20" xfId="11915"/>
    <cellStyle name="Calculation 17 21" xfId="11916"/>
    <cellStyle name="Calculation 17 22" xfId="11917"/>
    <cellStyle name="Calculation 17 23" xfId="11918"/>
    <cellStyle name="Calculation 17 24" xfId="11919"/>
    <cellStyle name="Calculation 17 25" xfId="11920"/>
    <cellStyle name="Calculation 17 26" xfId="11921"/>
    <cellStyle name="Calculation 17 27" xfId="11922"/>
    <cellStyle name="Calculation 17 28" xfId="11923"/>
    <cellStyle name="Calculation 17 29" xfId="11924"/>
    <cellStyle name="Calculation 17 3" xfId="11925"/>
    <cellStyle name="Calculation 17 30" xfId="11926"/>
    <cellStyle name="Calculation 17 31" xfId="11927"/>
    <cellStyle name="Calculation 17 32" xfId="11928"/>
    <cellStyle name="Calculation 17 33" xfId="11929"/>
    <cellStyle name="Calculation 17 34" xfId="11930"/>
    <cellStyle name="Calculation 17 35" xfId="11931"/>
    <cellStyle name="Calculation 17 36" xfId="11932"/>
    <cellStyle name="Calculation 17 37" xfId="11933"/>
    <cellStyle name="Calculation 17 38" xfId="11934"/>
    <cellStyle name="Calculation 17 39" xfId="11935"/>
    <cellStyle name="Calculation 17 4" xfId="11936"/>
    <cellStyle name="Calculation 17 40" xfId="11937"/>
    <cellStyle name="Calculation 17 41" xfId="11938"/>
    <cellStyle name="Calculation 17 42" xfId="11939"/>
    <cellStyle name="Calculation 17 43" xfId="11940"/>
    <cellStyle name="Calculation 17 5" xfId="11941"/>
    <cellStyle name="Calculation 17 6" xfId="11942"/>
    <cellStyle name="Calculation 17 7" xfId="11943"/>
    <cellStyle name="Calculation 17 8" xfId="11944"/>
    <cellStyle name="Calculation 17 9" xfId="11945"/>
    <cellStyle name="Calculation 17_분양(100%)" xfId="38669"/>
    <cellStyle name="Calculation 18" xfId="11946"/>
    <cellStyle name="Calculation 18 10" xfId="11947"/>
    <cellStyle name="Calculation 18 11" xfId="11948"/>
    <cellStyle name="Calculation 18 12" xfId="11949"/>
    <cellStyle name="Calculation 18 13" xfId="11950"/>
    <cellStyle name="Calculation 18 14" xfId="11951"/>
    <cellStyle name="Calculation 18 15" xfId="11952"/>
    <cellStyle name="Calculation 18 16" xfId="11953"/>
    <cellStyle name="Calculation 18 17" xfId="11954"/>
    <cellStyle name="Calculation 18 18" xfId="11955"/>
    <cellStyle name="Calculation 18 19" xfId="11956"/>
    <cellStyle name="Calculation 18 2" xfId="11957"/>
    <cellStyle name="Calculation 18 20" xfId="11958"/>
    <cellStyle name="Calculation 18 21" xfId="11959"/>
    <cellStyle name="Calculation 18 22" xfId="11960"/>
    <cellStyle name="Calculation 18 23" xfId="11961"/>
    <cellStyle name="Calculation 18 24" xfId="11962"/>
    <cellStyle name="Calculation 18 25" xfId="11963"/>
    <cellStyle name="Calculation 18 26" xfId="11964"/>
    <cellStyle name="Calculation 18 27" xfId="11965"/>
    <cellStyle name="Calculation 18 28" xfId="11966"/>
    <cellStyle name="Calculation 18 29" xfId="11967"/>
    <cellStyle name="Calculation 18 3" xfId="11968"/>
    <cellStyle name="Calculation 18 30" xfId="11969"/>
    <cellStyle name="Calculation 18 31" xfId="11970"/>
    <cellStyle name="Calculation 18 32" xfId="11971"/>
    <cellStyle name="Calculation 18 33" xfId="11972"/>
    <cellStyle name="Calculation 18 34" xfId="11973"/>
    <cellStyle name="Calculation 18 35" xfId="11974"/>
    <cellStyle name="Calculation 18 36" xfId="11975"/>
    <cellStyle name="Calculation 18 37" xfId="11976"/>
    <cellStyle name="Calculation 18 38" xfId="11977"/>
    <cellStyle name="Calculation 18 39" xfId="11978"/>
    <cellStyle name="Calculation 18 4" xfId="11979"/>
    <cellStyle name="Calculation 18 40" xfId="11980"/>
    <cellStyle name="Calculation 18 41" xfId="11981"/>
    <cellStyle name="Calculation 18 42" xfId="11982"/>
    <cellStyle name="Calculation 18 43" xfId="11983"/>
    <cellStyle name="Calculation 18 5" xfId="11984"/>
    <cellStyle name="Calculation 18 6" xfId="11985"/>
    <cellStyle name="Calculation 18 7" xfId="11986"/>
    <cellStyle name="Calculation 18 8" xfId="11987"/>
    <cellStyle name="Calculation 18 9" xfId="11988"/>
    <cellStyle name="Calculation 18_분양(100%)" xfId="38670"/>
    <cellStyle name="Calculation 19" xfId="11989"/>
    <cellStyle name="Calculation 19 10" xfId="11990"/>
    <cellStyle name="Calculation 19 11" xfId="11991"/>
    <cellStyle name="Calculation 19 12" xfId="11992"/>
    <cellStyle name="Calculation 19 13" xfId="11993"/>
    <cellStyle name="Calculation 19 14" xfId="11994"/>
    <cellStyle name="Calculation 19 15" xfId="11995"/>
    <cellStyle name="Calculation 19 16" xfId="11996"/>
    <cellStyle name="Calculation 19 17" xfId="11997"/>
    <cellStyle name="Calculation 19 18" xfId="11998"/>
    <cellStyle name="Calculation 19 19" xfId="11999"/>
    <cellStyle name="Calculation 19 2" xfId="12000"/>
    <cellStyle name="Calculation 19 20" xfId="12001"/>
    <cellStyle name="Calculation 19 21" xfId="12002"/>
    <cellStyle name="Calculation 19 22" xfId="12003"/>
    <cellStyle name="Calculation 19 23" xfId="12004"/>
    <cellStyle name="Calculation 19 24" xfId="12005"/>
    <cellStyle name="Calculation 19 25" xfId="12006"/>
    <cellStyle name="Calculation 19 26" xfId="12007"/>
    <cellStyle name="Calculation 19 27" xfId="12008"/>
    <cellStyle name="Calculation 19 28" xfId="12009"/>
    <cellStyle name="Calculation 19 29" xfId="12010"/>
    <cellStyle name="Calculation 19 3" xfId="12011"/>
    <cellStyle name="Calculation 19 30" xfId="12012"/>
    <cellStyle name="Calculation 19 31" xfId="12013"/>
    <cellStyle name="Calculation 19 32" xfId="12014"/>
    <cellStyle name="Calculation 19 33" xfId="12015"/>
    <cellStyle name="Calculation 19 34" xfId="12016"/>
    <cellStyle name="Calculation 19 35" xfId="12017"/>
    <cellStyle name="Calculation 19 36" xfId="12018"/>
    <cellStyle name="Calculation 19 37" xfId="12019"/>
    <cellStyle name="Calculation 19 38" xfId="12020"/>
    <cellStyle name="Calculation 19 39" xfId="12021"/>
    <cellStyle name="Calculation 19 4" xfId="12022"/>
    <cellStyle name="Calculation 19 40" xfId="12023"/>
    <cellStyle name="Calculation 19 41" xfId="12024"/>
    <cellStyle name="Calculation 19 42" xfId="12025"/>
    <cellStyle name="Calculation 19 43" xfId="12026"/>
    <cellStyle name="Calculation 19 5" xfId="12027"/>
    <cellStyle name="Calculation 19 6" xfId="12028"/>
    <cellStyle name="Calculation 19 7" xfId="12029"/>
    <cellStyle name="Calculation 19 8" xfId="12030"/>
    <cellStyle name="Calculation 19 9" xfId="12031"/>
    <cellStyle name="Calculation 19_분양(100%)" xfId="38671"/>
    <cellStyle name="Calculation 2" xfId="515"/>
    <cellStyle name="Calculation 2 10" xfId="12032"/>
    <cellStyle name="Calculation 2 11" xfId="12033"/>
    <cellStyle name="Calculation 2 12" xfId="12034"/>
    <cellStyle name="Calculation 2 13" xfId="12035"/>
    <cellStyle name="Calculation 2 14" xfId="12036"/>
    <cellStyle name="Calculation 2 15" xfId="12037"/>
    <cellStyle name="Calculation 2 16" xfId="12038"/>
    <cellStyle name="Calculation 2 17" xfId="12039"/>
    <cellStyle name="Calculation 2 18" xfId="12040"/>
    <cellStyle name="Calculation 2 19" xfId="12041"/>
    <cellStyle name="Calculation 2 2" xfId="577"/>
    <cellStyle name="Calculation 2 2 2" xfId="3175"/>
    <cellStyle name="Calculation 2 2 2 2" xfId="3574"/>
    <cellStyle name="Calculation 2 2 2 2 2" xfId="4646"/>
    <cellStyle name="Calculation 2 2 2 2 3" xfId="5000"/>
    <cellStyle name="Calculation 2 2 2 3" xfId="4589"/>
    <cellStyle name="Calculation 2 2 2 4" xfId="4465"/>
    <cellStyle name="Calculation 2 2 3" xfId="3575"/>
    <cellStyle name="Calculation 2 2 3 2" xfId="4647"/>
    <cellStyle name="Calculation 2 2 3 3" xfId="5001"/>
    <cellStyle name="Calculation 2 2 4" xfId="3576"/>
    <cellStyle name="Calculation 2 2 4 2" xfId="4648"/>
    <cellStyle name="Calculation 2 2 4 3" xfId="5002"/>
    <cellStyle name="Calculation 2 2_분양(100%)" xfId="38673"/>
    <cellStyle name="Calculation 2 20" xfId="12042"/>
    <cellStyle name="Calculation 2 21" xfId="12043"/>
    <cellStyle name="Calculation 2 22" xfId="12044"/>
    <cellStyle name="Calculation 2 23" xfId="12045"/>
    <cellStyle name="Calculation 2 24" xfId="12046"/>
    <cellStyle name="Calculation 2 25" xfId="12047"/>
    <cellStyle name="Calculation 2 26" xfId="12048"/>
    <cellStyle name="Calculation 2 27" xfId="12049"/>
    <cellStyle name="Calculation 2 28" xfId="12050"/>
    <cellStyle name="Calculation 2 29" xfId="12051"/>
    <cellStyle name="Calculation 2 3" xfId="593"/>
    <cellStyle name="Calculation 2 3 2" xfId="3191"/>
    <cellStyle name="Calculation 2 3 2 2" xfId="3577"/>
    <cellStyle name="Calculation 2 3 2 2 2" xfId="4649"/>
    <cellStyle name="Calculation 2 3 2 2 3" xfId="5003"/>
    <cellStyle name="Calculation 2 3 2 3" xfId="4605"/>
    <cellStyle name="Calculation 2 3 2 4" xfId="4463"/>
    <cellStyle name="Calculation 2 3 3" xfId="3578"/>
    <cellStyle name="Calculation 2 3 3 2" xfId="4650"/>
    <cellStyle name="Calculation 2 3 3 3" xfId="5004"/>
    <cellStyle name="Calculation 2 3 4" xfId="3579"/>
    <cellStyle name="Calculation 2 3 4 2" xfId="4651"/>
    <cellStyle name="Calculation 2 3 4 3" xfId="5005"/>
    <cellStyle name="Calculation 2 3_분양(100%)" xfId="38674"/>
    <cellStyle name="Calculation 2 30" xfId="12052"/>
    <cellStyle name="Calculation 2 31" xfId="12053"/>
    <cellStyle name="Calculation 2 32" xfId="12054"/>
    <cellStyle name="Calculation 2 33" xfId="12055"/>
    <cellStyle name="Calculation 2 34" xfId="12056"/>
    <cellStyle name="Calculation 2 35" xfId="12057"/>
    <cellStyle name="Calculation 2 36" xfId="12058"/>
    <cellStyle name="Calculation 2 37" xfId="12059"/>
    <cellStyle name="Calculation 2 38" xfId="12060"/>
    <cellStyle name="Calculation 2 39" xfId="12061"/>
    <cellStyle name="Calculation 2 4" xfId="3127"/>
    <cellStyle name="Calculation 2 4 2" xfId="3580"/>
    <cellStyle name="Calculation 2 4 2 2" xfId="4652"/>
    <cellStyle name="Calculation 2 4 2 3" xfId="5006"/>
    <cellStyle name="Calculation 2 4 3" xfId="4542"/>
    <cellStyle name="Calculation 2 4 4" xfId="4510"/>
    <cellStyle name="Calculation 2 4_분양(100%)" xfId="38675"/>
    <cellStyle name="Calculation 2 40" xfId="12062"/>
    <cellStyle name="Calculation 2 41" xfId="12063"/>
    <cellStyle name="Calculation 2 42" xfId="12064"/>
    <cellStyle name="Calculation 2 43" xfId="12065"/>
    <cellStyle name="Calculation 2 44" xfId="12066"/>
    <cellStyle name="Calculation 2 5" xfId="3581"/>
    <cellStyle name="Calculation 2 5 2" xfId="4653"/>
    <cellStyle name="Calculation 2 5 3" xfId="5007"/>
    <cellStyle name="Calculation 2 5_분양(100%)" xfId="38676"/>
    <cellStyle name="Calculation 2 6" xfId="3582"/>
    <cellStyle name="Calculation 2 6 2" xfId="4654"/>
    <cellStyle name="Calculation 2 6 3" xfId="5008"/>
    <cellStyle name="Calculation 2 6_분양(100%)" xfId="38677"/>
    <cellStyle name="Calculation 2 7" xfId="12067"/>
    <cellStyle name="Calculation 2 8" xfId="12068"/>
    <cellStyle name="Calculation 2 9" xfId="12069"/>
    <cellStyle name="Calculation 2_분양(100%)" xfId="38672"/>
    <cellStyle name="Calculation 20" xfId="12070"/>
    <cellStyle name="Calculation 20 10" xfId="12071"/>
    <cellStyle name="Calculation 20 11" xfId="12072"/>
    <cellStyle name="Calculation 20 12" xfId="12073"/>
    <cellStyle name="Calculation 20 13" xfId="12074"/>
    <cellStyle name="Calculation 20 14" xfId="12075"/>
    <cellStyle name="Calculation 20 15" xfId="12076"/>
    <cellStyle name="Calculation 20 16" xfId="12077"/>
    <cellStyle name="Calculation 20 17" xfId="12078"/>
    <cellStyle name="Calculation 20 18" xfId="12079"/>
    <cellStyle name="Calculation 20 19" xfId="12080"/>
    <cellStyle name="Calculation 20 2" xfId="12081"/>
    <cellStyle name="Calculation 20 20" xfId="12082"/>
    <cellStyle name="Calculation 20 21" xfId="12083"/>
    <cellStyle name="Calculation 20 22" xfId="12084"/>
    <cellStyle name="Calculation 20 23" xfId="12085"/>
    <cellStyle name="Calculation 20 24" xfId="12086"/>
    <cellStyle name="Calculation 20 25" xfId="12087"/>
    <cellStyle name="Calculation 20 26" xfId="12088"/>
    <cellStyle name="Calculation 20 27" xfId="12089"/>
    <cellStyle name="Calculation 20 28" xfId="12090"/>
    <cellStyle name="Calculation 20 29" xfId="12091"/>
    <cellStyle name="Calculation 20 3" xfId="12092"/>
    <cellStyle name="Calculation 20 30" xfId="12093"/>
    <cellStyle name="Calculation 20 31" xfId="12094"/>
    <cellStyle name="Calculation 20 32" xfId="12095"/>
    <cellStyle name="Calculation 20 33" xfId="12096"/>
    <cellStyle name="Calculation 20 34" xfId="12097"/>
    <cellStyle name="Calculation 20 35" xfId="12098"/>
    <cellStyle name="Calculation 20 36" xfId="12099"/>
    <cellStyle name="Calculation 20 37" xfId="12100"/>
    <cellStyle name="Calculation 20 38" xfId="12101"/>
    <cellStyle name="Calculation 20 39" xfId="12102"/>
    <cellStyle name="Calculation 20 4" xfId="12103"/>
    <cellStyle name="Calculation 20 40" xfId="12104"/>
    <cellStyle name="Calculation 20 41" xfId="12105"/>
    <cellStyle name="Calculation 20 42" xfId="12106"/>
    <cellStyle name="Calculation 20 43" xfId="12107"/>
    <cellStyle name="Calculation 20 5" xfId="12108"/>
    <cellStyle name="Calculation 20 6" xfId="12109"/>
    <cellStyle name="Calculation 20 7" xfId="12110"/>
    <cellStyle name="Calculation 20 8" xfId="12111"/>
    <cellStyle name="Calculation 20 9" xfId="12112"/>
    <cellStyle name="Calculation 20_분양(100%)" xfId="38678"/>
    <cellStyle name="Calculation 21" xfId="12113"/>
    <cellStyle name="Calculation 21 10" xfId="12114"/>
    <cellStyle name="Calculation 21 11" xfId="12115"/>
    <cellStyle name="Calculation 21 12" xfId="12116"/>
    <cellStyle name="Calculation 21 13" xfId="12117"/>
    <cellStyle name="Calculation 21 14" xfId="12118"/>
    <cellStyle name="Calculation 21 15" xfId="12119"/>
    <cellStyle name="Calculation 21 16" xfId="12120"/>
    <cellStyle name="Calculation 21 17" xfId="12121"/>
    <cellStyle name="Calculation 21 18" xfId="12122"/>
    <cellStyle name="Calculation 21 19" xfId="12123"/>
    <cellStyle name="Calculation 21 2" xfId="12124"/>
    <cellStyle name="Calculation 21 20" xfId="12125"/>
    <cellStyle name="Calculation 21 21" xfId="12126"/>
    <cellStyle name="Calculation 21 22" xfId="12127"/>
    <cellStyle name="Calculation 21 23" xfId="12128"/>
    <cellStyle name="Calculation 21 24" xfId="12129"/>
    <cellStyle name="Calculation 21 25" xfId="12130"/>
    <cellStyle name="Calculation 21 26" xfId="12131"/>
    <cellStyle name="Calculation 21 27" xfId="12132"/>
    <cellStyle name="Calculation 21 28" xfId="12133"/>
    <cellStyle name="Calculation 21 29" xfId="12134"/>
    <cellStyle name="Calculation 21 3" xfId="12135"/>
    <cellStyle name="Calculation 21 30" xfId="12136"/>
    <cellStyle name="Calculation 21 31" xfId="12137"/>
    <cellStyle name="Calculation 21 32" xfId="12138"/>
    <cellStyle name="Calculation 21 33" xfId="12139"/>
    <cellStyle name="Calculation 21 34" xfId="12140"/>
    <cellStyle name="Calculation 21 35" xfId="12141"/>
    <cellStyle name="Calculation 21 36" xfId="12142"/>
    <cellStyle name="Calculation 21 37" xfId="12143"/>
    <cellStyle name="Calculation 21 38" xfId="12144"/>
    <cellStyle name="Calculation 21 39" xfId="12145"/>
    <cellStyle name="Calculation 21 4" xfId="12146"/>
    <cellStyle name="Calculation 21 40" xfId="12147"/>
    <cellStyle name="Calculation 21 41" xfId="12148"/>
    <cellStyle name="Calculation 21 42" xfId="12149"/>
    <cellStyle name="Calculation 21 43" xfId="12150"/>
    <cellStyle name="Calculation 21 5" xfId="12151"/>
    <cellStyle name="Calculation 21 6" xfId="12152"/>
    <cellStyle name="Calculation 21 7" xfId="12153"/>
    <cellStyle name="Calculation 21 8" xfId="12154"/>
    <cellStyle name="Calculation 21 9" xfId="12155"/>
    <cellStyle name="Calculation 21_분양(100%)" xfId="38679"/>
    <cellStyle name="Calculation 22" xfId="12156"/>
    <cellStyle name="Calculation 22 10" xfId="12157"/>
    <cellStyle name="Calculation 22 11" xfId="12158"/>
    <cellStyle name="Calculation 22 12" xfId="12159"/>
    <cellStyle name="Calculation 22 13" xfId="12160"/>
    <cellStyle name="Calculation 22 14" xfId="12161"/>
    <cellStyle name="Calculation 22 15" xfId="12162"/>
    <cellStyle name="Calculation 22 16" xfId="12163"/>
    <cellStyle name="Calculation 22 17" xfId="12164"/>
    <cellStyle name="Calculation 22 18" xfId="12165"/>
    <cellStyle name="Calculation 22 19" xfId="12166"/>
    <cellStyle name="Calculation 22 2" xfId="12167"/>
    <cellStyle name="Calculation 22 20" xfId="12168"/>
    <cellStyle name="Calculation 22 21" xfId="12169"/>
    <cellStyle name="Calculation 22 22" xfId="12170"/>
    <cellStyle name="Calculation 22 23" xfId="12171"/>
    <cellStyle name="Calculation 22 24" xfId="12172"/>
    <cellStyle name="Calculation 22 25" xfId="12173"/>
    <cellStyle name="Calculation 22 26" xfId="12174"/>
    <cellStyle name="Calculation 22 27" xfId="12175"/>
    <cellStyle name="Calculation 22 28" xfId="12176"/>
    <cellStyle name="Calculation 22 29" xfId="12177"/>
    <cellStyle name="Calculation 22 3" xfId="12178"/>
    <cellStyle name="Calculation 22 30" xfId="12179"/>
    <cellStyle name="Calculation 22 31" xfId="12180"/>
    <cellStyle name="Calculation 22 32" xfId="12181"/>
    <cellStyle name="Calculation 22 33" xfId="12182"/>
    <cellStyle name="Calculation 22 34" xfId="12183"/>
    <cellStyle name="Calculation 22 35" xfId="12184"/>
    <cellStyle name="Calculation 22 36" xfId="12185"/>
    <cellStyle name="Calculation 22 37" xfId="12186"/>
    <cellStyle name="Calculation 22 38" xfId="12187"/>
    <cellStyle name="Calculation 22 39" xfId="12188"/>
    <cellStyle name="Calculation 22 4" xfId="12189"/>
    <cellStyle name="Calculation 22 40" xfId="12190"/>
    <cellStyle name="Calculation 22 41" xfId="12191"/>
    <cellStyle name="Calculation 22 42" xfId="12192"/>
    <cellStyle name="Calculation 22 43" xfId="12193"/>
    <cellStyle name="Calculation 22 5" xfId="12194"/>
    <cellStyle name="Calculation 22 6" xfId="12195"/>
    <cellStyle name="Calculation 22 7" xfId="12196"/>
    <cellStyle name="Calculation 22 8" xfId="12197"/>
    <cellStyle name="Calculation 22 9" xfId="12198"/>
    <cellStyle name="Calculation 22_분양(100%)" xfId="38680"/>
    <cellStyle name="Calculation 23" xfId="12199"/>
    <cellStyle name="Calculation 23 10" xfId="12200"/>
    <cellStyle name="Calculation 23 11" xfId="12201"/>
    <cellStyle name="Calculation 23 12" xfId="12202"/>
    <cellStyle name="Calculation 23 13" xfId="12203"/>
    <cellStyle name="Calculation 23 14" xfId="12204"/>
    <cellStyle name="Calculation 23 15" xfId="12205"/>
    <cellStyle name="Calculation 23 16" xfId="12206"/>
    <cellStyle name="Calculation 23 17" xfId="12207"/>
    <cellStyle name="Calculation 23 18" xfId="12208"/>
    <cellStyle name="Calculation 23 19" xfId="12209"/>
    <cellStyle name="Calculation 23 2" xfId="12210"/>
    <cellStyle name="Calculation 23 20" xfId="12211"/>
    <cellStyle name="Calculation 23 21" xfId="12212"/>
    <cellStyle name="Calculation 23 22" xfId="12213"/>
    <cellStyle name="Calculation 23 23" xfId="12214"/>
    <cellStyle name="Calculation 23 24" xfId="12215"/>
    <cellStyle name="Calculation 23 25" xfId="12216"/>
    <cellStyle name="Calculation 23 26" xfId="12217"/>
    <cellStyle name="Calculation 23 27" xfId="12218"/>
    <cellStyle name="Calculation 23 28" xfId="12219"/>
    <cellStyle name="Calculation 23 29" xfId="12220"/>
    <cellStyle name="Calculation 23 3" xfId="12221"/>
    <cellStyle name="Calculation 23 30" xfId="12222"/>
    <cellStyle name="Calculation 23 31" xfId="12223"/>
    <cellStyle name="Calculation 23 32" xfId="12224"/>
    <cellStyle name="Calculation 23 33" xfId="12225"/>
    <cellStyle name="Calculation 23 34" xfId="12226"/>
    <cellStyle name="Calculation 23 35" xfId="12227"/>
    <cellStyle name="Calculation 23 36" xfId="12228"/>
    <cellStyle name="Calculation 23 37" xfId="12229"/>
    <cellStyle name="Calculation 23 38" xfId="12230"/>
    <cellStyle name="Calculation 23 39" xfId="12231"/>
    <cellStyle name="Calculation 23 4" xfId="12232"/>
    <cellStyle name="Calculation 23 40" xfId="12233"/>
    <cellStyle name="Calculation 23 41" xfId="12234"/>
    <cellStyle name="Calculation 23 42" xfId="12235"/>
    <cellStyle name="Calculation 23 43" xfId="12236"/>
    <cellStyle name="Calculation 23 5" xfId="12237"/>
    <cellStyle name="Calculation 23 6" xfId="12238"/>
    <cellStyle name="Calculation 23 7" xfId="12239"/>
    <cellStyle name="Calculation 23 8" xfId="12240"/>
    <cellStyle name="Calculation 23 9" xfId="12241"/>
    <cellStyle name="Calculation 23_분양(100%)" xfId="38681"/>
    <cellStyle name="Calculation 24" xfId="12242"/>
    <cellStyle name="Calculation 24 10" xfId="12243"/>
    <cellStyle name="Calculation 24 11" xfId="12244"/>
    <cellStyle name="Calculation 24 12" xfId="12245"/>
    <cellStyle name="Calculation 24 13" xfId="12246"/>
    <cellStyle name="Calculation 24 14" xfId="12247"/>
    <cellStyle name="Calculation 24 15" xfId="12248"/>
    <cellStyle name="Calculation 24 16" xfId="12249"/>
    <cellStyle name="Calculation 24 17" xfId="12250"/>
    <cellStyle name="Calculation 24 18" xfId="12251"/>
    <cellStyle name="Calculation 24 19" xfId="12252"/>
    <cellStyle name="Calculation 24 2" xfId="12253"/>
    <cellStyle name="Calculation 24 20" xfId="12254"/>
    <cellStyle name="Calculation 24 21" xfId="12255"/>
    <cellStyle name="Calculation 24 22" xfId="12256"/>
    <cellStyle name="Calculation 24 23" xfId="12257"/>
    <cellStyle name="Calculation 24 24" xfId="12258"/>
    <cellStyle name="Calculation 24 25" xfId="12259"/>
    <cellStyle name="Calculation 24 26" xfId="12260"/>
    <cellStyle name="Calculation 24 27" xfId="12261"/>
    <cellStyle name="Calculation 24 28" xfId="12262"/>
    <cellStyle name="Calculation 24 29" xfId="12263"/>
    <cellStyle name="Calculation 24 3" xfId="12264"/>
    <cellStyle name="Calculation 24 30" xfId="12265"/>
    <cellStyle name="Calculation 24 31" xfId="12266"/>
    <cellStyle name="Calculation 24 32" xfId="12267"/>
    <cellStyle name="Calculation 24 33" xfId="12268"/>
    <cellStyle name="Calculation 24 34" xfId="12269"/>
    <cellStyle name="Calculation 24 35" xfId="12270"/>
    <cellStyle name="Calculation 24 36" xfId="12271"/>
    <cellStyle name="Calculation 24 37" xfId="12272"/>
    <cellStyle name="Calculation 24 38" xfId="12273"/>
    <cellStyle name="Calculation 24 39" xfId="12274"/>
    <cellStyle name="Calculation 24 4" xfId="12275"/>
    <cellStyle name="Calculation 24 40" xfId="12276"/>
    <cellStyle name="Calculation 24 41" xfId="12277"/>
    <cellStyle name="Calculation 24 42" xfId="12278"/>
    <cellStyle name="Calculation 24 43" xfId="12279"/>
    <cellStyle name="Calculation 24 5" xfId="12280"/>
    <cellStyle name="Calculation 24 6" xfId="12281"/>
    <cellStyle name="Calculation 24 7" xfId="12282"/>
    <cellStyle name="Calculation 24 8" xfId="12283"/>
    <cellStyle name="Calculation 24 9" xfId="12284"/>
    <cellStyle name="Calculation 24_분양(100%)" xfId="38682"/>
    <cellStyle name="Calculation 25" xfId="12285"/>
    <cellStyle name="Calculation 25 10" xfId="12286"/>
    <cellStyle name="Calculation 25 11" xfId="12287"/>
    <cellStyle name="Calculation 25 12" xfId="12288"/>
    <cellStyle name="Calculation 25 13" xfId="12289"/>
    <cellStyle name="Calculation 25 14" xfId="12290"/>
    <cellStyle name="Calculation 25 15" xfId="12291"/>
    <cellStyle name="Calculation 25 16" xfId="12292"/>
    <cellStyle name="Calculation 25 17" xfId="12293"/>
    <cellStyle name="Calculation 25 18" xfId="12294"/>
    <cellStyle name="Calculation 25 19" xfId="12295"/>
    <cellStyle name="Calculation 25 2" xfId="12296"/>
    <cellStyle name="Calculation 25 20" xfId="12297"/>
    <cellStyle name="Calculation 25 21" xfId="12298"/>
    <cellStyle name="Calculation 25 22" xfId="12299"/>
    <cellStyle name="Calculation 25 23" xfId="12300"/>
    <cellStyle name="Calculation 25 24" xfId="12301"/>
    <cellStyle name="Calculation 25 25" xfId="12302"/>
    <cellStyle name="Calculation 25 26" xfId="12303"/>
    <cellStyle name="Calculation 25 27" xfId="12304"/>
    <cellStyle name="Calculation 25 28" xfId="12305"/>
    <cellStyle name="Calculation 25 29" xfId="12306"/>
    <cellStyle name="Calculation 25 3" xfId="12307"/>
    <cellStyle name="Calculation 25 30" xfId="12308"/>
    <cellStyle name="Calculation 25 31" xfId="12309"/>
    <cellStyle name="Calculation 25 32" xfId="12310"/>
    <cellStyle name="Calculation 25 33" xfId="12311"/>
    <cellStyle name="Calculation 25 34" xfId="12312"/>
    <cellStyle name="Calculation 25 35" xfId="12313"/>
    <cellStyle name="Calculation 25 36" xfId="12314"/>
    <cellStyle name="Calculation 25 37" xfId="12315"/>
    <cellStyle name="Calculation 25 38" xfId="12316"/>
    <cellStyle name="Calculation 25 39" xfId="12317"/>
    <cellStyle name="Calculation 25 4" xfId="12318"/>
    <cellStyle name="Calculation 25 40" xfId="12319"/>
    <cellStyle name="Calculation 25 41" xfId="12320"/>
    <cellStyle name="Calculation 25 42" xfId="12321"/>
    <cellStyle name="Calculation 25 43" xfId="12322"/>
    <cellStyle name="Calculation 25 5" xfId="12323"/>
    <cellStyle name="Calculation 25 6" xfId="12324"/>
    <cellStyle name="Calculation 25 7" xfId="12325"/>
    <cellStyle name="Calculation 25 8" xfId="12326"/>
    <cellStyle name="Calculation 25 9" xfId="12327"/>
    <cellStyle name="Calculation 25_분양(100%)" xfId="38683"/>
    <cellStyle name="Calculation 26" xfId="12328"/>
    <cellStyle name="Calculation 26 10" xfId="12329"/>
    <cellStyle name="Calculation 26 11" xfId="12330"/>
    <cellStyle name="Calculation 26 12" xfId="12331"/>
    <cellStyle name="Calculation 26 13" xfId="12332"/>
    <cellStyle name="Calculation 26 14" xfId="12333"/>
    <cellStyle name="Calculation 26 15" xfId="12334"/>
    <cellStyle name="Calculation 26 16" xfId="12335"/>
    <cellStyle name="Calculation 26 17" xfId="12336"/>
    <cellStyle name="Calculation 26 18" xfId="12337"/>
    <cellStyle name="Calculation 26 19" xfId="12338"/>
    <cellStyle name="Calculation 26 2" xfId="12339"/>
    <cellStyle name="Calculation 26 20" xfId="12340"/>
    <cellStyle name="Calculation 26 21" xfId="12341"/>
    <cellStyle name="Calculation 26 22" xfId="12342"/>
    <cellStyle name="Calculation 26 23" xfId="12343"/>
    <cellStyle name="Calculation 26 24" xfId="12344"/>
    <cellStyle name="Calculation 26 25" xfId="12345"/>
    <cellStyle name="Calculation 26 26" xfId="12346"/>
    <cellStyle name="Calculation 26 27" xfId="12347"/>
    <cellStyle name="Calculation 26 28" xfId="12348"/>
    <cellStyle name="Calculation 26 29" xfId="12349"/>
    <cellStyle name="Calculation 26 3" xfId="12350"/>
    <cellStyle name="Calculation 26 30" xfId="12351"/>
    <cellStyle name="Calculation 26 31" xfId="12352"/>
    <cellStyle name="Calculation 26 32" xfId="12353"/>
    <cellStyle name="Calculation 26 33" xfId="12354"/>
    <cellStyle name="Calculation 26 34" xfId="12355"/>
    <cellStyle name="Calculation 26 35" xfId="12356"/>
    <cellStyle name="Calculation 26 36" xfId="12357"/>
    <cellStyle name="Calculation 26 37" xfId="12358"/>
    <cellStyle name="Calculation 26 38" xfId="12359"/>
    <cellStyle name="Calculation 26 39" xfId="12360"/>
    <cellStyle name="Calculation 26 4" xfId="12361"/>
    <cellStyle name="Calculation 26 40" xfId="12362"/>
    <cellStyle name="Calculation 26 41" xfId="12363"/>
    <cellStyle name="Calculation 26 42" xfId="12364"/>
    <cellStyle name="Calculation 26 43" xfId="12365"/>
    <cellStyle name="Calculation 26 5" xfId="12366"/>
    <cellStyle name="Calculation 26 6" xfId="12367"/>
    <cellStyle name="Calculation 26 7" xfId="12368"/>
    <cellStyle name="Calculation 26 8" xfId="12369"/>
    <cellStyle name="Calculation 26 9" xfId="12370"/>
    <cellStyle name="Calculation 26_분양(100%)" xfId="38684"/>
    <cellStyle name="Calculation 27" xfId="12371"/>
    <cellStyle name="Calculation 27 10" xfId="12372"/>
    <cellStyle name="Calculation 27 11" xfId="12373"/>
    <cellStyle name="Calculation 27 12" xfId="12374"/>
    <cellStyle name="Calculation 27 13" xfId="12375"/>
    <cellStyle name="Calculation 27 14" xfId="12376"/>
    <cellStyle name="Calculation 27 15" xfId="12377"/>
    <cellStyle name="Calculation 27 16" xfId="12378"/>
    <cellStyle name="Calculation 27 17" xfId="12379"/>
    <cellStyle name="Calculation 27 18" xfId="12380"/>
    <cellStyle name="Calculation 27 19" xfId="12381"/>
    <cellStyle name="Calculation 27 2" xfId="12382"/>
    <cellStyle name="Calculation 27 20" xfId="12383"/>
    <cellStyle name="Calculation 27 21" xfId="12384"/>
    <cellStyle name="Calculation 27 22" xfId="12385"/>
    <cellStyle name="Calculation 27 23" xfId="12386"/>
    <cellStyle name="Calculation 27 24" xfId="12387"/>
    <cellStyle name="Calculation 27 25" xfId="12388"/>
    <cellStyle name="Calculation 27 26" xfId="12389"/>
    <cellStyle name="Calculation 27 27" xfId="12390"/>
    <cellStyle name="Calculation 27 28" xfId="12391"/>
    <cellStyle name="Calculation 27 29" xfId="12392"/>
    <cellStyle name="Calculation 27 3" xfId="12393"/>
    <cellStyle name="Calculation 27 30" xfId="12394"/>
    <cellStyle name="Calculation 27 31" xfId="12395"/>
    <cellStyle name="Calculation 27 32" xfId="12396"/>
    <cellStyle name="Calculation 27 33" xfId="12397"/>
    <cellStyle name="Calculation 27 34" xfId="12398"/>
    <cellStyle name="Calculation 27 35" xfId="12399"/>
    <cellStyle name="Calculation 27 36" xfId="12400"/>
    <cellStyle name="Calculation 27 37" xfId="12401"/>
    <cellStyle name="Calculation 27 38" xfId="12402"/>
    <cellStyle name="Calculation 27 39" xfId="12403"/>
    <cellStyle name="Calculation 27 4" xfId="12404"/>
    <cellStyle name="Calculation 27 40" xfId="12405"/>
    <cellStyle name="Calculation 27 41" xfId="12406"/>
    <cellStyle name="Calculation 27 42" xfId="12407"/>
    <cellStyle name="Calculation 27 43" xfId="12408"/>
    <cellStyle name="Calculation 27 5" xfId="12409"/>
    <cellStyle name="Calculation 27 6" xfId="12410"/>
    <cellStyle name="Calculation 27 7" xfId="12411"/>
    <cellStyle name="Calculation 27 8" xfId="12412"/>
    <cellStyle name="Calculation 27 9" xfId="12413"/>
    <cellStyle name="Calculation 27_분양(100%)" xfId="38685"/>
    <cellStyle name="Calculation 28" xfId="12414"/>
    <cellStyle name="Calculation 28 10" xfId="12415"/>
    <cellStyle name="Calculation 28 11" xfId="12416"/>
    <cellStyle name="Calculation 28 12" xfId="12417"/>
    <cellStyle name="Calculation 28 13" xfId="12418"/>
    <cellStyle name="Calculation 28 14" xfId="12419"/>
    <cellStyle name="Calculation 28 15" xfId="12420"/>
    <cellStyle name="Calculation 28 16" xfId="12421"/>
    <cellStyle name="Calculation 28 17" xfId="12422"/>
    <cellStyle name="Calculation 28 18" xfId="12423"/>
    <cellStyle name="Calculation 28 19" xfId="12424"/>
    <cellStyle name="Calculation 28 2" xfId="12425"/>
    <cellStyle name="Calculation 28 20" xfId="12426"/>
    <cellStyle name="Calculation 28 21" xfId="12427"/>
    <cellStyle name="Calculation 28 22" xfId="12428"/>
    <cellStyle name="Calculation 28 23" xfId="12429"/>
    <cellStyle name="Calculation 28 24" xfId="12430"/>
    <cellStyle name="Calculation 28 25" xfId="12431"/>
    <cellStyle name="Calculation 28 26" xfId="12432"/>
    <cellStyle name="Calculation 28 27" xfId="12433"/>
    <cellStyle name="Calculation 28 28" xfId="12434"/>
    <cellStyle name="Calculation 28 29" xfId="12435"/>
    <cellStyle name="Calculation 28 3" xfId="12436"/>
    <cellStyle name="Calculation 28 30" xfId="12437"/>
    <cellStyle name="Calculation 28 31" xfId="12438"/>
    <cellStyle name="Calculation 28 32" xfId="12439"/>
    <cellStyle name="Calculation 28 33" xfId="12440"/>
    <cellStyle name="Calculation 28 34" xfId="12441"/>
    <cellStyle name="Calculation 28 35" xfId="12442"/>
    <cellStyle name="Calculation 28 36" xfId="12443"/>
    <cellStyle name="Calculation 28 37" xfId="12444"/>
    <cellStyle name="Calculation 28 38" xfId="12445"/>
    <cellStyle name="Calculation 28 39" xfId="12446"/>
    <cellStyle name="Calculation 28 4" xfId="12447"/>
    <cellStyle name="Calculation 28 40" xfId="12448"/>
    <cellStyle name="Calculation 28 41" xfId="12449"/>
    <cellStyle name="Calculation 28 42" xfId="12450"/>
    <cellStyle name="Calculation 28 43" xfId="12451"/>
    <cellStyle name="Calculation 28 5" xfId="12452"/>
    <cellStyle name="Calculation 28 6" xfId="12453"/>
    <cellStyle name="Calculation 28 7" xfId="12454"/>
    <cellStyle name="Calculation 28 8" xfId="12455"/>
    <cellStyle name="Calculation 28 9" xfId="12456"/>
    <cellStyle name="Calculation 28_분양(100%)" xfId="38686"/>
    <cellStyle name="Calculation 29" xfId="12457"/>
    <cellStyle name="Calculation 29 10" xfId="12458"/>
    <cellStyle name="Calculation 29 11" xfId="12459"/>
    <cellStyle name="Calculation 29 12" xfId="12460"/>
    <cellStyle name="Calculation 29 13" xfId="12461"/>
    <cellStyle name="Calculation 29 14" xfId="12462"/>
    <cellStyle name="Calculation 29 15" xfId="12463"/>
    <cellStyle name="Calculation 29 16" xfId="12464"/>
    <cellStyle name="Calculation 29 17" xfId="12465"/>
    <cellStyle name="Calculation 29 18" xfId="12466"/>
    <cellStyle name="Calculation 29 19" xfId="12467"/>
    <cellStyle name="Calculation 29 2" xfId="12468"/>
    <cellStyle name="Calculation 29 20" xfId="12469"/>
    <cellStyle name="Calculation 29 21" xfId="12470"/>
    <cellStyle name="Calculation 29 22" xfId="12471"/>
    <cellStyle name="Calculation 29 23" xfId="12472"/>
    <cellStyle name="Calculation 29 24" xfId="12473"/>
    <cellStyle name="Calculation 29 25" xfId="12474"/>
    <cellStyle name="Calculation 29 26" xfId="12475"/>
    <cellStyle name="Calculation 29 27" xfId="12476"/>
    <cellStyle name="Calculation 29 28" xfId="12477"/>
    <cellStyle name="Calculation 29 29" xfId="12478"/>
    <cellStyle name="Calculation 29 3" xfId="12479"/>
    <cellStyle name="Calculation 29 30" xfId="12480"/>
    <cellStyle name="Calculation 29 31" xfId="12481"/>
    <cellStyle name="Calculation 29 32" xfId="12482"/>
    <cellStyle name="Calculation 29 33" xfId="12483"/>
    <cellStyle name="Calculation 29 34" xfId="12484"/>
    <cellStyle name="Calculation 29 35" xfId="12485"/>
    <cellStyle name="Calculation 29 36" xfId="12486"/>
    <cellStyle name="Calculation 29 37" xfId="12487"/>
    <cellStyle name="Calculation 29 38" xfId="12488"/>
    <cellStyle name="Calculation 29 39" xfId="12489"/>
    <cellStyle name="Calculation 29 4" xfId="12490"/>
    <cellStyle name="Calculation 29 40" xfId="12491"/>
    <cellStyle name="Calculation 29 41" xfId="12492"/>
    <cellStyle name="Calculation 29 42" xfId="12493"/>
    <cellStyle name="Calculation 29 43" xfId="12494"/>
    <cellStyle name="Calculation 29 5" xfId="12495"/>
    <cellStyle name="Calculation 29 6" xfId="12496"/>
    <cellStyle name="Calculation 29 7" xfId="12497"/>
    <cellStyle name="Calculation 29 8" xfId="12498"/>
    <cellStyle name="Calculation 29 9" xfId="12499"/>
    <cellStyle name="Calculation 29_분양(100%)" xfId="38687"/>
    <cellStyle name="Calculation 3" xfId="517"/>
    <cellStyle name="Calculation 3 10" xfId="12500"/>
    <cellStyle name="Calculation 3 11" xfId="12501"/>
    <cellStyle name="Calculation 3 12" xfId="12502"/>
    <cellStyle name="Calculation 3 13" xfId="12503"/>
    <cellStyle name="Calculation 3 14" xfId="12504"/>
    <cellStyle name="Calculation 3 15" xfId="12505"/>
    <cellStyle name="Calculation 3 16" xfId="12506"/>
    <cellStyle name="Calculation 3 17" xfId="12507"/>
    <cellStyle name="Calculation 3 18" xfId="12508"/>
    <cellStyle name="Calculation 3 19" xfId="12509"/>
    <cellStyle name="Calculation 3 2" xfId="579"/>
    <cellStyle name="Calculation 3 2 2" xfId="3177"/>
    <cellStyle name="Calculation 3 2 2 2" xfId="3583"/>
    <cellStyle name="Calculation 3 2 2 2 2" xfId="4655"/>
    <cellStyle name="Calculation 3 2 2 2 3" xfId="5009"/>
    <cellStyle name="Calculation 3 2 2 3" xfId="4591"/>
    <cellStyle name="Calculation 3 2 2 4" xfId="4505"/>
    <cellStyle name="Calculation 3 2 3" xfId="3584"/>
    <cellStyle name="Calculation 3 2 3 2" xfId="4656"/>
    <cellStyle name="Calculation 3 2 3 3" xfId="5010"/>
    <cellStyle name="Calculation 3 2 4" xfId="3585"/>
    <cellStyle name="Calculation 3 2 4 2" xfId="4657"/>
    <cellStyle name="Calculation 3 2 4 3" xfId="5011"/>
    <cellStyle name="Calculation 3 2_분양(100%)" xfId="38689"/>
    <cellStyle name="Calculation 3 20" xfId="12510"/>
    <cellStyle name="Calculation 3 21" xfId="12511"/>
    <cellStyle name="Calculation 3 22" xfId="12512"/>
    <cellStyle name="Calculation 3 23" xfId="12513"/>
    <cellStyle name="Calculation 3 24" xfId="12514"/>
    <cellStyle name="Calculation 3 25" xfId="12515"/>
    <cellStyle name="Calculation 3 26" xfId="12516"/>
    <cellStyle name="Calculation 3 27" xfId="12517"/>
    <cellStyle name="Calculation 3 28" xfId="12518"/>
    <cellStyle name="Calculation 3 29" xfId="12519"/>
    <cellStyle name="Calculation 3 3" xfId="595"/>
    <cellStyle name="Calculation 3 3 2" xfId="3193"/>
    <cellStyle name="Calculation 3 3 2 2" xfId="3586"/>
    <cellStyle name="Calculation 3 3 2 2 2" xfId="4658"/>
    <cellStyle name="Calculation 3 3 2 2 3" xfId="5012"/>
    <cellStyle name="Calculation 3 3 2 3" xfId="4607"/>
    <cellStyle name="Calculation 3 3 2 4" xfId="4461"/>
    <cellStyle name="Calculation 3 3 3" xfId="3587"/>
    <cellStyle name="Calculation 3 3 3 2" xfId="4659"/>
    <cellStyle name="Calculation 3 3 3 3" xfId="5013"/>
    <cellStyle name="Calculation 3 3 4" xfId="3588"/>
    <cellStyle name="Calculation 3 3 4 2" xfId="4660"/>
    <cellStyle name="Calculation 3 3 4 3" xfId="5014"/>
    <cellStyle name="Calculation 3 3_분양(100%)" xfId="38690"/>
    <cellStyle name="Calculation 3 30" xfId="12520"/>
    <cellStyle name="Calculation 3 31" xfId="12521"/>
    <cellStyle name="Calculation 3 32" xfId="12522"/>
    <cellStyle name="Calculation 3 33" xfId="12523"/>
    <cellStyle name="Calculation 3 34" xfId="12524"/>
    <cellStyle name="Calculation 3 35" xfId="12525"/>
    <cellStyle name="Calculation 3 36" xfId="12526"/>
    <cellStyle name="Calculation 3 37" xfId="12527"/>
    <cellStyle name="Calculation 3 38" xfId="12528"/>
    <cellStyle name="Calculation 3 39" xfId="12529"/>
    <cellStyle name="Calculation 3 4" xfId="3129"/>
    <cellStyle name="Calculation 3 4 2" xfId="3589"/>
    <cellStyle name="Calculation 3 4 2 2" xfId="4661"/>
    <cellStyle name="Calculation 3 4 2 3" xfId="5015"/>
    <cellStyle name="Calculation 3 4 3" xfId="4544"/>
    <cellStyle name="Calculation 3 4 4" xfId="4508"/>
    <cellStyle name="Calculation 3 4_분양(100%)" xfId="38691"/>
    <cellStyle name="Calculation 3 40" xfId="12530"/>
    <cellStyle name="Calculation 3 41" xfId="12531"/>
    <cellStyle name="Calculation 3 42" xfId="12532"/>
    <cellStyle name="Calculation 3 43" xfId="12533"/>
    <cellStyle name="Calculation 3 44" xfId="12534"/>
    <cellStyle name="Calculation 3 5" xfId="3590"/>
    <cellStyle name="Calculation 3 5 2" xfId="4662"/>
    <cellStyle name="Calculation 3 5 3" xfId="5016"/>
    <cellStyle name="Calculation 3 5_분양(100%)" xfId="38692"/>
    <cellStyle name="Calculation 3 6" xfId="3591"/>
    <cellStyle name="Calculation 3 6 2" xfId="4663"/>
    <cellStyle name="Calculation 3 6 3" xfId="5017"/>
    <cellStyle name="Calculation 3 6_분양(100%)" xfId="38693"/>
    <cellStyle name="Calculation 3 7" xfId="12535"/>
    <cellStyle name="Calculation 3 8" xfId="12536"/>
    <cellStyle name="Calculation 3 9" xfId="12537"/>
    <cellStyle name="Calculation 3_분양(100%)" xfId="38688"/>
    <cellStyle name="Calculation 30" xfId="12538"/>
    <cellStyle name="Calculation 30 10" xfId="12539"/>
    <cellStyle name="Calculation 30 11" xfId="12540"/>
    <cellStyle name="Calculation 30 12" xfId="12541"/>
    <cellStyle name="Calculation 30 13" xfId="12542"/>
    <cellStyle name="Calculation 30 14" xfId="12543"/>
    <cellStyle name="Calculation 30 15" xfId="12544"/>
    <cellStyle name="Calculation 30 16" xfId="12545"/>
    <cellStyle name="Calculation 30 17" xfId="12546"/>
    <cellStyle name="Calculation 30 18" xfId="12547"/>
    <cellStyle name="Calculation 30 19" xfId="12548"/>
    <cellStyle name="Calculation 30 2" xfId="12549"/>
    <cellStyle name="Calculation 30 20" xfId="12550"/>
    <cellStyle name="Calculation 30 21" xfId="12551"/>
    <cellStyle name="Calculation 30 22" xfId="12552"/>
    <cellStyle name="Calculation 30 23" xfId="12553"/>
    <cellStyle name="Calculation 30 24" xfId="12554"/>
    <cellStyle name="Calculation 30 25" xfId="12555"/>
    <cellStyle name="Calculation 30 26" xfId="12556"/>
    <cellStyle name="Calculation 30 27" xfId="12557"/>
    <cellStyle name="Calculation 30 28" xfId="12558"/>
    <cellStyle name="Calculation 30 29" xfId="12559"/>
    <cellStyle name="Calculation 30 3" xfId="12560"/>
    <cellStyle name="Calculation 30 30" xfId="12561"/>
    <cellStyle name="Calculation 30 31" xfId="12562"/>
    <cellStyle name="Calculation 30 32" xfId="12563"/>
    <cellStyle name="Calculation 30 33" xfId="12564"/>
    <cellStyle name="Calculation 30 34" xfId="12565"/>
    <cellStyle name="Calculation 30 35" xfId="12566"/>
    <cellStyle name="Calculation 30 36" xfId="12567"/>
    <cellStyle name="Calculation 30 37" xfId="12568"/>
    <cellStyle name="Calculation 30 38" xfId="12569"/>
    <cellStyle name="Calculation 30 39" xfId="12570"/>
    <cellStyle name="Calculation 30 4" xfId="12571"/>
    <cellStyle name="Calculation 30 40" xfId="12572"/>
    <cellStyle name="Calculation 30 41" xfId="12573"/>
    <cellStyle name="Calculation 30 42" xfId="12574"/>
    <cellStyle name="Calculation 30 43" xfId="12575"/>
    <cellStyle name="Calculation 30 5" xfId="12576"/>
    <cellStyle name="Calculation 30 6" xfId="12577"/>
    <cellStyle name="Calculation 30 7" xfId="12578"/>
    <cellStyle name="Calculation 30 8" xfId="12579"/>
    <cellStyle name="Calculation 30 9" xfId="12580"/>
    <cellStyle name="Calculation 30_분양(100%)" xfId="38694"/>
    <cellStyle name="Calculation 31" xfId="12581"/>
    <cellStyle name="Calculation 31 10" xfId="12582"/>
    <cellStyle name="Calculation 31 11" xfId="12583"/>
    <cellStyle name="Calculation 31 12" xfId="12584"/>
    <cellStyle name="Calculation 31 13" xfId="12585"/>
    <cellStyle name="Calculation 31 14" xfId="12586"/>
    <cellStyle name="Calculation 31 15" xfId="12587"/>
    <cellStyle name="Calculation 31 16" xfId="12588"/>
    <cellStyle name="Calculation 31 17" xfId="12589"/>
    <cellStyle name="Calculation 31 18" xfId="12590"/>
    <cellStyle name="Calculation 31 19" xfId="12591"/>
    <cellStyle name="Calculation 31 2" xfId="12592"/>
    <cellStyle name="Calculation 31 20" xfId="12593"/>
    <cellStyle name="Calculation 31 21" xfId="12594"/>
    <cellStyle name="Calculation 31 22" xfId="12595"/>
    <cellStyle name="Calculation 31 23" xfId="12596"/>
    <cellStyle name="Calculation 31 24" xfId="12597"/>
    <cellStyle name="Calculation 31 25" xfId="12598"/>
    <cellStyle name="Calculation 31 26" xfId="12599"/>
    <cellStyle name="Calculation 31 27" xfId="12600"/>
    <cellStyle name="Calculation 31 28" xfId="12601"/>
    <cellStyle name="Calculation 31 29" xfId="12602"/>
    <cellStyle name="Calculation 31 3" xfId="12603"/>
    <cellStyle name="Calculation 31 30" xfId="12604"/>
    <cellStyle name="Calculation 31 31" xfId="12605"/>
    <cellStyle name="Calculation 31 32" xfId="12606"/>
    <cellStyle name="Calculation 31 33" xfId="12607"/>
    <cellStyle name="Calculation 31 34" xfId="12608"/>
    <cellStyle name="Calculation 31 35" xfId="12609"/>
    <cellStyle name="Calculation 31 36" xfId="12610"/>
    <cellStyle name="Calculation 31 37" xfId="12611"/>
    <cellStyle name="Calculation 31 38" xfId="12612"/>
    <cellStyle name="Calculation 31 39" xfId="12613"/>
    <cellStyle name="Calculation 31 4" xfId="12614"/>
    <cellStyle name="Calculation 31 40" xfId="12615"/>
    <cellStyle name="Calculation 31 41" xfId="12616"/>
    <cellStyle name="Calculation 31 42" xfId="12617"/>
    <cellStyle name="Calculation 31 43" xfId="12618"/>
    <cellStyle name="Calculation 31 5" xfId="12619"/>
    <cellStyle name="Calculation 31 6" xfId="12620"/>
    <cellStyle name="Calculation 31 7" xfId="12621"/>
    <cellStyle name="Calculation 31 8" xfId="12622"/>
    <cellStyle name="Calculation 31 9" xfId="12623"/>
    <cellStyle name="Calculation 31_분양(100%)" xfId="38695"/>
    <cellStyle name="Calculation 32" xfId="12624"/>
    <cellStyle name="Calculation 32 10" xfId="12625"/>
    <cellStyle name="Calculation 32 11" xfId="12626"/>
    <cellStyle name="Calculation 32 12" xfId="12627"/>
    <cellStyle name="Calculation 32 13" xfId="12628"/>
    <cellStyle name="Calculation 32 14" xfId="12629"/>
    <cellStyle name="Calculation 32 15" xfId="12630"/>
    <cellStyle name="Calculation 32 16" xfId="12631"/>
    <cellStyle name="Calculation 32 17" xfId="12632"/>
    <cellStyle name="Calculation 32 18" xfId="12633"/>
    <cellStyle name="Calculation 32 19" xfId="12634"/>
    <cellStyle name="Calculation 32 2" xfId="12635"/>
    <cellStyle name="Calculation 32 20" xfId="12636"/>
    <cellStyle name="Calculation 32 21" xfId="12637"/>
    <cellStyle name="Calculation 32 22" xfId="12638"/>
    <cellStyle name="Calculation 32 23" xfId="12639"/>
    <cellStyle name="Calculation 32 24" xfId="12640"/>
    <cellStyle name="Calculation 32 25" xfId="12641"/>
    <cellStyle name="Calculation 32 26" xfId="12642"/>
    <cellStyle name="Calculation 32 27" xfId="12643"/>
    <cellStyle name="Calculation 32 28" xfId="12644"/>
    <cellStyle name="Calculation 32 29" xfId="12645"/>
    <cellStyle name="Calculation 32 3" xfId="12646"/>
    <cellStyle name="Calculation 32 30" xfId="12647"/>
    <cellStyle name="Calculation 32 31" xfId="12648"/>
    <cellStyle name="Calculation 32 32" xfId="12649"/>
    <cellStyle name="Calculation 32 33" xfId="12650"/>
    <cellStyle name="Calculation 32 34" xfId="12651"/>
    <cellStyle name="Calculation 32 35" xfId="12652"/>
    <cellStyle name="Calculation 32 36" xfId="12653"/>
    <cellStyle name="Calculation 32 37" xfId="12654"/>
    <cellStyle name="Calculation 32 38" xfId="12655"/>
    <cellStyle name="Calculation 32 39" xfId="12656"/>
    <cellStyle name="Calculation 32 4" xfId="12657"/>
    <cellStyle name="Calculation 32 40" xfId="12658"/>
    <cellStyle name="Calculation 32 41" xfId="12659"/>
    <cellStyle name="Calculation 32 42" xfId="12660"/>
    <cellStyle name="Calculation 32 43" xfId="12661"/>
    <cellStyle name="Calculation 32 5" xfId="12662"/>
    <cellStyle name="Calculation 32 6" xfId="12663"/>
    <cellStyle name="Calculation 32 7" xfId="12664"/>
    <cellStyle name="Calculation 32 8" xfId="12665"/>
    <cellStyle name="Calculation 32 9" xfId="12666"/>
    <cellStyle name="Calculation 32_분양(100%)" xfId="38696"/>
    <cellStyle name="Calculation 33" xfId="12667"/>
    <cellStyle name="Calculation 33 10" xfId="12668"/>
    <cellStyle name="Calculation 33 11" xfId="12669"/>
    <cellStyle name="Calculation 33 12" xfId="12670"/>
    <cellStyle name="Calculation 33 13" xfId="12671"/>
    <cellStyle name="Calculation 33 14" xfId="12672"/>
    <cellStyle name="Calculation 33 15" xfId="12673"/>
    <cellStyle name="Calculation 33 16" xfId="12674"/>
    <cellStyle name="Calculation 33 17" xfId="12675"/>
    <cellStyle name="Calculation 33 18" xfId="12676"/>
    <cellStyle name="Calculation 33 19" xfId="12677"/>
    <cellStyle name="Calculation 33 2" xfId="12678"/>
    <cellStyle name="Calculation 33 20" xfId="12679"/>
    <cellStyle name="Calculation 33 21" xfId="12680"/>
    <cellStyle name="Calculation 33 22" xfId="12681"/>
    <cellStyle name="Calculation 33 23" xfId="12682"/>
    <cellStyle name="Calculation 33 24" xfId="12683"/>
    <cellStyle name="Calculation 33 25" xfId="12684"/>
    <cellStyle name="Calculation 33 26" xfId="12685"/>
    <cellStyle name="Calculation 33 27" xfId="12686"/>
    <cellStyle name="Calculation 33 28" xfId="12687"/>
    <cellStyle name="Calculation 33 29" xfId="12688"/>
    <cellStyle name="Calculation 33 3" xfId="12689"/>
    <cellStyle name="Calculation 33 30" xfId="12690"/>
    <cellStyle name="Calculation 33 31" xfId="12691"/>
    <cellStyle name="Calculation 33 32" xfId="12692"/>
    <cellStyle name="Calculation 33 33" xfId="12693"/>
    <cellStyle name="Calculation 33 34" xfId="12694"/>
    <cellStyle name="Calculation 33 35" xfId="12695"/>
    <cellStyle name="Calculation 33 36" xfId="12696"/>
    <cellStyle name="Calculation 33 37" xfId="12697"/>
    <cellStyle name="Calculation 33 38" xfId="12698"/>
    <cellStyle name="Calculation 33 39" xfId="12699"/>
    <cellStyle name="Calculation 33 4" xfId="12700"/>
    <cellStyle name="Calculation 33 40" xfId="12701"/>
    <cellStyle name="Calculation 33 41" xfId="12702"/>
    <cellStyle name="Calculation 33 42" xfId="12703"/>
    <cellStyle name="Calculation 33 43" xfId="12704"/>
    <cellStyle name="Calculation 33 5" xfId="12705"/>
    <cellStyle name="Calculation 33 6" xfId="12706"/>
    <cellStyle name="Calculation 33 7" xfId="12707"/>
    <cellStyle name="Calculation 33 8" xfId="12708"/>
    <cellStyle name="Calculation 33 9" xfId="12709"/>
    <cellStyle name="Calculation 33_분양(100%)" xfId="38697"/>
    <cellStyle name="Calculation 34" xfId="12710"/>
    <cellStyle name="Calculation 34 10" xfId="12711"/>
    <cellStyle name="Calculation 34 11" xfId="12712"/>
    <cellStyle name="Calculation 34 12" xfId="12713"/>
    <cellStyle name="Calculation 34 13" xfId="12714"/>
    <cellStyle name="Calculation 34 14" xfId="12715"/>
    <cellStyle name="Calculation 34 15" xfId="12716"/>
    <cellStyle name="Calculation 34 16" xfId="12717"/>
    <cellStyle name="Calculation 34 17" xfId="12718"/>
    <cellStyle name="Calculation 34 18" xfId="12719"/>
    <cellStyle name="Calculation 34 19" xfId="12720"/>
    <cellStyle name="Calculation 34 2" xfId="12721"/>
    <cellStyle name="Calculation 34 20" xfId="12722"/>
    <cellStyle name="Calculation 34 21" xfId="12723"/>
    <cellStyle name="Calculation 34 22" xfId="12724"/>
    <cellStyle name="Calculation 34 23" xfId="12725"/>
    <cellStyle name="Calculation 34 24" xfId="12726"/>
    <cellStyle name="Calculation 34 25" xfId="12727"/>
    <cellStyle name="Calculation 34 26" xfId="12728"/>
    <cellStyle name="Calculation 34 27" xfId="12729"/>
    <cellStyle name="Calculation 34 28" xfId="12730"/>
    <cellStyle name="Calculation 34 29" xfId="12731"/>
    <cellStyle name="Calculation 34 3" xfId="12732"/>
    <cellStyle name="Calculation 34 30" xfId="12733"/>
    <cellStyle name="Calculation 34 31" xfId="12734"/>
    <cellStyle name="Calculation 34 32" xfId="12735"/>
    <cellStyle name="Calculation 34 33" xfId="12736"/>
    <cellStyle name="Calculation 34 34" xfId="12737"/>
    <cellStyle name="Calculation 34 35" xfId="12738"/>
    <cellStyle name="Calculation 34 36" xfId="12739"/>
    <cellStyle name="Calculation 34 37" xfId="12740"/>
    <cellStyle name="Calculation 34 38" xfId="12741"/>
    <cellStyle name="Calculation 34 39" xfId="12742"/>
    <cellStyle name="Calculation 34 4" xfId="12743"/>
    <cellStyle name="Calculation 34 40" xfId="12744"/>
    <cellStyle name="Calculation 34 41" xfId="12745"/>
    <cellStyle name="Calculation 34 42" xfId="12746"/>
    <cellStyle name="Calculation 34 43" xfId="12747"/>
    <cellStyle name="Calculation 34 5" xfId="12748"/>
    <cellStyle name="Calculation 34 6" xfId="12749"/>
    <cellStyle name="Calculation 34 7" xfId="12750"/>
    <cellStyle name="Calculation 34 8" xfId="12751"/>
    <cellStyle name="Calculation 34 9" xfId="12752"/>
    <cellStyle name="Calculation 34_분양(100%)" xfId="38698"/>
    <cellStyle name="Calculation 35" xfId="12753"/>
    <cellStyle name="Calculation 35 10" xfId="12754"/>
    <cellStyle name="Calculation 35 11" xfId="12755"/>
    <cellStyle name="Calculation 35 12" xfId="12756"/>
    <cellStyle name="Calculation 35 13" xfId="12757"/>
    <cellStyle name="Calculation 35 14" xfId="12758"/>
    <cellStyle name="Calculation 35 15" xfId="12759"/>
    <cellStyle name="Calculation 35 16" xfId="12760"/>
    <cellStyle name="Calculation 35 17" xfId="12761"/>
    <cellStyle name="Calculation 35 18" xfId="12762"/>
    <cellStyle name="Calculation 35 19" xfId="12763"/>
    <cellStyle name="Calculation 35 2" xfId="12764"/>
    <cellStyle name="Calculation 35 20" xfId="12765"/>
    <cellStyle name="Calculation 35 21" xfId="12766"/>
    <cellStyle name="Calculation 35 22" xfId="12767"/>
    <cellStyle name="Calculation 35 23" xfId="12768"/>
    <cellStyle name="Calculation 35 24" xfId="12769"/>
    <cellStyle name="Calculation 35 25" xfId="12770"/>
    <cellStyle name="Calculation 35 26" xfId="12771"/>
    <cellStyle name="Calculation 35 27" xfId="12772"/>
    <cellStyle name="Calculation 35 28" xfId="12773"/>
    <cellStyle name="Calculation 35 29" xfId="12774"/>
    <cellStyle name="Calculation 35 3" xfId="12775"/>
    <cellStyle name="Calculation 35 30" xfId="12776"/>
    <cellStyle name="Calculation 35 31" xfId="12777"/>
    <cellStyle name="Calculation 35 32" xfId="12778"/>
    <cellStyle name="Calculation 35 33" xfId="12779"/>
    <cellStyle name="Calculation 35 34" xfId="12780"/>
    <cellStyle name="Calculation 35 35" xfId="12781"/>
    <cellStyle name="Calculation 35 36" xfId="12782"/>
    <cellStyle name="Calculation 35 37" xfId="12783"/>
    <cellStyle name="Calculation 35 38" xfId="12784"/>
    <cellStyle name="Calculation 35 39" xfId="12785"/>
    <cellStyle name="Calculation 35 4" xfId="12786"/>
    <cellStyle name="Calculation 35 40" xfId="12787"/>
    <cellStyle name="Calculation 35 41" xfId="12788"/>
    <cellStyle name="Calculation 35 42" xfId="12789"/>
    <cellStyle name="Calculation 35 43" xfId="12790"/>
    <cellStyle name="Calculation 35 5" xfId="12791"/>
    <cellStyle name="Calculation 35 6" xfId="12792"/>
    <cellStyle name="Calculation 35 7" xfId="12793"/>
    <cellStyle name="Calculation 35 8" xfId="12794"/>
    <cellStyle name="Calculation 35 9" xfId="12795"/>
    <cellStyle name="Calculation 35_분양(100%)" xfId="38699"/>
    <cellStyle name="Calculation 36" xfId="12796"/>
    <cellStyle name="Calculation 36 10" xfId="12797"/>
    <cellStyle name="Calculation 36 11" xfId="12798"/>
    <cellStyle name="Calculation 36 12" xfId="12799"/>
    <cellStyle name="Calculation 36 13" xfId="12800"/>
    <cellStyle name="Calculation 36 14" xfId="12801"/>
    <cellStyle name="Calculation 36 15" xfId="12802"/>
    <cellStyle name="Calculation 36 16" xfId="12803"/>
    <cellStyle name="Calculation 36 17" xfId="12804"/>
    <cellStyle name="Calculation 36 18" xfId="12805"/>
    <cellStyle name="Calculation 36 19" xfId="12806"/>
    <cellStyle name="Calculation 36 2" xfId="12807"/>
    <cellStyle name="Calculation 36 20" xfId="12808"/>
    <cellStyle name="Calculation 36 21" xfId="12809"/>
    <cellStyle name="Calculation 36 22" xfId="12810"/>
    <cellStyle name="Calculation 36 23" xfId="12811"/>
    <cellStyle name="Calculation 36 24" xfId="12812"/>
    <cellStyle name="Calculation 36 25" xfId="12813"/>
    <cellStyle name="Calculation 36 26" xfId="12814"/>
    <cellStyle name="Calculation 36 27" xfId="12815"/>
    <cellStyle name="Calculation 36 28" xfId="12816"/>
    <cellStyle name="Calculation 36 29" xfId="12817"/>
    <cellStyle name="Calculation 36 3" xfId="12818"/>
    <cellStyle name="Calculation 36 30" xfId="12819"/>
    <cellStyle name="Calculation 36 31" xfId="12820"/>
    <cellStyle name="Calculation 36 32" xfId="12821"/>
    <cellStyle name="Calculation 36 33" xfId="12822"/>
    <cellStyle name="Calculation 36 34" xfId="12823"/>
    <cellStyle name="Calculation 36 35" xfId="12824"/>
    <cellStyle name="Calculation 36 36" xfId="12825"/>
    <cellStyle name="Calculation 36 37" xfId="12826"/>
    <cellStyle name="Calculation 36 38" xfId="12827"/>
    <cellStyle name="Calculation 36 39" xfId="12828"/>
    <cellStyle name="Calculation 36 4" xfId="12829"/>
    <cellStyle name="Calculation 36 40" xfId="12830"/>
    <cellStyle name="Calculation 36 41" xfId="12831"/>
    <cellStyle name="Calculation 36 42" xfId="12832"/>
    <cellStyle name="Calculation 36 43" xfId="12833"/>
    <cellStyle name="Calculation 36 5" xfId="12834"/>
    <cellStyle name="Calculation 36 6" xfId="12835"/>
    <cellStyle name="Calculation 36 7" xfId="12836"/>
    <cellStyle name="Calculation 36 8" xfId="12837"/>
    <cellStyle name="Calculation 36 9" xfId="12838"/>
    <cellStyle name="Calculation 36_분양(100%)" xfId="38700"/>
    <cellStyle name="Calculation 37" xfId="12839"/>
    <cellStyle name="Calculation 37 10" xfId="12840"/>
    <cellStyle name="Calculation 37 11" xfId="12841"/>
    <cellStyle name="Calculation 37 12" xfId="12842"/>
    <cellStyle name="Calculation 37 13" xfId="12843"/>
    <cellStyle name="Calculation 37 14" xfId="12844"/>
    <cellStyle name="Calculation 37 15" xfId="12845"/>
    <cellStyle name="Calculation 37 16" xfId="12846"/>
    <cellStyle name="Calculation 37 17" xfId="12847"/>
    <cellStyle name="Calculation 37 18" xfId="12848"/>
    <cellStyle name="Calculation 37 19" xfId="12849"/>
    <cellStyle name="Calculation 37 2" xfId="12850"/>
    <cellStyle name="Calculation 37 20" xfId="12851"/>
    <cellStyle name="Calculation 37 21" xfId="12852"/>
    <cellStyle name="Calculation 37 22" xfId="12853"/>
    <cellStyle name="Calculation 37 23" xfId="12854"/>
    <cellStyle name="Calculation 37 24" xfId="12855"/>
    <cellStyle name="Calculation 37 25" xfId="12856"/>
    <cellStyle name="Calculation 37 26" xfId="12857"/>
    <cellStyle name="Calculation 37 27" xfId="12858"/>
    <cellStyle name="Calculation 37 28" xfId="12859"/>
    <cellStyle name="Calculation 37 29" xfId="12860"/>
    <cellStyle name="Calculation 37 3" xfId="12861"/>
    <cellStyle name="Calculation 37 30" xfId="12862"/>
    <cellStyle name="Calculation 37 31" xfId="12863"/>
    <cellStyle name="Calculation 37 32" xfId="12864"/>
    <cellStyle name="Calculation 37 33" xfId="12865"/>
    <cellStyle name="Calculation 37 34" xfId="12866"/>
    <cellStyle name="Calculation 37 35" xfId="12867"/>
    <cellStyle name="Calculation 37 36" xfId="12868"/>
    <cellStyle name="Calculation 37 37" xfId="12869"/>
    <cellStyle name="Calculation 37 38" xfId="12870"/>
    <cellStyle name="Calculation 37 39" xfId="12871"/>
    <cellStyle name="Calculation 37 4" xfId="12872"/>
    <cellStyle name="Calculation 37 40" xfId="12873"/>
    <cellStyle name="Calculation 37 41" xfId="12874"/>
    <cellStyle name="Calculation 37 42" xfId="12875"/>
    <cellStyle name="Calculation 37 43" xfId="12876"/>
    <cellStyle name="Calculation 37 5" xfId="12877"/>
    <cellStyle name="Calculation 37 6" xfId="12878"/>
    <cellStyle name="Calculation 37 7" xfId="12879"/>
    <cellStyle name="Calculation 37 8" xfId="12880"/>
    <cellStyle name="Calculation 37 9" xfId="12881"/>
    <cellStyle name="Calculation 37_분양(100%)" xfId="38701"/>
    <cellStyle name="Calculation 38" xfId="12882"/>
    <cellStyle name="Calculation 38 10" xfId="12883"/>
    <cellStyle name="Calculation 38 11" xfId="12884"/>
    <cellStyle name="Calculation 38 12" xfId="12885"/>
    <cellStyle name="Calculation 38 13" xfId="12886"/>
    <cellStyle name="Calculation 38 14" xfId="12887"/>
    <cellStyle name="Calculation 38 15" xfId="12888"/>
    <cellStyle name="Calculation 38 16" xfId="12889"/>
    <cellStyle name="Calculation 38 17" xfId="12890"/>
    <cellStyle name="Calculation 38 18" xfId="12891"/>
    <cellStyle name="Calculation 38 19" xfId="12892"/>
    <cellStyle name="Calculation 38 2" xfId="12893"/>
    <cellStyle name="Calculation 38 20" xfId="12894"/>
    <cellStyle name="Calculation 38 21" xfId="12895"/>
    <cellStyle name="Calculation 38 22" xfId="12896"/>
    <cellStyle name="Calculation 38 23" xfId="12897"/>
    <cellStyle name="Calculation 38 24" xfId="12898"/>
    <cellStyle name="Calculation 38 25" xfId="12899"/>
    <cellStyle name="Calculation 38 26" xfId="12900"/>
    <cellStyle name="Calculation 38 27" xfId="12901"/>
    <cellStyle name="Calculation 38 28" xfId="12902"/>
    <cellStyle name="Calculation 38 29" xfId="12903"/>
    <cellStyle name="Calculation 38 3" xfId="12904"/>
    <cellStyle name="Calculation 38 30" xfId="12905"/>
    <cellStyle name="Calculation 38 31" xfId="12906"/>
    <cellStyle name="Calculation 38 32" xfId="12907"/>
    <cellStyle name="Calculation 38 33" xfId="12908"/>
    <cellStyle name="Calculation 38 34" xfId="12909"/>
    <cellStyle name="Calculation 38 35" xfId="12910"/>
    <cellStyle name="Calculation 38 36" xfId="12911"/>
    <cellStyle name="Calculation 38 37" xfId="12912"/>
    <cellStyle name="Calculation 38 38" xfId="12913"/>
    <cellStyle name="Calculation 38 39" xfId="12914"/>
    <cellStyle name="Calculation 38 4" xfId="12915"/>
    <cellStyle name="Calculation 38 40" xfId="12916"/>
    <cellStyle name="Calculation 38 41" xfId="12917"/>
    <cellStyle name="Calculation 38 42" xfId="12918"/>
    <cellStyle name="Calculation 38 43" xfId="12919"/>
    <cellStyle name="Calculation 38 5" xfId="12920"/>
    <cellStyle name="Calculation 38 6" xfId="12921"/>
    <cellStyle name="Calculation 38 7" xfId="12922"/>
    <cellStyle name="Calculation 38 8" xfId="12923"/>
    <cellStyle name="Calculation 38 9" xfId="12924"/>
    <cellStyle name="Calculation 38_분양(100%)" xfId="38702"/>
    <cellStyle name="Calculation 39" xfId="12925"/>
    <cellStyle name="Calculation 39 10" xfId="12926"/>
    <cellStyle name="Calculation 39 11" xfId="12927"/>
    <cellStyle name="Calculation 39 12" xfId="12928"/>
    <cellStyle name="Calculation 39 13" xfId="12929"/>
    <cellStyle name="Calculation 39 14" xfId="12930"/>
    <cellStyle name="Calculation 39 15" xfId="12931"/>
    <cellStyle name="Calculation 39 16" xfId="12932"/>
    <cellStyle name="Calculation 39 17" xfId="12933"/>
    <cellStyle name="Calculation 39 18" xfId="12934"/>
    <cellStyle name="Calculation 39 19" xfId="12935"/>
    <cellStyle name="Calculation 39 2" xfId="12936"/>
    <cellStyle name="Calculation 39 20" xfId="12937"/>
    <cellStyle name="Calculation 39 21" xfId="12938"/>
    <cellStyle name="Calculation 39 22" xfId="12939"/>
    <cellStyle name="Calculation 39 23" xfId="12940"/>
    <cellStyle name="Calculation 39 24" xfId="12941"/>
    <cellStyle name="Calculation 39 25" xfId="12942"/>
    <cellStyle name="Calculation 39 26" xfId="12943"/>
    <cellStyle name="Calculation 39 27" xfId="12944"/>
    <cellStyle name="Calculation 39 28" xfId="12945"/>
    <cellStyle name="Calculation 39 29" xfId="12946"/>
    <cellStyle name="Calculation 39 3" xfId="12947"/>
    <cellStyle name="Calculation 39 30" xfId="12948"/>
    <cellStyle name="Calculation 39 31" xfId="12949"/>
    <cellStyle name="Calculation 39 32" xfId="12950"/>
    <cellStyle name="Calculation 39 33" xfId="12951"/>
    <cellStyle name="Calculation 39 34" xfId="12952"/>
    <cellStyle name="Calculation 39 35" xfId="12953"/>
    <cellStyle name="Calculation 39 36" xfId="12954"/>
    <cellStyle name="Calculation 39 37" xfId="12955"/>
    <cellStyle name="Calculation 39 38" xfId="12956"/>
    <cellStyle name="Calculation 39 39" xfId="12957"/>
    <cellStyle name="Calculation 39 4" xfId="12958"/>
    <cellStyle name="Calculation 39 40" xfId="12959"/>
    <cellStyle name="Calculation 39 41" xfId="12960"/>
    <cellStyle name="Calculation 39 42" xfId="12961"/>
    <cellStyle name="Calculation 39 43" xfId="12962"/>
    <cellStyle name="Calculation 39 5" xfId="12963"/>
    <cellStyle name="Calculation 39 6" xfId="12964"/>
    <cellStyle name="Calculation 39 7" xfId="12965"/>
    <cellStyle name="Calculation 39 8" xfId="12966"/>
    <cellStyle name="Calculation 39 9" xfId="12967"/>
    <cellStyle name="Calculation 39_분양(100%)" xfId="38703"/>
    <cellStyle name="Calculation 4" xfId="549"/>
    <cellStyle name="Calculation 4 10" xfId="12968"/>
    <cellStyle name="Calculation 4 11" xfId="12969"/>
    <cellStyle name="Calculation 4 12" xfId="12970"/>
    <cellStyle name="Calculation 4 13" xfId="12971"/>
    <cellStyle name="Calculation 4 14" xfId="12972"/>
    <cellStyle name="Calculation 4 15" xfId="12973"/>
    <cellStyle name="Calculation 4 16" xfId="12974"/>
    <cellStyle name="Calculation 4 17" xfId="12975"/>
    <cellStyle name="Calculation 4 18" xfId="12976"/>
    <cellStyle name="Calculation 4 19" xfId="12977"/>
    <cellStyle name="Calculation 4 2" xfId="3147"/>
    <cellStyle name="Calculation 4 2 2" xfId="3592"/>
    <cellStyle name="Calculation 4 2 2 2" xfId="4664"/>
    <cellStyle name="Calculation 4 2 2 3" xfId="5018"/>
    <cellStyle name="Calculation 4 2 3" xfId="4562"/>
    <cellStyle name="Calculation 4 2 4" xfId="4488"/>
    <cellStyle name="Calculation 4 2_분양(100%)" xfId="38705"/>
    <cellStyle name="Calculation 4 20" xfId="12978"/>
    <cellStyle name="Calculation 4 21" xfId="12979"/>
    <cellStyle name="Calculation 4 22" xfId="12980"/>
    <cellStyle name="Calculation 4 23" xfId="12981"/>
    <cellStyle name="Calculation 4 24" xfId="12982"/>
    <cellStyle name="Calculation 4 25" xfId="12983"/>
    <cellStyle name="Calculation 4 26" xfId="12984"/>
    <cellStyle name="Calculation 4 27" xfId="12985"/>
    <cellStyle name="Calculation 4 28" xfId="12986"/>
    <cellStyle name="Calculation 4 29" xfId="12987"/>
    <cellStyle name="Calculation 4 3" xfId="3593"/>
    <cellStyle name="Calculation 4 3 2" xfId="4665"/>
    <cellStyle name="Calculation 4 3 3" xfId="5019"/>
    <cellStyle name="Calculation 4 3_분양(100%)" xfId="38706"/>
    <cellStyle name="Calculation 4 30" xfId="12988"/>
    <cellStyle name="Calculation 4 31" xfId="12989"/>
    <cellStyle name="Calculation 4 32" xfId="12990"/>
    <cellStyle name="Calculation 4 33" xfId="12991"/>
    <cellStyle name="Calculation 4 34" xfId="12992"/>
    <cellStyle name="Calculation 4 35" xfId="12993"/>
    <cellStyle name="Calculation 4 36" xfId="12994"/>
    <cellStyle name="Calculation 4 37" xfId="12995"/>
    <cellStyle name="Calculation 4 38" xfId="12996"/>
    <cellStyle name="Calculation 4 39" xfId="12997"/>
    <cellStyle name="Calculation 4 4" xfId="3594"/>
    <cellStyle name="Calculation 4 4 2" xfId="4666"/>
    <cellStyle name="Calculation 4 4 3" xfId="5020"/>
    <cellStyle name="Calculation 4 4_분양(100%)" xfId="38707"/>
    <cellStyle name="Calculation 4 40" xfId="12998"/>
    <cellStyle name="Calculation 4 41" xfId="12999"/>
    <cellStyle name="Calculation 4 42" xfId="13000"/>
    <cellStyle name="Calculation 4 43" xfId="13001"/>
    <cellStyle name="Calculation 4 44" xfId="13002"/>
    <cellStyle name="Calculation 4 5" xfId="13003"/>
    <cellStyle name="Calculation 4 6" xfId="13004"/>
    <cellStyle name="Calculation 4 7" xfId="13005"/>
    <cellStyle name="Calculation 4 8" xfId="13006"/>
    <cellStyle name="Calculation 4 9" xfId="13007"/>
    <cellStyle name="Calculation 4_분양(100%)" xfId="38704"/>
    <cellStyle name="Calculation 40" xfId="13008"/>
    <cellStyle name="Calculation 40 10" xfId="13009"/>
    <cellStyle name="Calculation 40 11" xfId="13010"/>
    <cellStyle name="Calculation 40 12" xfId="13011"/>
    <cellStyle name="Calculation 40 13" xfId="13012"/>
    <cellStyle name="Calculation 40 14" xfId="13013"/>
    <cellStyle name="Calculation 40 15" xfId="13014"/>
    <cellStyle name="Calculation 40 16" xfId="13015"/>
    <cellStyle name="Calculation 40 17" xfId="13016"/>
    <cellStyle name="Calculation 40 18" xfId="13017"/>
    <cellStyle name="Calculation 40 19" xfId="13018"/>
    <cellStyle name="Calculation 40 2" xfId="13019"/>
    <cellStyle name="Calculation 40 20" xfId="13020"/>
    <cellStyle name="Calculation 40 21" xfId="13021"/>
    <cellStyle name="Calculation 40 22" xfId="13022"/>
    <cellStyle name="Calculation 40 23" xfId="13023"/>
    <cellStyle name="Calculation 40 24" xfId="13024"/>
    <cellStyle name="Calculation 40 25" xfId="13025"/>
    <cellStyle name="Calculation 40 26" xfId="13026"/>
    <cellStyle name="Calculation 40 27" xfId="13027"/>
    <cellStyle name="Calculation 40 28" xfId="13028"/>
    <cellStyle name="Calculation 40 29" xfId="13029"/>
    <cellStyle name="Calculation 40 3" xfId="13030"/>
    <cellStyle name="Calculation 40 30" xfId="13031"/>
    <cellStyle name="Calculation 40 31" xfId="13032"/>
    <cellStyle name="Calculation 40 32" xfId="13033"/>
    <cellStyle name="Calculation 40 33" xfId="13034"/>
    <cellStyle name="Calculation 40 34" xfId="13035"/>
    <cellStyle name="Calculation 40 35" xfId="13036"/>
    <cellStyle name="Calculation 40 36" xfId="13037"/>
    <cellStyle name="Calculation 40 37" xfId="13038"/>
    <cellStyle name="Calculation 40 38" xfId="13039"/>
    <cellStyle name="Calculation 40 39" xfId="13040"/>
    <cellStyle name="Calculation 40 4" xfId="13041"/>
    <cellStyle name="Calculation 40 40" xfId="13042"/>
    <cellStyle name="Calculation 40 41" xfId="13043"/>
    <cellStyle name="Calculation 40 42" xfId="13044"/>
    <cellStyle name="Calculation 40 43" xfId="13045"/>
    <cellStyle name="Calculation 40 5" xfId="13046"/>
    <cellStyle name="Calculation 40 6" xfId="13047"/>
    <cellStyle name="Calculation 40 7" xfId="13048"/>
    <cellStyle name="Calculation 40 8" xfId="13049"/>
    <cellStyle name="Calculation 40 9" xfId="13050"/>
    <cellStyle name="Calculation 40_분양(100%)" xfId="38708"/>
    <cellStyle name="Calculation 41" xfId="13051"/>
    <cellStyle name="Calculation 42" xfId="13052"/>
    <cellStyle name="Calculation 43" xfId="13053"/>
    <cellStyle name="Calculation 44" xfId="13054"/>
    <cellStyle name="Calculation 45" xfId="13055"/>
    <cellStyle name="Calculation 46" xfId="13056"/>
    <cellStyle name="Calculation 47" xfId="13057"/>
    <cellStyle name="Calculation 48" xfId="13058"/>
    <cellStyle name="Calculation 49" xfId="13059"/>
    <cellStyle name="Calculation 5" xfId="571"/>
    <cellStyle name="Calculation 5 10" xfId="13060"/>
    <cellStyle name="Calculation 5 11" xfId="13061"/>
    <cellStyle name="Calculation 5 12" xfId="13062"/>
    <cellStyle name="Calculation 5 13" xfId="13063"/>
    <cellStyle name="Calculation 5 14" xfId="13064"/>
    <cellStyle name="Calculation 5 15" xfId="13065"/>
    <cellStyle name="Calculation 5 16" xfId="13066"/>
    <cellStyle name="Calculation 5 17" xfId="13067"/>
    <cellStyle name="Calculation 5 18" xfId="13068"/>
    <cellStyle name="Calculation 5 19" xfId="13069"/>
    <cellStyle name="Calculation 5 2" xfId="3169"/>
    <cellStyle name="Calculation 5 2 2" xfId="3595"/>
    <cellStyle name="Calculation 5 2 2 2" xfId="4667"/>
    <cellStyle name="Calculation 5 2 2 3" xfId="5021"/>
    <cellStyle name="Calculation 5 2 3" xfId="4583"/>
    <cellStyle name="Calculation 5 2 4" xfId="4468"/>
    <cellStyle name="Calculation 5 2_분양(100%)" xfId="38710"/>
    <cellStyle name="Calculation 5 20" xfId="13070"/>
    <cellStyle name="Calculation 5 21" xfId="13071"/>
    <cellStyle name="Calculation 5 22" xfId="13072"/>
    <cellStyle name="Calculation 5 23" xfId="13073"/>
    <cellStyle name="Calculation 5 24" xfId="13074"/>
    <cellStyle name="Calculation 5 25" xfId="13075"/>
    <cellStyle name="Calculation 5 26" xfId="13076"/>
    <cellStyle name="Calculation 5 27" xfId="13077"/>
    <cellStyle name="Calculation 5 28" xfId="13078"/>
    <cellStyle name="Calculation 5 29" xfId="13079"/>
    <cellStyle name="Calculation 5 3" xfId="3596"/>
    <cellStyle name="Calculation 5 3 2" xfId="4668"/>
    <cellStyle name="Calculation 5 3 3" xfId="5022"/>
    <cellStyle name="Calculation 5 3_분양(100%)" xfId="38711"/>
    <cellStyle name="Calculation 5 30" xfId="13080"/>
    <cellStyle name="Calculation 5 31" xfId="13081"/>
    <cellStyle name="Calculation 5 32" xfId="13082"/>
    <cellStyle name="Calculation 5 33" xfId="13083"/>
    <cellStyle name="Calculation 5 34" xfId="13084"/>
    <cellStyle name="Calculation 5 35" xfId="13085"/>
    <cellStyle name="Calculation 5 36" xfId="13086"/>
    <cellStyle name="Calculation 5 37" xfId="13087"/>
    <cellStyle name="Calculation 5 38" xfId="13088"/>
    <cellStyle name="Calculation 5 39" xfId="13089"/>
    <cellStyle name="Calculation 5 4" xfId="3597"/>
    <cellStyle name="Calculation 5 4 2" xfId="4669"/>
    <cellStyle name="Calculation 5 4 3" xfId="5023"/>
    <cellStyle name="Calculation 5 4_분양(100%)" xfId="38712"/>
    <cellStyle name="Calculation 5 40" xfId="13090"/>
    <cellStyle name="Calculation 5 41" xfId="13091"/>
    <cellStyle name="Calculation 5 42" xfId="13092"/>
    <cellStyle name="Calculation 5 43" xfId="13093"/>
    <cellStyle name="Calculation 5 5" xfId="13094"/>
    <cellStyle name="Calculation 5 6" xfId="13095"/>
    <cellStyle name="Calculation 5 7" xfId="13096"/>
    <cellStyle name="Calculation 5 8" xfId="13097"/>
    <cellStyle name="Calculation 5 9" xfId="13098"/>
    <cellStyle name="Calculation 5_분양(100%)" xfId="38709"/>
    <cellStyle name="Calculation 50" xfId="13099"/>
    <cellStyle name="Calculation 51" xfId="13100"/>
    <cellStyle name="Calculation 52" xfId="13101"/>
    <cellStyle name="Calculation 53" xfId="13102"/>
    <cellStyle name="Calculation 54" xfId="13103"/>
    <cellStyle name="Calculation 55" xfId="13104"/>
    <cellStyle name="Calculation 56" xfId="13105"/>
    <cellStyle name="Calculation 57" xfId="13106"/>
    <cellStyle name="Calculation 58" xfId="13107"/>
    <cellStyle name="Calculation 59" xfId="13108"/>
    <cellStyle name="Calculation 6" xfId="545"/>
    <cellStyle name="Calculation 6 10" xfId="13109"/>
    <cellStyle name="Calculation 6 11" xfId="13110"/>
    <cellStyle name="Calculation 6 12" xfId="13111"/>
    <cellStyle name="Calculation 6 13" xfId="13112"/>
    <cellStyle name="Calculation 6 14" xfId="13113"/>
    <cellStyle name="Calculation 6 15" xfId="13114"/>
    <cellStyle name="Calculation 6 16" xfId="13115"/>
    <cellStyle name="Calculation 6 17" xfId="13116"/>
    <cellStyle name="Calculation 6 18" xfId="13117"/>
    <cellStyle name="Calculation 6 19" xfId="13118"/>
    <cellStyle name="Calculation 6 2" xfId="3143"/>
    <cellStyle name="Calculation 6 2 2" xfId="3598"/>
    <cellStyle name="Calculation 6 2 2 2" xfId="4670"/>
    <cellStyle name="Calculation 6 2 2 3" xfId="5024"/>
    <cellStyle name="Calculation 6 2 3" xfId="4558"/>
    <cellStyle name="Calculation 6 2 4" xfId="4492"/>
    <cellStyle name="Calculation 6 2_분양(100%)" xfId="38714"/>
    <cellStyle name="Calculation 6 20" xfId="13119"/>
    <cellStyle name="Calculation 6 21" xfId="13120"/>
    <cellStyle name="Calculation 6 22" xfId="13121"/>
    <cellStyle name="Calculation 6 23" xfId="13122"/>
    <cellStyle name="Calculation 6 24" xfId="13123"/>
    <cellStyle name="Calculation 6 25" xfId="13124"/>
    <cellStyle name="Calculation 6 26" xfId="13125"/>
    <cellStyle name="Calculation 6 27" xfId="13126"/>
    <cellStyle name="Calculation 6 28" xfId="13127"/>
    <cellStyle name="Calculation 6 29" xfId="13128"/>
    <cellStyle name="Calculation 6 3" xfId="3599"/>
    <cellStyle name="Calculation 6 3 2" xfId="4671"/>
    <cellStyle name="Calculation 6 3 3" xfId="5025"/>
    <cellStyle name="Calculation 6 3_분양(100%)" xfId="38715"/>
    <cellStyle name="Calculation 6 30" xfId="13129"/>
    <cellStyle name="Calculation 6 31" xfId="13130"/>
    <cellStyle name="Calculation 6 32" xfId="13131"/>
    <cellStyle name="Calculation 6 33" xfId="13132"/>
    <cellStyle name="Calculation 6 34" xfId="13133"/>
    <cellStyle name="Calculation 6 35" xfId="13134"/>
    <cellStyle name="Calculation 6 36" xfId="13135"/>
    <cellStyle name="Calculation 6 37" xfId="13136"/>
    <cellStyle name="Calculation 6 38" xfId="13137"/>
    <cellStyle name="Calculation 6 39" xfId="13138"/>
    <cellStyle name="Calculation 6 4" xfId="3600"/>
    <cellStyle name="Calculation 6 4 2" xfId="4672"/>
    <cellStyle name="Calculation 6 4 3" xfId="5026"/>
    <cellStyle name="Calculation 6 4_분양(100%)" xfId="38716"/>
    <cellStyle name="Calculation 6 40" xfId="13139"/>
    <cellStyle name="Calculation 6 41" xfId="13140"/>
    <cellStyle name="Calculation 6 42" xfId="13141"/>
    <cellStyle name="Calculation 6 43" xfId="13142"/>
    <cellStyle name="Calculation 6 5" xfId="13143"/>
    <cellStyle name="Calculation 6 6" xfId="13144"/>
    <cellStyle name="Calculation 6 7" xfId="13145"/>
    <cellStyle name="Calculation 6 8" xfId="13146"/>
    <cellStyle name="Calculation 6 9" xfId="13147"/>
    <cellStyle name="Calculation 6_분양(100%)" xfId="38713"/>
    <cellStyle name="Calculation 60" xfId="13148"/>
    <cellStyle name="Calculation 61" xfId="13149"/>
    <cellStyle name="Calculation 62" xfId="13150"/>
    <cellStyle name="Calculation 63" xfId="13151"/>
    <cellStyle name="Calculation 64" xfId="13152"/>
    <cellStyle name="Calculation 65" xfId="13153"/>
    <cellStyle name="Calculation 66" xfId="13154"/>
    <cellStyle name="Calculation 67" xfId="13155"/>
    <cellStyle name="Calculation 68" xfId="13156"/>
    <cellStyle name="Calculation 69" xfId="13157"/>
    <cellStyle name="Calculation 7" xfId="643"/>
    <cellStyle name="Calculation 7 10" xfId="13158"/>
    <cellStyle name="Calculation 7 11" xfId="13159"/>
    <cellStyle name="Calculation 7 12" xfId="13160"/>
    <cellStyle name="Calculation 7 13" xfId="13161"/>
    <cellStyle name="Calculation 7 14" xfId="13162"/>
    <cellStyle name="Calculation 7 15" xfId="13163"/>
    <cellStyle name="Calculation 7 16" xfId="13164"/>
    <cellStyle name="Calculation 7 17" xfId="13165"/>
    <cellStyle name="Calculation 7 18" xfId="13166"/>
    <cellStyle name="Calculation 7 19" xfId="13167"/>
    <cellStyle name="Calculation 7 2" xfId="3601"/>
    <cellStyle name="Calculation 7 2 2" xfId="4673"/>
    <cellStyle name="Calculation 7 2 3" xfId="5027"/>
    <cellStyle name="Calculation 7 2_분양(100%)" xfId="38718"/>
    <cellStyle name="Calculation 7 20" xfId="13168"/>
    <cellStyle name="Calculation 7 21" xfId="13169"/>
    <cellStyle name="Calculation 7 22" xfId="13170"/>
    <cellStyle name="Calculation 7 23" xfId="13171"/>
    <cellStyle name="Calculation 7 24" xfId="13172"/>
    <cellStyle name="Calculation 7 25" xfId="13173"/>
    <cellStyle name="Calculation 7 26" xfId="13174"/>
    <cellStyle name="Calculation 7 27" xfId="13175"/>
    <cellStyle name="Calculation 7 28" xfId="13176"/>
    <cellStyle name="Calculation 7 29" xfId="13177"/>
    <cellStyle name="Calculation 7 3" xfId="3602"/>
    <cellStyle name="Calculation 7 3 2" xfId="4674"/>
    <cellStyle name="Calculation 7 3 3" xfId="5028"/>
    <cellStyle name="Calculation 7 3_분양(100%)" xfId="38719"/>
    <cellStyle name="Calculation 7 30" xfId="13178"/>
    <cellStyle name="Calculation 7 31" xfId="13179"/>
    <cellStyle name="Calculation 7 32" xfId="13180"/>
    <cellStyle name="Calculation 7 33" xfId="13181"/>
    <cellStyle name="Calculation 7 34" xfId="13182"/>
    <cellStyle name="Calculation 7 35" xfId="13183"/>
    <cellStyle name="Calculation 7 36" xfId="13184"/>
    <cellStyle name="Calculation 7 37" xfId="13185"/>
    <cellStyle name="Calculation 7 38" xfId="13186"/>
    <cellStyle name="Calculation 7 39" xfId="13187"/>
    <cellStyle name="Calculation 7 4" xfId="3603"/>
    <cellStyle name="Calculation 7 4 2" xfId="4675"/>
    <cellStyle name="Calculation 7 4 3" xfId="5029"/>
    <cellStyle name="Calculation 7 4_분양(100%)" xfId="38720"/>
    <cellStyle name="Calculation 7 40" xfId="13188"/>
    <cellStyle name="Calculation 7 41" xfId="13189"/>
    <cellStyle name="Calculation 7 42" xfId="13190"/>
    <cellStyle name="Calculation 7 43" xfId="13191"/>
    <cellStyle name="Calculation 7 5" xfId="4450"/>
    <cellStyle name="Calculation 7 6" xfId="4520"/>
    <cellStyle name="Calculation 7 7" xfId="13192"/>
    <cellStyle name="Calculation 7 8" xfId="13193"/>
    <cellStyle name="Calculation 7 9" xfId="13194"/>
    <cellStyle name="Calculation 7_분양(100%)" xfId="38717"/>
    <cellStyle name="Calculation 70" xfId="13195"/>
    <cellStyle name="Calculation 71" xfId="13196"/>
    <cellStyle name="Calculation 72" xfId="13197"/>
    <cellStyle name="Calculation 73" xfId="13198"/>
    <cellStyle name="Calculation 74" xfId="13199"/>
    <cellStyle name="Calculation 75" xfId="13200"/>
    <cellStyle name="Calculation 76" xfId="13201"/>
    <cellStyle name="Calculation 77" xfId="13202"/>
    <cellStyle name="Calculation 78" xfId="13203"/>
    <cellStyle name="Calculation 79" xfId="13204"/>
    <cellStyle name="Calculation 8" xfId="3114"/>
    <cellStyle name="Calculation 8 10" xfId="13205"/>
    <cellStyle name="Calculation 8 11" xfId="13206"/>
    <cellStyle name="Calculation 8 12" xfId="13207"/>
    <cellStyle name="Calculation 8 13" xfId="13208"/>
    <cellStyle name="Calculation 8 14" xfId="13209"/>
    <cellStyle name="Calculation 8 15" xfId="13210"/>
    <cellStyle name="Calculation 8 16" xfId="13211"/>
    <cellStyle name="Calculation 8 17" xfId="13212"/>
    <cellStyle name="Calculation 8 18" xfId="13213"/>
    <cellStyle name="Calculation 8 19" xfId="13214"/>
    <cellStyle name="Calculation 8 2" xfId="3604"/>
    <cellStyle name="Calculation 8 2 2" xfId="4676"/>
    <cellStyle name="Calculation 8 2 3" xfId="5030"/>
    <cellStyle name="Calculation 8 2_분양(100%)" xfId="38722"/>
    <cellStyle name="Calculation 8 20" xfId="13215"/>
    <cellStyle name="Calculation 8 21" xfId="13216"/>
    <cellStyle name="Calculation 8 22" xfId="13217"/>
    <cellStyle name="Calculation 8 23" xfId="13218"/>
    <cellStyle name="Calculation 8 24" xfId="13219"/>
    <cellStyle name="Calculation 8 25" xfId="13220"/>
    <cellStyle name="Calculation 8 26" xfId="13221"/>
    <cellStyle name="Calculation 8 27" xfId="13222"/>
    <cellStyle name="Calculation 8 28" xfId="13223"/>
    <cellStyle name="Calculation 8 29" xfId="13224"/>
    <cellStyle name="Calculation 8 3" xfId="4529"/>
    <cellStyle name="Calculation 8 30" xfId="13225"/>
    <cellStyle name="Calculation 8 31" xfId="13226"/>
    <cellStyle name="Calculation 8 32" xfId="13227"/>
    <cellStyle name="Calculation 8 33" xfId="13228"/>
    <cellStyle name="Calculation 8 34" xfId="13229"/>
    <cellStyle name="Calculation 8 35" xfId="13230"/>
    <cellStyle name="Calculation 8 36" xfId="13231"/>
    <cellStyle name="Calculation 8 37" xfId="13232"/>
    <cellStyle name="Calculation 8 38" xfId="13233"/>
    <cellStyle name="Calculation 8 39" xfId="13234"/>
    <cellStyle name="Calculation 8 4" xfId="4501"/>
    <cellStyle name="Calculation 8 40" xfId="13235"/>
    <cellStyle name="Calculation 8 41" xfId="13236"/>
    <cellStyle name="Calculation 8 42" xfId="13237"/>
    <cellStyle name="Calculation 8 43" xfId="13238"/>
    <cellStyle name="Calculation 8 5" xfId="13239"/>
    <cellStyle name="Calculation 8 6" xfId="13240"/>
    <cellStyle name="Calculation 8 7" xfId="13241"/>
    <cellStyle name="Calculation 8 8" xfId="13242"/>
    <cellStyle name="Calculation 8 9" xfId="13243"/>
    <cellStyle name="Calculation 8_분양(100%)" xfId="38721"/>
    <cellStyle name="Calculation 80" xfId="13244"/>
    <cellStyle name="Calculation 81" xfId="13245"/>
    <cellStyle name="Calculation 82" xfId="13246"/>
    <cellStyle name="Calculation 83" xfId="13247"/>
    <cellStyle name="Calculation 84" xfId="13248"/>
    <cellStyle name="Calculation 9" xfId="3605"/>
    <cellStyle name="Calculation 9 10" xfId="13249"/>
    <cellStyle name="Calculation 9 11" xfId="13250"/>
    <cellStyle name="Calculation 9 12" xfId="13251"/>
    <cellStyle name="Calculation 9 13" xfId="13252"/>
    <cellStyle name="Calculation 9 14" xfId="13253"/>
    <cellStyle name="Calculation 9 15" xfId="13254"/>
    <cellStyle name="Calculation 9 16" xfId="13255"/>
    <cellStyle name="Calculation 9 17" xfId="13256"/>
    <cellStyle name="Calculation 9 18" xfId="13257"/>
    <cellStyle name="Calculation 9 19" xfId="13258"/>
    <cellStyle name="Calculation 9 2" xfId="4677"/>
    <cellStyle name="Calculation 9 20" xfId="13259"/>
    <cellStyle name="Calculation 9 21" xfId="13260"/>
    <cellStyle name="Calculation 9 22" xfId="13261"/>
    <cellStyle name="Calculation 9 23" xfId="13262"/>
    <cellStyle name="Calculation 9 24" xfId="13263"/>
    <cellStyle name="Calculation 9 25" xfId="13264"/>
    <cellStyle name="Calculation 9 26" xfId="13265"/>
    <cellStyle name="Calculation 9 27" xfId="13266"/>
    <cellStyle name="Calculation 9 28" xfId="13267"/>
    <cellStyle name="Calculation 9 29" xfId="13268"/>
    <cellStyle name="Calculation 9 3" xfId="5031"/>
    <cellStyle name="Calculation 9 30" xfId="13269"/>
    <cellStyle name="Calculation 9 31" xfId="13270"/>
    <cellStyle name="Calculation 9 32" xfId="13271"/>
    <cellStyle name="Calculation 9 33" xfId="13272"/>
    <cellStyle name="Calculation 9 34" xfId="13273"/>
    <cellStyle name="Calculation 9 35" xfId="13274"/>
    <cellStyle name="Calculation 9 36" xfId="13275"/>
    <cellStyle name="Calculation 9 37" xfId="13276"/>
    <cellStyle name="Calculation 9 38" xfId="13277"/>
    <cellStyle name="Calculation 9 39" xfId="13278"/>
    <cellStyle name="Calculation 9 4" xfId="13279"/>
    <cellStyle name="Calculation 9 40" xfId="13280"/>
    <cellStyle name="Calculation 9 41" xfId="13281"/>
    <cellStyle name="Calculation 9 42" xfId="13282"/>
    <cellStyle name="Calculation 9 43" xfId="13283"/>
    <cellStyle name="Calculation 9 5" xfId="13284"/>
    <cellStyle name="Calculation 9 6" xfId="13285"/>
    <cellStyle name="Calculation 9 7" xfId="13286"/>
    <cellStyle name="Calculation 9 8" xfId="13287"/>
    <cellStyle name="Calculation 9 9" xfId="13288"/>
    <cellStyle name="Calculation 9_분양(100%)" xfId="38723"/>
    <cellStyle name="Calculation_분양(100%)" xfId="38661"/>
    <cellStyle name="Case" xfId="13289"/>
    <cellStyle name="Cash" xfId="13290"/>
    <cellStyle name="category" xfId="160"/>
    <cellStyle name="category 2" xfId="4312"/>
    <cellStyle name="category_분양(100%)" xfId="38724"/>
    <cellStyle name="Change A&amp;ll" xfId="13291"/>
    <cellStyle name="Change A&amp;ll 10" xfId="13292"/>
    <cellStyle name="Change A&amp;ll 10 10" xfId="13293"/>
    <cellStyle name="Change A&amp;ll 10 11" xfId="13294"/>
    <cellStyle name="Change A&amp;ll 10 12" xfId="13295"/>
    <cellStyle name="Change A&amp;ll 10 13" xfId="13296"/>
    <cellStyle name="Change A&amp;ll 10 14" xfId="13297"/>
    <cellStyle name="Change A&amp;ll 10 15" xfId="13298"/>
    <cellStyle name="Change A&amp;ll 10 16" xfId="13299"/>
    <cellStyle name="Change A&amp;ll 10 17" xfId="13300"/>
    <cellStyle name="Change A&amp;ll 10 18" xfId="13301"/>
    <cellStyle name="Change A&amp;ll 10 19" xfId="13302"/>
    <cellStyle name="Change A&amp;ll 10 2" xfId="13303"/>
    <cellStyle name="Change A&amp;ll 10 20" xfId="13304"/>
    <cellStyle name="Change A&amp;ll 10 21" xfId="13305"/>
    <cellStyle name="Change A&amp;ll 10 22" xfId="13306"/>
    <cellStyle name="Change A&amp;ll 10 23" xfId="13307"/>
    <cellStyle name="Change A&amp;ll 10 24" xfId="13308"/>
    <cellStyle name="Change A&amp;ll 10 25" xfId="13309"/>
    <cellStyle name="Change A&amp;ll 10 26" xfId="13310"/>
    <cellStyle name="Change A&amp;ll 10 27" xfId="13311"/>
    <cellStyle name="Change A&amp;ll 10 28" xfId="13312"/>
    <cellStyle name="Change A&amp;ll 10 29" xfId="13313"/>
    <cellStyle name="Change A&amp;ll 10 3" xfId="13314"/>
    <cellStyle name="Change A&amp;ll 10 30" xfId="13315"/>
    <cellStyle name="Change A&amp;ll 10 31" xfId="13316"/>
    <cellStyle name="Change A&amp;ll 10 32" xfId="13317"/>
    <cellStyle name="Change A&amp;ll 10 33" xfId="13318"/>
    <cellStyle name="Change A&amp;ll 10 34" xfId="13319"/>
    <cellStyle name="Change A&amp;ll 10 35" xfId="13320"/>
    <cellStyle name="Change A&amp;ll 10 36" xfId="13321"/>
    <cellStyle name="Change A&amp;ll 10 37" xfId="13322"/>
    <cellStyle name="Change A&amp;ll 10 38" xfId="13323"/>
    <cellStyle name="Change A&amp;ll 10 39" xfId="13324"/>
    <cellStyle name="Change A&amp;ll 10 4" xfId="13325"/>
    <cellStyle name="Change A&amp;ll 10 40" xfId="13326"/>
    <cellStyle name="Change A&amp;ll 10 41" xfId="13327"/>
    <cellStyle name="Change A&amp;ll 10 42" xfId="13328"/>
    <cellStyle name="Change A&amp;ll 10 43" xfId="13329"/>
    <cellStyle name="Change A&amp;ll 10 44" xfId="13330"/>
    <cellStyle name="Change A&amp;ll 10 45" xfId="13331"/>
    <cellStyle name="Change A&amp;ll 10 46" xfId="13332"/>
    <cellStyle name="Change A&amp;ll 10 47" xfId="13333"/>
    <cellStyle name="Change A&amp;ll 10 48" xfId="13334"/>
    <cellStyle name="Change A&amp;ll 10 5" xfId="13335"/>
    <cellStyle name="Change A&amp;ll 10 6" xfId="13336"/>
    <cellStyle name="Change A&amp;ll 10 7" xfId="13337"/>
    <cellStyle name="Change A&amp;ll 10 8" xfId="13338"/>
    <cellStyle name="Change A&amp;ll 10 9" xfId="13339"/>
    <cellStyle name="Change A&amp;ll 10_분양(100%)" xfId="38726"/>
    <cellStyle name="Change A&amp;ll 11" xfId="13340"/>
    <cellStyle name="Change A&amp;ll 11 10" xfId="13341"/>
    <cellStyle name="Change A&amp;ll 11 11" xfId="13342"/>
    <cellStyle name="Change A&amp;ll 11 12" xfId="13343"/>
    <cellStyle name="Change A&amp;ll 11 13" xfId="13344"/>
    <cellStyle name="Change A&amp;ll 11 14" xfId="13345"/>
    <cellStyle name="Change A&amp;ll 11 15" xfId="13346"/>
    <cellStyle name="Change A&amp;ll 11 16" xfId="13347"/>
    <cellStyle name="Change A&amp;ll 11 17" xfId="13348"/>
    <cellStyle name="Change A&amp;ll 11 18" xfId="13349"/>
    <cellStyle name="Change A&amp;ll 11 19" xfId="13350"/>
    <cellStyle name="Change A&amp;ll 11 2" xfId="13351"/>
    <cellStyle name="Change A&amp;ll 11 20" xfId="13352"/>
    <cellStyle name="Change A&amp;ll 11 21" xfId="13353"/>
    <cellStyle name="Change A&amp;ll 11 22" xfId="13354"/>
    <cellStyle name="Change A&amp;ll 11 23" xfId="13355"/>
    <cellStyle name="Change A&amp;ll 11 24" xfId="13356"/>
    <cellStyle name="Change A&amp;ll 11 25" xfId="13357"/>
    <cellStyle name="Change A&amp;ll 11 26" xfId="13358"/>
    <cellStyle name="Change A&amp;ll 11 27" xfId="13359"/>
    <cellStyle name="Change A&amp;ll 11 28" xfId="13360"/>
    <cellStyle name="Change A&amp;ll 11 29" xfId="13361"/>
    <cellStyle name="Change A&amp;ll 11 3" xfId="13362"/>
    <cellStyle name="Change A&amp;ll 11 30" xfId="13363"/>
    <cellStyle name="Change A&amp;ll 11 31" xfId="13364"/>
    <cellStyle name="Change A&amp;ll 11 32" xfId="13365"/>
    <cellStyle name="Change A&amp;ll 11 33" xfId="13366"/>
    <cellStyle name="Change A&amp;ll 11 34" xfId="13367"/>
    <cellStyle name="Change A&amp;ll 11 35" xfId="13368"/>
    <cellStyle name="Change A&amp;ll 11 36" xfId="13369"/>
    <cellStyle name="Change A&amp;ll 11 37" xfId="13370"/>
    <cellStyle name="Change A&amp;ll 11 38" xfId="13371"/>
    <cellStyle name="Change A&amp;ll 11 39" xfId="13372"/>
    <cellStyle name="Change A&amp;ll 11 4" xfId="13373"/>
    <cellStyle name="Change A&amp;ll 11 40" xfId="13374"/>
    <cellStyle name="Change A&amp;ll 11 41" xfId="13375"/>
    <cellStyle name="Change A&amp;ll 11 42" xfId="13376"/>
    <cellStyle name="Change A&amp;ll 11 43" xfId="13377"/>
    <cellStyle name="Change A&amp;ll 11 44" xfId="13378"/>
    <cellStyle name="Change A&amp;ll 11 45" xfId="13379"/>
    <cellStyle name="Change A&amp;ll 11 46" xfId="13380"/>
    <cellStyle name="Change A&amp;ll 11 47" xfId="13381"/>
    <cellStyle name="Change A&amp;ll 11 48" xfId="13382"/>
    <cellStyle name="Change A&amp;ll 11 5" xfId="13383"/>
    <cellStyle name="Change A&amp;ll 11 6" xfId="13384"/>
    <cellStyle name="Change A&amp;ll 11 7" xfId="13385"/>
    <cellStyle name="Change A&amp;ll 11 8" xfId="13386"/>
    <cellStyle name="Change A&amp;ll 11 9" xfId="13387"/>
    <cellStyle name="Change A&amp;ll 11_분양(100%)" xfId="38727"/>
    <cellStyle name="Change A&amp;ll 12" xfId="13388"/>
    <cellStyle name="Change A&amp;ll 12 10" xfId="13389"/>
    <cellStyle name="Change A&amp;ll 12 11" xfId="13390"/>
    <cellStyle name="Change A&amp;ll 12 12" xfId="13391"/>
    <cellStyle name="Change A&amp;ll 12 13" xfId="13392"/>
    <cellStyle name="Change A&amp;ll 12 14" xfId="13393"/>
    <cellStyle name="Change A&amp;ll 12 15" xfId="13394"/>
    <cellStyle name="Change A&amp;ll 12 16" xfId="13395"/>
    <cellStyle name="Change A&amp;ll 12 17" xfId="13396"/>
    <cellStyle name="Change A&amp;ll 12 18" xfId="13397"/>
    <cellStyle name="Change A&amp;ll 12 19" xfId="13398"/>
    <cellStyle name="Change A&amp;ll 12 2" xfId="13399"/>
    <cellStyle name="Change A&amp;ll 12 20" xfId="13400"/>
    <cellStyle name="Change A&amp;ll 12 21" xfId="13401"/>
    <cellStyle name="Change A&amp;ll 12 22" xfId="13402"/>
    <cellStyle name="Change A&amp;ll 12 23" xfId="13403"/>
    <cellStyle name="Change A&amp;ll 12 24" xfId="13404"/>
    <cellStyle name="Change A&amp;ll 12 25" xfId="13405"/>
    <cellStyle name="Change A&amp;ll 12 26" xfId="13406"/>
    <cellStyle name="Change A&amp;ll 12 27" xfId="13407"/>
    <cellStyle name="Change A&amp;ll 12 28" xfId="13408"/>
    <cellStyle name="Change A&amp;ll 12 29" xfId="13409"/>
    <cellStyle name="Change A&amp;ll 12 3" xfId="13410"/>
    <cellStyle name="Change A&amp;ll 12 30" xfId="13411"/>
    <cellStyle name="Change A&amp;ll 12 31" xfId="13412"/>
    <cellStyle name="Change A&amp;ll 12 32" xfId="13413"/>
    <cellStyle name="Change A&amp;ll 12 33" xfId="13414"/>
    <cellStyle name="Change A&amp;ll 12 34" xfId="13415"/>
    <cellStyle name="Change A&amp;ll 12 35" xfId="13416"/>
    <cellStyle name="Change A&amp;ll 12 36" xfId="13417"/>
    <cellStyle name="Change A&amp;ll 12 37" xfId="13418"/>
    <cellStyle name="Change A&amp;ll 12 38" xfId="13419"/>
    <cellStyle name="Change A&amp;ll 12 39" xfId="13420"/>
    <cellStyle name="Change A&amp;ll 12 4" xfId="13421"/>
    <cellStyle name="Change A&amp;ll 12 40" xfId="13422"/>
    <cellStyle name="Change A&amp;ll 12 41" xfId="13423"/>
    <cellStyle name="Change A&amp;ll 12 42" xfId="13424"/>
    <cellStyle name="Change A&amp;ll 12 43" xfId="13425"/>
    <cellStyle name="Change A&amp;ll 12 44" xfId="13426"/>
    <cellStyle name="Change A&amp;ll 12 45" xfId="13427"/>
    <cellStyle name="Change A&amp;ll 12 46" xfId="13428"/>
    <cellStyle name="Change A&amp;ll 12 47" xfId="13429"/>
    <cellStyle name="Change A&amp;ll 12 48" xfId="13430"/>
    <cellStyle name="Change A&amp;ll 12 5" xfId="13431"/>
    <cellStyle name="Change A&amp;ll 12 6" xfId="13432"/>
    <cellStyle name="Change A&amp;ll 12 7" xfId="13433"/>
    <cellStyle name="Change A&amp;ll 12 8" xfId="13434"/>
    <cellStyle name="Change A&amp;ll 12 9" xfId="13435"/>
    <cellStyle name="Change A&amp;ll 12_분양(100%)" xfId="38728"/>
    <cellStyle name="Change A&amp;ll 13" xfId="13436"/>
    <cellStyle name="Change A&amp;ll 13 10" xfId="13437"/>
    <cellStyle name="Change A&amp;ll 13 11" xfId="13438"/>
    <cellStyle name="Change A&amp;ll 13 12" xfId="13439"/>
    <cellStyle name="Change A&amp;ll 13 13" xfId="13440"/>
    <cellStyle name="Change A&amp;ll 13 14" xfId="13441"/>
    <cellStyle name="Change A&amp;ll 13 15" xfId="13442"/>
    <cellStyle name="Change A&amp;ll 13 16" xfId="13443"/>
    <cellStyle name="Change A&amp;ll 13 17" xfId="13444"/>
    <cellStyle name="Change A&amp;ll 13 18" xfId="13445"/>
    <cellStyle name="Change A&amp;ll 13 19" xfId="13446"/>
    <cellStyle name="Change A&amp;ll 13 2" xfId="13447"/>
    <cellStyle name="Change A&amp;ll 13 20" xfId="13448"/>
    <cellStyle name="Change A&amp;ll 13 21" xfId="13449"/>
    <cellStyle name="Change A&amp;ll 13 22" xfId="13450"/>
    <cellStyle name="Change A&amp;ll 13 23" xfId="13451"/>
    <cellStyle name="Change A&amp;ll 13 24" xfId="13452"/>
    <cellStyle name="Change A&amp;ll 13 25" xfId="13453"/>
    <cellStyle name="Change A&amp;ll 13 26" xfId="13454"/>
    <cellStyle name="Change A&amp;ll 13 27" xfId="13455"/>
    <cellStyle name="Change A&amp;ll 13 28" xfId="13456"/>
    <cellStyle name="Change A&amp;ll 13 29" xfId="13457"/>
    <cellStyle name="Change A&amp;ll 13 3" xfId="13458"/>
    <cellStyle name="Change A&amp;ll 13 30" xfId="13459"/>
    <cellStyle name="Change A&amp;ll 13 31" xfId="13460"/>
    <cellStyle name="Change A&amp;ll 13 32" xfId="13461"/>
    <cellStyle name="Change A&amp;ll 13 33" xfId="13462"/>
    <cellStyle name="Change A&amp;ll 13 34" xfId="13463"/>
    <cellStyle name="Change A&amp;ll 13 35" xfId="13464"/>
    <cellStyle name="Change A&amp;ll 13 36" xfId="13465"/>
    <cellStyle name="Change A&amp;ll 13 37" xfId="13466"/>
    <cellStyle name="Change A&amp;ll 13 38" xfId="13467"/>
    <cellStyle name="Change A&amp;ll 13 39" xfId="13468"/>
    <cellStyle name="Change A&amp;ll 13 4" xfId="13469"/>
    <cellStyle name="Change A&amp;ll 13 40" xfId="13470"/>
    <cellStyle name="Change A&amp;ll 13 41" xfId="13471"/>
    <cellStyle name="Change A&amp;ll 13 42" xfId="13472"/>
    <cellStyle name="Change A&amp;ll 13 43" xfId="13473"/>
    <cellStyle name="Change A&amp;ll 13 44" xfId="13474"/>
    <cellStyle name="Change A&amp;ll 13 45" xfId="13475"/>
    <cellStyle name="Change A&amp;ll 13 46" xfId="13476"/>
    <cellStyle name="Change A&amp;ll 13 47" xfId="13477"/>
    <cellStyle name="Change A&amp;ll 13 48" xfId="13478"/>
    <cellStyle name="Change A&amp;ll 13 5" xfId="13479"/>
    <cellStyle name="Change A&amp;ll 13 6" xfId="13480"/>
    <cellStyle name="Change A&amp;ll 13 7" xfId="13481"/>
    <cellStyle name="Change A&amp;ll 13 8" xfId="13482"/>
    <cellStyle name="Change A&amp;ll 13 9" xfId="13483"/>
    <cellStyle name="Change A&amp;ll 13_분양(100%)" xfId="38729"/>
    <cellStyle name="Change A&amp;ll 14" xfId="13484"/>
    <cellStyle name="Change A&amp;ll 14 10" xfId="13485"/>
    <cellStyle name="Change A&amp;ll 14 11" xfId="13486"/>
    <cellStyle name="Change A&amp;ll 14 12" xfId="13487"/>
    <cellStyle name="Change A&amp;ll 14 13" xfId="13488"/>
    <cellStyle name="Change A&amp;ll 14 14" xfId="13489"/>
    <cellStyle name="Change A&amp;ll 14 15" xfId="13490"/>
    <cellStyle name="Change A&amp;ll 14 16" xfId="13491"/>
    <cellStyle name="Change A&amp;ll 14 17" xfId="13492"/>
    <cellStyle name="Change A&amp;ll 14 18" xfId="13493"/>
    <cellStyle name="Change A&amp;ll 14 19" xfId="13494"/>
    <cellStyle name="Change A&amp;ll 14 2" xfId="13495"/>
    <cellStyle name="Change A&amp;ll 14 20" xfId="13496"/>
    <cellStyle name="Change A&amp;ll 14 21" xfId="13497"/>
    <cellStyle name="Change A&amp;ll 14 22" xfId="13498"/>
    <cellStyle name="Change A&amp;ll 14 23" xfId="13499"/>
    <cellStyle name="Change A&amp;ll 14 24" xfId="13500"/>
    <cellStyle name="Change A&amp;ll 14 25" xfId="13501"/>
    <cellStyle name="Change A&amp;ll 14 26" xfId="13502"/>
    <cellStyle name="Change A&amp;ll 14 27" xfId="13503"/>
    <cellStyle name="Change A&amp;ll 14 28" xfId="13504"/>
    <cellStyle name="Change A&amp;ll 14 29" xfId="13505"/>
    <cellStyle name="Change A&amp;ll 14 3" xfId="13506"/>
    <cellStyle name="Change A&amp;ll 14 30" xfId="13507"/>
    <cellStyle name="Change A&amp;ll 14 31" xfId="13508"/>
    <cellStyle name="Change A&amp;ll 14 32" xfId="13509"/>
    <cellStyle name="Change A&amp;ll 14 33" xfId="13510"/>
    <cellStyle name="Change A&amp;ll 14 34" xfId="13511"/>
    <cellStyle name="Change A&amp;ll 14 35" xfId="13512"/>
    <cellStyle name="Change A&amp;ll 14 36" xfId="13513"/>
    <cellStyle name="Change A&amp;ll 14 37" xfId="13514"/>
    <cellStyle name="Change A&amp;ll 14 38" xfId="13515"/>
    <cellStyle name="Change A&amp;ll 14 39" xfId="13516"/>
    <cellStyle name="Change A&amp;ll 14 4" xfId="13517"/>
    <cellStyle name="Change A&amp;ll 14 40" xfId="13518"/>
    <cellStyle name="Change A&amp;ll 14 41" xfId="13519"/>
    <cellStyle name="Change A&amp;ll 14 42" xfId="13520"/>
    <cellStyle name="Change A&amp;ll 14 43" xfId="13521"/>
    <cellStyle name="Change A&amp;ll 14 44" xfId="13522"/>
    <cellStyle name="Change A&amp;ll 14 45" xfId="13523"/>
    <cellStyle name="Change A&amp;ll 14 46" xfId="13524"/>
    <cellStyle name="Change A&amp;ll 14 47" xfId="13525"/>
    <cellStyle name="Change A&amp;ll 14 48" xfId="13526"/>
    <cellStyle name="Change A&amp;ll 14 5" xfId="13527"/>
    <cellStyle name="Change A&amp;ll 14 6" xfId="13528"/>
    <cellStyle name="Change A&amp;ll 14 7" xfId="13529"/>
    <cellStyle name="Change A&amp;ll 14 8" xfId="13530"/>
    <cellStyle name="Change A&amp;ll 14 9" xfId="13531"/>
    <cellStyle name="Change A&amp;ll 14_분양(100%)" xfId="38730"/>
    <cellStyle name="Change A&amp;ll 15" xfId="13532"/>
    <cellStyle name="Change A&amp;ll 15 10" xfId="13533"/>
    <cellStyle name="Change A&amp;ll 15 11" xfId="13534"/>
    <cellStyle name="Change A&amp;ll 15 12" xfId="13535"/>
    <cellStyle name="Change A&amp;ll 15 13" xfId="13536"/>
    <cellStyle name="Change A&amp;ll 15 14" xfId="13537"/>
    <cellStyle name="Change A&amp;ll 15 15" xfId="13538"/>
    <cellStyle name="Change A&amp;ll 15 16" xfId="13539"/>
    <cellStyle name="Change A&amp;ll 15 17" xfId="13540"/>
    <cellStyle name="Change A&amp;ll 15 18" xfId="13541"/>
    <cellStyle name="Change A&amp;ll 15 19" xfId="13542"/>
    <cellStyle name="Change A&amp;ll 15 2" xfId="13543"/>
    <cellStyle name="Change A&amp;ll 15 20" xfId="13544"/>
    <cellStyle name="Change A&amp;ll 15 21" xfId="13545"/>
    <cellStyle name="Change A&amp;ll 15 22" xfId="13546"/>
    <cellStyle name="Change A&amp;ll 15 23" xfId="13547"/>
    <cellStyle name="Change A&amp;ll 15 24" xfId="13548"/>
    <cellStyle name="Change A&amp;ll 15 25" xfId="13549"/>
    <cellStyle name="Change A&amp;ll 15 26" xfId="13550"/>
    <cellStyle name="Change A&amp;ll 15 27" xfId="13551"/>
    <cellStyle name="Change A&amp;ll 15 28" xfId="13552"/>
    <cellStyle name="Change A&amp;ll 15 29" xfId="13553"/>
    <cellStyle name="Change A&amp;ll 15 3" xfId="13554"/>
    <cellStyle name="Change A&amp;ll 15 30" xfId="13555"/>
    <cellStyle name="Change A&amp;ll 15 31" xfId="13556"/>
    <cellStyle name="Change A&amp;ll 15 32" xfId="13557"/>
    <cellStyle name="Change A&amp;ll 15 33" xfId="13558"/>
    <cellStyle name="Change A&amp;ll 15 34" xfId="13559"/>
    <cellStyle name="Change A&amp;ll 15 35" xfId="13560"/>
    <cellStyle name="Change A&amp;ll 15 36" xfId="13561"/>
    <cellStyle name="Change A&amp;ll 15 37" xfId="13562"/>
    <cellStyle name="Change A&amp;ll 15 38" xfId="13563"/>
    <cellStyle name="Change A&amp;ll 15 39" xfId="13564"/>
    <cellStyle name="Change A&amp;ll 15 4" xfId="13565"/>
    <cellStyle name="Change A&amp;ll 15 40" xfId="13566"/>
    <cellStyle name="Change A&amp;ll 15 41" xfId="13567"/>
    <cellStyle name="Change A&amp;ll 15 42" xfId="13568"/>
    <cellStyle name="Change A&amp;ll 15 43" xfId="13569"/>
    <cellStyle name="Change A&amp;ll 15 44" xfId="13570"/>
    <cellStyle name="Change A&amp;ll 15 45" xfId="13571"/>
    <cellStyle name="Change A&amp;ll 15 46" xfId="13572"/>
    <cellStyle name="Change A&amp;ll 15 47" xfId="13573"/>
    <cellStyle name="Change A&amp;ll 15 48" xfId="13574"/>
    <cellStyle name="Change A&amp;ll 15 5" xfId="13575"/>
    <cellStyle name="Change A&amp;ll 15 6" xfId="13576"/>
    <cellStyle name="Change A&amp;ll 15 7" xfId="13577"/>
    <cellStyle name="Change A&amp;ll 15 8" xfId="13578"/>
    <cellStyle name="Change A&amp;ll 15 9" xfId="13579"/>
    <cellStyle name="Change A&amp;ll 15_분양(100%)" xfId="38731"/>
    <cellStyle name="Change A&amp;ll 16" xfId="13580"/>
    <cellStyle name="Change A&amp;ll 16 10" xfId="13581"/>
    <cellStyle name="Change A&amp;ll 16 11" xfId="13582"/>
    <cellStyle name="Change A&amp;ll 16 12" xfId="13583"/>
    <cellStyle name="Change A&amp;ll 16 13" xfId="13584"/>
    <cellStyle name="Change A&amp;ll 16 14" xfId="13585"/>
    <cellStyle name="Change A&amp;ll 16 15" xfId="13586"/>
    <cellStyle name="Change A&amp;ll 16 16" xfId="13587"/>
    <cellStyle name="Change A&amp;ll 16 17" xfId="13588"/>
    <cellStyle name="Change A&amp;ll 16 18" xfId="13589"/>
    <cellStyle name="Change A&amp;ll 16 19" xfId="13590"/>
    <cellStyle name="Change A&amp;ll 16 2" xfId="13591"/>
    <cellStyle name="Change A&amp;ll 16 20" xfId="13592"/>
    <cellStyle name="Change A&amp;ll 16 21" xfId="13593"/>
    <cellStyle name="Change A&amp;ll 16 22" xfId="13594"/>
    <cellStyle name="Change A&amp;ll 16 23" xfId="13595"/>
    <cellStyle name="Change A&amp;ll 16 24" xfId="13596"/>
    <cellStyle name="Change A&amp;ll 16 25" xfId="13597"/>
    <cellStyle name="Change A&amp;ll 16 26" xfId="13598"/>
    <cellStyle name="Change A&amp;ll 16 27" xfId="13599"/>
    <cellStyle name="Change A&amp;ll 16 28" xfId="13600"/>
    <cellStyle name="Change A&amp;ll 16 29" xfId="13601"/>
    <cellStyle name="Change A&amp;ll 16 3" xfId="13602"/>
    <cellStyle name="Change A&amp;ll 16 30" xfId="13603"/>
    <cellStyle name="Change A&amp;ll 16 31" xfId="13604"/>
    <cellStyle name="Change A&amp;ll 16 32" xfId="13605"/>
    <cellStyle name="Change A&amp;ll 16 33" xfId="13606"/>
    <cellStyle name="Change A&amp;ll 16 34" xfId="13607"/>
    <cellStyle name="Change A&amp;ll 16 35" xfId="13608"/>
    <cellStyle name="Change A&amp;ll 16 36" xfId="13609"/>
    <cellStyle name="Change A&amp;ll 16 37" xfId="13610"/>
    <cellStyle name="Change A&amp;ll 16 38" xfId="13611"/>
    <cellStyle name="Change A&amp;ll 16 39" xfId="13612"/>
    <cellStyle name="Change A&amp;ll 16 4" xfId="13613"/>
    <cellStyle name="Change A&amp;ll 16 40" xfId="13614"/>
    <cellStyle name="Change A&amp;ll 16 41" xfId="13615"/>
    <cellStyle name="Change A&amp;ll 16 42" xfId="13616"/>
    <cellStyle name="Change A&amp;ll 16 43" xfId="13617"/>
    <cellStyle name="Change A&amp;ll 16 44" xfId="13618"/>
    <cellStyle name="Change A&amp;ll 16 45" xfId="13619"/>
    <cellStyle name="Change A&amp;ll 16 46" xfId="13620"/>
    <cellStyle name="Change A&amp;ll 16 47" xfId="13621"/>
    <cellStyle name="Change A&amp;ll 16 48" xfId="13622"/>
    <cellStyle name="Change A&amp;ll 16 5" xfId="13623"/>
    <cellStyle name="Change A&amp;ll 16 6" xfId="13624"/>
    <cellStyle name="Change A&amp;ll 16 7" xfId="13625"/>
    <cellStyle name="Change A&amp;ll 16 8" xfId="13626"/>
    <cellStyle name="Change A&amp;ll 16 9" xfId="13627"/>
    <cellStyle name="Change A&amp;ll 16_분양(100%)" xfId="38732"/>
    <cellStyle name="Change A&amp;ll 17" xfId="13628"/>
    <cellStyle name="Change A&amp;ll 17 10" xfId="13629"/>
    <cellStyle name="Change A&amp;ll 17 11" xfId="13630"/>
    <cellStyle name="Change A&amp;ll 17 12" xfId="13631"/>
    <cellStyle name="Change A&amp;ll 17 13" xfId="13632"/>
    <cellStyle name="Change A&amp;ll 17 14" xfId="13633"/>
    <cellStyle name="Change A&amp;ll 17 15" xfId="13634"/>
    <cellStyle name="Change A&amp;ll 17 16" xfId="13635"/>
    <cellStyle name="Change A&amp;ll 17 17" xfId="13636"/>
    <cellStyle name="Change A&amp;ll 17 18" xfId="13637"/>
    <cellStyle name="Change A&amp;ll 17 19" xfId="13638"/>
    <cellStyle name="Change A&amp;ll 17 2" xfId="13639"/>
    <cellStyle name="Change A&amp;ll 17 20" xfId="13640"/>
    <cellStyle name="Change A&amp;ll 17 21" xfId="13641"/>
    <cellStyle name="Change A&amp;ll 17 22" xfId="13642"/>
    <cellStyle name="Change A&amp;ll 17 23" xfId="13643"/>
    <cellStyle name="Change A&amp;ll 17 24" xfId="13644"/>
    <cellStyle name="Change A&amp;ll 17 25" xfId="13645"/>
    <cellStyle name="Change A&amp;ll 17 26" xfId="13646"/>
    <cellStyle name="Change A&amp;ll 17 27" xfId="13647"/>
    <cellStyle name="Change A&amp;ll 17 28" xfId="13648"/>
    <cellStyle name="Change A&amp;ll 17 29" xfId="13649"/>
    <cellStyle name="Change A&amp;ll 17 3" xfId="13650"/>
    <cellStyle name="Change A&amp;ll 17 30" xfId="13651"/>
    <cellStyle name="Change A&amp;ll 17 31" xfId="13652"/>
    <cellStyle name="Change A&amp;ll 17 32" xfId="13653"/>
    <cellStyle name="Change A&amp;ll 17 33" xfId="13654"/>
    <cellStyle name="Change A&amp;ll 17 34" xfId="13655"/>
    <cellStyle name="Change A&amp;ll 17 35" xfId="13656"/>
    <cellStyle name="Change A&amp;ll 17 36" xfId="13657"/>
    <cellStyle name="Change A&amp;ll 17 37" xfId="13658"/>
    <cellStyle name="Change A&amp;ll 17 38" xfId="13659"/>
    <cellStyle name="Change A&amp;ll 17 39" xfId="13660"/>
    <cellStyle name="Change A&amp;ll 17 4" xfId="13661"/>
    <cellStyle name="Change A&amp;ll 17 40" xfId="13662"/>
    <cellStyle name="Change A&amp;ll 17 41" xfId="13663"/>
    <cellStyle name="Change A&amp;ll 17 42" xfId="13664"/>
    <cellStyle name="Change A&amp;ll 17 43" xfId="13665"/>
    <cellStyle name="Change A&amp;ll 17 44" xfId="13666"/>
    <cellStyle name="Change A&amp;ll 17 45" xfId="13667"/>
    <cellStyle name="Change A&amp;ll 17 46" xfId="13668"/>
    <cellStyle name="Change A&amp;ll 17 47" xfId="13669"/>
    <cellStyle name="Change A&amp;ll 17 48" xfId="13670"/>
    <cellStyle name="Change A&amp;ll 17 5" xfId="13671"/>
    <cellStyle name="Change A&amp;ll 17 6" xfId="13672"/>
    <cellStyle name="Change A&amp;ll 17 7" xfId="13673"/>
    <cellStyle name="Change A&amp;ll 17 8" xfId="13674"/>
    <cellStyle name="Change A&amp;ll 17 9" xfId="13675"/>
    <cellStyle name="Change A&amp;ll 17_분양(100%)" xfId="38733"/>
    <cellStyle name="Change A&amp;ll 18" xfId="13676"/>
    <cellStyle name="Change A&amp;ll 18 10" xfId="13677"/>
    <cellStyle name="Change A&amp;ll 18 11" xfId="13678"/>
    <cellStyle name="Change A&amp;ll 18 12" xfId="13679"/>
    <cellStyle name="Change A&amp;ll 18 13" xfId="13680"/>
    <cellStyle name="Change A&amp;ll 18 14" xfId="13681"/>
    <cellStyle name="Change A&amp;ll 18 15" xfId="13682"/>
    <cellStyle name="Change A&amp;ll 18 16" xfId="13683"/>
    <cellStyle name="Change A&amp;ll 18 17" xfId="13684"/>
    <cellStyle name="Change A&amp;ll 18 18" xfId="13685"/>
    <cellStyle name="Change A&amp;ll 18 19" xfId="13686"/>
    <cellStyle name="Change A&amp;ll 18 2" xfId="13687"/>
    <cellStyle name="Change A&amp;ll 18 20" xfId="13688"/>
    <cellStyle name="Change A&amp;ll 18 21" xfId="13689"/>
    <cellStyle name="Change A&amp;ll 18 22" xfId="13690"/>
    <cellStyle name="Change A&amp;ll 18 23" xfId="13691"/>
    <cellStyle name="Change A&amp;ll 18 24" xfId="13692"/>
    <cellStyle name="Change A&amp;ll 18 25" xfId="13693"/>
    <cellStyle name="Change A&amp;ll 18 26" xfId="13694"/>
    <cellStyle name="Change A&amp;ll 18 27" xfId="13695"/>
    <cellStyle name="Change A&amp;ll 18 28" xfId="13696"/>
    <cellStyle name="Change A&amp;ll 18 29" xfId="13697"/>
    <cellStyle name="Change A&amp;ll 18 3" xfId="13698"/>
    <cellStyle name="Change A&amp;ll 18 30" xfId="13699"/>
    <cellStyle name="Change A&amp;ll 18 31" xfId="13700"/>
    <cellStyle name="Change A&amp;ll 18 32" xfId="13701"/>
    <cellStyle name="Change A&amp;ll 18 33" xfId="13702"/>
    <cellStyle name="Change A&amp;ll 18 34" xfId="13703"/>
    <cellStyle name="Change A&amp;ll 18 35" xfId="13704"/>
    <cellStyle name="Change A&amp;ll 18 36" xfId="13705"/>
    <cellStyle name="Change A&amp;ll 18 37" xfId="13706"/>
    <cellStyle name="Change A&amp;ll 18 38" xfId="13707"/>
    <cellStyle name="Change A&amp;ll 18 39" xfId="13708"/>
    <cellStyle name="Change A&amp;ll 18 4" xfId="13709"/>
    <cellStyle name="Change A&amp;ll 18 40" xfId="13710"/>
    <cellStyle name="Change A&amp;ll 18 41" xfId="13711"/>
    <cellStyle name="Change A&amp;ll 18 42" xfId="13712"/>
    <cellStyle name="Change A&amp;ll 18 43" xfId="13713"/>
    <cellStyle name="Change A&amp;ll 18 44" xfId="13714"/>
    <cellStyle name="Change A&amp;ll 18 45" xfId="13715"/>
    <cellStyle name="Change A&amp;ll 18 46" xfId="13716"/>
    <cellStyle name="Change A&amp;ll 18 47" xfId="13717"/>
    <cellStyle name="Change A&amp;ll 18 48" xfId="13718"/>
    <cellStyle name="Change A&amp;ll 18 5" xfId="13719"/>
    <cellStyle name="Change A&amp;ll 18 6" xfId="13720"/>
    <cellStyle name="Change A&amp;ll 18 7" xfId="13721"/>
    <cellStyle name="Change A&amp;ll 18 8" xfId="13722"/>
    <cellStyle name="Change A&amp;ll 18 9" xfId="13723"/>
    <cellStyle name="Change A&amp;ll 18_분양(100%)" xfId="38734"/>
    <cellStyle name="Change A&amp;ll 19" xfId="13724"/>
    <cellStyle name="Change A&amp;ll 19 10" xfId="13725"/>
    <cellStyle name="Change A&amp;ll 19 11" xfId="13726"/>
    <cellStyle name="Change A&amp;ll 19 12" xfId="13727"/>
    <cellStyle name="Change A&amp;ll 19 13" xfId="13728"/>
    <cellStyle name="Change A&amp;ll 19 14" xfId="13729"/>
    <cellStyle name="Change A&amp;ll 19 15" xfId="13730"/>
    <cellStyle name="Change A&amp;ll 19 16" xfId="13731"/>
    <cellStyle name="Change A&amp;ll 19 17" xfId="13732"/>
    <cellStyle name="Change A&amp;ll 19 18" xfId="13733"/>
    <cellStyle name="Change A&amp;ll 19 19" xfId="13734"/>
    <cellStyle name="Change A&amp;ll 19 2" xfId="13735"/>
    <cellStyle name="Change A&amp;ll 19 20" xfId="13736"/>
    <cellStyle name="Change A&amp;ll 19 21" xfId="13737"/>
    <cellStyle name="Change A&amp;ll 19 22" xfId="13738"/>
    <cellStyle name="Change A&amp;ll 19 23" xfId="13739"/>
    <cellStyle name="Change A&amp;ll 19 24" xfId="13740"/>
    <cellStyle name="Change A&amp;ll 19 25" xfId="13741"/>
    <cellStyle name="Change A&amp;ll 19 26" xfId="13742"/>
    <cellStyle name="Change A&amp;ll 19 27" xfId="13743"/>
    <cellStyle name="Change A&amp;ll 19 28" xfId="13744"/>
    <cellStyle name="Change A&amp;ll 19 29" xfId="13745"/>
    <cellStyle name="Change A&amp;ll 19 3" xfId="13746"/>
    <cellStyle name="Change A&amp;ll 19 30" xfId="13747"/>
    <cellStyle name="Change A&amp;ll 19 31" xfId="13748"/>
    <cellStyle name="Change A&amp;ll 19 32" xfId="13749"/>
    <cellStyle name="Change A&amp;ll 19 33" xfId="13750"/>
    <cellStyle name="Change A&amp;ll 19 34" xfId="13751"/>
    <cellStyle name="Change A&amp;ll 19 35" xfId="13752"/>
    <cellStyle name="Change A&amp;ll 19 36" xfId="13753"/>
    <cellStyle name="Change A&amp;ll 19 37" xfId="13754"/>
    <cellStyle name="Change A&amp;ll 19 38" xfId="13755"/>
    <cellStyle name="Change A&amp;ll 19 39" xfId="13756"/>
    <cellStyle name="Change A&amp;ll 19 4" xfId="13757"/>
    <cellStyle name="Change A&amp;ll 19 40" xfId="13758"/>
    <cellStyle name="Change A&amp;ll 19 41" xfId="13759"/>
    <cellStyle name="Change A&amp;ll 19 42" xfId="13760"/>
    <cellStyle name="Change A&amp;ll 19 43" xfId="13761"/>
    <cellStyle name="Change A&amp;ll 19 44" xfId="13762"/>
    <cellStyle name="Change A&amp;ll 19 45" xfId="13763"/>
    <cellStyle name="Change A&amp;ll 19 46" xfId="13764"/>
    <cellStyle name="Change A&amp;ll 19 47" xfId="13765"/>
    <cellStyle name="Change A&amp;ll 19 48" xfId="13766"/>
    <cellStyle name="Change A&amp;ll 19 5" xfId="13767"/>
    <cellStyle name="Change A&amp;ll 19 6" xfId="13768"/>
    <cellStyle name="Change A&amp;ll 19 7" xfId="13769"/>
    <cellStyle name="Change A&amp;ll 19 8" xfId="13770"/>
    <cellStyle name="Change A&amp;ll 19 9" xfId="13771"/>
    <cellStyle name="Change A&amp;ll 19_분양(100%)" xfId="38735"/>
    <cellStyle name="Change A&amp;ll 2" xfId="13772"/>
    <cellStyle name="Change A&amp;ll 2 10" xfId="13773"/>
    <cellStyle name="Change A&amp;ll 2 11" xfId="13774"/>
    <cellStyle name="Change A&amp;ll 2 12" xfId="13775"/>
    <cellStyle name="Change A&amp;ll 2 13" xfId="13776"/>
    <cellStyle name="Change A&amp;ll 2 14" xfId="13777"/>
    <cellStyle name="Change A&amp;ll 2 15" xfId="13778"/>
    <cellStyle name="Change A&amp;ll 2 16" xfId="13779"/>
    <cellStyle name="Change A&amp;ll 2 17" xfId="13780"/>
    <cellStyle name="Change A&amp;ll 2 18" xfId="13781"/>
    <cellStyle name="Change A&amp;ll 2 19" xfId="13782"/>
    <cellStyle name="Change A&amp;ll 2 2" xfId="13783"/>
    <cellStyle name="Change A&amp;ll 2 20" xfId="13784"/>
    <cellStyle name="Change A&amp;ll 2 21" xfId="13785"/>
    <cellStyle name="Change A&amp;ll 2 22" xfId="13786"/>
    <cellStyle name="Change A&amp;ll 2 23" xfId="13787"/>
    <cellStyle name="Change A&amp;ll 2 24" xfId="13788"/>
    <cellStyle name="Change A&amp;ll 2 25" xfId="13789"/>
    <cellStyle name="Change A&amp;ll 2 26" xfId="13790"/>
    <cellStyle name="Change A&amp;ll 2 27" xfId="13791"/>
    <cellStyle name="Change A&amp;ll 2 28" xfId="13792"/>
    <cellStyle name="Change A&amp;ll 2 29" xfId="13793"/>
    <cellStyle name="Change A&amp;ll 2 3" xfId="13794"/>
    <cellStyle name="Change A&amp;ll 2 30" xfId="13795"/>
    <cellStyle name="Change A&amp;ll 2 31" xfId="13796"/>
    <cellStyle name="Change A&amp;ll 2 32" xfId="13797"/>
    <cellStyle name="Change A&amp;ll 2 33" xfId="13798"/>
    <cellStyle name="Change A&amp;ll 2 34" xfId="13799"/>
    <cellStyle name="Change A&amp;ll 2 35" xfId="13800"/>
    <cellStyle name="Change A&amp;ll 2 36" xfId="13801"/>
    <cellStyle name="Change A&amp;ll 2 37" xfId="13802"/>
    <cellStyle name="Change A&amp;ll 2 38" xfId="13803"/>
    <cellStyle name="Change A&amp;ll 2 39" xfId="13804"/>
    <cellStyle name="Change A&amp;ll 2 4" xfId="13805"/>
    <cellStyle name="Change A&amp;ll 2 40" xfId="13806"/>
    <cellStyle name="Change A&amp;ll 2 41" xfId="13807"/>
    <cellStyle name="Change A&amp;ll 2 42" xfId="13808"/>
    <cellStyle name="Change A&amp;ll 2 43" xfId="13809"/>
    <cellStyle name="Change A&amp;ll 2 44" xfId="13810"/>
    <cellStyle name="Change A&amp;ll 2 45" xfId="13811"/>
    <cellStyle name="Change A&amp;ll 2 5" xfId="13812"/>
    <cellStyle name="Change A&amp;ll 2 6" xfId="13813"/>
    <cellStyle name="Change A&amp;ll 2 7" xfId="13814"/>
    <cellStyle name="Change A&amp;ll 2 8" xfId="13815"/>
    <cellStyle name="Change A&amp;ll 2 9" xfId="13816"/>
    <cellStyle name="Change A&amp;ll 2_분양(100%)" xfId="38736"/>
    <cellStyle name="Change A&amp;ll 20" xfId="13817"/>
    <cellStyle name="Change A&amp;ll 20 10" xfId="13818"/>
    <cellStyle name="Change A&amp;ll 20 11" xfId="13819"/>
    <cellStyle name="Change A&amp;ll 20 12" xfId="13820"/>
    <cellStyle name="Change A&amp;ll 20 13" xfId="13821"/>
    <cellStyle name="Change A&amp;ll 20 14" xfId="13822"/>
    <cellStyle name="Change A&amp;ll 20 15" xfId="13823"/>
    <cellStyle name="Change A&amp;ll 20 16" xfId="13824"/>
    <cellStyle name="Change A&amp;ll 20 17" xfId="13825"/>
    <cellStyle name="Change A&amp;ll 20 18" xfId="13826"/>
    <cellStyle name="Change A&amp;ll 20 19" xfId="13827"/>
    <cellStyle name="Change A&amp;ll 20 2" xfId="13828"/>
    <cellStyle name="Change A&amp;ll 20 20" xfId="13829"/>
    <cellStyle name="Change A&amp;ll 20 21" xfId="13830"/>
    <cellStyle name="Change A&amp;ll 20 22" xfId="13831"/>
    <cellStyle name="Change A&amp;ll 20 23" xfId="13832"/>
    <cellStyle name="Change A&amp;ll 20 24" xfId="13833"/>
    <cellStyle name="Change A&amp;ll 20 25" xfId="13834"/>
    <cellStyle name="Change A&amp;ll 20 26" xfId="13835"/>
    <cellStyle name="Change A&amp;ll 20 27" xfId="13836"/>
    <cellStyle name="Change A&amp;ll 20 28" xfId="13837"/>
    <cellStyle name="Change A&amp;ll 20 29" xfId="13838"/>
    <cellStyle name="Change A&amp;ll 20 3" xfId="13839"/>
    <cellStyle name="Change A&amp;ll 20 30" xfId="13840"/>
    <cellStyle name="Change A&amp;ll 20 31" xfId="13841"/>
    <cellStyle name="Change A&amp;ll 20 32" xfId="13842"/>
    <cellStyle name="Change A&amp;ll 20 33" xfId="13843"/>
    <cellStyle name="Change A&amp;ll 20 34" xfId="13844"/>
    <cellStyle name="Change A&amp;ll 20 35" xfId="13845"/>
    <cellStyle name="Change A&amp;ll 20 36" xfId="13846"/>
    <cellStyle name="Change A&amp;ll 20 37" xfId="13847"/>
    <cellStyle name="Change A&amp;ll 20 38" xfId="13848"/>
    <cellStyle name="Change A&amp;ll 20 39" xfId="13849"/>
    <cellStyle name="Change A&amp;ll 20 4" xfId="13850"/>
    <cellStyle name="Change A&amp;ll 20 40" xfId="13851"/>
    <cellStyle name="Change A&amp;ll 20 41" xfId="13852"/>
    <cellStyle name="Change A&amp;ll 20 42" xfId="13853"/>
    <cellStyle name="Change A&amp;ll 20 43" xfId="13854"/>
    <cellStyle name="Change A&amp;ll 20 44" xfId="13855"/>
    <cellStyle name="Change A&amp;ll 20 45" xfId="13856"/>
    <cellStyle name="Change A&amp;ll 20 46" xfId="13857"/>
    <cellStyle name="Change A&amp;ll 20 47" xfId="13858"/>
    <cellStyle name="Change A&amp;ll 20 48" xfId="13859"/>
    <cellStyle name="Change A&amp;ll 20 5" xfId="13860"/>
    <cellStyle name="Change A&amp;ll 20 6" xfId="13861"/>
    <cellStyle name="Change A&amp;ll 20 7" xfId="13862"/>
    <cellStyle name="Change A&amp;ll 20 8" xfId="13863"/>
    <cellStyle name="Change A&amp;ll 20 9" xfId="13864"/>
    <cellStyle name="Change A&amp;ll 20_분양(100%)" xfId="38737"/>
    <cellStyle name="Change A&amp;ll 21" xfId="13865"/>
    <cellStyle name="Change A&amp;ll 21 10" xfId="13866"/>
    <cellStyle name="Change A&amp;ll 21 11" xfId="13867"/>
    <cellStyle name="Change A&amp;ll 21 12" xfId="13868"/>
    <cellStyle name="Change A&amp;ll 21 13" xfId="13869"/>
    <cellStyle name="Change A&amp;ll 21 14" xfId="13870"/>
    <cellStyle name="Change A&amp;ll 21 15" xfId="13871"/>
    <cellStyle name="Change A&amp;ll 21 16" xfId="13872"/>
    <cellStyle name="Change A&amp;ll 21 17" xfId="13873"/>
    <cellStyle name="Change A&amp;ll 21 18" xfId="13874"/>
    <cellStyle name="Change A&amp;ll 21 19" xfId="13875"/>
    <cellStyle name="Change A&amp;ll 21 2" xfId="13876"/>
    <cellStyle name="Change A&amp;ll 21 20" xfId="13877"/>
    <cellStyle name="Change A&amp;ll 21 21" xfId="13878"/>
    <cellStyle name="Change A&amp;ll 21 22" xfId="13879"/>
    <cellStyle name="Change A&amp;ll 21 23" xfId="13880"/>
    <cellStyle name="Change A&amp;ll 21 24" xfId="13881"/>
    <cellStyle name="Change A&amp;ll 21 25" xfId="13882"/>
    <cellStyle name="Change A&amp;ll 21 26" xfId="13883"/>
    <cellStyle name="Change A&amp;ll 21 27" xfId="13884"/>
    <cellStyle name="Change A&amp;ll 21 28" xfId="13885"/>
    <cellStyle name="Change A&amp;ll 21 29" xfId="13886"/>
    <cellStyle name="Change A&amp;ll 21 3" xfId="13887"/>
    <cellStyle name="Change A&amp;ll 21 30" xfId="13888"/>
    <cellStyle name="Change A&amp;ll 21 31" xfId="13889"/>
    <cellStyle name="Change A&amp;ll 21 32" xfId="13890"/>
    <cellStyle name="Change A&amp;ll 21 33" xfId="13891"/>
    <cellStyle name="Change A&amp;ll 21 34" xfId="13892"/>
    <cellStyle name="Change A&amp;ll 21 35" xfId="13893"/>
    <cellStyle name="Change A&amp;ll 21 36" xfId="13894"/>
    <cellStyle name="Change A&amp;ll 21 37" xfId="13895"/>
    <cellStyle name="Change A&amp;ll 21 38" xfId="13896"/>
    <cellStyle name="Change A&amp;ll 21 39" xfId="13897"/>
    <cellStyle name="Change A&amp;ll 21 4" xfId="13898"/>
    <cellStyle name="Change A&amp;ll 21 40" xfId="13899"/>
    <cellStyle name="Change A&amp;ll 21 41" xfId="13900"/>
    <cellStyle name="Change A&amp;ll 21 42" xfId="13901"/>
    <cellStyle name="Change A&amp;ll 21 43" xfId="13902"/>
    <cellStyle name="Change A&amp;ll 21 44" xfId="13903"/>
    <cellStyle name="Change A&amp;ll 21 45" xfId="13904"/>
    <cellStyle name="Change A&amp;ll 21 46" xfId="13905"/>
    <cellStyle name="Change A&amp;ll 21 47" xfId="13906"/>
    <cellStyle name="Change A&amp;ll 21 48" xfId="13907"/>
    <cellStyle name="Change A&amp;ll 21 5" xfId="13908"/>
    <cellStyle name="Change A&amp;ll 21 6" xfId="13909"/>
    <cellStyle name="Change A&amp;ll 21 7" xfId="13910"/>
    <cellStyle name="Change A&amp;ll 21 8" xfId="13911"/>
    <cellStyle name="Change A&amp;ll 21 9" xfId="13912"/>
    <cellStyle name="Change A&amp;ll 21_분양(100%)" xfId="38738"/>
    <cellStyle name="Change A&amp;ll 22" xfId="13913"/>
    <cellStyle name="Change A&amp;ll 22 10" xfId="13914"/>
    <cellStyle name="Change A&amp;ll 22 11" xfId="13915"/>
    <cellStyle name="Change A&amp;ll 22 12" xfId="13916"/>
    <cellStyle name="Change A&amp;ll 22 13" xfId="13917"/>
    <cellStyle name="Change A&amp;ll 22 14" xfId="13918"/>
    <cellStyle name="Change A&amp;ll 22 15" xfId="13919"/>
    <cellStyle name="Change A&amp;ll 22 16" xfId="13920"/>
    <cellStyle name="Change A&amp;ll 22 17" xfId="13921"/>
    <cellStyle name="Change A&amp;ll 22 18" xfId="13922"/>
    <cellStyle name="Change A&amp;ll 22 19" xfId="13923"/>
    <cellStyle name="Change A&amp;ll 22 2" xfId="13924"/>
    <cellStyle name="Change A&amp;ll 22 20" xfId="13925"/>
    <cellStyle name="Change A&amp;ll 22 21" xfId="13926"/>
    <cellStyle name="Change A&amp;ll 22 22" xfId="13927"/>
    <cellStyle name="Change A&amp;ll 22 23" xfId="13928"/>
    <cellStyle name="Change A&amp;ll 22 24" xfId="13929"/>
    <cellStyle name="Change A&amp;ll 22 25" xfId="13930"/>
    <cellStyle name="Change A&amp;ll 22 26" xfId="13931"/>
    <cellStyle name="Change A&amp;ll 22 27" xfId="13932"/>
    <cellStyle name="Change A&amp;ll 22 28" xfId="13933"/>
    <cellStyle name="Change A&amp;ll 22 29" xfId="13934"/>
    <cellStyle name="Change A&amp;ll 22 3" xfId="13935"/>
    <cellStyle name="Change A&amp;ll 22 30" xfId="13936"/>
    <cellStyle name="Change A&amp;ll 22 31" xfId="13937"/>
    <cellStyle name="Change A&amp;ll 22 32" xfId="13938"/>
    <cellStyle name="Change A&amp;ll 22 33" xfId="13939"/>
    <cellStyle name="Change A&amp;ll 22 34" xfId="13940"/>
    <cellStyle name="Change A&amp;ll 22 35" xfId="13941"/>
    <cellStyle name="Change A&amp;ll 22 36" xfId="13942"/>
    <cellStyle name="Change A&amp;ll 22 37" xfId="13943"/>
    <cellStyle name="Change A&amp;ll 22 38" xfId="13944"/>
    <cellStyle name="Change A&amp;ll 22 39" xfId="13945"/>
    <cellStyle name="Change A&amp;ll 22 4" xfId="13946"/>
    <cellStyle name="Change A&amp;ll 22 40" xfId="13947"/>
    <cellStyle name="Change A&amp;ll 22 41" xfId="13948"/>
    <cellStyle name="Change A&amp;ll 22 42" xfId="13949"/>
    <cellStyle name="Change A&amp;ll 22 43" xfId="13950"/>
    <cellStyle name="Change A&amp;ll 22 44" xfId="13951"/>
    <cellStyle name="Change A&amp;ll 22 45" xfId="13952"/>
    <cellStyle name="Change A&amp;ll 22 46" xfId="13953"/>
    <cellStyle name="Change A&amp;ll 22 47" xfId="13954"/>
    <cellStyle name="Change A&amp;ll 22 48" xfId="13955"/>
    <cellStyle name="Change A&amp;ll 22 5" xfId="13956"/>
    <cellStyle name="Change A&amp;ll 22 6" xfId="13957"/>
    <cellStyle name="Change A&amp;ll 22 7" xfId="13958"/>
    <cellStyle name="Change A&amp;ll 22 8" xfId="13959"/>
    <cellStyle name="Change A&amp;ll 22 9" xfId="13960"/>
    <cellStyle name="Change A&amp;ll 22_분양(100%)" xfId="38739"/>
    <cellStyle name="Change A&amp;ll 23" xfId="13961"/>
    <cellStyle name="Change A&amp;ll 23 10" xfId="13962"/>
    <cellStyle name="Change A&amp;ll 23 11" xfId="13963"/>
    <cellStyle name="Change A&amp;ll 23 12" xfId="13964"/>
    <cellStyle name="Change A&amp;ll 23 13" xfId="13965"/>
    <cellStyle name="Change A&amp;ll 23 14" xfId="13966"/>
    <cellStyle name="Change A&amp;ll 23 15" xfId="13967"/>
    <cellStyle name="Change A&amp;ll 23 16" xfId="13968"/>
    <cellStyle name="Change A&amp;ll 23 17" xfId="13969"/>
    <cellStyle name="Change A&amp;ll 23 18" xfId="13970"/>
    <cellStyle name="Change A&amp;ll 23 19" xfId="13971"/>
    <cellStyle name="Change A&amp;ll 23 2" xfId="13972"/>
    <cellStyle name="Change A&amp;ll 23 20" xfId="13973"/>
    <cellStyle name="Change A&amp;ll 23 21" xfId="13974"/>
    <cellStyle name="Change A&amp;ll 23 22" xfId="13975"/>
    <cellStyle name="Change A&amp;ll 23 23" xfId="13976"/>
    <cellStyle name="Change A&amp;ll 23 24" xfId="13977"/>
    <cellStyle name="Change A&amp;ll 23 25" xfId="13978"/>
    <cellStyle name="Change A&amp;ll 23 26" xfId="13979"/>
    <cellStyle name="Change A&amp;ll 23 27" xfId="13980"/>
    <cellStyle name="Change A&amp;ll 23 28" xfId="13981"/>
    <cellStyle name="Change A&amp;ll 23 29" xfId="13982"/>
    <cellStyle name="Change A&amp;ll 23 3" xfId="13983"/>
    <cellStyle name="Change A&amp;ll 23 30" xfId="13984"/>
    <cellStyle name="Change A&amp;ll 23 31" xfId="13985"/>
    <cellStyle name="Change A&amp;ll 23 32" xfId="13986"/>
    <cellStyle name="Change A&amp;ll 23 33" xfId="13987"/>
    <cellStyle name="Change A&amp;ll 23 34" xfId="13988"/>
    <cellStyle name="Change A&amp;ll 23 35" xfId="13989"/>
    <cellStyle name="Change A&amp;ll 23 36" xfId="13990"/>
    <cellStyle name="Change A&amp;ll 23 37" xfId="13991"/>
    <cellStyle name="Change A&amp;ll 23 38" xfId="13992"/>
    <cellStyle name="Change A&amp;ll 23 39" xfId="13993"/>
    <cellStyle name="Change A&amp;ll 23 4" xfId="13994"/>
    <cellStyle name="Change A&amp;ll 23 40" xfId="13995"/>
    <cellStyle name="Change A&amp;ll 23 41" xfId="13996"/>
    <cellStyle name="Change A&amp;ll 23 42" xfId="13997"/>
    <cellStyle name="Change A&amp;ll 23 43" xfId="13998"/>
    <cellStyle name="Change A&amp;ll 23 44" xfId="13999"/>
    <cellStyle name="Change A&amp;ll 23 45" xfId="14000"/>
    <cellStyle name="Change A&amp;ll 23 46" xfId="14001"/>
    <cellStyle name="Change A&amp;ll 23 47" xfId="14002"/>
    <cellStyle name="Change A&amp;ll 23 48" xfId="14003"/>
    <cellStyle name="Change A&amp;ll 23 5" xfId="14004"/>
    <cellStyle name="Change A&amp;ll 23 6" xfId="14005"/>
    <cellStyle name="Change A&amp;ll 23 7" xfId="14006"/>
    <cellStyle name="Change A&amp;ll 23 8" xfId="14007"/>
    <cellStyle name="Change A&amp;ll 23 9" xfId="14008"/>
    <cellStyle name="Change A&amp;ll 23_분양(100%)" xfId="38740"/>
    <cellStyle name="Change A&amp;ll 24" xfId="14009"/>
    <cellStyle name="Change A&amp;ll 24 10" xfId="14010"/>
    <cellStyle name="Change A&amp;ll 24 11" xfId="14011"/>
    <cellStyle name="Change A&amp;ll 24 12" xfId="14012"/>
    <cellStyle name="Change A&amp;ll 24 13" xfId="14013"/>
    <cellStyle name="Change A&amp;ll 24 14" xfId="14014"/>
    <cellStyle name="Change A&amp;ll 24 15" xfId="14015"/>
    <cellStyle name="Change A&amp;ll 24 16" xfId="14016"/>
    <cellStyle name="Change A&amp;ll 24 17" xfId="14017"/>
    <cellStyle name="Change A&amp;ll 24 18" xfId="14018"/>
    <cellStyle name="Change A&amp;ll 24 19" xfId="14019"/>
    <cellStyle name="Change A&amp;ll 24 2" xfId="14020"/>
    <cellStyle name="Change A&amp;ll 24 20" xfId="14021"/>
    <cellStyle name="Change A&amp;ll 24 21" xfId="14022"/>
    <cellStyle name="Change A&amp;ll 24 22" xfId="14023"/>
    <cellStyle name="Change A&amp;ll 24 23" xfId="14024"/>
    <cellStyle name="Change A&amp;ll 24 24" xfId="14025"/>
    <cellStyle name="Change A&amp;ll 24 25" xfId="14026"/>
    <cellStyle name="Change A&amp;ll 24 26" xfId="14027"/>
    <cellStyle name="Change A&amp;ll 24 27" xfId="14028"/>
    <cellStyle name="Change A&amp;ll 24 28" xfId="14029"/>
    <cellStyle name="Change A&amp;ll 24 29" xfId="14030"/>
    <cellStyle name="Change A&amp;ll 24 3" xfId="14031"/>
    <cellStyle name="Change A&amp;ll 24 30" xfId="14032"/>
    <cellStyle name="Change A&amp;ll 24 31" xfId="14033"/>
    <cellStyle name="Change A&amp;ll 24 32" xfId="14034"/>
    <cellStyle name="Change A&amp;ll 24 33" xfId="14035"/>
    <cellStyle name="Change A&amp;ll 24 34" xfId="14036"/>
    <cellStyle name="Change A&amp;ll 24 35" xfId="14037"/>
    <cellStyle name="Change A&amp;ll 24 36" xfId="14038"/>
    <cellStyle name="Change A&amp;ll 24 37" xfId="14039"/>
    <cellStyle name="Change A&amp;ll 24 38" xfId="14040"/>
    <cellStyle name="Change A&amp;ll 24 39" xfId="14041"/>
    <cellStyle name="Change A&amp;ll 24 4" xfId="14042"/>
    <cellStyle name="Change A&amp;ll 24 40" xfId="14043"/>
    <cellStyle name="Change A&amp;ll 24 41" xfId="14044"/>
    <cellStyle name="Change A&amp;ll 24 42" xfId="14045"/>
    <cellStyle name="Change A&amp;ll 24 43" xfId="14046"/>
    <cellStyle name="Change A&amp;ll 24 44" xfId="14047"/>
    <cellStyle name="Change A&amp;ll 24 45" xfId="14048"/>
    <cellStyle name="Change A&amp;ll 24 46" xfId="14049"/>
    <cellStyle name="Change A&amp;ll 24 47" xfId="14050"/>
    <cellStyle name="Change A&amp;ll 24 48" xfId="14051"/>
    <cellStyle name="Change A&amp;ll 24 5" xfId="14052"/>
    <cellStyle name="Change A&amp;ll 24 6" xfId="14053"/>
    <cellStyle name="Change A&amp;ll 24 7" xfId="14054"/>
    <cellStyle name="Change A&amp;ll 24 8" xfId="14055"/>
    <cellStyle name="Change A&amp;ll 24 9" xfId="14056"/>
    <cellStyle name="Change A&amp;ll 24_분양(100%)" xfId="38741"/>
    <cellStyle name="Change A&amp;ll 25" xfId="14057"/>
    <cellStyle name="Change A&amp;ll 25 10" xfId="14058"/>
    <cellStyle name="Change A&amp;ll 25 11" xfId="14059"/>
    <cellStyle name="Change A&amp;ll 25 12" xfId="14060"/>
    <cellStyle name="Change A&amp;ll 25 13" xfId="14061"/>
    <cellStyle name="Change A&amp;ll 25 14" xfId="14062"/>
    <cellStyle name="Change A&amp;ll 25 15" xfId="14063"/>
    <cellStyle name="Change A&amp;ll 25 16" xfId="14064"/>
    <cellStyle name="Change A&amp;ll 25 17" xfId="14065"/>
    <cellStyle name="Change A&amp;ll 25 18" xfId="14066"/>
    <cellStyle name="Change A&amp;ll 25 19" xfId="14067"/>
    <cellStyle name="Change A&amp;ll 25 2" xfId="14068"/>
    <cellStyle name="Change A&amp;ll 25 20" xfId="14069"/>
    <cellStyle name="Change A&amp;ll 25 21" xfId="14070"/>
    <cellStyle name="Change A&amp;ll 25 22" xfId="14071"/>
    <cellStyle name="Change A&amp;ll 25 23" xfId="14072"/>
    <cellStyle name="Change A&amp;ll 25 24" xfId="14073"/>
    <cellStyle name="Change A&amp;ll 25 25" xfId="14074"/>
    <cellStyle name="Change A&amp;ll 25 26" xfId="14075"/>
    <cellStyle name="Change A&amp;ll 25 27" xfId="14076"/>
    <cellStyle name="Change A&amp;ll 25 28" xfId="14077"/>
    <cellStyle name="Change A&amp;ll 25 29" xfId="14078"/>
    <cellStyle name="Change A&amp;ll 25 3" xfId="14079"/>
    <cellStyle name="Change A&amp;ll 25 30" xfId="14080"/>
    <cellStyle name="Change A&amp;ll 25 31" xfId="14081"/>
    <cellStyle name="Change A&amp;ll 25 32" xfId="14082"/>
    <cellStyle name="Change A&amp;ll 25 33" xfId="14083"/>
    <cellStyle name="Change A&amp;ll 25 34" xfId="14084"/>
    <cellStyle name="Change A&amp;ll 25 35" xfId="14085"/>
    <cellStyle name="Change A&amp;ll 25 36" xfId="14086"/>
    <cellStyle name="Change A&amp;ll 25 37" xfId="14087"/>
    <cellStyle name="Change A&amp;ll 25 38" xfId="14088"/>
    <cellStyle name="Change A&amp;ll 25 39" xfId="14089"/>
    <cellStyle name="Change A&amp;ll 25 4" xfId="14090"/>
    <cellStyle name="Change A&amp;ll 25 40" xfId="14091"/>
    <cellStyle name="Change A&amp;ll 25 41" xfId="14092"/>
    <cellStyle name="Change A&amp;ll 25 42" xfId="14093"/>
    <cellStyle name="Change A&amp;ll 25 43" xfId="14094"/>
    <cellStyle name="Change A&amp;ll 25 44" xfId="14095"/>
    <cellStyle name="Change A&amp;ll 25 45" xfId="14096"/>
    <cellStyle name="Change A&amp;ll 25 46" xfId="14097"/>
    <cellStyle name="Change A&amp;ll 25 47" xfId="14098"/>
    <cellStyle name="Change A&amp;ll 25 48" xfId="14099"/>
    <cellStyle name="Change A&amp;ll 25 5" xfId="14100"/>
    <cellStyle name="Change A&amp;ll 25 6" xfId="14101"/>
    <cellStyle name="Change A&amp;ll 25 7" xfId="14102"/>
    <cellStyle name="Change A&amp;ll 25 8" xfId="14103"/>
    <cellStyle name="Change A&amp;ll 25 9" xfId="14104"/>
    <cellStyle name="Change A&amp;ll 25_분양(100%)" xfId="38742"/>
    <cellStyle name="Change A&amp;ll 26" xfId="14105"/>
    <cellStyle name="Change A&amp;ll 26 10" xfId="14106"/>
    <cellStyle name="Change A&amp;ll 26 11" xfId="14107"/>
    <cellStyle name="Change A&amp;ll 26 12" xfId="14108"/>
    <cellStyle name="Change A&amp;ll 26 13" xfId="14109"/>
    <cellStyle name="Change A&amp;ll 26 14" xfId="14110"/>
    <cellStyle name="Change A&amp;ll 26 15" xfId="14111"/>
    <cellStyle name="Change A&amp;ll 26 16" xfId="14112"/>
    <cellStyle name="Change A&amp;ll 26 17" xfId="14113"/>
    <cellStyle name="Change A&amp;ll 26 18" xfId="14114"/>
    <cellStyle name="Change A&amp;ll 26 19" xfId="14115"/>
    <cellStyle name="Change A&amp;ll 26 2" xfId="14116"/>
    <cellStyle name="Change A&amp;ll 26 20" xfId="14117"/>
    <cellStyle name="Change A&amp;ll 26 21" xfId="14118"/>
    <cellStyle name="Change A&amp;ll 26 22" xfId="14119"/>
    <cellStyle name="Change A&amp;ll 26 23" xfId="14120"/>
    <cellStyle name="Change A&amp;ll 26 24" xfId="14121"/>
    <cellStyle name="Change A&amp;ll 26 25" xfId="14122"/>
    <cellStyle name="Change A&amp;ll 26 26" xfId="14123"/>
    <cellStyle name="Change A&amp;ll 26 27" xfId="14124"/>
    <cellStyle name="Change A&amp;ll 26 28" xfId="14125"/>
    <cellStyle name="Change A&amp;ll 26 29" xfId="14126"/>
    <cellStyle name="Change A&amp;ll 26 3" xfId="14127"/>
    <cellStyle name="Change A&amp;ll 26 30" xfId="14128"/>
    <cellStyle name="Change A&amp;ll 26 31" xfId="14129"/>
    <cellStyle name="Change A&amp;ll 26 32" xfId="14130"/>
    <cellStyle name="Change A&amp;ll 26 33" xfId="14131"/>
    <cellStyle name="Change A&amp;ll 26 34" xfId="14132"/>
    <cellStyle name="Change A&amp;ll 26 35" xfId="14133"/>
    <cellStyle name="Change A&amp;ll 26 36" xfId="14134"/>
    <cellStyle name="Change A&amp;ll 26 37" xfId="14135"/>
    <cellStyle name="Change A&amp;ll 26 38" xfId="14136"/>
    <cellStyle name="Change A&amp;ll 26 39" xfId="14137"/>
    <cellStyle name="Change A&amp;ll 26 4" xfId="14138"/>
    <cellStyle name="Change A&amp;ll 26 40" xfId="14139"/>
    <cellStyle name="Change A&amp;ll 26 41" xfId="14140"/>
    <cellStyle name="Change A&amp;ll 26 42" xfId="14141"/>
    <cellStyle name="Change A&amp;ll 26 43" xfId="14142"/>
    <cellStyle name="Change A&amp;ll 26 44" xfId="14143"/>
    <cellStyle name="Change A&amp;ll 26 45" xfId="14144"/>
    <cellStyle name="Change A&amp;ll 26 46" xfId="14145"/>
    <cellStyle name="Change A&amp;ll 26 47" xfId="14146"/>
    <cellStyle name="Change A&amp;ll 26 48" xfId="14147"/>
    <cellStyle name="Change A&amp;ll 26 5" xfId="14148"/>
    <cellStyle name="Change A&amp;ll 26 6" xfId="14149"/>
    <cellStyle name="Change A&amp;ll 26 7" xfId="14150"/>
    <cellStyle name="Change A&amp;ll 26 8" xfId="14151"/>
    <cellStyle name="Change A&amp;ll 26 9" xfId="14152"/>
    <cellStyle name="Change A&amp;ll 26_분양(100%)" xfId="38743"/>
    <cellStyle name="Change A&amp;ll 27" xfId="14153"/>
    <cellStyle name="Change A&amp;ll 27 10" xfId="14154"/>
    <cellStyle name="Change A&amp;ll 27 11" xfId="14155"/>
    <cellStyle name="Change A&amp;ll 27 12" xfId="14156"/>
    <cellStyle name="Change A&amp;ll 27 13" xfId="14157"/>
    <cellStyle name="Change A&amp;ll 27 14" xfId="14158"/>
    <cellStyle name="Change A&amp;ll 27 15" xfId="14159"/>
    <cellStyle name="Change A&amp;ll 27 16" xfId="14160"/>
    <cellStyle name="Change A&amp;ll 27 17" xfId="14161"/>
    <cellStyle name="Change A&amp;ll 27 18" xfId="14162"/>
    <cellStyle name="Change A&amp;ll 27 19" xfId="14163"/>
    <cellStyle name="Change A&amp;ll 27 2" xfId="14164"/>
    <cellStyle name="Change A&amp;ll 27 20" xfId="14165"/>
    <cellStyle name="Change A&amp;ll 27 21" xfId="14166"/>
    <cellStyle name="Change A&amp;ll 27 22" xfId="14167"/>
    <cellStyle name="Change A&amp;ll 27 23" xfId="14168"/>
    <cellStyle name="Change A&amp;ll 27 24" xfId="14169"/>
    <cellStyle name="Change A&amp;ll 27 25" xfId="14170"/>
    <cellStyle name="Change A&amp;ll 27 26" xfId="14171"/>
    <cellStyle name="Change A&amp;ll 27 27" xfId="14172"/>
    <cellStyle name="Change A&amp;ll 27 28" xfId="14173"/>
    <cellStyle name="Change A&amp;ll 27 29" xfId="14174"/>
    <cellStyle name="Change A&amp;ll 27 3" xfId="14175"/>
    <cellStyle name="Change A&amp;ll 27 30" xfId="14176"/>
    <cellStyle name="Change A&amp;ll 27 31" xfId="14177"/>
    <cellStyle name="Change A&amp;ll 27 32" xfId="14178"/>
    <cellStyle name="Change A&amp;ll 27 33" xfId="14179"/>
    <cellStyle name="Change A&amp;ll 27 34" xfId="14180"/>
    <cellStyle name="Change A&amp;ll 27 35" xfId="14181"/>
    <cellStyle name="Change A&amp;ll 27 36" xfId="14182"/>
    <cellStyle name="Change A&amp;ll 27 37" xfId="14183"/>
    <cellStyle name="Change A&amp;ll 27 38" xfId="14184"/>
    <cellStyle name="Change A&amp;ll 27 39" xfId="14185"/>
    <cellStyle name="Change A&amp;ll 27 4" xfId="14186"/>
    <cellStyle name="Change A&amp;ll 27 40" xfId="14187"/>
    <cellStyle name="Change A&amp;ll 27 41" xfId="14188"/>
    <cellStyle name="Change A&amp;ll 27 42" xfId="14189"/>
    <cellStyle name="Change A&amp;ll 27 43" xfId="14190"/>
    <cellStyle name="Change A&amp;ll 27 44" xfId="14191"/>
    <cellStyle name="Change A&amp;ll 27 45" xfId="14192"/>
    <cellStyle name="Change A&amp;ll 27 46" xfId="14193"/>
    <cellStyle name="Change A&amp;ll 27 47" xfId="14194"/>
    <cellStyle name="Change A&amp;ll 27 48" xfId="14195"/>
    <cellStyle name="Change A&amp;ll 27 5" xfId="14196"/>
    <cellStyle name="Change A&amp;ll 27 6" xfId="14197"/>
    <cellStyle name="Change A&amp;ll 27 7" xfId="14198"/>
    <cellStyle name="Change A&amp;ll 27 8" xfId="14199"/>
    <cellStyle name="Change A&amp;ll 27 9" xfId="14200"/>
    <cellStyle name="Change A&amp;ll 27_분양(100%)" xfId="38744"/>
    <cellStyle name="Change A&amp;ll 28" xfId="14201"/>
    <cellStyle name="Change A&amp;ll 28 10" xfId="14202"/>
    <cellStyle name="Change A&amp;ll 28 11" xfId="14203"/>
    <cellStyle name="Change A&amp;ll 28 12" xfId="14204"/>
    <cellStyle name="Change A&amp;ll 28 13" xfId="14205"/>
    <cellStyle name="Change A&amp;ll 28 14" xfId="14206"/>
    <cellStyle name="Change A&amp;ll 28 15" xfId="14207"/>
    <cellStyle name="Change A&amp;ll 28 16" xfId="14208"/>
    <cellStyle name="Change A&amp;ll 28 17" xfId="14209"/>
    <cellStyle name="Change A&amp;ll 28 18" xfId="14210"/>
    <cellStyle name="Change A&amp;ll 28 19" xfId="14211"/>
    <cellStyle name="Change A&amp;ll 28 2" xfId="14212"/>
    <cellStyle name="Change A&amp;ll 28 20" xfId="14213"/>
    <cellStyle name="Change A&amp;ll 28 21" xfId="14214"/>
    <cellStyle name="Change A&amp;ll 28 22" xfId="14215"/>
    <cellStyle name="Change A&amp;ll 28 23" xfId="14216"/>
    <cellStyle name="Change A&amp;ll 28 24" xfId="14217"/>
    <cellStyle name="Change A&amp;ll 28 25" xfId="14218"/>
    <cellStyle name="Change A&amp;ll 28 26" xfId="14219"/>
    <cellStyle name="Change A&amp;ll 28 27" xfId="14220"/>
    <cellStyle name="Change A&amp;ll 28 28" xfId="14221"/>
    <cellStyle name="Change A&amp;ll 28 29" xfId="14222"/>
    <cellStyle name="Change A&amp;ll 28 3" xfId="14223"/>
    <cellStyle name="Change A&amp;ll 28 30" xfId="14224"/>
    <cellStyle name="Change A&amp;ll 28 31" xfId="14225"/>
    <cellStyle name="Change A&amp;ll 28 32" xfId="14226"/>
    <cellStyle name="Change A&amp;ll 28 33" xfId="14227"/>
    <cellStyle name="Change A&amp;ll 28 34" xfId="14228"/>
    <cellStyle name="Change A&amp;ll 28 35" xfId="14229"/>
    <cellStyle name="Change A&amp;ll 28 36" xfId="14230"/>
    <cellStyle name="Change A&amp;ll 28 37" xfId="14231"/>
    <cellStyle name="Change A&amp;ll 28 38" xfId="14232"/>
    <cellStyle name="Change A&amp;ll 28 39" xfId="14233"/>
    <cellStyle name="Change A&amp;ll 28 4" xfId="14234"/>
    <cellStyle name="Change A&amp;ll 28 40" xfId="14235"/>
    <cellStyle name="Change A&amp;ll 28 41" xfId="14236"/>
    <cellStyle name="Change A&amp;ll 28 42" xfId="14237"/>
    <cellStyle name="Change A&amp;ll 28 43" xfId="14238"/>
    <cellStyle name="Change A&amp;ll 28 44" xfId="14239"/>
    <cellStyle name="Change A&amp;ll 28 45" xfId="14240"/>
    <cellStyle name="Change A&amp;ll 28 46" xfId="14241"/>
    <cellStyle name="Change A&amp;ll 28 47" xfId="14242"/>
    <cellStyle name="Change A&amp;ll 28 48" xfId="14243"/>
    <cellStyle name="Change A&amp;ll 28 5" xfId="14244"/>
    <cellStyle name="Change A&amp;ll 28 6" xfId="14245"/>
    <cellStyle name="Change A&amp;ll 28 7" xfId="14246"/>
    <cellStyle name="Change A&amp;ll 28 8" xfId="14247"/>
    <cellStyle name="Change A&amp;ll 28 9" xfId="14248"/>
    <cellStyle name="Change A&amp;ll 28_분양(100%)" xfId="38745"/>
    <cellStyle name="Change A&amp;ll 29" xfId="14249"/>
    <cellStyle name="Change A&amp;ll 29 10" xfId="14250"/>
    <cellStyle name="Change A&amp;ll 29 11" xfId="14251"/>
    <cellStyle name="Change A&amp;ll 29 12" xfId="14252"/>
    <cellStyle name="Change A&amp;ll 29 13" xfId="14253"/>
    <cellStyle name="Change A&amp;ll 29 14" xfId="14254"/>
    <cellStyle name="Change A&amp;ll 29 15" xfId="14255"/>
    <cellStyle name="Change A&amp;ll 29 16" xfId="14256"/>
    <cellStyle name="Change A&amp;ll 29 17" xfId="14257"/>
    <cellStyle name="Change A&amp;ll 29 18" xfId="14258"/>
    <cellStyle name="Change A&amp;ll 29 19" xfId="14259"/>
    <cellStyle name="Change A&amp;ll 29 2" xfId="14260"/>
    <cellStyle name="Change A&amp;ll 29 20" xfId="14261"/>
    <cellStyle name="Change A&amp;ll 29 21" xfId="14262"/>
    <cellStyle name="Change A&amp;ll 29 22" xfId="14263"/>
    <cellStyle name="Change A&amp;ll 29 23" xfId="14264"/>
    <cellStyle name="Change A&amp;ll 29 24" xfId="14265"/>
    <cellStyle name="Change A&amp;ll 29 25" xfId="14266"/>
    <cellStyle name="Change A&amp;ll 29 26" xfId="14267"/>
    <cellStyle name="Change A&amp;ll 29 27" xfId="14268"/>
    <cellStyle name="Change A&amp;ll 29 28" xfId="14269"/>
    <cellStyle name="Change A&amp;ll 29 29" xfId="14270"/>
    <cellStyle name="Change A&amp;ll 29 3" xfId="14271"/>
    <cellStyle name="Change A&amp;ll 29 30" xfId="14272"/>
    <cellStyle name="Change A&amp;ll 29 31" xfId="14273"/>
    <cellStyle name="Change A&amp;ll 29 32" xfId="14274"/>
    <cellStyle name="Change A&amp;ll 29 33" xfId="14275"/>
    <cellStyle name="Change A&amp;ll 29 34" xfId="14276"/>
    <cellStyle name="Change A&amp;ll 29 35" xfId="14277"/>
    <cellStyle name="Change A&amp;ll 29 36" xfId="14278"/>
    <cellStyle name="Change A&amp;ll 29 37" xfId="14279"/>
    <cellStyle name="Change A&amp;ll 29 38" xfId="14280"/>
    <cellStyle name="Change A&amp;ll 29 39" xfId="14281"/>
    <cellStyle name="Change A&amp;ll 29 4" xfId="14282"/>
    <cellStyle name="Change A&amp;ll 29 40" xfId="14283"/>
    <cellStyle name="Change A&amp;ll 29 41" xfId="14284"/>
    <cellStyle name="Change A&amp;ll 29 42" xfId="14285"/>
    <cellStyle name="Change A&amp;ll 29 43" xfId="14286"/>
    <cellStyle name="Change A&amp;ll 29 44" xfId="14287"/>
    <cellStyle name="Change A&amp;ll 29 45" xfId="14288"/>
    <cellStyle name="Change A&amp;ll 29 46" xfId="14289"/>
    <cellStyle name="Change A&amp;ll 29 47" xfId="14290"/>
    <cellStyle name="Change A&amp;ll 29 48" xfId="14291"/>
    <cellStyle name="Change A&amp;ll 29 5" xfId="14292"/>
    <cellStyle name="Change A&amp;ll 29 6" xfId="14293"/>
    <cellStyle name="Change A&amp;ll 29 7" xfId="14294"/>
    <cellStyle name="Change A&amp;ll 29 8" xfId="14295"/>
    <cellStyle name="Change A&amp;ll 29 9" xfId="14296"/>
    <cellStyle name="Change A&amp;ll 29_분양(100%)" xfId="38746"/>
    <cellStyle name="Change A&amp;ll 3" xfId="14297"/>
    <cellStyle name="Change A&amp;ll 3 10" xfId="14298"/>
    <cellStyle name="Change A&amp;ll 3 11" xfId="14299"/>
    <cellStyle name="Change A&amp;ll 3 12" xfId="14300"/>
    <cellStyle name="Change A&amp;ll 3 13" xfId="14301"/>
    <cellStyle name="Change A&amp;ll 3 14" xfId="14302"/>
    <cellStyle name="Change A&amp;ll 3 15" xfId="14303"/>
    <cellStyle name="Change A&amp;ll 3 16" xfId="14304"/>
    <cellStyle name="Change A&amp;ll 3 17" xfId="14305"/>
    <cellStyle name="Change A&amp;ll 3 18" xfId="14306"/>
    <cellStyle name="Change A&amp;ll 3 19" xfId="14307"/>
    <cellStyle name="Change A&amp;ll 3 2" xfId="14308"/>
    <cellStyle name="Change A&amp;ll 3 20" xfId="14309"/>
    <cellStyle name="Change A&amp;ll 3 21" xfId="14310"/>
    <cellStyle name="Change A&amp;ll 3 22" xfId="14311"/>
    <cellStyle name="Change A&amp;ll 3 23" xfId="14312"/>
    <cellStyle name="Change A&amp;ll 3 24" xfId="14313"/>
    <cellStyle name="Change A&amp;ll 3 25" xfId="14314"/>
    <cellStyle name="Change A&amp;ll 3 26" xfId="14315"/>
    <cellStyle name="Change A&amp;ll 3 27" xfId="14316"/>
    <cellStyle name="Change A&amp;ll 3 28" xfId="14317"/>
    <cellStyle name="Change A&amp;ll 3 29" xfId="14318"/>
    <cellStyle name="Change A&amp;ll 3 3" xfId="14319"/>
    <cellStyle name="Change A&amp;ll 3 30" xfId="14320"/>
    <cellStyle name="Change A&amp;ll 3 31" xfId="14321"/>
    <cellStyle name="Change A&amp;ll 3 32" xfId="14322"/>
    <cellStyle name="Change A&amp;ll 3 33" xfId="14323"/>
    <cellStyle name="Change A&amp;ll 3 34" xfId="14324"/>
    <cellStyle name="Change A&amp;ll 3 35" xfId="14325"/>
    <cellStyle name="Change A&amp;ll 3 36" xfId="14326"/>
    <cellStyle name="Change A&amp;ll 3 37" xfId="14327"/>
    <cellStyle name="Change A&amp;ll 3 38" xfId="14328"/>
    <cellStyle name="Change A&amp;ll 3 39" xfId="14329"/>
    <cellStyle name="Change A&amp;ll 3 4" xfId="14330"/>
    <cellStyle name="Change A&amp;ll 3 40" xfId="14331"/>
    <cellStyle name="Change A&amp;ll 3 41" xfId="14332"/>
    <cellStyle name="Change A&amp;ll 3 42" xfId="14333"/>
    <cellStyle name="Change A&amp;ll 3 43" xfId="14334"/>
    <cellStyle name="Change A&amp;ll 3 44" xfId="14335"/>
    <cellStyle name="Change A&amp;ll 3 45" xfId="14336"/>
    <cellStyle name="Change A&amp;ll 3 46" xfId="14337"/>
    <cellStyle name="Change A&amp;ll 3 47" xfId="14338"/>
    <cellStyle name="Change A&amp;ll 3 48" xfId="14339"/>
    <cellStyle name="Change A&amp;ll 3 49" xfId="14340"/>
    <cellStyle name="Change A&amp;ll 3 5" xfId="14341"/>
    <cellStyle name="Change A&amp;ll 3 6" xfId="14342"/>
    <cellStyle name="Change A&amp;ll 3 7" xfId="14343"/>
    <cellStyle name="Change A&amp;ll 3 8" xfId="14344"/>
    <cellStyle name="Change A&amp;ll 3 9" xfId="14345"/>
    <cellStyle name="Change A&amp;ll 3_분양(100%)" xfId="38747"/>
    <cellStyle name="Change A&amp;ll 30" xfId="14346"/>
    <cellStyle name="Change A&amp;ll 30 10" xfId="14347"/>
    <cellStyle name="Change A&amp;ll 30 11" xfId="14348"/>
    <cellStyle name="Change A&amp;ll 30 12" xfId="14349"/>
    <cellStyle name="Change A&amp;ll 30 13" xfId="14350"/>
    <cellStyle name="Change A&amp;ll 30 14" xfId="14351"/>
    <cellStyle name="Change A&amp;ll 30 15" xfId="14352"/>
    <cellStyle name="Change A&amp;ll 30 16" xfId="14353"/>
    <cellStyle name="Change A&amp;ll 30 17" xfId="14354"/>
    <cellStyle name="Change A&amp;ll 30 18" xfId="14355"/>
    <cellStyle name="Change A&amp;ll 30 19" xfId="14356"/>
    <cellStyle name="Change A&amp;ll 30 2" xfId="14357"/>
    <cellStyle name="Change A&amp;ll 30 20" xfId="14358"/>
    <cellStyle name="Change A&amp;ll 30 21" xfId="14359"/>
    <cellStyle name="Change A&amp;ll 30 22" xfId="14360"/>
    <cellStyle name="Change A&amp;ll 30 23" xfId="14361"/>
    <cellStyle name="Change A&amp;ll 30 24" xfId="14362"/>
    <cellStyle name="Change A&amp;ll 30 25" xfId="14363"/>
    <cellStyle name="Change A&amp;ll 30 26" xfId="14364"/>
    <cellStyle name="Change A&amp;ll 30 27" xfId="14365"/>
    <cellStyle name="Change A&amp;ll 30 28" xfId="14366"/>
    <cellStyle name="Change A&amp;ll 30 29" xfId="14367"/>
    <cellStyle name="Change A&amp;ll 30 3" xfId="14368"/>
    <cellStyle name="Change A&amp;ll 30 30" xfId="14369"/>
    <cellStyle name="Change A&amp;ll 30 31" xfId="14370"/>
    <cellStyle name="Change A&amp;ll 30 32" xfId="14371"/>
    <cellStyle name="Change A&amp;ll 30 33" xfId="14372"/>
    <cellStyle name="Change A&amp;ll 30 34" xfId="14373"/>
    <cellStyle name="Change A&amp;ll 30 35" xfId="14374"/>
    <cellStyle name="Change A&amp;ll 30 36" xfId="14375"/>
    <cellStyle name="Change A&amp;ll 30 37" xfId="14376"/>
    <cellStyle name="Change A&amp;ll 30 38" xfId="14377"/>
    <cellStyle name="Change A&amp;ll 30 39" xfId="14378"/>
    <cellStyle name="Change A&amp;ll 30 4" xfId="14379"/>
    <cellStyle name="Change A&amp;ll 30 40" xfId="14380"/>
    <cellStyle name="Change A&amp;ll 30 41" xfId="14381"/>
    <cellStyle name="Change A&amp;ll 30 42" xfId="14382"/>
    <cellStyle name="Change A&amp;ll 30 43" xfId="14383"/>
    <cellStyle name="Change A&amp;ll 30 44" xfId="14384"/>
    <cellStyle name="Change A&amp;ll 30 45" xfId="14385"/>
    <cellStyle name="Change A&amp;ll 30 46" xfId="14386"/>
    <cellStyle name="Change A&amp;ll 30 47" xfId="14387"/>
    <cellStyle name="Change A&amp;ll 30 48" xfId="14388"/>
    <cellStyle name="Change A&amp;ll 30 5" xfId="14389"/>
    <cellStyle name="Change A&amp;ll 30 6" xfId="14390"/>
    <cellStyle name="Change A&amp;ll 30 7" xfId="14391"/>
    <cellStyle name="Change A&amp;ll 30 8" xfId="14392"/>
    <cellStyle name="Change A&amp;ll 30 9" xfId="14393"/>
    <cellStyle name="Change A&amp;ll 30_분양(100%)" xfId="38748"/>
    <cellStyle name="Change A&amp;ll 31" xfId="14394"/>
    <cellStyle name="Change A&amp;ll 31 10" xfId="14395"/>
    <cellStyle name="Change A&amp;ll 31 11" xfId="14396"/>
    <cellStyle name="Change A&amp;ll 31 12" xfId="14397"/>
    <cellStyle name="Change A&amp;ll 31 13" xfId="14398"/>
    <cellStyle name="Change A&amp;ll 31 14" xfId="14399"/>
    <cellStyle name="Change A&amp;ll 31 15" xfId="14400"/>
    <cellStyle name="Change A&amp;ll 31 16" xfId="14401"/>
    <cellStyle name="Change A&amp;ll 31 17" xfId="14402"/>
    <cellStyle name="Change A&amp;ll 31 18" xfId="14403"/>
    <cellStyle name="Change A&amp;ll 31 19" xfId="14404"/>
    <cellStyle name="Change A&amp;ll 31 2" xfId="14405"/>
    <cellStyle name="Change A&amp;ll 31 20" xfId="14406"/>
    <cellStyle name="Change A&amp;ll 31 21" xfId="14407"/>
    <cellStyle name="Change A&amp;ll 31 22" xfId="14408"/>
    <cellStyle name="Change A&amp;ll 31 23" xfId="14409"/>
    <cellStyle name="Change A&amp;ll 31 24" xfId="14410"/>
    <cellStyle name="Change A&amp;ll 31 25" xfId="14411"/>
    <cellStyle name="Change A&amp;ll 31 26" xfId="14412"/>
    <cellStyle name="Change A&amp;ll 31 27" xfId="14413"/>
    <cellStyle name="Change A&amp;ll 31 28" xfId="14414"/>
    <cellStyle name="Change A&amp;ll 31 29" xfId="14415"/>
    <cellStyle name="Change A&amp;ll 31 3" xfId="14416"/>
    <cellStyle name="Change A&amp;ll 31 30" xfId="14417"/>
    <cellStyle name="Change A&amp;ll 31 31" xfId="14418"/>
    <cellStyle name="Change A&amp;ll 31 32" xfId="14419"/>
    <cellStyle name="Change A&amp;ll 31 33" xfId="14420"/>
    <cellStyle name="Change A&amp;ll 31 34" xfId="14421"/>
    <cellStyle name="Change A&amp;ll 31 35" xfId="14422"/>
    <cellStyle name="Change A&amp;ll 31 36" xfId="14423"/>
    <cellStyle name="Change A&amp;ll 31 37" xfId="14424"/>
    <cellStyle name="Change A&amp;ll 31 38" xfId="14425"/>
    <cellStyle name="Change A&amp;ll 31 39" xfId="14426"/>
    <cellStyle name="Change A&amp;ll 31 4" xfId="14427"/>
    <cellStyle name="Change A&amp;ll 31 40" xfId="14428"/>
    <cellStyle name="Change A&amp;ll 31 41" xfId="14429"/>
    <cellStyle name="Change A&amp;ll 31 42" xfId="14430"/>
    <cellStyle name="Change A&amp;ll 31 43" xfId="14431"/>
    <cellStyle name="Change A&amp;ll 31 44" xfId="14432"/>
    <cellStyle name="Change A&amp;ll 31 45" xfId="14433"/>
    <cellStyle name="Change A&amp;ll 31 46" xfId="14434"/>
    <cellStyle name="Change A&amp;ll 31 47" xfId="14435"/>
    <cellStyle name="Change A&amp;ll 31 48" xfId="14436"/>
    <cellStyle name="Change A&amp;ll 31 5" xfId="14437"/>
    <cellStyle name="Change A&amp;ll 31 6" xfId="14438"/>
    <cellStyle name="Change A&amp;ll 31 7" xfId="14439"/>
    <cellStyle name="Change A&amp;ll 31 8" xfId="14440"/>
    <cellStyle name="Change A&amp;ll 31 9" xfId="14441"/>
    <cellStyle name="Change A&amp;ll 31_분양(100%)" xfId="38749"/>
    <cellStyle name="Change A&amp;ll 32" xfId="14442"/>
    <cellStyle name="Change A&amp;ll 32 10" xfId="14443"/>
    <cellStyle name="Change A&amp;ll 32 11" xfId="14444"/>
    <cellStyle name="Change A&amp;ll 32 12" xfId="14445"/>
    <cellStyle name="Change A&amp;ll 32 13" xfId="14446"/>
    <cellStyle name="Change A&amp;ll 32 14" xfId="14447"/>
    <cellStyle name="Change A&amp;ll 32 15" xfId="14448"/>
    <cellStyle name="Change A&amp;ll 32 16" xfId="14449"/>
    <cellStyle name="Change A&amp;ll 32 17" xfId="14450"/>
    <cellStyle name="Change A&amp;ll 32 18" xfId="14451"/>
    <cellStyle name="Change A&amp;ll 32 19" xfId="14452"/>
    <cellStyle name="Change A&amp;ll 32 2" xfId="14453"/>
    <cellStyle name="Change A&amp;ll 32 20" xfId="14454"/>
    <cellStyle name="Change A&amp;ll 32 21" xfId="14455"/>
    <cellStyle name="Change A&amp;ll 32 22" xfId="14456"/>
    <cellStyle name="Change A&amp;ll 32 23" xfId="14457"/>
    <cellStyle name="Change A&amp;ll 32 24" xfId="14458"/>
    <cellStyle name="Change A&amp;ll 32 25" xfId="14459"/>
    <cellStyle name="Change A&amp;ll 32 26" xfId="14460"/>
    <cellStyle name="Change A&amp;ll 32 27" xfId="14461"/>
    <cellStyle name="Change A&amp;ll 32 28" xfId="14462"/>
    <cellStyle name="Change A&amp;ll 32 29" xfId="14463"/>
    <cellStyle name="Change A&amp;ll 32 3" xfId="14464"/>
    <cellStyle name="Change A&amp;ll 32 30" xfId="14465"/>
    <cellStyle name="Change A&amp;ll 32 31" xfId="14466"/>
    <cellStyle name="Change A&amp;ll 32 32" xfId="14467"/>
    <cellStyle name="Change A&amp;ll 32 33" xfId="14468"/>
    <cellStyle name="Change A&amp;ll 32 34" xfId="14469"/>
    <cellStyle name="Change A&amp;ll 32 35" xfId="14470"/>
    <cellStyle name="Change A&amp;ll 32 36" xfId="14471"/>
    <cellStyle name="Change A&amp;ll 32 37" xfId="14472"/>
    <cellStyle name="Change A&amp;ll 32 38" xfId="14473"/>
    <cellStyle name="Change A&amp;ll 32 39" xfId="14474"/>
    <cellStyle name="Change A&amp;ll 32 4" xfId="14475"/>
    <cellStyle name="Change A&amp;ll 32 40" xfId="14476"/>
    <cellStyle name="Change A&amp;ll 32 41" xfId="14477"/>
    <cellStyle name="Change A&amp;ll 32 42" xfId="14478"/>
    <cellStyle name="Change A&amp;ll 32 43" xfId="14479"/>
    <cellStyle name="Change A&amp;ll 32 44" xfId="14480"/>
    <cellStyle name="Change A&amp;ll 32 45" xfId="14481"/>
    <cellStyle name="Change A&amp;ll 32 46" xfId="14482"/>
    <cellStyle name="Change A&amp;ll 32 47" xfId="14483"/>
    <cellStyle name="Change A&amp;ll 32 48" xfId="14484"/>
    <cellStyle name="Change A&amp;ll 32 5" xfId="14485"/>
    <cellStyle name="Change A&amp;ll 32 6" xfId="14486"/>
    <cellStyle name="Change A&amp;ll 32 7" xfId="14487"/>
    <cellStyle name="Change A&amp;ll 32 8" xfId="14488"/>
    <cellStyle name="Change A&amp;ll 32 9" xfId="14489"/>
    <cellStyle name="Change A&amp;ll 32_분양(100%)" xfId="38750"/>
    <cellStyle name="Change A&amp;ll 33" xfId="14490"/>
    <cellStyle name="Change A&amp;ll 33 10" xfId="14491"/>
    <cellStyle name="Change A&amp;ll 33 11" xfId="14492"/>
    <cellStyle name="Change A&amp;ll 33 12" xfId="14493"/>
    <cellStyle name="Change A&amp;ll 33 13" xfId="14494"/>
    <cellStyle name="Change A&amp;ll 33 14" xfId="14495"/>
    <cellStyle name="Change A&amp;ll 33 15" xfId="14496"/>
    <cellStyle name="Change A&amp;ll 33 16" xfId="14497"/>
    <cellStyle name="Change A&amp;ll 33 17" xfId="14498"/>
    <cellStyle name="Change A&amp;ll 33 18" xfId="14499"/>
    <cellStyle name="Change A&amp;ll 33 19" xfId="14500"/>
    <cellStyle name="Change A&amp;ll 33 2" xfId="14501"/>
    <cellStyle name="Change A&amp;ll 33 20" xfId="14502"/>
    <cellStyle name="Change A&amp;ll 33 21" xfId="14503"/>
    <cellStyle name="Change A&amp;ll 33 22" xfId="14504"/>
    <cellStyle name="Change A&amp;ll 33 23" xfId="14505"/>
    <cellStyle name="Change A&amp;ll 33 24" xfId="14506"/>
    <cellStyle name="Change A&amp;ll 33 25" xfId="14507"/>
    <cellStyle name="Change A&amp;ll 33 26" xfId="14508"/>
    <cellStyle name="Change A&amp;ll 33 27" xfId="14509"/>
    <cellStyle name="Change A&amp;ll 33 28" xfId="14510"/>
    <cellStyle name="Change A&amp;ll 33 29" xfId="14511"/>
    <cellStyle name="Change A&amp;ll 33 3" xfId="14512"/>
    <cellStyle name="Change A&amp;ll 33 30" xfId="14513"/>
    <cellStyle name="Change A&amp;ll 33 31" xfId="14514"/>
    <cellStyle name="Change A&amp;ll 33 32" xfId="14515"/>
    <cellStyle name="Change A&amp;ll 33 33" xfId="14516"/>
    <cellStyle name="Change A&amp;ll 33 34" xfId="14517"/>
    <cellStyle name="Change A&amp;ll 33 35" xfId="14518"/>
    <cellStyle name="Change A&amp;ll 33 36" xfId="14519"/>
    <cellStyle name="Change A&amp;ll 33 37" xfId="14520"/>
    <cellStyle name="Change A&amp;ll 33 38" xfId="14521"/>
    <cellStyle name="Change A&amp;ll 33 39" xfId="14522"/>
    <cellStyle name="Change A&amp;ll 33 4" xfId="14523"/>
    <cellStyle name="Change A&amp;ll 33 40" xfId="14524"/>
    <cellStyle name="Change A&amp;ll 33 41" xfId="14525"/>
    <cellStyle name="Change A&amp;ll 33 42" xfId="14526"/>
    <cellStyle name="Change A&amp;ll 33 43" xfId="14527"/>
    <cellStyle name="Change A&amp;ll 33 44" xfId="14528"/>
    <cellStyle name="Change A&amp;ll 33 45" xfId="14529"/>
    <cellStyle name="Change A&amp;ll 33 46" xfId="14530"/>
    <cellStyle name="Change A&amp;ll 33 47" xfId="14531"/>
    <cellStyle name="Change A&amp;ll 33 48" xfId="14532"/>
    <cellStyle name="Change A&amp;ll 33 5" xfId="14533"/>
    <cellStyle name="Change A&amp;ll 33 6" xfId="14534"/>
    <cellStyle name="Change A&amp;ll 33 7" xfId="14535"/>
    <cellStyle name="Change A&amp;ll 33 8" xfId="14536"/>
    <cellStyle name="Change A&amp;ll 33 9" xfId="14537"/>
    <cellStyle name="Change A&amp;ll 33_분양(100%)" xfId="38751"/>
    <cellStyle name="Change A&amp;ll 34" xfId="14538"/>
    <cellStyle name="Change A&amp;ll 34 10" xfId="14539"/>
    <cellStyle name="Change A&amp;ll 34 11" xfId="14540"/>
    <cellStyle name="Change A&amp;ll 34 12" xfId="14541"/>
    <cellStyle name="Change A&amp;ll 34 13" xfId="14542"/>
    <cellStyle name="Change A&amp;ll 34 14" xfId="14543"/>
    <cellStyle name="Change A&amp;ll 34 15" xfId="14544"/>
    <cellStyle name="Change A&amp;ll 34 16" xfId="14545"/>
    <cellStyle name="Change A&amp;ll 34 17" xfId="14546"/>
    <cellStyle name="Change A&amp;ll 34 18" xfId="14547"/>
    <cellStyle name="Change A&amp;ll 34 19" xfId="14548"/>
    <cellStyle name="Change A&amp;ll 34 2" xfId="14549"/>
    <cellStyle name="Change A&amp;ll 34 20" xfId="14550"/>
    <cellStyle name="Change A&amp;ll 34 21" xfId="14551"/>
    <cellStyle name="Change A&amp;ll 34 22" xfId="14552"/>
    <cellStyle name="Change A&amp;ll 34 23" xfId="14553"/>
    <cellStyle name="Change A&amp;ll 34 24" xfId="14554"/>
    <cellStyle name="Change A&amp;ll 34 25" xfId="14555"/>
    <cellStyle name="Change A&amp;ll 34 26" xfId="14556"/>
    <cellStyle name="Change A&amp;ll 34 27" xfId="14557"/>
    <cellStyle name="Change A&amp;ll 34 28" xfId="14558"/>
    <cellStyle name="Change A&amp;ll 34 29" xfId="14559"/>
    <cellStyle name="Change A&amp;ll 34 3" xfId="14560"/>
    <cellStyle name="Change A&amp;ll 34 30" xfId="14561"/>
    <cellStyle name="Change A&amp;ll 34 31" xfId="14562"/>
    <cellStyle name="Change A&amp;ll 34 32" xfId="14563"/>
    <cellStyle name="Change A&amp;ll 34 33" xfId="14564"/>
    <cellStyle name="Change A&amp;ll 34 34" xfId="14565"/>
    <cellStyle name="Change A&amp;ll 34 35" xfId="14566"/>
    <cellStyle name="Change A&amp;ll 34 36" xfId="14567"/>
    <cellStyle name="Change A&amp;ll 34 37" xfId="14568"/>
    <cellStyle name="Change A&amp;ll 34 38" xfId="14569"/>
    <cellStyle name="Change A&amp;ll 34 39" xfId="14570"/>
    <cellStyle name="Change A&amp;ll 34 4" xfId="14571"/>
    <cellStyle name="Change A&amp;ll 34 40" xfId="14572"/>
    <cellStyle name="Change A&amp;ll 34 41" xfId="14573"/>
    <cellStyle name="Change A&amp;ll 34 42" xfId="14574"/>
    <cellStyle name="Change A&amp;ll 34 43" xfId="14575"/>
    <cellStyle name="Change A&amp;ll 34 44" xfId="14576"/>
    <cellStyle name="Change A&amp;ll 34 45" xfId="14577"/>
    <cellStyle name="Change A&amp;ll 34 46" xfId="14578"/>
    <cellStyle name="Change A&amp;ll 34 47" xfId="14579"/>
    <cellStyle name="Change A&amp;ll 34 48" xfId="14580"/>
    <cellStyle name="Change A&amp;ll 34 5" xfId="14581"/>
    <cellStyle name="Change A&amp;ll 34 6" xfId="14582"/>
    <cellStyle name="Change A&amp;ll 34 7" xfId="14583"/>
    <cellStyle name="Change A&amp;ll 34 8" xfId="14584"/>
    <cellStyle name="Change A&amp;ll 34 9" xfId="14585"/>
    <cellStyle name="Change A&amp;ll 34_분양(100%)" xfId="38752"/>
    <cellStyle name="Change A&amp;ll 35" xfId="14586"/>
    <cellStyle name="Change A&amp;ll 35 10" xfId="14587"/>
    <cellStyle name="Change A&amp;ll 35 11" xfId="14588"/>
    <cellStyle name="Change A&amp;ll 35 12" xfId="14589"/>
    <cellStyle name="Change A&amp;ll 35 13" xfId="14590"/>
    <cellStyle name="Change A&amp;ll 35 14" xfId="14591"/>
    <cellStyle name="Change A&amp;ll 35 15" xfId="14592"/>
    <cellStyle name="Change A&amp;ll 35 16" xfId="14593"/>
    <cellStyle name="Change A&amp;ll 35 17" xfId="14594"/>
    <cellStyle name="Change A&amp;ll 35 18" xfId="14595"/>
    <cellStyle name="Change A&amp;ll 35 19" xfId="14596"/>
    <cellStyle name="Change A&amp;ll 35 2" xfId="14597"/>
    <cellStyle name="Change A&amp;ll 35 20" xfId="14598"/>
    <cellStyle name="Change A&amp;ll 35 21" xfId="14599"/>
    <cellStyle name="Change A&amp;ll 35 22" xfId="14600"/>
    <cellStyle name="Change A&amp;ll 35 23" xfId="14601"/>
    <cellStyle name="Change A&amp;ll 35 24" xfId="14602"/>
    <cellStyle name="Change A&amp;ll 35 25" xfId="14603"/>
    <cellStyle name="Change A&amp;ll 35 26" xfId="14604"/>
    <cellStyle name="Change A&amp;ll 35 27" xfId="14605"/>
    <cellStyle name="Change A&amp;ll 35 28" xfId="14606"/>
    <cellStyle name="Change A&amp;ll 35 29" xfId="14607"/>
    <cellStyle name="Change A&amp;ll 35 3" xfId="14608"/>
    <cellStyle name="Change A&amp;ll 35 30" xfId="14609"/>
    <cellStyle name="Change A&amp;ll 35 31" xfId="14610"/>
    <cellStyle name="Change A&amp;ll 35 32" xfId="14611"/>
    <cellStyle name="Change A&amp;ll 35 33" xfId="14612"/>
    <cellStyle name="Change A&amp;ll 35 34" xfId="14613"/>
    <cellStyle name="Change A&amp;ll 35 35" xfId="14614"/>
    <cellStyle name="Change A&amp;ll 35 36" xfId="14615"/>
    <cellStyle name="Change A&amp;ll 35 37" xfId="14616"/>
    <cellStyle name="Change A&amp;ll 35 38" xfId="14617"/>
    <cellStyle name="Change A&amp;ll 35 39" xfId="14618"/>
    <cellStyle name="Change A&amp;ll 35 4" xfId="14619"/>
    <cellStyle name="Change A&amp;ll 35 40" xfId="14620"/>
    <cellStyle name="Change A&amp;ll 35 41" xfId="14621"/>
    <cellStyle name="Change A&amp;ll 35 42" xfId="14622"/>
    <cellStyle name="Change A&amp;ll 35 43" xfId="14623"/>
    <cellStyle name="Change A&amp;ll 35 44" xfId="14624"/>
    <cellStyle name="Change A&amp;ll 35 45" xfId="14625"/>
    <cellStyle name="Change A&amp;ll 35 46" xfId="14626"/>
    <cellStyle name="Change A&amp;ll 35 47" xfId="14627"/>
    <cellStyle name="Change A&amp;ll 35 48" xfId="14628"/>
    <cellStyle name="Change A&amp;ll 35 5" xfId="14629"/>
    <cellStyle name="Change A&amp;ll 35 6" xfId="14630"/>
    <cellStyle name="Change A&amp;ll 35 7" xfId="14631"/>
    <cellStyle name="Change A&amp;ll 35 8" xfId="14632"/>
    <cellStyle name="Change A&amp;ll 35 9" xfId="14633"/>
    <cellStyle name="Change A&amp;ll 35_분양(100%)" xfId="38753"/>
    <cellStyle name="Change A&amp;ll 36" xfId="14634"/>
    <cellStyle name="Change A&amp;ll 36 10" xfId="14635"/>
    <cellStyle name="Change A&amp;ll 36 11" xfId="14636"/>
    <cellStyle name="Change A&amp;ll 36 12" xfId="14637"/>
    <cellStyle name="Change A&amp;ll 36 13" xfId="14638"/>
    <cellStyle name="Change A&amp;ll 36 14" xfId="14639"/>
    <cellStyle name="Change A&amp;ll 36 15" xfId="14640"/>
    <cellStyle name="Change A&amp;ll 36 16" xfId="14641"/>
    <cellStyle name="Change A&amp;ll 36 17" xfId="14642"/>
    <cellStyle name="Change A&amp;ll 36 18" xfId="14643"/>
    <cellStyle name="Change A&amp;ll 36 19" xfId="14644"/>
    <cellStyle name="Change A&amp;ll 36 2" xfId="14645"/>
    <cellStyle name="Change A&amp;ll 36 20" xfId="14646"/>
    <cellStyle name="Change A&amp;ll 36 21" xfId="14647"/>
    <cellStyle name="Change A&amp;ll 36 22" xfId="14648"/>
    <cellStyle name="Change A&amp;ll 36 23" xfId="14649"/>
    <cellStyle name="Change A&amp;ll 36 24" xfId="14650"/>
    <cellStyle name="Change A&amp;ll 36 25" xfId="14651"/>
    <cellStyle name="Change A&amp;ll 36 26" xfId="14652"/>
    <cellStyle name="Change A&amp;ll 36 27" xfId="14653"/>
    <cellStyle name="Change A&amp;ll 36 28" xfId="14654"/>
    <cellStyle name="Change A&amp;ll 36 29" xfId="14655"/>
    <cellStyle name="Change A&amp;ll 36 3" xfId="14656"/>
    <cellStyle name="Change A&amp;ll 36 30" xfId="14657"/>
    <cellStyle name="Change A&amp;ll 36 31" xfId="14658"/>
    <cellStyle name="Change A&amp;ll 36 32" xfId="14659"/>
    <cellStyle name="Change A&amp;ll 36 33" xfId="14660"/>
    <cellStyle name="Change A&amp;ll 36 34" xfId="14661"/>
    <cellStyle name="Change A&amp;ll 36 35" xfId="14662"/>
    <cellStyle name="Change A&amp;ll 36 36" xfId="14663"/>
    <cellStyle name="Change A&amp;ll 36 37" xfId="14664"/>
    <cellStyle name="Change A&amp;ll 36 38" xfId="14665"/>
    <cellStyle name="Change A&amp;ll 36 39" xfId="14666"/>
    <cellStyle name="Change A&amp;ll 36 4" xfId="14667"/>
    <cellStyle name="Change A&amp;ll 36 40" xfId="14668"/>
    <cellStyle name="Change A&amp;ll 36 41" xfId="14669"/>
    <cellStyle name="Change A&amp;ll 36 42" xfId="14670"/>
    <cellStyle name="Change A&amp;ll 36 43" xfId="14671"/>
    <cellStyle name="Change A&amp;ll 36 44" xfId="14672"/>
    <cellStyle name="Change A&amp;ll 36 45" xfId="14673"/>
    <cellStyle name="Change A&amp;ll 36 46" xfId="14674"/>
    <cellStyle name="Change A&amp;ll 36 47" xfId="14675"/>
    <cellStyle name="Change A&amp;ll 36 48" xfId="14676"/>
    <cellStyle name="Change A&amp;ll 36 5" xfId="14677"/>
    <cellStyle name="Change A&amp;ll 36 6" xfId="14678"/>
    <cellStyle name="Change A&amp;ll 36 7" xfId="14679"/>
    <cellStyle name="Change A&amp;ll 36 8" xfId="14680"/>
    <cellStyle name="Change A&amp;ll 36 9" xfId="14681"/>
    <cellStyle name="Change A&amp;ll 36_분양(100%)" xfId="38754"/>
    <cellStyle name="Change A&amp;ll 37" xfId="14682"/>
    <cellStyle name="Change A&amp;ll 37 10" xfId="14683"/>
    <cellStyle name="Change A&amp;ll 37 11" xfId="14684"/>
    <cellStyle name="Change A&amp;ll 37 12" xfId="14685"/>
    <cellStyle name="Change A&amp;ll 37 13" xfId="14686"/>
    <cellStyle name="Change A&amp;ll 37 14" xfId="14687"/>
    <cellStyle name="Change A&amp;ll 37 15" xfId="14688"/>
    <cellStyle name="Change A&amp;ll 37 16" xfId="14689"/>
    <cellStyle name="Change A&amp;ll 37 17" xfId="14690"/>
    <cellStyle name="Change A&amp;ll 37 18" xfId="14691"/>
    <cellStyle name="Change A&amp;ll 37 19" xfId="14692"/>
    <cellStyle name="Change A&amp;ll 37 2" xfId="14693"/>
    <cellStyle name="Change A&amp;ll 37 20" xfId="14694"/>
    <cellStyle name="Change A&amp;ll 37 21" xfId="14695"/>
    <cellStyle name="Change A&amp;ll 37 22" xfId="14696"/>
    <cellStyle name="Change A&amp;ll 37 23" xfId="14697"/>
    <cellStyle name="Change A&amp;ll 37 24" xfId="14698"/>
    <cellStyle name="Change A&amp;ll 37 25" xfId="14699"/>
    <cellStyle name="Change A&amp;ll 37 26" xfId="14700"/>
    <cellStyle name="Change A&amp;ll 37 27" xfId="14701"/>
    <cellStyle name="Change A&amp;ll 37 28" xfId="14702"/>
    <cellStyle name="Change A&amp;ll 37 29" xfId="14703"/>
    <cellStyle name="Change A&amp;ll 37 3" xfId="14704"/>
    <cellStyle name="Change A&amp;ll 37 30" xfId="14705"/>
    <cellStyle name="Change A&amp;ll 37 31" xfId="14706"/>
    <cellStyle name="Change A&amp;ll 37 32" xfId="14707"/>
    <cellStyle name="Change A&amp;ll 37 33" xfId="14708"/>
    <cellStyle name="Change A&amp;ll 37 34" xfId="14709"/>
    <cellStyle name="Change A&amp;ll 37 35" xfId="14710"/>
    <cellStyle name="Change A&amp;ll 37 36" xfId="14711"/>
    <cellStyle name="Change A&amp;ll 37 37" xfId="14712"/>
    <cellStyle name="Change A&amp;ll 37 38" xfId="14713"/>
    <cellStyle name="Change A&amp;ll 37 39" xfId="14714"/>
    <cellStyle name="Change A&amp;ll 37 4" xfId="14715"/>
    <cellStyle name="Change A&amp;ll 37 40" xfId="14716"/>
    <cellStyle name="Change A&amp;ll 37 41" xfId="14717"/>
    <cellStyle name="Change A&amp;ll 37 42" xfId="14718"/>
    <cellStyle name="Change A&amp;ll 37 43" xfId="14719"/>
    <cellStyle name="Change A&amp;ll 37 44" xfId="14720"/>
    <cellStyle name="Change A&amp;ll 37 45" xfId="14721"/>
    <cellStyle name="Change A&amp;ll 37 46" xfId="14722"/>
    <cellStyle name="Change A&amp;ll 37 47" xfId="14723"/>
    <cellStyle name="Change A&amp;ll 37 48" xfId="14724"/>
    <cellStyle name="Change A&amp;ll 37 5" xfId="14725"/>
    <cellStyle name="Change A&amp;ll 37 6" xfId="14726"/>
    <cellStyle name="Change A&amp;ll 37 7" xfId="14727"/>
    <cellStyle name="Change A&amp;ll 37 8" xfId="14728"/>
    <cellStyle name="Change A&amp;ll 37 9" xfId="14729"/>
    <cellStyle name="Change A&amp;ll 37_분양(100%)" xfId="38755"/>
    <cellStyle name="Change A&amp;ll 38" xfId="14730"/>
    <cellStyle name="Change A&amp;ll 38 10" xfId="14731"/>
    <cellStyle name="Change A&amp;ll 38 11" xfId="14732"/>
    <cellStyle name="Change A&amp;ll 38 12" xfId="14733"/>
    <cellStyle name="Change A&amp;ll 38 13" xfId="14734"/>
    <cellStyle name="Change A&amp;ll 38 14" xfId="14735"/>
    <cellStyle name="Change A&amp;ll 38 15" xfId="14736"/>
    <cellStyle name="Change A&amp;ll 38 16" xfId="14737"/>
    <cellStyle name="Change A&amp;ll 38 17" xfId="14738"/>
    <cellStyle name="Change A&amp;ll 38 18" xfId="14739"/>
    <cellStyle name="Change A&amp;ll 38 19" xfId="14740"/>
    <cellStyle name="Change A&amp;ll 38 2" xfId="14741"/>
    <cellStyle name="Change A&amp;ll 38 20" xfId="14742"/>
    <cellStyle name="Change A&amp;ll 38 21" xfId="14743"/>
    <cellStyle name="Change A&amp;ll 38 22" xfId="14744"/>
    <cellStyle name="Change A&amp;ll 38 23" xfId="14745"/>
    <cellStyle name="Change A&amp;ll 38 24" xfId="14746"/>
    <cellStyle name="Change A&amp;ll 38 25" xfId="14747"/>
    <cellStyle name="Change A&amp;ll 38 26" xfId="14748"/>
    <cellStyle name="Change A&amp;ll 38 27" xfId="14749"/>
    <cellStyle name="Change A&amp;ll 38 28" xfId="14750"/>
    <cellStyle name="Change A&amp;ll 38 29" xfId="14751"/>
    <cellStyle name="Change A&amp;ll 38 3" xfId="14752"/>
    <cellStyle name="Change A&amp;ll 38 30" xfId="14753"/>
    <cellStyle name="Change A&amp;ll 38 31" xfId="14754"/>
    <cellStyle name="Change A&amp;ll 38 32" xfId="14755"/>
    <cellStyle name="Change A&amp;ll 38 33" xfId="14756"/>
    <cellStyle name="Change A&amp;ll 38 34" xfId="14757"/>
    <cellStyle name="Change A&amp;ll 38 35" xfId="14758"/>
    <cellStyle name="Change A&amp;ll 38 36" xfId="14759"/>
    <cellStyle name="Change A&amp;ll 38 37" xfId="14760"/>
    <cellStyle name="Change A&amp;ll 38 38" xfId="14761"/>
    <cellStyle name="Change A&amp;ll 38 39" xfId="14762"/>
    <cellStyle name="Change A&amp;ll 38 4" xfId="14763"/>
    <cellStyle name="Change A&amp;ll 38 40" xfId="14764"/>
    <cellStyle name="Change A&amp;ll 38 41" xfId="14765"/>
    <cellStyle name="Change A&amp;ll 38 42" xfId="14766"/>
    <cellStyle name="Change A&amp;ll 38 43" xfId="14767"/>
    <cellStyle name="Change A&amp;ll 38 44" xfId="14768"/>
    <cellStyle name="Change A&amp;ll 38 45" xfId="14769"/>
    <cellStyle name="Change A&amp;ll 38 46" xfId="14770"/>
    <cellStyle name="Change A&amp;ll 38 47" xfId="14771"/>
    <cellStyle name="Change A&amp;ll 38 48" xfId="14772"/>
    <cellStyle name="Change A&amp;ll 38 5" xfId="14773"/>
    <cellStyle name="Change A&amp;ll 38 6" xfId="14774"/>
    <cellStyle name="Change A&amp;ll 38 7" xfId="14775"/>
    <cellStyle name="Change A&amp;ll 38 8" xfId="14776"/>
    <cellStyle name="Change A&amp;ll 38 9" xfId="14777"/>
    <cellStyle name="Change A&amp;ll 38_분양(100%)" xfId="38756"/>
    <cellStyle name="Change A&amp;ll 39" xfId="14778"/>
    <cellStyle name="Change A&amp;ll 39 10" xfId="14779"/>
    <cellStyle name="Change A&amp;ll 39 11" xfId="14780"/>
    <cellStyle name="Change A&amp;ll 39 12" xfId="14781"/>
    <cellStyle name="Change A&amp;ll 39 13" xfId="14782"/>
    <cellStyle name="Change A&amp;ll 39 14" xfId="14783"/>
    <cellStyle name="Change A&amp;ll 39 15" xfId="14784"/>
    <cellStyle name="Change A&amp;ll 39 16" xfId="14785"/>
    <cellStyle name="Change A&amp;ll 39 17" xfId="14786"/>
    <cellStyle name="Change A&amp;ll 39 18" xfId="14787"/>
    <cellStyle name="Change A&amp;ll 39 19" xfId="14788"/>
    <cellStyle name="Change A&amp;ll 39 2" xfId="14789"/>
    <cellStyle name="Change A&amp;ll 39 20" xfId="14790"/>
    <cellStyle name="Change A&amp;ll 39 21" xfId="14791"/>
    <cellStyle name="Change A&amp;ll 39 22" xfId="14792"/>
    <cellStyle name="Change A&amp;ll 39 23" xfId="14793"/>
    <cellStyle name="Change A&amp;ll 39 24" xfId="14794"/>
    <cellStyle name="Change A&amp;ll 39 25" xfId="14795"/>
    <cellStyle name="Change A&amp;ll 39 26" xfId="14796"/>
    <cellStyle name="Change A&amp;ll 39 27" xfId="14797"/>
    <cellStyle name="Change A&amp;ll 39 28" xfId="14798"/>
    <cellStyle name="Change A&amp;ll 39 29" xfId="14799"/>
    <cellStyle name="Change A&amp;ll 39 3" xfId="14800"/>
    <cellStyle name="Change A&amp;ll 39 30" xfId="14801"/>
    <cellStyle name="Change A&amp;ll 39 31" xfId="14802"/>
    <cellStyle name="Change A&amp;ll 39 32" xfId="14803"/>
    <cellStyle name="Change A&amp;ll 39 33" xfId="14804"/>
    <cellStyle name="Change A&amp;ll 39 34" xfId="14805"/>
    <cellStyle name="Change A&amp;ll 39 35" xfId="14806"/>
    <cellStyle name="Change A&amp;ll 39 36" xfId="14807"/>
    <cellStyle name="Change A&amp;ll 39 37" xfId="14808"/>
    <cellStyle name="Change A&amp;ll 39 38" xfId="14809"/>
    <cellStyle name="Change A&amp;ll 39 39" xfId="14810"/>
    <cellStyle name="Change A&amp;ll 39 4" xfId="14811"/>
    <cellStyle name="Change A&amp;ll 39 40" xfId="14812"/>
    <cellStyle name="Change A&amp;ll 39 41" xfId="14813"/>
    <cellStyle name="Change A&amp;ll 39 42" xfId="14814"/>
    <cellStyle name="Change A&amp;ll 39 43" xfId="14815"/>
    <cellStyle name="Change A&amp;ll 39 44" xfId="14816"/>
    <cellStyle name="Change A&amp;ll 39 45" xfId="14817"/>
    <cellStyle name="Change A&amp;ll 39 46" xfId="14818"/>
    <cellStyle name="Change A&amp;ll 39 47" xfId="14819"/>
    <cellStyle name="Change A&amp;ll 39 48" xfId="14820"/>
    <cellStyle name="Change A&amp;ll 39 5" xfId="14821"/>
    <cellStyle name="Change A&amp;ll 39 6" xfId="14822"/>
    <cellStyle name="Change A&amp;ll 39 7" xfId="14823"/>
    <cellStyle name="Change A&amp;ll 39 8" xfId="14824"/>
    <cellStyle name="Change A&amp;ll 39 9" xfId="14825"/>
    <cellStyle name="Change A&amp;ll 39_분양(100%)" xfId="38757"/>
    <cellStyle name="Change A&amp;ll 4" xfId="14826"/>
    <cellStyle name="Change A&amp;ll 4 10" xfId="14827"/>
    <cellStyle name="Change A&amp;ll 4 11" xfId="14828"/>
    <cellStyle name="Change A&amp;ll 4 12" xfId="14829"/>
    <cellStyle name="Change A&amp;ll 4 13" xfId="14830"/>
    <cellStyle name="Change A&amp;ll 4 14" xfId="14831"/>
    <cellStyle name="Change A&amp;ll 4 15" xfId="14832"/>
    <cellStyle name="Change A&amp;ll 4 16" xfId="14833"/>
    <cellStyle name="Change A&amp;ll 4 17" xfId="14834"/>
    <cellStyle name="Change A&amp;ll 4 18" xfId="14835"/>
    <cellStyle name="Change A&amp;ll 4 19" xfId="14836"/>
    <cellStyle name="Change A&amp;ll 4 2" xfId="14837"/>
    <cellStyle name="Change A&amp;ll 4 20" xfId="14838"/>
    <cellStyle name="Change A&amp;ll 4 21" xfId="14839"/>
    <cellStyle name="Change A&amp;ll 4 22" xfId="14840"/>
    <cellStyle name="Change A&amp;ll 4 23" xfId="14841"/>
    <cellStyle name="Change A&amp;ll 4 24" xfId="14842"/>
    <cellStyle name="Change A&amp;ll 4 25" xfId="14843"/>
    <cellStyle name="Change A&amp;ll 4 26" xfId="14844"/>
    <cellStyle name="Change A&amp;ll 4 27" xfId="14845"/>
    <cellStyle name="Change A&amp;ll 4 28" xfId="14846"/>
    <cellStyle name="Change A&amp;ll 4 29" xfId="14847"/>
    <cellStyle name="Change A&amp;ll 4 3" xfId="14848"/>
    <cellStyle name="Change A&amp;ll 4 30" xfId="14849"/>
    <cellStyle name="Change A&amp;ll 4 31" xfId="14850"/>
    <cellStyle name="Change A&amp;ll 4 32" xfId="14851"/>
    <cellStyle name="Change A&amp;ll 4 33" xfId="14852"/>
    <cellStyle name="Change A&amp;ll 4 34" xfId="14853"/>
    <cellStyle name="Change A&amp;ll 4 35" xfId="14854"/>
    <cellStyle name="Change A&amp;ll 4 36" xfId="14855"/>
    <cellStyle name="Change A&amp;ll 4 37" xfId="14856"/>
    <cellStyle name="Change A&amp;ll 4 38" xfId="14857"/>
    <cellStyle name="Change A&amp;ll 4 39" xfId="14858"/>
    <cellStyle name="Change A&amp;ll 4 4" xfId="14859"/>
    <cellStyle name="Change A&amp;ll 4 40" xfId="14860"/>
    <cellStyle name="Change A&amp;ll 4 41" xfId="14861"/>
    <cellStyle name="Change A&amp;ll 4 42" xfId="14862"/>
    <cellStyle name="Change A&amp;ll 4 43" xfId="14863"/>
    <cellStyle name="Change A&amp;ll 4 44" xfId="14864"/>
    <cellStyle name="Change A&amp;ll 4 45" xfId="14865"/>
    <cellStyle name="Change A&amp;ll 4 46" xfId="14866"/>
    <cellStyle name="Change A&amp;ll 4 47" xfId="14867"/>
    <cellStyle name="Change A&amp;ll 4 48" xfId="14868"/>
    <cellStyle name="Change A&amp;ll 4 5" xfId="14869"/>
    <cellStyle name="Change A&amp;ll 4 6" xfId="14870"/>
    <cellStyle name="Change A&amp;ll 4 7" xfId="14871"/>
    <cellStyle name="Change A&amp;ll 4 8" xfId="14872"/>
    <cellStyle name="Change A&amp;ll 4 9" xfId="14873"/>
    <cellStyle name="Change A&amp;ll 4_분양(100%)" xfId="38758"/>
    <cellStyle name="Change A&amp;ll 40" xfId="14874"/>
    <cellStyle name="Change A&amp;ll 40 10" xfId="14875"/>
    <cellStyle name="Change A&amp;ll 40 11" xfId="14876"/>
    <cellStyle name="Change A&amp;ll 40 12" xfId="14877"/>
    <cellStyle name="Change A&amp;ll 40 13" xfId="14878"/>
    <cellStyle name="Change A&amp;ll 40 14" xfId="14879"/>
    <cellStyle name="Change A&amp;ll 40 15" xfId="14880"/>
    <cellStyle name="Change A&amp;ll 40 16" xfId="14881"/>
    <cellStyle name="Change A&amp;ll 40 17" xfId="14882"/>
    <cellStyle name="Change A&amp;ll 40 18" xfId="14883"/>
    <cellStyle name="Change A&amp;ll 40 19" xfId="14884"/>
    <cellStyle name="Change A&amp;ll 40 2" xfId="14885"/>
    <cellStyle name="Change A&amp;ll 40 20" xfId="14886"/>
    <cellStyle name="Change A&amp;ll 40 21" xfId="14887"/>
    <cellStyle name="Change A&amp;ll 40 22" xfId="14888"/>
    <cellStyle name="Change A&amp;ll 40 23" xfId="14889"/>
    <cellStyle name="Change A&amp;ll 40 24" xfId="14890"/>
    <cellStyle name="Change A&amp;ll 40 25" xfId="14891"/>
    <cellStyle name="Change A&amp;ll 40 26" xfId="14892"/>
    <cellStyle name="Change A&amp;ll 40 27" xfId="14893"/>
    <cellStyle name="Change A&amp;ll 40 28" xfId="14894"/>
    <cellStyle name="Change A&amp;ll 40 29" xfId="14895"/>
    <cellStyle name="Change A&amp;ll 40 3" xfId="14896"/>
    <cellStyle name="Change A&amp;ll 40 30" xfId="14897"/>
    <cellStyle name="Change A&amp;ll 40 31" xfId="14898"/>
    <cellStyle name="Change A&amp;ll 40 32" xfId="14899"/>
    <cellStyle name="Change A&amp;ll 40 33" xfId="14900"/>
    <cellStyle name="Change A&amp;ll 40 34" xfId="14901"/>
    <cellStyle name="Change A&amp;ll 40 35" xfId="14902"/>
    <cellStyle name="Change A&amp;ll 40 36" xfId="14903"/>
    <cellStyle name="Change A&amp;ll 40 37" xfId="14904"/>
    <cellStyle name="Change A&amp;ll 40 38" xfId="14905"/>
    <cellStyle name="Change A&amp;ll 40 39" xfId="14906"/>
    <cellStyle name="Change A&amp;ll 40 4" xfId="14907"/>
    <cellStyle name="Change A&amp;ll 40 40" xfId="14908"/>
    <cellStyle name="Change A&amp;ll 40 41" xfId="14909"/>
    <cellStyle name="Change A&amp;ll 40 42" xfId="14910"/>
    <cellStyle name="Change A&amp;ll 40 43" xfId="14911"/>
    <cellStyle name="Change A&amp;ll 40 44" xfId="14912"/>
    <cellStyle name="Change A&amp;ll 40 45" xfId="14913"/>
    <cellStyle name="Change A&amp;ll 40 46" xfId="14914"/>
    <cellStyle name="Change A&amp;ll 40 47" xfId="14915"/>
    <cellStyle name="Change A&amp;ll 40 48" xfId="14916"/>
    <cellStyle name="Change A&amp;ll 40 5" xfId="14917"/>
    <cellStyle name="Change A&amp;ll 40 6" xfId="14918"/>
    <cellStyle name="Change A&amp;ll 40 7" xfId="14919"/>
    <cellStyle name="Change A&amp;ll 40 8" xfId="14920"/>
    <cellStyle name="Change A&amp;ll 40 9" xfId="14921"/>
    <cellStyle name="Change A&amp;ll 40_분양(100%)" xfId="38759"/>
    <cellStyle name="Change A&amp;ll 41" xfId="14922"/>
    <cellStyle name="Change A&amp;ll 42" xfId="14923"/>
    <cellStyle name="Change A&amp;ll 43" xfId="14924"/>
    <cellStyle name="Change A&amp;ll 44" xfId="14925"/>
    <cellStyle name="Change A&amp;ll 45" xfId="14926"/>
    <cellStyle name="Change A&amp;ll 5" xfId="14927"/>
    <cellStyle name="Change A&amp;ll 5 10" xfId="14928"/>
    <cellStyle name="Change A&amp;ll 5 11" xfId="14929"/>
    <cellStyle name="Change A&amp;ll 5 12" xfId="14930"/>
    <cellStyle name="Change A&amp;ll 5 13" xfId="14931"/>
    <cellStyle name="Change A&amp;ll 5 14" xfId="14932"/>
    <cellStyle name="Change A&amp;ll 5 15" xfId="14933"/>
    <cellStyle name="Change A&amp;ll 5 16" xfId="14934"/>
    <cellStyle name="Change A&amp;ll 5 17" xfId="14935"/>
    <cellStyle name="Change A&amp;ll 5 18" xfId="14936"/>
    <cellStyle name="Change A&amp;ll 5 19" xfId="14937"/>
    <cellStyle name="Change A&amp;ll 5 2" xfId="14938"/>
    <cellStyle name="Change A&amp;ll 5 20" xfId="14939"/>
    <cellStyle name="Change A&amp;ll 5 21" xfId="14940"/>
    <cellStyle name="Change A&amp;ll 5 22" xfId="14941"/>
    <cellStyle name="Change A&amp;ll 5 23" xfId="14942"/>
    <cellStyle name="Change A&amp;ll 5 24" xfId="14943"/>
    <cellStyle name="Change A&amp;ll 5 25" xfId="14944"/>
    <cellStyle name="Change A&amp;ll 5 26" xfId="14945"/>
    <cellStyle name="Change A&amp;ll 5 27" xfId="14946"/>
    <cellStyle name="Change A&amp;ll 5 28" xfId="14947"/>
    <cellStyle name="Change A&amp;ll 5 29" xfId="14948"/>
    <cellStyle name="Change A&amp;ll 5 3" xfId="14949"/>
    <cellStyle name="Change A&amp;ll 5 30" xfId="14950"/>
    <cellStyle name="Change A&amp;ll 5 31" xfId="14951"/>
    <cellStyle name="Change A&amp;ll 5 32" xfId="14952"/>
    <cellStyle name="Change A&amp;ll 5 33" xfId="14953"/>
    <cellStyle name="Change A&amp;ll 5 34" xfId="14954"/>
    <cellStyle name="Change A&amp;ll 5 35" xfId="14955"/>
    <cellStyle name="Change A&amp;ll 5 36" xfId="14956"/>
    <cellStyle name="Change A&amp;ll 5 37" xfId="14957"/>
    <cellStyle name="Change A&amp;ll 5 38" xfId="14958"/>
    <cellStyle name="Change A&amp;ll 5 39" xfId="14959"/>
    <cellStyle name="Change A&amp;ll 5 4" xfId="14960"/>
    <cellStyle name="Change A&amp;ll 5 40" xfId="14961"/>
    <cellStyle name="Change A&amp;ll 5 41" xfId="14962"/>
    <cellStyle name="Change A&amp;ll 5 42" xfId="14963"/>
    <cellStyle name="Change A&amp;ll 5 43" xfId="14964"/>
    <cellStyle name="Change A&amp;ll 5 44" xfId="14965"/>
    <cellStyle name="Change A&amp;ll 5 45" xfId="14966"/>
    <cellStyle name="Change A&amp;ll 5 46" xfId="14967"/>
    <cellStyle name="Change A&amp;ll 5 47" xfId="14968"/>
    <cellStyle name="Change A&amp;ll 5 48" xfId="14969"/>
    <cellStyle name="Change A&amp;ll 5 5" xfId="14970"/>
    <cellStyle name="Change A&amp;ll 5 6" xfId="14971"/>
    <cellStyle name="Change A&amp;ll 5 7" xfId="14972"/>
    <cellStyle name="Change A&amp;ll 5 8" xfId="14973"/>
    <cellStyle name="Change A&amp;ll 5 9" xfId="14974"/>
    <cellStyle name="Change A&amp;ll 5_분양(100%)" xfId="38760"/>
    <cellStyle name="Change A&amp;ll 6" xfId="14975"/>
    <cellStyle name="Change A&amp;ll 6 10" xfId="14976"/>
    <cellStyle name="Change A&amp;ll 6 11" xfId="14977"/>
    <cellStyle name="Change A&amp;ll 6 12" xfId="14978"/>
    <cellStyle name="Change A&amp;ll 6 13" xfId="14979"/>
    <cellStyle name="Change A&amp;ll 6 14" xfId="14980"/>
    <cellStyle name="Change A&amp;ll 6 15" xfId="14981"/>
    <cellStyle name="Change A&amp;ll 6 16" xfId="14982"/>
    <cellStyle name="Change A&amp;ll 6 17" xfId="14983"/>
    <cellStyle name="Change A&amp;ll 6 18" xfId="14984"/>
    <cellStyle name="Change A&amp;ll 6 19" xfId="14985"/>
    <cellStyle name="Change A&amp;ll 6 2" xfId="14986"/>
    <cellStyle name="Change A&amp;ll 6 20" xfId="14987"/>
    <cellStyle name="Change A&amp;ll 6 21" xfId="14988"/>
    <cellStyle name="Change A&amp;ll 6 22" xfId="14989"/>
    <cellStyle name="Change A&amp;ll 6 23" xfId="14990"/>
    <cellStyle name="Change A&amp;ll 6 24" xfId="14991"/>
    <cellStyle name="Change A&amp;ll 6 25" xfId="14992"/>
    <cellStyle name="Change A&amp;ll 6 26" xfId="14993"/>
    <cellStyle name="Change A&amp;ll 6 27" xfId="14994"/>
    <cellStyle name="Change A&amp;ll 6 28" xfId="14995"/>
    <cellStyle name="Change A&amp;ll 6 29" xfId="14996"/>
    <cellStyle name="Change A&amp;ll 6 3" xfId="14997"/>
    <cellStyle name="Change A&amp;ll 6 30" xfId="14998"/>
    <cellStyle name="Change A&amp;ll 6 31" xfId="14999"/>
    <cellStyle name="Change A&amp;ll 6 32" xfId="15000"/>
    <cellStyle name="Change A&amp;ll 6 33" xfId="15001"/>
    <cellStyle name="Change A&amp;ll 6 34" xfId="15002"/>
    <cellStyle name="Change A&amp;ll 6 35" xfId="15003"/>
    <cellStyle name="Change A&amp;ll 6 36" xfId="15004"/>
    <cellStyle name="Change A&amp;ll 6 37" xfId="15005"/>
    <cellStyle name="Change A&amp;ll 6 38" xfId="15006"/>
    <cellStyle name="Change A&amp;ll 6 39" xfId="15007"/>
    <cellStyle name="Change A&amp;ll 6 4" xfId="15008"/>
    <cellStyle name="Change A&amp;ll 6 40" xfId="15009"/>
    <cellStyle name="Change A&amp;ll 6 41" xfId="15010"/>
    <cellStyle name="Change A&amp;ll 6 42" xfId="15011"/>
    <cellStyle name="Change A&amp;ll 6 43" xfId="15012"/>
    <cellStyle name="Change A&amp;ll 6 44" xfId="15013"/>
    <cellStyle name="Change A&amp;ll 6 45" xfId="15014"/>
    <cellStyle name="Change A&amp;ll 6 46" xfId="15015"/>
    <cellStyle name="Change A&amp;ll 6 47" xfId="15016"/>
    <cellStyle name="Change A&amp;ll 6 48" xfId="15017"/>
    <cellStyle name="Change A&amp;ll 6 5" xfId="15018"/>
    <cellStyle name="Change A&amp;ll 6 6" xfId="15019"/>
    <cellStyle name="Change A&amp;ll 6 7" xfId="15020"/>
    <cellStyle name="Change A&amp;ll 6 8" xfId="15021"/>
    <cellStyle name="Change A&amp;ll 6 9" xfId="15022"/>
    <cellStyle name="Change A&amp;ll 6_분양(100%)" xfId="38761"/>
    <cellStyle name="Change A&amp;ll 7" xfId="15023"/>
    <cellStyle name="Change A&amp;ll 7 10" xfId="15024"/>
    <cellStyle name="Change A&amp;ll 7 11" xfId="15025"/>
    <cellStyle name="Change A&amp;ll 7 12" xfId="15026"/>
    <cellStyle name="Change A&amp;ll 7 13" xfId="15027"/>
    <cellStyle name="Change A&amp;ll 7 14" xfId="15028"/>
    <cellStyle name="Change A&amp;ll 7 15" xfId="15029"/>
    <cellStyle name="Change A&amp;ll 7 16" xfId="15030"/>
    <cellStyle name="Change A&amp;ll 7 17" xfId="15031"/>
    <cellStyle name="Change A&amp;ll 7 18" xfId="15032"/>
    <cellStyle name="Change A&amp;ll 7 19" xfId="15033"/>
    <cellStyle name="Change A&amp;ll 7 2" xfId="15034"/>
    <cellStyle name="Change A&amp;ll 7 20" xfId="15035"/>
    <cellStyle name="Change A&amp;ll 7 21" xfId="15036"/>
    <cellStyle name="Change A&amp;ll 7 22" xfId="15037"/>
    <cellStyle name="Change A&amp;ll 7 23" xfId="15038"/>
    <cellStyle name="Change A&amp;ll 7 24" xfId="15039"/>
    <cellStyle name="Change A&amp;ll 7 25" xfId="15040"/>
    <cellStyle name="Change A&amp;ll 7 26" xfId="15041"/>
    <cellStyle name="Change A&amp;ll 7 27" xfId="15042"/>
    <cellStyle name="Change A&amp;ll 7 28" xfId="15043"/>
    <cellStyle name="Change A&amp;ll 7 29" xfId="15044"/>
    <cellStyle name="Change A&amp;ll 7 3" xfId="15045"/>
    <cellStyle name="Change A&amp;ll 7 30" xfId="15046"/>
    <cellStyle name="Change A&amp;ll 7 31" xfId="15047"/>
    <cellStyle name="Change A&amp;ll 7 32" xfId="15048"/>
    <cellStyle name="Change A&amp;ll 7 33" xfId="15049"/>
    <cellStyle name="Change A&amp;ll 7 34" xfId="15050"/>
    <cellStyle name="Change A&amp;ll 7 35" xfId="15051"/>
    <cellStyle name="Change A&amp;ll 7 36" xfId="15052"/>
    <cellStyle name="Change A&amp;ll 7 37" xfId="15053"/>
    <cellStyle name="Change A&amp;ll 7 38" xfId="15054"/>
    <cellStyle name="Change A&amp;ll 7 39" xfId="15055"/>
    <cellStyle name="Change A&amp;ll 7 4" xfId="15056"/>
    <cellStyle name="Change A&amp;ll 7 40" xfId="15057"/>
    <cellStyle name="Change A&amp;ll 7 41" xfId="15058"/>
    <cellStyle name="Change A&amp;ll 7 42" xfId="15059"/>
    <cellStyle name="Change A&amp;ll 7 43" xfId="15060"/>
    <cellStyle name="Change A&amp;ll 7 44" xfId="15061"/>
    <cellStyle name="Change A&amp;ll 7 45" xfId="15062"/>
    <cellStyle name="Change A&amp;ll 7 46" xfId="15063"/>
    <cellStyle name="Change A&amp;ll 7 47" xfId="15064"/>
    <cellStyle name="Change A&amp;ll 7 48" xfId="15065"/>
    <cellStyle name="Change A&amp;ll 7 5" xfId="15066"/>
    <cellStyle name="Change A&amp;ll 7 6" xfId="15067"/>
    <cellStyle name="Change A&amp;ll 7 7" xfId="15068"/>
    <cellStyle name="Change A&amp;ll 7 8" xfId="15069"/>
    <cellStyle name="Change A&amp;ll 7 9" xfId="15070"/>
    <cellStyle name="Change A&amp;ll 7_분양(100%)" xfId="38762"/>
    <cellStyle name="Change A&amp;ll 8" xfId="15071"/>
    <cellStyle name="Change A&amp;ll 8 10" xfId="15072"/>
    <cellStyle name="Change A&amp;ll 8 11" xfId="15073"/>
    <cellStyle name="Change A&amp;ll 8 12" xfId="15074"/>
    <cellStyle name="Change A&amp;ll 8 13" xfId="15075"/>
    <cellStyle name="Change A&amp;ll 8 14" xfId="15076"/>
    <cellStyle name="Change A&amp;ll 8 15" xfId="15077"/>
    <cellStyle name="Change A&amp;ll 8 16" xfId="15078"/>
    <cellStyle name="Change A&amp;ll 8 17" xfId="15079"/>
    <cellStyle name="Change A&amp;ll 8 18" xfId="15080"/>
    <cellStyle name="Change A&amp;ll 8 19" xfId="15081"/>
    <cellStyle name="Change A&amp;ll 8 2" xfId="15082"/>
    <cellStyle name="Change A&amp;ll 8 20" xfId="15083"/>
    <cellStyle name="Change A&amp;ll 8 21" xfId="15084"/>
    <cellStyle name="Change A&amp;ll 8 22" xfId="15085"/>
    <cellStyle name="Change A&amp;ll 8 23" xfId="15086"/>
    <cellStyle name="Change A&amp;ll 8 24" xfId="15087"/>
    <cellStyle name="Change A&amp;ll 8 25" xfId="15088"/>
    <cellStyle name="Change A&amp;ll 8 26" xfId="15089"/>
    <cellStyle name="Change A&amp;ll 8 27" xfId="15090"/>
    <cellStyle name="Change A&amp;ll 8 28" xfId="15091"/>
    <cellStyle name="Change A&amp;ll 8 29" xfId="15092"/>
    <cellStyle name="Change A&amp;ll 8 3" xfId="15093"/>
    <cellStyle name="Change A&amp;ll 8 30" xfId="15094"/>
    <cellStyle name="Change A&amp;ll 8 31" xfId="15095"/>
    <cellStyle name="Change A&amp;ll 8 32" xfId="15096"/>
    <cellStyle name="Change A&amp;ll 8 33" xfId="15097"/>
    <cellStyle name="Change A&amp;ll 8 34" xfId="15098"/>
    <cellStyle name="Change A&amp;ll 8 35" xfId="15099"/>
    <cellStyle name="Change A&amp;ll 8 36" xfId="15100"/>
    <cellStyle name="Change A&amp;ll 8 37" xfId="15101"/>
    <cellStyle name="Change A&amp;ll 8 38" xfId="15102"/>
    <cellStyle name="Change A&amp;ll 8 39" xfId="15103"/>
    <cellStyle name="Change A&amp;ll 8 4" xfId="15104"/>
    <cellStyle name="Change A&amp;ll 8 40" xfId="15105"/>
    <cellStyle name="Change A&amp;ll 8 41" xfId="15106"/>
    <cellStyle name="Change A&amp;ll 8 42" xfId="15107"/>
    <cellStyle name="Change A&amp;ll 8 43" xfId="15108"/>
    <cellStyle name="Change A&amp;ll 8 44" xfId="15109"/>
    <cellStyle name="Change A&amp;ll 8 45" xfId="15110"/>
    <cellStyle name="Change A&amp;ll 8 46" xfId="15111"/>
    <cellStyle name="Change A&amp;ll 8 47" xfId="15112"/>
    <cellStyle name="Change A&amp;ll 8 48" xfId="15113"/>
    <cellStyle name="Change A&amp;ll 8 5" xfId="15114"/>
    <cellStyle name="Change A&amp;ll 8 6" xfId="15115"/>
    <cellStyle name="Change A&amp;ll 8 7" xfId="15116"/>
    <cellStyle name="Change A&amp;ll 8 8" xfId="15117"/>
    <cellStyle name="Change A&amp;ll 8 9" xfId="15118"/>
    <cellStyle name="Change A&amp;ll 8_분양(100%)" xfId="38763"/>
    <cellStyle name="Change A&amp;ll 9" xfId="15119"/>
    <cellStyle name="Change A&amp;ll 9 10" xfId="15120"/>
    <cellStyle name="Change A&amp;ll 9 11" xfId="15121"/>
    <cellStyle name="Change A&amp;ll 9 12" xfId="15122"/>
    <cellStyle name="Change A&amp;ll 9 13" xfId="15123"/>
    <cellStyle name="Change A&amp;ll 9 14" xfId="15124"/>
    <cellStyle name="Change A&amp;ll 9 15" xfId="15125"/>
    <cellStyle name="Change A&amp;ll 9 16" xfId="15126"/>
    <cellStyle name="Change A&amp;ll 9 17" xfId="15127"/>
    <cellStyle name="Change A&amp;ll 9 18" xfId="15128"/>
    <cellStyle name="Change A&amp;ll 9 19" xfId="15129"/>
    <cellStyle name="Change A&amp;ll 9 2" xfId="15130"/>
    <cellStyle name="Change A&amp;ll 9 20" xfId="15131"/>
    <cellStyle name="Change A&amp;ll 9 21" xfId="15132"/>
    <cellStyle name="Change A&amp;ll 9 22" xfId="15133"/>
    <cellStyle name="Change A&amp;ll 9 23" xfId="15134"/>
    <cellStyle name="Change A&amp;ll 9 24" xfId="15135"/>
    <cellStyle name="Change A&amp;ll 9 25" xfId="15136"/>
    <cellStyle name="Change A&amp;ll 9 26" xfId="15137"/>
    <cellStyle name="Change A&amp;ll 9 27" xfId="15138"/>
    <cellStyle name="Change A&amp;ll 9 28" xfId="15139"/>
    <cellStyle name="Change A&amp;ll 9 29" xfId="15140"/>
    <cellStyle name="Change A&amp;ll 9 3" xfId="15141"/>
    <cellStyle name="Change A&amp;ll 9 30" xfId="15142"/>
    <cellStyle name="Change A&amp;ll 9 31" xfId="15143"/>
    <cellStyle name="Change A&amp;ll 9 32" xfId="15144"/>
    <cellStyle name="Change A&amp;ll 9 33" xfId="15145"/>
    <cellStyle name="Change A&amp;ll 9 34" xfId="15146"/>
    <cellStyle name="Change A&amp;ll 9 35" xfId="15147"/>
    <cellStyle name="Change A&amp;ll 9 36" xfId="15148"/>
    <cellStyle name="Change A&amp;ll 9 37" xfId="15149"/>
    <cellStyle name="Change A&amp;ll 9 38" xfId="15150"/>
    <cellStyle name="Change A&amp;ll 9 39" xfId="15151"/>
    <cellStyle name="Change A&amp;ll 9 4" xfId="15152"/>
    <cellStyle name="Change A&amp;ll 9 40" xfId="15153"/>
    <cellStyle name="Change A&amp;ll 9 41" xfId="15154"/>
    <cellStyle name="Change A&amp;ll 9 42" xfId="15155"/>
    <cellStyle name="Change A&amp;ll 9 43" xfId="15156"/>
    <cellStyle name="Change A&amp;ll 9 44" xfId="15157"/>
    <cellStyle name="Change A&amp;ll 9 45" xfId="15158"/>
    <cellStyle name="Change A&amp;ll 9 46" xfId="15159"/>
    <cellStyle name="Change A&amp;ll 9 47" xfId="15160"/>
    <cellStyle name="Change A&amp;ll 9 48" xfId="15161"/>
    <cellStyle name="Change A&amp;ll 9 5" xfId="15162"/>
    <cellStyle name="Change A&amp;ll 9 6" xfId="15163"/>
    <cellStyle name="Change A&amp;ll 9 7" xfId="15164"/>
    <cellStyle name="Change A&amp;ll 9 8" xfId="15165"/>
    <cellStyle name="Change A&amp;ll 9 9" xfId="15166"/>
    <cellStyle name="Change A&amp;ll 9_분양(100%)" xfId="38764"/>
    <cellStyle name="Change A&amp;ll_분양(100%)" xfId="38725"/>
    <cellStyle name="Changeable" xfId="15167"/>
    <cellStyle name="Chart %" xfId="15168"/>
    <cellStyle name="chart no." xfId="15169"/>
    <cellStyle name="Chart Title" xfId="15170"/>
    <cellStyle name="Check Cell" xfId="161"/>
    <cellStyle name="Check Cell 2" xfId="644"/>
    <cellStyle name="Check Cell 2 2" xfId="15171"/>
    <cellStyle name="Check Cell 2_분양(100%)" xfId="38766"/>
    <cellStyle name="Check Cell 3" xfId="15172"/>
    <cellStyle name="Check Cell_분양(100%)" xfId="38765"/>
    <cellStyle name="Checksum" xfId="15173"/>
    <cellStyle name="ÇÏÀÌÆÛ¸µÅ©" xfId="4313"/>
    <cellStyle name="CIAIÆU¸μAⓒ" xfId="162"/>
    <cellStyle name="CMH/대" xfId="15174"/>
    <cellStyle name="CMH/대 2" xfId="15175"/>
    <cellStyle name="CMH/대 3" xfId="15176"/>
    <cellStyle name="CMH/대_분양(100%)" xfId="38767"/>
    <cellStyle name="CMM/대" xfId="15177"/>
    <cellStyle name="CMM/대 2" xfId="15178"/>
    <cellStyle name="CMM/대 3" xfId="15179"/>
    <cellStyle name="CMM/대_분양(100%)" xfId="38768"/>
    <cellStyle name="ⓒo" xfId="2737"/>
    <cellStyle name="Co≫" xfId="645"/>
    <cellStyle name="Column Heading" xfId="15180"/>
    <cellStyle name="Column Heading 2" xfId="15181"/>
    <cellStyle name="Column Heading_intmodel_aw 5" xfId="15182"/>
    <cellStyle name="ColumnAttributeAbovePrompt" xfId="15183"/>
    <cellStyle name="ColumnAttributePrompt" xfId="15184"/>
    <cellStyle name="ColumnAttributeValue" xfId="15185"/>
    <cellStyle name="ColumnHeading" xfId="4314"/>
    <cellStyle name="ColumnHeadingPrompt" xfId="15186"/>
    <cellStyle name="ColumnHeadingValue" xfId="15187"/>
    <cellStyle name="columns_array" xfId="15188"/>
    <cellStyle name="Comma" xfId="163"/>
    <cellStyle name="Comma  - Style1" xfId="15189"/>
    <cellStyle name="Comma  - Style2" xfId="15190"/>
    <cellStyle name="Comma  - Style3" xfId="15191"/>
    <cellStyle name="Comma  - Style4" xfId="15192"/>
    <cellStyle name="Comma  - Style5" xfId="15193"/>
    <cellStyle name="Comma  - Style6" xfId="15194"/>
    <cellStyle name="Comma  - Style7" xfId="15195"/>
    <cellStyle name="Comma [0]" xfId="2738"/>
    <cellStyle name="Comma [0] 2" xfId="164"/>
    <cellStyle name="Comma [0] 2 2" xfId="165"/>
    <cellStyle name="Comma [0] 2 3" xfId="15196"/>
    <cellStyle name="Comma [0] 2 4" xfId="15197"/>
    <cellStyle name="Comma [0] 2_분양(100%)" xfId="38769"/>
    <cellStyle name="Comma [0] 3" xfId="166"/>
    <cellStyle name="Comma [0] 4" xfId="167"/>
    <cellStyle name="Comma [0] 5" xfId="168"/>
    <cellStyle name="Comma [0] 6" xfId="4315"/>
    <cellStyle name="Comma [0] 7" xfId="15198"/>
    <cellStyle name="Comma [0]_ SG&amp;A Bridge " xfId="169"/>
    <cellStyle name="Comma [00]" xfId="15199"/>
    <cellStyle name="Comma [00] 2" xfId="15200"/>
    <cellStyle name="Comma [00] 3" xfId="15201"/>
    <cellStyle name="Comma [00]_분양(100%)" xfId="38770"/>
    <cellStyle name="Comma [1]" xfId="15202"/>
    <cellStyle name="Comma [2]" xfId="15203"/>
    <cellStyle name="Comma [3]" xfId="15204"/>
    <cellStyle name="Comma 0" xfId="15205"/>
    <cellStyle name="Comma 0 2" xfId="15206"/>
    <cellStyle name="Comma 0_분양(100%)" xfId="38771"/>
    <cellStyle name="Comma 2" xfId="170"/>
    <cellStyle name="Comma 3" xfId="646"/>
    <cellStyle name="Comma 4" xfId="4316"/>
    <cellStyle name="Comma 5" xfId="4317"/>
    <cellStyle name="comma zerodec" xfId="171"/>
    <cellStyle name="comma zerodec 2" xfId="647"/>
    <cellStyle name="comma zerodec 2 2" xfId="15207"/>
    <cellStyle name="comma zerodec 2_분양(100%)" xfId="38773"/>
    <cellStyle name="comma zerodec 3" xfId="4318"/>
    <cellStyle name="comma zerodec_분양(100%)" xfId="38772"/>
    <cellStyle name="Comma_ SG&amp;A Bridge " xfId="172"/>
    <cellStyle name="Comma0" xfId="173"/>
    <cellStyle name="Comma0 2" xfId="648"/>
    <cellStyle name="Comma0_분양(100%)" xfId="38774"/>
    <cellStyle name="Commm_laroux_12~3SO2_97회비_laroux" xfId="4319"/>
    <cellStyle name="Comm뼬_E&amp;ONW2" xfId="2739"/>
    <cellStyle name="Copied" xfId="2740"/>
    <cellStyle name="Cu" xfId="15208"/>
    <cellStyle name="Cu?rency [0]_ SG&amp;A Bridge _현대업무추진 " xfId="15209"/>
    <cellStyle name="Cu_분양(100%)" xfId="38775"/>
    <cellStyle name="Curren?_x0012_퐀_x0017_?" xfId="174"/>
    <cellStyle name="Currency" xfId="175"/>
    <cellStyle name="Currency ($)" xfId="15210"/>
    <cellStyle name="Currency ($) 2" xfId="15211"/>
    <cellStyle name="Currency ($) 3" xfId="15212"/>
    <cellStyle name="Currency ($)_분양(100%)" xfId="38776"/>
    <cellStyle name="Currency (0.00)" xfId="15213"/>
    <cellStyle name="Currency (0.00) 10" xfId="15214"/>
    <cellStyle name="Currency (0.00) 10 10" xfId="15215"/>
    <cellStyle name="Currency (0.00) 10 11" xfId="15216"/>
    <cellStyle name="Currency (0.00) 10 12" xfId="15217"/>
    <cellStyle name="Currency (0.00) 10 13" xfId="15218"/>
    <cellStyle name="Currency (0.00) 10 14" xfId="15219"/>
    <cellStyle name="Currency (0.00) 10 15" xfId="15220"/>
    <cellStyle name="Currency (0.00) 10 16" xfId="15221"/>
    <cellStyle name="Currency (0.00) 10 17" xfId="15222"/>
    <cellStyle name="Currency (0.00) 10 18" xfId="15223"/>
    <cellStyle name="Currency (0.00) 10 19" xfId="15224"/>
    <cellStyle name="Currency (0.00) 10 2" xfId="15225"/>
    <cellStyle name="Currency (0.00) 10 20" xfId="15226"/>
    <cellStyle name="Currency (0.00) 10 21" xfId="15227"/>
    <cellStyle name="Currency (0.00) 10 22" xfId="15228"/>
    <cellStyle name="Currency (0.00) 10 23" xfId="15229"/>
    <cellStyle name="Currency (0.00) 10 24" xfId="15230"/>
    <cellStyle name="Currency (0.00) 10 25" xfId="15231"/>
    <cellStyle name="Currency (0.00) 10 26" xfId="15232"/>
    <cellStyle name="Currency (0.00) 10 27" xfId="15233"/>
    <cellStyle name="Currency (0.00) 10 28" xfId="15234"/>
    <cellStyle name="Currency (0.00) 10 29" xfId="15235"/>
    <cellStyle name="Currency (0.00) 10 3" xfId="15236"/>
    <cellStyle name="Currency (0.00) 10 30" xfId="15237"/>
    <cellStyle name="Currency (0.00) 10 31" xfId="15238"/>
    <cellStyle name="Currency (0.00) 10 32" xfId="15239"/>
    <cellStyle name="Currency (0.00) 10 33" xfId="15240"/>
    <cellStyle name="Currency (0.00) 10 34" xfId="15241"/>
    <cellStyle name="Currency (0.00) 10 35" xfId="15242"/>
    <cellStyle name="Currency (0.00) 10 36" xfId="15243"/>
    <cellStyle name="Currency (0.00) 10 37" xfId="15244"/>
    <cellStyle name="Currency (0.00) 10 38" xfId="15245"/>
    <cellStyle name="Currency (0.00) 10 39" xfId="15246"/>
    <cellStyle name="Currency (0.00) 10 4" xfId="15247"/>
    <cellStyle name="Currency (0.00) 10 40" xfId="15248"/>
    <cellStyle name="Currency (0.00) 10 41" xfId="15249"/>
    <cellStyle name="Currency (0.00) 10 42" xfId="15250"/>
    <cellStyle name="Currency (0.00) 10 43" xfId="15251"/>
    <cellStyle name="Currency (0.00) 10 44" xfId="15252"/>
    <cellStyle name="Currency (0.00) 10 45" xfId="15253"/>
    <cellStyle name="Currency (0.00) 10 46" xfId="15254"/>
    <cellStyle name="Currency (0.00) 10 47" xfId="15255"/>
    <cellStyle name="Currency (0.00) 10 48" xfId="15256"/>
    <cellStyle name="Currency (0.00) 10 5" xfId="15257"/>
    <cellStyle name="Currency (0.00) 10 6" xfId="15258"/>
    <cellStyle name="Currency (0.00) 10 7" xfId="15259"/>
    <cellStyle name="Currency (0.00) 10 8" xfId="15260"/>
    <cellStyle name="Currency (0.00) 10 9" xfId="15261"/>
    <cellStyle name="Currency (0.00) 10_분양(100%)" xfId="38778"/>
    <cellStyle name="Currency (0.00) 11" xfId="15262"/>
    <cellStyle name="Currency (0.00) 11 10" xfId="15263"/>
    <cellStyle name="Currency (0.00) 11 11" xfId="15264"/>
    <cellStyle name="Currency (0.00) 11 12" xfId="15265"/>
    <cellStyle name="Currency (0.00) 11 13" xfId="15266"/>
    <cellStyle name="Currency (0.00) 11 14" xfId="15267"/>
    <cellStyle name="Currency (0.00) 11 15" xfId="15268"/>
    <cellStyle name="Currency (0.00) 11 16" xfId="15269"/>
    <cellStyle name="Currency (0.00) 11 17" xfId="15270"/>
    <cellStyle name="Currency (0.00) 11 18" xfId="15271"/>
    <cellStyle name="Currency (0.00) 11 19" xfId="15272"/>
    <cellStyle name="Currency (0.00) 11 2" xfId="15273"/>
    <cellStyle name="Currency (0.00) 11 20" xfId="15274"/>
    <cellStyle name="Currency (0.00) 11 21" xfId="15275"/>
    <cellStyle name="Currency (0.00) 11 22" xfId="15276"/>
    <cellStyle name="Currency (0.00) 11 23" xfId="15277"/>
    <cellStyle name="Currency (0.00) 11 24" xfId="15278"/>
    <cellStyle name="Currency (0.00) 11 25" xfId="15279"/>
    <cellStyle name="Currency (0.00) 11 26" xfId="15280"/>
    <cellStyle name="Currency (0.00) 11 27" xfId="15281"/>
    <cellStyle name="Currency (0.00) 11 28" xfId="15282"/>
    <cellStyle name="Currency (0.00) 11 29" xfId="15283"/>
    <cellStyle name="Currency (0.00) 11 3" xfId="15284"/>
    <cellStyle name="Currency (0.00) 11 30" xfId="15285"/>
    <cellStyle name="Currency (0.00) 11 31" xfId="15286"/>
    <cellStyle name="Currency (0.00) 11 32" xfId="15287"/>
    <cellStyle name="Currency (0.00) 11 33" xfId="15288"/>
    <cellStyle name="Currency (0.00) 11 34" xfId="15289"/>
    <cellStyle name="Currency (0.00) 11 35" xfId="15290"/>
    <cellStyle name="Currency (0.00) 11 36" xfId="15291"/>
    <cellStyle name="Currency (0.00) 11 37" xfId="15292"/>
    <cellStyle name="Currency (0.00) 11 38" xfId="15293"/>
    <cellStyle name="Currency (0.00) 11 39" xfId="15294"/>
    <cellStyle name="Currency (0.00) 11 4" xfId="15295"/>
    <cellStyle name="Currency (0.00) 11 40" xfId="15296"/>
    <cellStyle name="Currency (0.00) 11 41" xfId="15297"/>
    <cellStyle name="Currency (0.00) 11 42" xfId="15298"/>
    <cellStyle name="Currency (0.00) 11 43" xfId="15299"/>
    <cellStyle name="Currency (0.00) 11 44" xfId="15300"/>
    <cellStyle name="Currency (0.00) 11 45" xfId="15301"/>
    <cellStyle name="Currency (0.00) 11 46" xfId="15302"/>
    <cellStyle name="Currency (0.00) 11 47" xfId="15303"/>
    <cellStyle name="Currency (0.00) 11 48" xfId="15304"/>
    <cellStyle name="Currency (0.00) 11 5" xfId="15305"/>
    <cellStyle name="Currency (0.00) 11 6" xfId="15306"/>
    <cellStyle name="Currency (0.00) 11 7" xfId="15307"/>
    <cellStyle name="Currency (0.00) 11 8" xfId="15308"/>
    <cellStyle name="Currency (0.00) 11 9" xfId="15309"/>
    <cellStyle name="Currency (0.00) 11_분양(100%)" xfId="38779"/>
    <cellStyle name="Currency (0.00) 12" xfId="15310"/>
    <cellStyle name="Currency (0.00) 12 10" xfId="15311"/>
    <cellStyle name="Currency (0.00) 12 11" xfId="15312"/>
    <cellStyle name="Currency (0.00) 12 12" xfId="15313"/>
    <cellStyle name="Currency (0.00) 12 13" xfId="15314"/>
    <cellStyle name="Currency (0.00) 12 14" xfId="15315"/>
    <cellStyle name="Currency (0.00) 12 15" xfId="15316"/>
    <cellStyle name="Currency (0.00) 12 16" xfId="15317"/>
    <cellStyle name="Currency (0.00) 12 17" xfId="15318"/>
    <cellStyle name="Currency (0.00) 12 18" xfId="15319"/>
    <cellStyle name="Currency (0.00) 12 19" xfId="15320"/>
    <cellStyle name="Currency (0.00) 12 2" xfId="15321"/>
    <cellStyle name="Currency (0.00) 12 20" xfId="15322"/>
    <cellStyle name="Currency (0.00) 12 21" xfId="15323"/>
    <cellStyle name="Currency (0.00) 12 22" xfId="15324"/>
    <cellStyle name="Currency (0.00) 12 23" xfId="15325"/>
    <cellStyle name="Currency (0.00) 12 24" xfId="15326"/>
    <cellStyle name="Currency (0.00) 12 25" xfId="15327"/>
    <cellStyle name="Currency (0.00) 12 26" xfId="15328"/>
    <cellStyle name="Currency (0.00) 12 27" xfId="15329"/>
    <cellStyle name="Currency (0.00) 12 28" xfId="15330"/>
    <cellStyle name="Currency (0.00) 12 29" xfId="15331"/>
    <cellStyle name="Currency (0.00) 12 3" xfId="15332"/>
    <cellStyle name="Currency (0.00) 12 30" xfId="15333"/>
    <cellStyle name="Currency (0.00) 12 31" xfId="15334"/>
    <cellStyle name="Currency (0.00) 12 32" xfId="15335"/>
    <cellStyle name="Currency (0.00) 12 33" xfId="15336"/>
    <cellStyle name="Currency (0.00) 12 34" xfId="15337"/>
    <cellStyle name="Currency (0.00) 12 35" xfId="15338"/>
    <cellStyle name="Currency (0.00) 12 36" xfId="15339"/>
    <cellStyle name="Currency (0.00) 12 37" xfId="15340"/>
    <cellStyle name="Currency (0.00) 12 38" xfId="15341"/>
    <cellStyle name="Currency (0.00) 12 39" xfId="15342"/>
    <cellStyle name="Currency (0.00) 12 4" xfId="15343"/>
    <cellStyle name="Currency (0.00) 12 40" xfId="15344"/>
    <cellStyle name="Currency (0.00) 12 41" xfId="15345"/>
    <cellStyle name="Currency (0.00) 12 42" xfId="15346"/>
    <cellStyle name="Currency (0.00) 12 43" xfId="15347"/>
    <cellStyle name="Currency (0.00) 12 44" xfId="15348"/>
    <cellStyle name="Currency (0.00) 12 45" xfId="15349"/>
    <cellStyle name="Currency (0.00) 12 46" xfId="15350"/>
    <cellStyle name="Currency (0.00) 12 47" xfId="15351"/>
    <cellStyle name="Currency (0.00) 12 48" xfId="15352"/>
    <cellStyle name="Currency (0.00) 12 5" xfId="15353"/>
    <cellStyle name="Currency (0.00) 12 6" xfId="15354"/>
    <cellStyle name="Currency (0.00) 12 7" xfId="15355"/>
    <cellStyle name="Currency (0.00) 12 8" xfId="15356"/>
    <cellStyle name="Currency (0.00) 12 9" xfId="15357"/>
    <cellStyle name="Currency (0.00) 12_분양(100%)" xfId="38780"/>
    <cellStyle name="Currency (0.00) 13" xfId="15358"/>
    <cellStyle name="Currency (0.00) 13 10" xfId="15359"/>
    <cellStyle name="Currency (0.00) 13 11" xfId="15360"/>
    <cellStyle name="Currency (0.00) 13 12" xfId="15361"/>
    <cellStyle name="Currency (0.00) 13 13" xfId="15362"/>
    <cellStyle name="Currency (0.00) 13 14" xfId="15363"/>
    <cellStyle name="Currency (0.00) 13 15" xfId="15364"/>
    <cellStyle name="Currency (0.00) 13 16" xfId="15365"/>
    <cellStyle name="Currency (0.00) 13 17" xfId="15366"/>
    <cellStyle name="Currency (0.00) 13 18" xfId="15367"/>
    <cellStyle name="Currency (0.00) 13 19" xfId="15368"/>
    <cellStyle name="Currency (0.00) 13 2" xfId="15369"/>
    <cellStyle name="Currency (0.00) 13 20" xfId="15370"/>
    <cellStyle name="Currency (0.00) 13 21" xfId="15371"/>
    <cellStyle name="Currency (0.00) 13 22" xfId="15372"/>
    <cellStyle name="Currency (0.00) 13 23" xfId="15373"/>
    <cellStyle name="Currency (0.00) 13 24" xfId="15374"/>
    <cellStyle name="Currency (0.00) 13 25" xfId="15375"/>
    <cellStyle name="Currency (0.00) 13 26" xfId="15376"/>
    <cellStyle name="Currency (0.00) 13 27" xfId="15377"/>
    <cellStyle name="Currency (0.00) 13 28" xfId="15378"/>
    <cellStyle name="Currency (0.00) 13 29" xfId="15379"/>
    <cellStyle name="Currency (0.00) 13 3" xfId="15380"/>
    <cellStyle name="Currency (0.00) 13 30" xfId="15381"/>
    <cellStyle name="Currency (0.00) 13 31" xfId="15382"/>
    <cellStyle name="Currency (0.00) 13 32" xfId="15383"/>
    <cellStyle name="Currency (0.00) 13 33" xfId="15384"/>
    <cellStyle name="Currency (0.00) 13 34" xfId="15385"/>
    <cellStyle name="Currency (0.00) 13 35" xfId="15386"/>
    <cellStyle name="Currency (0.00) 13 36" xfId="15387"/>
    <cellStyle name="Currency (0.00) 13 37" xfId="15388"/>
    <cellStyle name="Currency (0.00) 13 38" xfId="15389"/>
    <cellStyle name="Currency (0.00) 13 39" xfId="15390"/>
    <cellStyle name="Currency (0.00) 13 4" xfId="15391"/>
    <cellStyle name="Currency (0.00) 13 40" xfId="15392"/>
    <cellStyle name="Currency (0.00) 13 41" xfId="15393"/>
    <cellStyle name="Currency (0.00) 13 42" xfId="15394"/>
    <cellStyle name="Currency (0.00) 13 43" xfId="15395"/>
    <cellStyle name="Currency (0.00) 13 44" xfId="15396"/>
    <cellStyle name="Currency (0.00) 13 45" xfId="15397"/>
    <cellStyle name="Currency (0.00) 13 46" xfId="15398"/>
    <cellStyle name="Currency (0.00) 13 47" xfId="15399"/>
    <cellStyle name="Currency (0.00) 13 48" xfId="15400"/>
    <cellStyle name="Currency (0.00) 13 5" xfId="15401"/>
    <cellStyle name="Currency (0.00) 13 6" xfId="15402"/>
    <cellStyle name="Currency (0.00) 13 7" xfId="15403"/>
    <cellStyle name="Currency (0.00) 13 8" xfId="15404"/>
    <cellStyle name="Currency (0.00) 13 9" xfId="15405"/>
    <cellStyle name="Currency (0.00) 13_분양(100%)" xfId="38781"/>
    <cellStyle name="Currency (0.00) 14" xfId="15406"/>
    <cellStyle name="Currency (0.00) 14 10" xfId="15407"/>
    <cellStyle name="Currency (0.00) 14 11" xfId="15408"/>
    <cellStyle name="Currency (0.00) 14 12" xfId="15409"/>
    <cellStyle name="Currency (0.00) 14 13" xfId="15410"/>
    <cellStyle name="Currency (0.00) 14 14" xfId="15411"/>
    <cellStyle name="Currency (0.00) 14 15" xfId="15412"/>
    <cellStyle name="Currency (0.00) 14 16" xfId="15413"/>
    <cellStyle name="Currency (0.00) 14 17" xfId="15414"/>
    <cellStyle name="Currency (0.00) 14 18" xfId="15415"/>
    <cellStyle name="Currency (0.00) 14 19" xfId="15416"/>
    <cellStyle name="Currency (0.00) 14 2" xfId="15417"/>
    <cellStyle name="Currency (0.00) 14 20" xfId="15418"/>
    <cellStyle name="Currency (0.00) 14 21" xfId="15419"/>
    <cellStyle name="Currency (0.00) 14 22" xfId="15420"/>
    <cellStyle name="Currency (0.00) 14 23" xfId="15421"/>
    <cellStyle name="Currency (0.00) 14 24" xfId="15422"/>
    <cellStyle name="Currency (0.00) 14 25" xfId="15423"/>
    <cellStyle name="Currency (0.00) 14 26" xfId="15424"/>
    <cellStyle name="Currency (0.00) 14 27" xfId="15425"/>
    <cellStyle name="Currency (0.00) 14 28" xfId="15426"/>
    <cellStyle name="Currency (0.00) 14 29" xfId="15427"/>
    <cellStyle name="Currency (0.00) 14 3" xfId="15428"/>
    <cellStyle name="Currency (0.00) 14 30" xfId="15429"/>
    <cellStyle name="Currency (0.00) 14 31" xfId="15430"/>
    <cellStyle name="Currency (0.00) 14 32" xfId="15431"/>
    <cellStyle name="Currency (0.00) 14 33" xfId="15432"/>
    <cellStyle name="Currency (0.00) 14 34" xfId="15433"/>
    <cellStyle name="Currency (0.00) 14 35" xfId="15434"/>
    <cellStyle name="Currency (0.00) 14 36" xfId="15435"/>
    <cellStyle name="Currency (0.00) 14 37" xfId="15436"/>
    <cellStyle name="Currency (0.00) 14 38" xfId="15437"/>
    <cellStyle name="Currency (0.00) 14 39" xfId="15438"/>
    <cellStyle name="Currency (0.00) 14 4" xfId="15439"/>
    <cellStyle name="Currency (0.00) 14 40" xfId="15440"/>
    <cellStyle name="Currency (0.00) 14 41" xfId="15441"/>
    <cellStyle name="Currency (0.00) 14 42" xfId="15442"/>
    <cellStyle name="Currency (0.00) 14 43" xfId="15443"/>
    <cellStyle name="Currency (0.00) 14 44" xfId="15444"/>
    <cellStyle name="Currency (0.00) 14 45" xfId="15445"/>
    <cellStyle name="Currency (0.00) 14 46" xfId="15446"/>
    <cellStyle name="Currency (0.00) 14 47" xfId="15447"/>
    <cellStyle name="Currency (0.00) 14 48" xfId="15448"/>
    <cellStyle name="Currency (0.00) 14 5" xfId="15449"/>
    <cellStyle name="Currency (0.00) 14 6" xfId="15450"/>
    <cellStyle name="Currency (0.00) 14 7" xfId="15451"/>
    <cellStyle name="Currency (0.00) 14 8" xfId="15452"/>
    <cellStyle name="Currency (0.00) 14 9" xfId="15453"/>
    <cellStyle name="Currency (0.00) 14_분양(100%)" xfId="38782"/>
    <cellStyle name="Currency (0.00) 15" xfId="15454"/>
    <cellStyle name="Currency (0.00) 15 10" xfId="15455"/>
    <cellStyle name="Currency (0.00) 15 11" xfId="15456"/>
    <cellStyle name="Currency (0.00) 15 12" xfId="15457"/>
    <cellStyle name="Currency (0.00) 15 13" xfId="15458"/>
    <cellStyle name="Currency (0.00) 15 14" xfId="15459"/>
    <cellStyle name="Currency (0.00) 15 15" xfId="15460"/>
    <cellStyle name="Currency (0.00) 15 16" xfId="15461"/>
    <cellStyle name="Currency (0.00) 15 17" xfId="15462"/>
    <cellStyle name="Currency (0.00) 15 18" xfId="15463"/>
    <cellStyle name="Currency (0.00) 15 19" xfId="15464"/>
    <cellStyle name="Currency (0.00) 15 2" xfId="15465"/>
    <cellStyle name="Currency (0.00) 15 20" xfId="15466"/>
    <cellStyle name="Currency (0.00) 15 21" xfId="15467"/>
    <cellStyle name="Currency (0.00) 15 22" xfId="15468"/>
    <cellStyle name="Currency (0.00) 15 23" xfId="15469"/>
    <cellStyle name="Currency (0.00) 15 24" xfId="15470"/>
    <cellStyle name="Currency (0.00) 15 25" xfId="15471"/>
    <cellStyle name="Currency (0.00) 15 26" xfId="15472"/>
    <cellStyle name="Currency (0.00) 15 27" xfId="15473"/>
    <cellStyle name="Currency (0.00) 15 28" xfId="15474"/>
    <cellStyle name="Currency (0.00) 15 29" xfId="15475"/>
    <cellStyle name="Currency (0.00) 15 3" xfId="15476"/>
    <cellStyle name="Currency (0.00) 15 30" xfId="15477"/>
    <cellStyle name="Currency (0.00) 15 31" xfId="15478"/>
    <cellStyle name="Currency (0.00) 15 32" xfId="15479"/>
    <cellStyle name="Currency (0.00) 15 33" xfId="15480"/>
    <cellStyle name="Currency (0.00) 15 34" xfId="15481"/>
    <cellStyle name="Currency (0.00) 15 35" xfId="15482"/>
    <cellStyle name="Currency (0.00) 15 36" xfId="15483"/>
    <cellStyle name="Currency (0.00) 15 37" xfId="15484"/>
    <cellStyle name="Currency (0.00) 15 38" xfId="15485"/>
    <cellStyle name="Currency (0.00) 15 39" xfId="15486"/>
    <cellStyle name="Currency (0.00) 15 4" xfId="15487"/>
    <cellStyle name="Currency (0.00) 15 40" xfId="15488"/>
    <cellStyle name="Currency (0.00) 15 41" xfId="15489"/>
    <cellStyle name="Currency (0.00) 15 42" xfId="15490"/>
    <cellStyle name="Currency (0.00) 15 43" xfId="15491"/>
    <cellStyle name="Currency (0.00) 15 44" xfId="15492"/>
    <cellStyle name="Currency (0.00) 15 45" xfId="15493"/>
    <cellStyle name="Currency (0.00) 15 46" xfId="15494"/>
    <cellStyle name="Currency (0.00) 15 47" xfId="15495"/>
    <cellStyle name="Currency (0.00) 15 48" xfId="15496"/>
    <cellStyle name="Currency (0.00) 15 5" xfId="15497"/>
    <cellStyle name="Currency (0.00) 15 6" xfId="15498"/>
    <cellStyle name="Currency (0.00) 15 7" xfId="15499"/>
    <cellStyle name="Currency (0.00) 15 8" xfId="15500"/>
    <cellStyle name="Currency (0.00) 15 9" xfId="15501"/>
    <cellStyle name="Currency (0.00) 15_분양(100%)" xfId="38783"/>
    <cellStyle name="Currency (0.00) 16" xfId="15502"/>
    <cellStyle name="Currency (0.00) 16 10" xfId="15503"/>
    <cellStyle name="Currency (0.00) 16 11" xfId="15504"/>
    <cellStyle name="Currency (0.00) 16 12" xfId="15505"/>
    <cellStyle name="Currency (0.00) 16 13" xfId="15506"/>
    <cellStyle name="Currency (0.00) 16 14" xfId="15507"/>
    <cellStyle name="Currency (0.00) 16 15" xfId="15508"/>
    <cellStyle name="Currency (0.00) 16 16" xfId="15509"/>
    <cellStyle name="Currency (0.00) 16 17" xfId="15510"/>
    <cellStyle name="Currency (0.00) 16 18" xfId="15511"/>
    <cellStyle name="Currency (0.00) 16 19" xfId="15512"/>
    <cellStyle name="Currency (0.00) 16 2" xfId="15513"/>
    <cellStyle name="Currency (0.00) 16 20" xfId="15514"/>
    <cellStyle name="Currency (0.00) 16 21" xfId="15515"/>
    <cellStyle name="Currency (0.00) 16 22" xfId="15516"/>
    <cellStyle name="Currency (0.00) 16 23" xfId="15517"/>
    <cellStyle name="Currency (0.00) 16 24" xfId="15518"/>
    <cellStyle name="Currency (0.00) 16 25" xfId="15519"/>
    <cellStyle name="Currency (0.00) 16 26" xfId="15520"/>
    <cellStyle name="Currency (0.00) 16 27" xfId="15521"/>
    <cellStyle name="Currency (0.00) 16 28" xfId="15522"/>
    <cellStyle name="Currency (0.00) 16 29" xfId="15523"/>
    <cellStyle name="Currency (0.00) 16 3" xfId="15524"/>
    <cellStyle name="Currency (0.00) 16 30" xfId="15525"/>
    <cellStyle name="Currency (0.00) 16 31" xfId="15526"/>
    <cellStyle name="Currency (0.00) 16 32" xfId="15527"/>
    <cellStyle name="Currency (0.00) 16 33" xfId="15528"/>
    <cellStyle name="Currency (0.00) 16 34" xfId="15529"/>
    <cellStyle name="Currency (0.00) 16 35" xfId="15530"/>
    <cellStyle name="Currency (0.00) 16 36" xfId="15531"/>
    <cellStyle name="Currency (0.00) 16 37" xfId="15532"/>
    <cellStyle name="Currency (0.00) 16 38" xfId="15533"/>
    <cellStyle name="Currency (0.00) 16 39" xfId="15534"/>
    <cellStyle name="Currency (0.00) 16 4" xfId="15535"/>
    <cellStyle name="Currency (0.00) 16 40" xfId="15536"/>
    <cellStyle name="Currency (0.00) 16 41" xfId="15537"/>
    <cellStyle name="Currency (0.00) 16 42" xfId="15538"/>
    <cellStyle name="Currency (0.00) 16 43" xfId="15539"/>
    <cellStyle name="Currency (0.00) 16 44" xfId="15540"/>
    <cellStyle name="Currency (0.00) 16 45" xfId="15541"/>
    <cellStyle name="Currency (0.00) 16 46" xfId="15542"/>
    <cellStyle name="Currency (0.00) 16 47" xfId="15543"/>
    <cellStyle name="Currency (0.00) 16 48" xfId="15544"/>
    <cellStyle name="Currency (0.00) 16 5" xfId="15545"/>
    <cellStyle name="Currency (0.00) 16 6" xfId="15546"/>
    <cellStyle name="Currency (0.00) 16 7" xfId="15547"/>
    <cellStyle name="Currency (0.00) 16 8" xfId="15548"/>
    <cellStyle name="Currency (0.00) 16 9" xfId="15549"/>
    <cellStyle name="Currency (0.00) 16_분양(100%)" xfId="38784"/>
    <cellStyle name="Currency (0.00) 17" xfId="15550"/>
    <cellStyle name="Currency (0.00) 17 10" xfId="15551"/>
    <cellStyle name="Currency (0.00) 17 11" xfId="15552"/>
    <cellStyle name="Currency (0.00) 17 12" xfId="15553"/>
    <cellStyle name="Currency (0.00) 17 13" xfId="15554"/>
    <cellStyle name="Currency (0.00) 17 14" xfId="15555"/>
    <cellStyle name="Currency (0.00) 17 15" xfId="15556"/>
    <cellStyle name="Currency (0.00) 17 16" xfId="15557"/>
    <cellStyle name="Currency (0.00) 17 17" xfId="15558"/>
    <cellStyle name="Currency (0.00) 17 18" xfId="15559"/>
    <cellStyle name="Currency (0.00) 17 19" xfId="15560"/>
    <cellStyle name="Currency (0.00) 17 2" xfId="15561"/>
    <cellStyle name="Currency (0.00) 17 20" xfId="15562"/>
    <cellStyle name="Currency (0.00) 17 21" xfId="15563"/>
    <cellStyle name="Currency (0.00) 17 22" xfId="15564"/>
    <cellStyle name="Currency (0.00) 17 23" xfId="15565"/>
    <cellStyle name="Currency (0.00) 17 24" xfId="15566"/>
    <cellStyle name="Currency (0.00) 17 25" xfId="15567"/>
    <cellStyle name="Currency (0.00) 17 26" xfId="15568"/>
    <cellStyle name="Currency (0.00) 17 27" xfId="15569"/>
    <cellStyle name="Currency (0.00) 17 28" xfId="15570"/>
    <cellStyle name="Currency (0.00) 17 29" xfId="15571"/>
    <cellStyle name="Currency (0.00) 17 3" xfId="15572"/>
    <cellStyle name="Currency (0.00) 17 30" xfId="15573"/>
    <cellStyle name="Currency (0.00) 17 31" xfId="15574"/>
    <cellStyle name="Currency (0.00) 17 32" xfId="15575"/>
    <cellStyle name="Currency (0.00) 17 33" xfId="15576"/>
    <cellStyle name="Currency (0.00) 17 34" xfId="15577"/>
    <cellStyle name="Currency (0.00) 17 35" xfId="15578"/>
    <cellStyle name="Currency (0.00) 17 36" xfId="15579"/>
    <cellStyle name="Currency (0.00) 17 37" xfId="15580"/>
    <cellStyle name="Currency (0.00) 17 38" xfId="15581"/>
    <cellStyle name="Currency (0.00) 17 39" xfId="15582"/>
    <cellStyle name="Currency (0.00) 17 4" xfId="15583"/>
    <cellStyle name="Currency (0.00) 17 40" xfId="15584"/>
    <cellStyle name="Currency (0.00) 17 41" xfId="15585"/>
    <cellStyle name="Currency (0.00) 17 42" xfId="15586"/>
    <cellStyle name="Currency (0.00) 17 43" xfId="15587"/>
    <cellStyle name="Currency (0.00) 17 44" xfId="15588"/>
    <cellStyle name="Currency (0.00) 17 45" xfId="15589"/>
    <cellStyle name="Currency (0.00) 17 46" xfId="15590"/>
    <cellStyle name="Currency (0.00) 17 47" xfId="15591"/>
    <cellStyle name="Currency (0.00) 17 48" xfId="15592"/>
    <cellStyle name="Currency (0.00) 17 5" xfId="15593"/>
    <cellStyle name="Currency (0.00) 17 6" xfId="15594"/>
    <cellStyle name="Currency (0.00) 17 7" xfId="15595"/>
    <cellStyle name="Currency (0.00) 17 8" xfId="15596"/>
    <cellStyle name="Currency (0.00) 17 9" xfId="15597"/>
    <cellStyle name="Currency (0.00) 17_분양(100%)" xfId="38785"/>
    <cellStyle name="Currency (0.00) 18" xfId="15598"/>
    <cellStyle name="Currency (0.00) 18 10" xfId="15599"/>
    <cellStyle name="Currency (0.00) 18 11" xfId="15600"/>
    <cellStyle name="Currency (0.00) 18 12" xfId="15601"/>
    <cellStyle name="Currency (0.00) 18 13" xfId="15602"/>
    <cellStyle name="Currency (0.00) 18 14" xfId="15603"/>
    <cellStyle name="Currency (0.00) 18 15" xfId="15604"/>
    <cellStyle name="Currency (0.00) 18 16" xfId="15605"/>
    <cellStyle name="Currency (0.00) 18 17" xfId="15606"/>
    <cellStyle name="Currency (0.00) 18 18" xfId="15607"/>
    <cellStyle name="Currency (0.00) 18 19" xfId="15608"/>
    <cellStyle name="Currency (0.00) 18 2" xfId="15609"/>
    <cellStyle name="Currency (0.00) 18 20" xfId="15610"/>
    <cellStyle name="Currency (0.00) 18 21" xfId="15611"/>
    <cellStyle name="Currency (0.00) 18 22" xfId="15612"/>
    <cellStyle name="Currency (0.00) 18 23" xfId="15613"/>
    <cellStyle name="Currency (0.00) 18 24" xfId="15614"/>
    <cellStyle name="Currency (0.00) 18 25" xfId="15615"/>
    <cellStyle name="Currency (0.00) 18 26" xfId="15616"/>
    <cellStyle name="Currency (0.00) 18 27" xfId="15617"/>
    <cellStyle name="Currency (0.00) 18 28" xfId="15618"/>
    <cellStyle name="Currency (0.00) 18 29" xfId="15619"/>
    <cellStyle name="Currency (0.00) 18 3" xfId="15620"/>
    <cellStyle name="Currency (0.00) 18 30" xfId="15621"/>
    <cellStyle name="Currency (0.00) 18 31" xfId="15622"/>
    <cellStyle name="Currency (0.00) 18 32" xfId="15623"/>
    <cellStyle name="Currency (0.00) 18 33" xfId="15624"/>
    <cellStyle name="Currency (0.00) 18 34" xfId="15625"/>
    <cellStyle name="Currency (0.00) 18 35" xfId="15626"/>
    <cellStyle name="Currency (0.00) 18 36" xfId="15627"/>
    <cellStyle name="Currency (0.00) 18 37" xfId="15628"/>
    <cellStyle name="Currency (0.00) 18 38" xfId="15629"/>
    <cellStyle name="Currency (0.00) 18 39" xfId="15630"/>
    <cellStyle name="Currency (0.00) 18 4" xfId="15631"/>
    <cellStyle name="Currency (0.00) 18 40" xfId="15632"/>
    <cellStyle name="Currency (0.00) 18 41" xfId="15633"/>
    <cellStyle name="Currency (0.00) 18 42" xfId="15634"/>
    <cellStyle name="Currency (0.00) 18 43" xfId="15635"/>
    <cellStyle name="Currency (0.00) 18 44" xfId="15636"/>
    <cellStyle name="Currency (0.00) 18 45" xfId="15637"/>
    <cellStyle name="Currency (0.00) 18 46" xfId="15638"/>
    <cellStyle name="Currency (0.00) 18 47" xfId="15639"/>
    <cellStyle name="Currency (0.00) 18 48" xfId="15640"/>
    <cellStyle name="Currency (0.00) 18 5" xfId="15641"/>
    <cellStyle name="Currency (0.00) 18 6" xfId="15642"/>
    <cellStyle name="Currency (0.00) 18 7" xfId="15643"/>
    <cellStyle name="Currency (0.00) 18 8" xfId="15644"/>
    <cellStyle name="Currency (0.00) 18 9" xfId="15645"/>
    <cellStyle name="Currency (0.00) 18_분양(100%)" xfId="38786"/>
    <cellStyle name="Currency (0.00) 19" xfId="15646"/>
    <cellStyle name="Currency (0.00) 19 10" xfId="15647"/>
    <cellStyle name="Currency (0.00) 19 11" xfId="15648"/>
    <cellStyle name="Currency (0.00) 19 12" xfId="15649"/>
    <cellStyle name="Currency (0.00) 19 13" xfId="15650"/>
    <cellStyle name="Currency (0.00) 19 14" xfId="15651"/>
    <cellStyle name="Currency (0.00) 19 15" xfId="15652"/>
    <cellStyle name="Currency (0.00) 19 16" xfId="15653"/>
    <cellStyle name="Currency (0.00) 19 17" xfId="15654"/>
    <cellStyle name="Currency (0.00) 19 18" xfId="15655"/>
    <cellStyle name="Currency (0.00) 19 19" xfId="15656"/>
    <cellStyle name="Currency (0.00) 19 2" xfId="15657"/>
    <cellStyle name="Currency (0.00) 19 20" xfId="15658"/>
    <cellStyle name="Currency (0.00) 19 21" xfId="15659"/>
    <cellStyle name="Currency (0.00) 19 22" xfId="15660"/>
    <cellStyle name="Currency (0.00) 19 23" xfId="15661"/>
    <cellStyle name="Currency (0.00) 19 24" xfId="15662"/>
    <cellStyle name="Currency (0.00) 19 25" xfId="15663"/>
    <cellStyle name="Currency (0.00) 19 26" xfId="15664"/>
    <cellStyle name="Currency (0.00) 19 27" xfId="15665"/>
    <cellStyle name="Currency (0.00) 19 28" xfId="15666"/>
    <cellStyle name="Currency (0.00) 19 29" xfId="15667"/>
    <cellStyle name="Currency (0.00) 19 3" xfId="15668"/>
    <cellStyle name="Currency (0.00) 19 30" xfId="15669"/>
    <cellStyle name="Currency (0.00) 19 31" xfId="15670"/>
    <cellStyle name="Currency (0.00) 19 32" xfId="15671"/>
    <cellStyle name="Currency (0.00) 19 33" xfId="15672"/>
    <cellStyle name="Currency (0.00) 19 34" xfId="15673"/>
    <cellStyle name="Currency (0.00) 19 35" xfId="15674"/>
    <cellStyle name="Currency (0.00) 19 36" xfId="15675"/>
    <cellStyle name="Currency (0.00) 19 37" xfId="15676"/>
    <cellStyle name="Currency (0.00) 19 38" xfId="15677"/>
    <cellStyle name="Currency (0.00) 19 39" xfId="15678"/>
    <cellStyle name="Currency (0.00) 19 4" xfId="15679"/>
    <cellStyle name="Currency (0.00) 19 40" xfId="15680"/>
    <cellStyle name="Currency (0.00) 19 41" xfId="15681"/>
    <cellStyle name="Currency (0.00) 19 42" xfId="15682"/>
    <cellStyle name="Currency (0.00) 19 43" xfId="15683"/>
    <cellStyle name="Currency (0.00) 19 44" xfId="15684"/>
    <cellStyle name="Currency (0.00) 19 45" xfId="15685"/>
    <cellStyle name="Currency (0.00) 19 46" xfId="15686"/>
    <cellStyle name="Currency (0.00) 19 47" xfId="15687"/>
    <cellStyle name="Currency (0.00) 19 48" xfId="15688"/>
    <cellStyle name="Currency (0.00) 19 5" xfId="15689"/>
    <cellStyle name="Currency (0.00) 19 6" xfId="15690"/>
    <cellStyle name="Currency (0.00) 19 7" xfId="15691"/>
    <cellStyle name="Currency (0.00) 19 8" xfId="15692"/>
    <cellStyle name="Currency (0.00) 19 9" xfId="15693"/>
    <cellStyle name="Currency (0.00) 19_분양(100%)" xfId="38787"/>
    <cellStyle name="Currency (0.00) 2" xfId="15694"/>
    <cellStyle name="Currency (0.00) 2 10" xfId="15695"/>
    <cellStyle name="Currency (0.00) 2 11" xfId="15696"/>
    <cellStyle name="Currency (0.00) 2 12" xfId="15697"/>
    <cellStyle name="Currency (0.00) 2 13" xfId="15698"/>
    <cellStyle name="Currency (0.00) 2 14" xfId="15699"/>
    <cellStyle name="Currency (0.00) 2 15" xfId="15700"/>
    <cellStyle name="Currency (0.00) 2 16" xfId="15701"/>
    <cellStyle name="Currency (0.00) 2 17" xfId="15702"/>
    <cellStyle name="Currency (0.00) 2 18" xfId="15703"/>
    <cellStyle name="Currency (0.00) 2 19" xfId="15704"/>
    <cellStyle name="Currency (0.00) 2 2" xfId="15705"/>
    <cellStyle name="Currency (0.00) 2 20" xfId="15706"/>
    <cellStyle name="Currency (0.00) 2 21" xfId="15707"/>
    <cellStyle name="Currency (0.00) 2 22" xfId="15708"/>
    <cellStyle name="Currency (0.00) 2 23" xfId="15709"/>
    <cellStyle name="Currency (0.00) 2 24" xfId="15710"/>
    <cellStyle name="Currency (0.00) 2 25" xfId="15711"/>
    <cellStyle name="Currency (0.00) 2 26" xfId="15712"/>
    <cellStyle name="Currency (0.00) 2 27" xfId="15713"/>
    <cellStyle name="Currency (0.00) 2 28" xfId="15714"/>
    <cellStyle name="Currency (0.00) 2 29" xfId="15715"/>
    <cellStyle name="Currency (0.00) 2 3" xfId="15716"/>
    <cellStyle name="Currency (0.00) 2 30" xfId="15717"/>
    <cellStyle name="Currency (0.00) 2 31" xfId="15718"/>
    <cellStyle name="Currency (0.00) 2 32" xfId="15719"/>
    <cellStyle name="Currency (0.00) 2 33" xfId="15720"/>
    <cellStyle name="Currency (0.00) 2 34" xfId="15721"/>
    <cellStyle name="Currency (0.00) 2 35" xfId="15722"/>
    <cellStyle name="Currency (0.00) 2 36" xfId="15723"/>
    <cellStyle name="Currency (0.00) 2 37" xfId="15724"/>
    <cellStyle name="Currency (0.00) 2 38" xfId="15725"/>
    <cellStyle name="Currency (0.00) 2 39" xfId="15726"/>
    <cellStyle name="Currency (0.00) 2 4" xfId="15727"/>
    <cellStyle name="Currency (0.00) 2 40" xfId="15728"/>
    <cellStyle name="Currency (0.00) 2 41" xfId="15729"/>
    <cellStyle name="Currency (0.00) 2 42" xfId="15730"/>
    <cellStyle name="Currency (0.00) 2 43" xfId="15731"/>
    <cellStyle name="Currency (0.00) 2 44" xfId="15732"/>
    <cellStyle name="Currency (0.00) 2 45" xfId="15733"/>
    <cellStyle name="Currency (0.00) 2 5" xfId="15734"/>
    <cellStyle name="Currency (0.00) 2 6" xfId="15735"/>
    <cellStyle name="Currency (0.00) 2 7" xfId="15736"/>
    <cellStyle name="Currency (0.00) 2 8" xfId="15737"/>
    <cellStyle name="Currency (0.00) 2 9" xfId="15738"/>
    <cellStyle name="Currency (0.00) 2_분양(100%)" xfId="38788"/>
    <cellStyle name="Currency (0.00) 20" xfId="15739"/>
    <cellStyle name="Currency (0.00) 20 10" xfId="15740"/>
    <cellStyle name="Currency (0.00) 20 11" xfId="15741"/>
    <cellStyle name="Currency (0.00) 20 12" xfId="15742"/>
    <cellStyle name="Currency (0.00) 20 13" xfId="15743"/>
    <cellStyle name="Currency (0.00) 20 14" xfId="15744"/>
    <cellStyle name="Currency (0.00) 20 15" xfId="15745"/>
    <cellStyle name="Currency (0.00) 20 16" xfId="15746"/>
    <cellStyle name="Currency (0.00) 20 17" xfId="15747"/>
    <cellStyle name="Currency (0.00) 20 18" xfId="15748"/>
    <cellStyle name="Currency (0.00) 20 19" xfId="15749"/>
    <cellStyle name="Currency (0.00) 20 2" xfId="15750"/>
    <cellStyle name="Currency (0.00) 20 20" xfId="15751"/>
    <cellStyle name="Currency (0.00) 20 21" xfId="15752"/>
    <cellStyle name="Currency (0.00) 20 22" xfId="15753"/>
    <cellStyle name="Currency (0.00) 20 23" xfId="15754"/>
    <cellStyle name="Currency (0.00) 20 24" xfId="15755"/>
    <cellStyle name="Currency (0.00) 20 25" xfId="15756"/>
    <cellStyle name="Currency (0.00) 20 26" xfId="15757"/>
    <cellStyle name="Currency (0.00) 20 27" xfId="15758"/>
    <cellStyle name="Currency (0.00) 20 28" xfId="15759"/>
    <cellStyle name="Currency (0.00) 20 29" xfId="15760"/>
    <cellStyle name="Currency (0.00) 20 3" xfId="15761"/>
    <cellStyle name="Currency (0.00) 20 30" xfId="15762"/>
    <cellStyle name="Currency (0.00) 20 31" xfId="15763"/>
    <cellStyle name="Currency (0.00) 20 32" xfId="15764"/>
    <cellStyle name="Currency (0.00) 20 33" xfId="15765"/>
    <cellStyle name="Currency (0.00) 20 34" xfId="15766"/>
    <cellStyle name="Currency (0.00) 20 35" xfId="15767"/>
    <cellStyle name="Currency (0.00) 20 36" xfId="15768"/>
    <cellStyle name="Currency (0.00) 20 37" xfId="15769"/>
    <cellStyle name="Currency (0.00) 20 38" xfId="15770"/>
    <cellStyle name="Currency (0.00) 20 39" xfId="15771"/>
    <cellStyle name="Currency (0.00) 20 4" xfId="15772"/>
    <cellStyle name="Currency (0.00) 20 40" xfId="15773"/>
    <cellStyle name="Currency (0.00) 20 41" xfId="15774"/>
    <cellStyle name="Currency (0.00) 20 42" xfId="15775"/>
    <cellStyle name="Currency (0.00) 20 43" xfId="15776"/>
    <cellStyle name="Currency (0.00) 20 44" xfId="15777"/>
    <cellStyle name="Currency (0.00) 20 45" xfId="15778"/>
    <cellStyle name="Currency (0.00) 20 46" xfId="15779"/>
    <cellStyle name="Currency (0.00) 20 47" xfId="15780"/>
    <cellStyle name="Currency (0.00) 20 48" xfId="15781"/>
    <cellStyle name="Currency (0.00) 20 5" xfId="15782"/>
    <cellStyle name="Currency (0.00) 20 6" xfId="15783"/>
    <cellStyle name="Currency (0.00) 20 7" xfId="15784"/>
    <cellStyle name="Currency (0.00) 20 8" xfId="15785"/>
    <cellStyle name="Currency (0.00) 20 9" xfId="15786"/>
    <cellStyle name="Currency (0.00) 20_분양(100%)" xfId="38789"/>
    <cellStyle name="Currency (0.00) 21" xfId="15787"/>
    <cellStyle name="Currency (0.00) 21 10" xfId="15788"/>
    <cellStyle name="Currency (0.00) 21 11" xfId="15789"/>
    <cellStyle name="Currency (0.00) 21 12" xfId="15790"/>
    <cellStyle name="Currency (0.00) 21 13" xfId="15791"/>
    <cellStyle name="Currency (0.00) 21 14" xfId="15792"/>
    <cellStyle name="Currency (0.00) 21 15" xfId="15793"/>
    <cellStyle name="Currency (0.00) 21 16" xfId="15794"/>
    <cellStyle name="Currency (0.00) 21 17" xfId="15795"/>
    <cellStyle name="Currency (0.00) 21 18" xfId="15796"/>
    <cellStyle name="Currency (0.00) 21 19" xfId="15797"/>
    <cellStyle name="Currency (0.00) 21 2" xfId="15798"/>
    <cellStyle name="Currency (0.00) 21 20" xfId="15799"/>
    <cellStyle name="Currency (0.00) 21 21" xfId="15800"/>
    <cellStyle name="Currency (0.00) 21 22" xfId="15801"/>
    <cellStyle name="Currency (0.00) 21 23" xfId="15802"/>
    <cellStyle name="Currency (0.00) 21 24" xfId="15803"/>
    <cellStyle name="Currency (0.00) 21 25" xfId="15804"/>
    <cellStyle name="Currency (0.00) 21 26" xfId="15805"/>
    <cellStyle name="Currency (0.00) 21 27" xfId="15806"/>
    <cellStyle name="Currency (0.00) 21 28" xfId="15807"/>
    <cellStyle name="Currency (0.00) 21 29" xfId="15808"/>
    <cellStyle name="Currency (0.00) 21 3" xfId="15809"/>
    <cellStyle name="Currency (0.00) 21 30" xfId="15810"/>
    <cellStyle name="Currency (0.00) 21 31" xfId="15811"/>
    <cellStyle name="Currency (0.00) 21 32" xfId="15812"/>
    <cellStyle name="Currency (0.00) 21 33" xfId="15813"/>
    <cellStyle name="Currency (0.00) 21 34" xfId="15814"/>
    <cellStyle name="Currency (0.00) 21 35" xfId="15815"/>
    <cellStyle name="Currency (0.00) 21 36" xfId="15816"/>
    <cellStyle name="Currency (0.00) 21 37" xfId="15817"/>
    <cellStyle name="Currency (0.00) 21 38" xfId="15818"/>
    <cellStyle name="Currency (0.00) 21 39" xfId="15819"/>
    <cellStyle name="Currency (0.00) 21 4" xfId="15820"/>
    <cellStyle name="Currency (0.00) 21 40" xfId="15821"/>
    <cellStyle name="Currency (0.00) 21 41" xfId="15822"/>
    <cellStyle name="Currency (0.00) 21 42" xfId="15823"/>
    <cellStyle name="Currency (0.00) 21 43" xfId="15824"/>
    <cellStyle name="Currency (0.00) 21 44" xfId="15825"/>
    <cellStyle name="Currency (0.00) 21 45" xfId="15826"/>
    <cellStyle name="Currency (0.00) 21 46" xfId="15827"/>
    <cellStyle name="Currency (0.00) 21 47" xfId="15828"/>
    <cellStyle name="Currency (0.00) 21 48" xfId="15829"/>
    <cellStyle name="Currency (0.00) 21 5" xfId="15830"/>
    <cellStyle name="Currency (0.00) 21 6" xfId="15831"/>
    <cellStyle name="Currency (0.00) 21 7" xfId="15832"/>
    <cellStyle name="Currency (0.00) 21 8" xfId="15833"/>
    <cellStyle name="Currency (0.00) 21 9" xfId="15834"/>
    <cellStyle name="Currency (0.00) 21_분양(100%)" xfId="38790"/>
    <cellStyle name="Currency (0.00) 22" xfId="15835"/>
    <cellStyle name="Currency (0.00) 22 10" xfId="15836"/>
    <cellStyle name="Currency (0.00) 22 11" xfId="15837"/>
    <cellStyle name="Currency (0.00) 22 12" xfId="15838"/>
    <cellStyle name="Currency (0.00) 22 13" xfId="15839"/>
    <cellStyle name="Currency (0.00) 22 14" xfId="15840"/>
    <cellStyle name="Currency (0.00) 22 15" xfId="15841"/>
    <cellStyle name="Currency (0.00) 22 16" xfId="15842"/>
    <cellStyle name="Currency (0.00) 22 17" xfId="15843"/>
    <cellStyle name="Currency (0.00) 22 18" xfId="15844"/>
    <cellStyle name="Currency (0.00) 22 19" xfId="15845"/>
    <cellStyle name="Currency (0.00) 22 2" xfId="15846"/>
    <cellStyle name="Currency (0.00) 22 20" xfId="15847"/>
    <cellStyle name="Currency (0.00) 22 21" xfId="15848"/>
    <cellStyle name="Currency (0.00) 22 22" xfId="15849"/>
    <cellStyle name="Currency (0.00) 22 23" xfId="15850"/>
    <cellStyle name="Currency (0.00) 22 24" xfId="15851"/>
    <cellStyle name="Currency (0.00) 22 25" xfId="15852"/>
    <cellStyle name="Currency (0.00) 22 26" xfId="15853"/>
    <cellStyle name="Currency (0.00) 22 27" xfId="15854"/>
    <cellStyle name="Currency (0.00) 22 28" xfId="15855"/>
    <cellStyle name="Currency (0.00) 22 29" xfId="15856"/>
    <cellStyle name="Currency (0.00) 22 3" xfId="15857"/>
    <cellStyle name="Currency (0.00) 22 30" xfId="15858"/>
    <cellStyle name="Currency (0.00) 22 31" xfId="15859"/>
    <cellStyle name="Currency (0.00) 22 32" xfId="15860"/>
    <cellStyle name="Currency (0.00) 22 33" xfId="15861"/>
    <cellStyle name="Currency (0.00) 22 34" xfId="15862"/>
    <cellStyle name="Currency (0.00) 22 35" xfId="15863"/>
    <cellStyle name="Currency (0.00) 22 36" xfId="15864"/>
    <cellStyle name="Currency (0.00) 22 37" xfId="15865"/>
    <cellStyle name="Currency (0.00) 22 38" xfId="15866"/>
    <cellStyle name="Currency (0.00) 22 39" xfId="15867"/>
    <cellStyle name="Currency (0.00) 22 4" xfId="15868"/>
    <cellStyle name="Currency (0.00) 22 40" xfId="15869"/>
    <cellStyle name="Currency (0.00) 22 41" xfId="15870"/>
    <cellStyle name="Currency (0.00) 22 42" xfId="15871"/>
    <cellStyle name="Currency (0.00) 22 43" xfId="15872"/>
    <cellStyle name="Currency (0.00) 22 44" xfId="15873"/>
    <cellStyle name="Currency (0.00) 22 45" xfId="15874"/>
    <cellStyle name="Currency (0.00) 22 46" xfId="15875"/>
    <cellStyle name="Currency (0.00) 22 47" xfId="15876"/>
    <cellStyle name="Currency (0.00) 22 48" xfId="15877"/>
    <cellStyle name="Currency (0.00) 22 5" xfId="15878"/>
    <cellStyle name="Currency (0.00) 22 6" xfId="15879"/>
    <cellStyle name="Currency (0.00) 22 7" xfId="15880"/>
    <cellStyle name="Currency (0.00) 22 8" xfId="15881"/>
    <cellStyle name="Currency (0.00) 22 9" xfId="15882"/>
    <cellStyle name="Currency (0.00) 22_분양(100%)" xfId="38791"/>
    <cellStyle name="Currency (0.00) 23" xfId="15883"/>
    <cellStyle name="Currency (0.00) 23 10" xfId="15884"/>
    <cellStyle name="Currency (0.00) 23 11" xfId="15885"/>
    <cellStyle name="Currency (0.00) 23 12" xfId="15886"/>
    <cellStyle name="Currency (0.00) 23 13" xfId="15887"/>
    <cellStyle name="Currency (0.00) 23 14" xfId="15888"/>
    <cellStyle name="Currency (0.00) 23 15" xfId="15889"/>
    <cellStyle name="Currency (0.00) 23 16" xfId="15890"/>
    <cellStyle name="Currency (0.00) 23 17" xfId="15891"/>
    <cellStyle name="Currency (0.00) 23 18" xfId="15892"/>
    <cellStyle name="Currency (0.00) 23 19" xfId="15893"/>
    <cellStyle name="Currency (0.00) 23 2" xfId="15894"/>
    <cellStyle name="Currency (0.00) 23 20" xfId="15895"/>
    <cellStyle name="Currency (0.00) 23 21" xfId="15896"/>
    <cellStyle name="Currency (0.00) 23 22" xfId="15897"/>
    <cellStyle name="Currency (0.00) 23 23" xfId="15898"/>
    <cellStyle name="Currency (0.00) 23 24" xfId="15899"/>
    <cellStyle name="Currency (0.00) 23 25" xfId="15900"/>
    <cellStyle name="Currency (0.00) 23 26" xfId="15901"/>
    <cellStyle name="Currency (0.00) 23 27" xfId="15902"/>
    <cellStyle name="Currency (0.00) 23 28" xfId="15903"/>
    <cellStyle name="Currency (0.00) 23 29" xfId="15904"/>
    <cellStyle name="Currency (0.00) 23 3" xfId="15905"/>
    <cellStyle name="Currency (0.00) 23 30" xfId="15906"/>
    <cellStyle name="Currency (0.00) 23 31" xfId="15907"/>
    <cellStyle name="Currency (0.00) 23 32" xfId="15908"/>
    <cellStyle name="Currency (0.00) 23 33" xfId="15909"/>
    <cellStyle name="Currency (0.00) 23 34" xfId="15910"/>
    <cellStyle name="Currency (0.00) 23 35" xfId="15911"/>
    <cellStyle name="Currency (0.00) 23 36" xfId="15912"/>
    <cellStyle name="Currency (0.00) 23 37" xfId="15913"/>
    <cellStyle name="Currency (0.00) 23 38" xfId="15914"/>
    <cellStyle name="Currency (0.00) 23 39" xfId="15915"/>
    <cellStyle name="Currency (0.00) 23 4" xfId="15916"/>
    <cellStyle name="Currency (0.00) 23 40" xfId="15917"/>
    <cellStyle name="Currency (0.00) 23 41" xfId="15918"/>
    <cellStyle name="Currency (0.00) 23 42" xfId="15919"/>
    <cellStyle name="Currency (0.00) 23 43" xfId="15920"/>
    <cellStyle name="Currency (0.00) 23 44" xfId="15921"/>
    <cellStyle name="Currency (0.00) 23 45" xfId="15922"/>
    <cellStyle name="Currency (0.00) 23 46" xfId="15923"/>
    <cellStyle name="Currency (0.00) 23 47" xfId="15924"/>
    <cellStyle name="Currency (0.00) 23 48" xfId="15925"/>
    <cellStyle name="Currency (0.00) 23 5" xfId="15926"/>
    <cellStyle name="Currency (0.00) 23 6" xfId="15927"/>
    <cellStyle name="Currency (0.00) 23 7" xfId="15928"/>
    <cellStyle name="Currency (0.00) 23 8" xfId="15929"/>
    <cellStyle name="Currency (0.00) 23 9" xfId="15930"/>
    <cellStyle name="Currency (0.00) 23_분양(100%)" xfId="38792"/>
    <cellStyle name="Currency (0.00) 24" xfId="15931"/>
    <cellStyle name="Currency (0.00) 24 10" xfId="15932"/>
    <cellStyle name="Currency (0.00) 24 11" xfId="15933"/>
    <cellStyle name="Currency (0.00) 24 12" xfId="15934"/>
    <cellStyle name="Currency (0.00) 24 13" xfId="15935"/>
    <cellStyle name="Currency (0.00) 24 14" xfId="15936"/>
    <cellStyle name="Currency (0.00) 24 15" xfId="15937"/>
    <cellStyle name="Currency (0.00) 24 16" xfId="15938"/>
    <cellStyle name="Currency (0.00) 24 17" xfId="15939"/>
    <cellStyle name="Currency (0.00) 24 18" xfId="15940"/>
    <cellStyle name="Currency (0.00) 24 19" xfId="15941"/>
    <cellStyle name="Currency (0.00) 24 2" xfId="15942"/>
    <cellStyle name="Currency (0.00) 24 20" xfId="15943"/>
    <cellStyle name="Currency (0.00) 24 21" xfId="15944"/>
    <cellStyle name="Currency (0.00) 24 22" xfId="15945"/>
    <cellStyle name="Currency (0.00) 24 23" xfId="15946"/>
    <cellStyle name="Currency (0.00) 24 24" xfId="15947"/>
    <cellStyle name="Currency (0.00) 24 25" xfId="15948"/>
    <cellStyle name="Currency (0.00) 24 26" xfId="15949"/>
    <cellStyle name="Currency (0.00) 24 27" xfId="15950"/>
    <cellStyle name="Currency (0.00) 24 28" xfId="15951"/>
    <cellStyle name="Currency (0.00) 24 29" xfId="15952"/>
    <cellStyle name="Currency (0.00) 24 3" xfId="15953"/>
    <cellStyle name="Currency (0.00) 24 30" xfId="15954"/>
    <cellStyle name="Currency (0.00) 24 31" xfId="15955"/>
    <cellStyle name="Currency (0.00) 24 32" xfId="15956"/>
    <cellStyle name="Currency (0.00) 24 33" xfId="15957"/>
    <cellStyle name="Currency (0.00) 24 34" xfId="15958"/>
    <cellStyle name="Currency (0.00) 24 35" xfId="15959"/>
    <cellStyle name="Currency (0.00) 24 36" xfId="15960"/>
    <cellStyle name="Currency (0.00) 24 37" xfId="15961"/>
    <cellStyle name="Currency (0.00) 24 38" xfId="15962"/>
    <cellStyle name="Currency (0.00) 24 39" xfId="15963"/>
    <cellStyle name="Currency (0.00) 24 4" xfId="15964"/>
    <cellStyle name="Currency (0.00) 24 40" xfId="15965"/>
    <cellStyle name="Currency (0.00) 24 41" xfId="15966"/>
    <cellStyle name="Currency (0.00) 24 42" xfId="15967"/>
    <cellStyle name="Currency (0.00) 24 43" xfId="15968"/>
    <cellStyle name="Currency (0.00) 24 44" xfId="15969"/>
    <cellStyle name="Currency (0.00) 24 45" xfId="15970"/>
    <cellStyle name="Currency (0.00) 24 46" xfId="15971"/>
    <cellStyle name="Currency (0.00) 24 47" xfId="15972"/>
    <cellStyle name="Currency (0.00) 24 48" xfId="15973"/>
    <cellStyle name="Currency (0.00) 24 5" xfId="15974"/>
    <cellStyle name="Currency (0.00) 24 6" xfId="15975"/>
    <cellStyle name="Currency (0.00) 24 7" xfId="15976"/>
    <cellStyle name="Currency (0.00) 24 8" xfId="15977"/>
    <cellStyle name="Currency (0.00) 24 9" xfId="15978"/>
    <cellStyle name="Currency (0.00) 24_분양(100%)" xfId="38793"/>
    <cellStyle name="Currency (0.00) 25" xfId="15979"/>
    <cellStyle name="Currency (0.00) 25 10" xfId="15980"/>
    <cellStyle name="Currency (0.00) 25 11" xfId="15981"/>
    <cellStyle name="Currency (0.00) 25 12" xfId="15982"/>
    <cellStyle name="Currency (0.00) 25 13" xfId="15983"/>
    <cellStyle name="Currency (0.00) 25 14" xfId="15984"/>
    <cellStyle name="Currency (0.00) 25 15" xfId="15985"/>
    <cellStyle name="Currency (0.00) 25 16" xfId="15986"/>
    <cellStyle name="Currency (0.00) 25 17" xfId="15987"/>
    <cellStyle name="Currency (0.00) 25 18" xfId="15988"/>
    <cellStyle name="Currency (0.00) 25 19" xfId="15989"/>
    <cellStyle name="Currency (0.00) 25 2" xfId="15990"/>
    <cellStyle name="Currency (0.00) 25 20" xfId="15991"/>
    <cellStyle name="Currency (0.00) 25 21" xfId="15992"/>
    <cellStyle name="Currency (0.00) 25 22" xfId="15993"/>
    <cellStyle name="Currency (0.00) 25 23" xfId="15994"/>
    <cellStyle name="Currency (0.00) 25 24" xfId="15995"/>
    <cellStyle name="Currency (0.00) 25 25" xfId="15996"/>
    <cellStyle name="Currency (0.00) 25 26" xfId="15997"/>
    <cellStyle name="Currency (0.00) 25 27" xfId="15998"/>
    <cellStyle name="Currency (0.00) 25 28" xfId="15999"/>
    <cellStyle name="Currency (0.00) 25 29" xfId="16000"/>
    <cellStyle name="Currency (0.00) 25 3" xfId="16001"/>
    <cellStyle name="Currency (0.00) 25 30" xfId="16002"/>
    <cellStyle name="Currency (0.00) 25 31" xfId="16003"/>
    <cellStyle name="Currency (0.00) 25 32" xfId="16004"/>
    <cellStyle name="Currency (0.00) 25 33" xfId="16005"/>
    <cellStyle name="Currency (0.00) 25 34" xfId="16006"/>
    <cellStyle name="Currency (0.00) 25 35" xfId="16007"/>
    <cellStyle name="Currency (0.00) 25 36" xfId="16008"/>
    <cellStyle name="Currency (0.00) 25 37" xfId="16009"/>
    <cellStyle name="Currency (0.00) 25 38" xfId="16010"/>
    <cellStyle name="Currency (0.00) 25 39" xfId="16011"/>
    <cellStyle name="Currency (0.00) 25 4" xfId="16012"/>
    <cellStyle name="Currency (0.00) 25 40" xfId="16013"/>
    <cellStyle name="Currency (0.00) 25 41" xfId="16014"/>
    <cellStyle name="Currency (0.00) 25 42" xfId="16015"/>
    <cellStyle name="Currency (0.00) 25 43" xfId="16016"/>
    <cellStyle name="Currency (0.00) 25 44" xfId="16017"/>
    <cellStyle name="Currency (0.00) 25 45" xfId="16018"/>
    <cellStyle name="Currency (0.00) 25 46" xfId="16019"/>
    <cellStyle name="Currency (0.00) 25 47" xfId="16020"/>
    <cellStyle name="Currency (0.00) 25 48" xfId="16021"/>
    <cellStyle name="Currency (0.00) 25 5" xfId="16022"/>
    <cellStyle name="Currency (0.00) 25 6" xfId="16023"/>
    <cellStyle name="Currency (0.00) 25 7" xfId="16024"/>
    <cellStyle name="Currency (0.00) 25 8" xfId="16025"/>
    <cellStyle name="Currency (0.00) 25 9" xfId="16026"/>
    <cellStyle name="Currency (0.00) 25_분양(100%)" xfId="38794"/>
    <cellStyle name="Currency (0.00) 26" xfId="16027"/>
    <cellStyle name="Currency (0.00) 26 10" xfId="16028"/>
    <cellStyle name="Currency (0.00) 26 11" xfId="16029"/>
    <cellStyle name="Currency (0.00) 26 12" xfId="16030"/>
    <cellStyle name="Currency (0.00) 26 13" xfId="16031"/>
    <cellStyle name="Currency (0.00) 26 14" xfId="16032"/>
    <cellStyle name="Currency (0.00) 26 15" xfId="16033"/>
    <cellStyle name="Currency (0.00) 26 16" xfId="16034"/>
    <cellStyle name="Currency (0.00) 26 17" xfId="16035"/>
    <cellStyle name="Currency (0.00) 26 18" xfId="16036"/>
    <cellStyle name="Currency (0.00) 26 19" xfId="16037"/>
    <cellStyle name="Currency (0.00) 26 2" xfId="16038"/>
    <cellStyle name="Currency (0.00) 26 20" xfId="16039"/>
    <cellStyle name="Currency (0.00) 26 21" xfId="16040"/>
    <cellStyle name="Currency (0.00) 26 22" xfId="16041"/>
    <cellStyle name="Currency (0.00) 26 23" xfId="16042"/>
    <cellStyle name="Currency (0.00) 26 24" xfId="16043"/>
    <cellStyle name="Currency (0.00) 26 25" xfId="16044"/>
    <cellStyle name="Currency (0.00) 26 26" xfId="16045"/>
    <cellStyle name="Currency (0.00) 26 27" xfId="16046"/>
    <cellStyle name="Currency (0.00) 26 28" xfId="16047"/>
    <cellStyle name="Currency (0.00) 26 29" xfId="16048"/>
    <cellStyle name="Currency (0.00) 26 3" xfId="16049"/>
    <cellStyle name="Currency (0.00) 26 30" xfId="16050"/>
    <cellStyle name="Currency (0.00) 26 31" xfId="16051"/>
    <cellStyle name="Currency (0.00) 26 32" xfId="16052"/>
    <cellStyle name="Currency (0.00) 26 33" xfId="16053"/>
    <cellStyle name="Currency (0.00) 26 34" xfId="16054"/>
    <cellStyle name="Currency (0.00) 26 35" xfId="16055"/>
    <cellStyle name="Currency (0.00) 26 36" xfId="16056"/>
    <cellStyle name="Currency (0.00) 26 37" xfId="16057"/>
    <cellStyle name="Currency (0.00) 26 38" xfId="16058"/>
    <cellStyle name="Currency (0.00) 26 39" xfId="16059"/>
    <cellStyle name="Currency (0.00) 26 4" xfId="16060"/>
    <cellStyle name="Currency (0.00) 26 40" xfId="16061"/>
    <cellStyle name="Currency (0.00) 26 41" xfId="16062"/>
    <cellStyle name="Currency (0.00) 26 42" xfId="16063"/>
    <cellStyle name="Currency (0.00) 26 43" xfId="16064"/>
    <cellStyle name="Currency (0.00) 26 44" xfId="16065"/>
    <cellStyle name="Currency (0.00) 26 45" xfId="16066"/>
    <cellStyle name="Currency (0.00) 26 46" xfId="16067"/>
    <cellStyle name="Currency (0.00) 26 47" xfId="16068"/>
    <cellStyle name="Currency (0.00) 26 48" xfId="16069"/>
    <cellStyle name="Currency (0.00) 26 5" xfId="16070"/>
    <cellStyle name="Currency (0.00) 26 6" xfId="16071"/>
    <cellStyle name="Currency (0.00) 26 7" xfId="16072"/>
    <cellStyle name="Currency (0.00) 26 8" xfId="16073"/>
    <cellStyle name="Currency (0.00) 26 9" xfId="16074"/>
    <cellStyle name="Currency (0.00) 26_분양(100%)" xfId="38795"/>
    <cellStyle name="Currency (0.00) 27" xfId="16075"/>
    <cellStyle name="Currency (0.00) 27 10" xfId="16076"/>
    <cellStyle name="Currency (0.00) 27 11" xfId="16077"/>
    <cellStyle name="Currency (0.00) 27 12" xfId="16078"/>
    <cellStyle name="Currency (0.00) 27 13" xfId="16079"/>
    <cellStyle name="Currency (0.00) 27 14" xfId="16080"/>
    <cellStyle name="Currency (0.00) 27 15" xfId="16081"/>
    <cellStyle name="Currency (0.00) 27 16" xfId="16082"/>
    <cellStyle name="Currency (0.00) 27 17" xfId="16083"/>
    <cellStyle name="Currency (0.00) 27 18" xfId="16084"/>
    <cellStyle name="Currency (0.00) 27 19" xfId="16085"/>
    <cellStyle name="Currency (0.00) 27 2" xfId="16086"/>
    <cellStyle name="Currency (0.00) 27 20" xfId="16087"/>
    <cellStyle name="Currency (0.00) 27 21" xfId="16088"/>
    <cellStyle name="Currency (0.00) 27 22" xfId="16089"/>
    <cellStyle name="Currency (0.00) 27 23" xfId="16090"/>
    <cellStyle name="Currency (0.00) 27 24" xfId="16091"/>
    <cellStyle name="Currency (0.00) 27 25" xfId="16092"/>
    <cellStyle name="Currency (0.00) 27 26" xfId="16093"/>
    <cellStyle name="Currency (0.00) 27 27" xfId="16094"/>
    <cellStyle name="Currency (0.00) 27 28" xfId="16095"/>
    <cellStyle name="Currency (0.00) 27 29" xfId="16096"/>
    <cellStyle name="Currency (0.00) 27 3" xfId="16097"/>
    <cellStyle name="Currency (0.00) 27 30" xfId="16098"/>
    <cellStyle name="Currency (0.00) 27 31" xfId="16099"/>
    <cellStyle name="Currency (0.00) 27 32" xfId="16100"/>
    <cellStyle name="Currency (0.00) 27 33" xfId="16101"/>
    <cellStyle name="Currency (0.00) 27 34" xfId="16102"/>
    <cellStyle name="Currency (0.00) 27 35" xfId="16103"/>
    <cellStyle name="Currency (0.00) 27 36" xfId="16104"/>
    <cellStyle name="Currency (0.00) 27 37" xfId="16105"/>
    <cellStyle name="Currency (0.00) 27 38" xfId="16106"/>
    <cellStyle name="Currency (0.00) 27 39" xfId="16107"/>
    <cellStyle name="Currency (0.00) 27 4" xfId="16108"/>
    <cellStyle name="Currency (0.00) 27 40" xfId="16109"/>
    <cellStyle name="Currency (0.00) 27 41" xfId="16110"/>
    <cellStyle name="Currency (0.00) 27 42" xfId="16111"/>
    <cellStyle name="Currency (0.00) 27 43" xfId="16112"/>
    <cellStyle name="Currency (0.00) 27 44" xfId="16113"/>
    <cellStyle name="Currency (0.00) 27 45" xfId="16114"/>
    <cellStyle name="Currency (0.00) 27 46" xfId="16115"/>
    <cellStyle name="Currency (0.00) 27 47" xfId="16116"/>
    <cellStyle name="Currency (0.00) 27 48" xfId="16117"/>
    <cellStyle name="Currency (0.00) 27 5" xfId="16118"/>
    <cellStyle name="Currency (0.00) 27 6" xfId="16119"/>
    <cellStyle name="Currency (0.00) 27 7" xfId="16120"/>
    <cellStyle name="Currency (0.00) 27 8" xfId="16121"/>
    <cellStyle name="Currency (0.00) 27 9" xfId="16122"/>
    <cellStyle name="Currency (0.00) 27_분양(100%)" xfId="38796"/>
    <cellStyle name="Currency (0.00) 28" xfId="16123"/>
    <cellStyle name="Currency (0.00) 28 10" xfId="16124"/>
    <cellStyle name="Currency (0.00) 28 11" xfId="16125"/>
    <cellStyle name="Currency (0.00) 28 12" xfId="16126"/>
    <cellStyle name="Currency (0.00) 28 13" xfId="16127"/>
    <cellStyle name="Currency (0.00) 28 14" xfId="16128"/>
    <cellStyle name="Currency (0.00) 28 15" xfId="16129"/>
    <cellStyle name="Currency (0.00) 28 16" xfId="16130"/>
    <cellStyle name="Currency (0.00) 28 17" xfId="16131"/>
    <cellStyle name="Currency (0.00) 28 18" xfId="16132"/>
    <cellStyle name="Currency (0.00) 28 19" xfId="16133"/>
    <cellStyle name="Currency (0.00) 28 2" xfId="16134"/>
    <cellStyle name="Currency (0.00) 28 20" xfId="16135"/>
    <cellStyle name="Currency (0.00) 28 21" xfId="16136"/>
    <cellStyle name="Currency (0.00) 28 22" xfId="16137"/>
    <cellStyle name="Currency (0.00) 28 23" xfId="16138"/>
    <cellStyle name="Currency (0.00) 28 24" xfId="16139"/>
    <cellStyle name="Currency (0.00) 28 25" xfId="16140"/>
    <cellStyle name="Currency (0.00) 28 26" xfId="16141"/>
    <cellStyle name="Currency (0.00) 28 27" xfId="16142"/>
    <cellStyle name="Currency (0.00) 28 28" xfId="16143"/>
    <cellStyle name="Currency (0.00) 28 29" xfId="16144"/>
    <cellStyle name="Currency (0.00) 28 3" xfId="16145"/>
    <cellStyle name="Currency (0.00) 28 30" xfId="16146"/>
    <cellStyle name="Currency (0.00) 28 31" xfId="16147"/>
    <cellStyle name="Currency (0.00) 28 32" xfId="16148"/>
    <cellStyle name="Currency (0.00) 28 33" xfId="16149"/>
    <cellStyle name="Currency (0.00) 28 34" xfId="16150"/>
    <cellStyle name="Currency (0.00) 28 35" xfId="16151"/>
    <cellStyle name="Currency (0.00) 28 36" xfId="16152"/>
    <cellStyle name="Currency (0.00) 28 37" xfId="16153"/>
    <cellStyle name="Currency (0.00) 28 38" xfId="16154"/>
    <cellStyle name="Currency (0.00) 28 39" xfId="16155"/>
    <cellStyle name="Currency (0.00) 28 4" xfId="16156"/>
    <cellStyle name="Currency (0.00) 28 40" xfId="16157"/>
    <cellStyle name="Currency (0.00) 28 41" xfId="16158"/>
    <cellStyle name="Currency (0.00) 28 42" xfId="16159"/>
    <cellStyle name="Currency (0.00) 28 43" xfId="16160"/>
    <cellStyle name="Currency (0.00) 28 44" xfId="16161"/>
    <cellStyle name="Currency (0.00) 28 45" xfId="16162"/>
    <cellStyle name="Currency (0.00) 28 46" xfId="16163"/>
    <cellStyle name="Currency (0.00) 28 47" xfId="16164"/>
    <cellStyle name="Currency (0.00) 28 48" xfId="16165"/>
    <cellStyle name="Currency (0.00) 28 5" xfId="16166"/>
    <cellStyle name="Currency (0.00) 28 6" xfId="16167"/>
    <cellStyle name="Currency (0.00) 28 7" xfId="16168"/>
    <cellStyle name="Currency (0.00) 28 8" xfId="16169"/>
    <cellStyle name="Currency (0.00) 28 9" xfId="16170"/>
    <cellStyle name="Currency (0.00) 28_분양(100%)" xfId="38797"/>
    <cellStyle name="Currency (0.00) 29" xfId="16171"/>
    <cellStyle name="Currency (0.00) 29 10" xfId="16172"/>
    <cellStyle name="Currency (0.00) 29 11" xfId="16173"/>
    <cellStyle name="Currency (0.00) 29 12" xfId="16174"/>
    <cellStyle name="Currency (0.00) 29 13" xfId="16175"/>
    <cellStyle name="Currency (0.00) 29 14" xfId="16176"/>
    <cellStyle name="Currency (0.00) 29 15" xfId="16177"/>
    <cellStyle name="Currency (0.00) 29 16" xfId="16178"/>
    <cellStyle name="Currency (0.00) 29 17" xfId="16179"/>
    <cellStyle name="Currency (0.00) 29 18" xfId="16180"/>
    <cellStyle name="Currency (0.00) 29 19" xfId="16181"/>
    <cellStyle name="Currency (0.00) 29 2" xfId="16182"/>
    <cellStyle name="Currency (0.00) 29 20" xfId="16183"/>
    <cellStyle name="Currency (0.00) 29 21" xfId="16184"/>
    <cellStyle name="Currency (0.00) 29 22" xfId="16185"/>
    <cellStyle name="Currency (0.00) 29 23" xfId="16186"/>
    <cellStyle name="Currency (0.00) 29 24" xfId="16187"/>
    <cellStyle name="Currency (0.00) 29 25" xfId="16188"/>
    <cellStyle name="Currency (0.00) 29 26" xfId="16189"/>
    <cellStyle name="Currency (0.00) 29 27" xfId="16190"/>
    <cellStyle name="Currency (0.00) 29 28" xfId="16191"/>
    <cellStyle name="Currency (0.00) 29 29" xfId="16192"/>
    <cellStyle name="Currency (0.00) 29 3" xfId="16193"/>
    <cellStyle name="Currency (0.00) 29 30" xfId="16194"/>
    <cellStyle name="Currency (0.00) 29 31" xfId="16195"/>
    <cellStyle name="Currency (0.00) 29 32" xfId="16196"/>
    <cellStyle name="Currency (0.00) 29 33" xfId="16197"/>
    <cellStyle name="Currency (0.00) 29 34" xfId="16198"/>
    <cellStyle name="Currency (0.00) 29 35" xfId="16199"/>
    <cellStyle name="Currency (0.00) 29 36" xfId="16200"/>
    <cellStyle name="Currency (0.00) 29 37" xfId="16201"/>
    <cellStyle name="Currency (0.00) 29 38" xfId="16202"/>
    <cellStyle name="Currency (0.00) 29 39" xfId="16203"/>
    <cellStyle name="Currency (0.00) 29 4" xfId="16204"/>
    <cellStyle name="Currency (0.00) 29 40" xfId="16205"/>
    <cellStyle name="Currency (0.00) 29 41" xfId="16206"/>
    <cellStyle name="Currency (0.00) 29 42" xfId="16207"/>
    <cellStyle name="Currency (0.00) 29 43" xfId="16208"/>
    <cellStyle name="Currency (0.00) 29 44" xfId="16209"/>
    <cellStyle name="Currency (0.00) 29 45" xfId="16210"/>
    <cellStyle name="Currency (0.00) 29 46" xfId="16211"/>
    <cellStyle name="Currency (0.00) 29 47" xfId="16212"/>
    <cellStyle name="Currency (0.00) 29 48" xfId="16213"/>
    <cellStyle name="Currency (0.00) 29 5" xfId="16214"/>
    <cellStyle name="Currency (0.00) 29 6" xfId="16215"/>
    <cellStyle name="Currency (0.00) 29 7" xfId="16216"/>
    <cellStyle name="Currency (0.00) 29 8" xfId="16217"/>
    <cellStyle name="Currency (0.00) 29 9" xfId="16218"/>
    <cellStyle name="Currency (0.00) 29_분양(100%)" xfId="38798"/>
    <cellStyle name="Currency (0.00) 3" xfId="16219"/>
    <cellStyle name="Currency (0.00) 3 10" xfId="16220"/>
    <cellStyle name="Currency (0.00) 3 11" xfId="16221"/>
    <cellStyle name="Currency (0.00) 3 12" xfId="16222"/>
    <cellStyle name="Currency (0.00) 3 13" xfId="16223"/>
    <cellStyle name="Currency (0.00) 3 14" xfId="16224"/>
    <cellStyle name="Currency (0.00) 3 15" xfId="16225"/>
    <cellStyle name="Currency (0.00) 3 16" xfId="16226"/>
    <cellStyle name="Currency (0.00) 3 17" xfId="16227"/>
    <cellStyle name="Currency (0.00) 3 18" xfId="16228"/>
    <cellStyle name="Currency (0.00) 3 19" xfId="16229"/>
    <cellStyle name="Currency (0.00) 3 2" xfId="16230"/>
    <cellStyle name="Currency (0.00) 3 20" xfId="16231"/>
    <cellStyle name="Currency (0.00) 3 21" xfId="16232"/>
    <cellStyle name="Currency (0.00) 3 22" xfId="16233"/>
    <cellStyle name="Currency (0.00) 3 23" xfId="16234"/>
    <cellStyle name="Currency (0.00) 3 24" xfId="16235"/>
    <cellStyle name="Currency (0.00) 3 25" xfId="16236"/>
    <cellStyle name="Currency (0.00) 3 26" xfId="16237"/>
    <cellStyle name="Currency (0.00) 3 27" xfId="16238"/>
    <cellStyle name="Currency (0.00) 3 28" xfId="16239"/>
    <cellStyle name="Currency (0.00) 3 29" xfId="16240"/>
    <cellStyle name="Currency (0.00) 3 3" xfId="16241"/>
    <cellStyle name="Currency (0.00) 3 30" xfId="16242"/>
    <cellStyle name="Currency (0.00) 3 31" xfId="16243"/>
    <cellStyle name="Currency (0.00) 3 32" xfId="16244"/>
    <cellStyle name="Currency (0.00) 3 33" xfId="16245"/>
    <cellStyle name="Currency (0.00) 3 34" xfId="16246"/>
    <cellStyle name="Currency (0.00) 3 35" xfId="16247"/>
    <cellStyle name="Currency (0.00) 3 36" xfId="16248"/>
    <cellStyle name="Currency (0.00) 3 37" xfId="16249"/>
    <cellStyle name="Currency (0.00) 3 38" xfId="16250"/>
    <cellStyle name="Currency (0.00) 3 39" xfId="16251"/>
    <cellStyle name="Currency (0.00) 3 4" xfId="16252"/>
    <cellStyle name="Currency (0.00) 3 40" xfId="16253"/>
    <cellStyle name="Currency (0.00) 3 41" xfId="16254"/>
    <cellStyle name="Currency (0.00) 3 42" xfId="16255"/>
    <cellStyle name="Currency (0.00) 3 43" xfId="16256"/>
    <cellStyle name="Currency (0.00) 3 44" xfId="16257"/>
    <cellStyle name="Currency (0.00) 3 45" xfId="16258"/>
    <cellStyle name="Currency (0.00) 3 46" xfId="16259"/>
    <cellStyle name="Currency (0.00) 3 47" xfId="16260"/>
    <cellStyle name="Currency (0.00) 3 48" xfId="16261"/>
    <cellStyle name="Currency (0.00) 3 49" xfId="16262"/>
    <cellStyle name="Currency (0.00) 3 5" xfId="16263"/>
    <cellStyle name="Currency (0.00) 3 6" xfId="16264"/>
    <cellStyle name="Currency (0.00) 3 7" xfId="16265"/>
    <cellStyle name="Currency (0.00) 3 8" xfId="16266"/>
    <cellStyle name="Currency (0.00) 3 9" xfId="16267"/>
    <cellStyle name="Currency (0.00) 3_분양(100%)" xfId="38799"/>
    <cellStyle name="Currency (0.00) 30" xfId="16268"/>
    <cellStyle name="Currency (0.00) 30 10" xfId="16269"/>
    <cellStyle name="Currency (0.00) 30 11" xfId="16270"/>
    <cellStyle name="Currency (0.00) 30 12" xfId="16271"/>
    <cellStyle name="Currency (0.00) 30 13" xfId="16272"/>
    <cellStyle name="Currency (0.00) 30 14" xfId="16273"/>
    <cellStyle name="Currency (0.00) 30 15" xfId="16274"/>
    <cellStyle name="Currency (0.00) 30 16" xfId="16275"/>
    <cellStyle name="Currency (0.00) 30 17" xfId="16276"/>
    <cellStyle name="Currency (0.00) 30 18" xfId="16277"/>
    <cellStyle name="Currency (0.00) 30 19" xfId="16278"/>
    <cellStyle name="Currency (0.00) 30 2" xfId="16279"/>
    <cellStyle name="Currency (0.00) 30 20" xfId="16280"/>
    <cellStyle name="Currency (0.00) 30 21" xfId="16281"/>
    <cellStyle name="Currency (0.00) 30 22" xfId="16282"/>
    <cellStyle name="Currency (0.00) 30 23" xfId="16283"/>
    <cellStyle name="Currency (0.00) 30 24" xfId="16284"/>
    <cellStyle name="Currency (0.00) 30 25" xfId="16285"/>
    <cellStyle name="Currency (0.00) 30 26" xfId="16286"/>
    <cellStyle name="Currency (0.00) 30 27" xfId="16287"/>
    <cellStyle name="Currency (0.00) 30 28" xfId="16288"/>
    <cellStyle name="Currency (0.00) 30 29" xfId="16289"/>
    <cellStyle name="Currency (0.00) 30 3" xfId="16290"/>
    <cellStyle name="Currency (0.00) 30 30" xfId="16291"/>
    <cellStyle name="Currency (0.00) 30 31" xfId="16292"/>
    <cellStyle name="Currency (0.00) 30 32" xfId="16293"/>
    <cellStyle name="Currency (0.00) 30 33" xfId="16294"/>
    <cellStyle name="Currency (0.00) 30 34" xfId="16295"/>
    <cellStyle name="Currency (0.00) 30 35" xfId="16296"/>
    <cellStyle name="Currency (0.00) 30 36" xfId="16297"/>
    <cellStyle name="Currency (0.00) 30 37" xfId="16298"/>
    <cellStyle name="Currency (0.00) 30 38" xfId="16299"/>
    <cellStyle name="Currency (0.00) 30 39" xfId="16300"/>
    <cellStyle name="Currency (0.00) 30 4" xfId="16301"/>
    <cellStyle name="Currency (0.00) 30 40" xfId="16302"/>
    <cellStyle name="Currency (0.00) 30 41" xfId="16303"/>
    <cellStyle name="Currency (0.00) 30 42" xfId="16304"/>
    <cellStyle name="Currency (0.00) 30 43" xfId="16305"/>
    <cellStyle name="Currency (0.00) 30 44" xfId="16306"/>
    <cellStyle name="Currency (0.00) 30 45" xfId="16307"/>
    <cellStyle name="Currency (0.00) 30 46" xfId="16308"/>
    <cellStyle name="Currency (0.00) 30 47" xfId="16309"/>
    <cellStyle name="Currency (0.00) 30 48" xfId="16310"/>
    <cellStyle name="Currency (0.00) 30 5" xfId="16311"/>
    <cellStyle name="Currency (0.00) 30 6" xfId="16312"/>
    <cellStyle name="Currency (0.00) 30 7" xfId="16313"/>
    <cellStyle name="Currency (0.00) 30 8" xfId="16314"/>
    <cellStyle name="Currency (0.00) 30 9" xfId="16315"/>
    <cellStyle name="Currency (0.00) 30_분양(100%)" xfId="38800"/>
    <cellStyle name="Currency (0.00) 31" xfId="16316"/>
    <cellStyle name="Currency (0.00) 31 10" xfId="16317"/>
    <cellStyle name="Currency (0.00) 31 11" xfId="16318"/>
    <cellStyle name="Currency (0.00) 31 12" xfId="16319"/>
    <cellStyle name="Currency (0.00) 31 13" xfId="16320"/>
    <cellStyle name="Currency (0.00) 31 14" xfId="16321"/>
    <cellStyle name="Currency (0.00) 31 15" xfId="16322"/>
    <cellStyle name="Currency (0.00) 31 16" xfId="16323"/>
    <cellStyle name="Currency (0.00) 31 17" xfId="16324"/>
    <cellStyle name="Currency (0.00) 31 18" xfId="16325"/>
    <cellStyle name="Currency (0.00) 31 19" xfId="16326"/>
    <cellStyle name="Currency (0.00) 31 2" xfId="16327"/>
    <cellStyle name="Currency (0.00) 31 20" xfId="16328"/>
    <cellStyle name="Currency (0.00) 31 21" xfId="16329"/>
    <cellStyle name="Currency (0.00) 31 22" xfId="16330"/>
    <cellStyle name="Currency (0.00) 31 23" xfId="16331"/>
    <cellStyle name="Currency (0.00) 31 24" xfId="16332"/>
    <cellStyle name="Currency (0.00) 31 25" xfId="16333"/>
    <cellStyle name="Currency (0.00) 31 26" xfId="16334"/>
    <cellStyle name="Currency (0.00) 31 27" xfId="16335"/>
    <cellStyle name="Currency (0.00) 31 28" xfId="16336"/>
    <cellStyle name="Currency (0.00) 31 29" xfId="16337"/>
    <cellStyle name="Currency (0.00) 31 3" xfId="16338"/>
    <cellStyle name="Currency (0.00) 31 30" xfId="16339"/>
    <cellStyle name="Currency (0.00) 31 31" xfId="16340"/>
    <cellStyle name="Currency (0.00) 31 32" xfId="16341"/>
    <cellStyle name="Currency (0.00) 31 33" xfId="16342"/>
    <cellStyle name="Currency (0.00) 31 34" xfId="16343"/>
    <cellStyle name="Currency (0.00) 31 35" xfId="16344"/>
    <cellStyle name="Currency (0.00) 31 36" xfId="16345"/>
    <cellStyle name="Currency (0.00) 31 37" xfId="16346"/>
    <cellStyle name="Currency (0.00) 31 38" xfId="16347"/>
    <cellStyle name="Currency (0.00) 31 39" xfId="16348"/>
    <cellStyle name="Currency (0.00) 31 4" xfId="16349"/>
    <cellStyle name="Currency (0.00) 31 40" xfId="16350"/>
    <cellStyle name="Currency (0.00) 31 41" xfId="16351"/>
    <cellStyle name="Currency (0.00) 31 42" xfId="16352"/>
    <cellStyle name="Currency (0.00) 31 43" xfId="16353"/>
    <cellStyle name="Currency (0.00) 31 44" xfId="16354"/>
    <cellStyle name="Currency (0.00) 31 45" xfId="16355"/>
    <cellStyle name="Currency (0.00) 31 46" xfId="16356"/>
    <cellStyle name="Currency (0.00) 31 47" xfId="16357"/>
    <cellStyle name="Currency (0.00) 31 48" xfId="16358"/>
    <cellStyle name="Currency (0.00) 31 5" xfId="16359"/>
    <cellStyle name="Currency (0.00) 31 6" xfId="16360"/>
    <cellStyle name="Currency (0.00) 31 7" xfId="16361"/>
    <cellStyle name="Currency (0.00) 31 8" xfId="16362"/>
    <cellStyle name="Currency (0.00) 31 9" xfId="16363"/>
    <cellStyle name="Currency (0.00) 31_분양(100%)" xfId="38801"/>
    <cellStyle name="Currency (0.00) 32" xfId="16364"/>
    <cellStyle name="Currency (0.00) 32 10" xfId="16365"/>
    <cellStyle name="Currency (0.00) 32 11" xfId="16366"/>
    <cellStyle name="Currency (0.00) 32 12" xfId="16367"/>
    <cellStyle name="Currency (0.00) 32 13" xfId="16368"/>
    <cellStyle name="Currency (0.00) 32 14" xfId="16369"/>
    <cellStyle name="Currency (0.00) 32 15" xfId="16370"/>
    <cellStyle name="Currency (0.00) 32 16" xfId="16371"/>
    <cellStyle name="Currency (0.00) 32 17" xfId="16372"/>
    <cellStyle name="Currency (0.00) 32 18" xfId="16373"/>
    <cellStyle name="Currency (0.00) 32 19" xfId="16374"/>
    <cellStyle name="Currency (0.00) 32 2" xfId="16375"/>
    <cellStyle name="Currency (0.00) 32 20" xfId="16376"/>
    <cellStyle name="Currency (0.00) 32 21" xfId="16377"/>
    <cellStyle name="Currency (0.00) 32 22" xfId="16378"/>
    <cellStyle name="Currency (0.00) 32 23" xfId="16379"/>
    <cellStyle name="Currency (0.00) 32 24" xfId="16380"/>
    <cellStyle name="Currency (0.00) 32 25" xfId="16381"/>
    <cellStyle name="Currency (0.00) 32 26" xfId="16382"/>
    <cellStyle name="Currency (0.00) 32 27" xfId="16383"/>
    <cellStyle name="Currency (0.00) 32 28" xfId="16384"/>
    <cellStyle name="Currency (0.00) 32 29" xfId="16385"/>
    <cellStyle name="Currency (0.00) 32 3" xfId="16386"/>
    <cellStyle name="Currency (0.00) 32 30" xfId="16387"/>
    <cellStyle name="Currency (0.00) 32 31" xfId="16388"/>
    <cellStyle name="Currency (0.00) 32 32" xfId="16389"/>
    <cellStyle name="Currency (0.00) 32 33" xfId="16390"/>
    <cellStyle name="Currency (0.00) 32 34" xfId="16391"/>
    <cellStyle name="Currency (0.00) 32 35" xfId="16392"/>
    <cellStyle name="Currency (0.00) 32 36" xfId="16393"/>
    <cellStyle name="Currency (0.00) 32 37" xfId="16394"/>
    <cellStyle name="Currency (0.00) 32 38" xfId="16395"/>
    <cellStyle name="Currency (0.00) 32 39" xfId="16396"/>
    <cellStyle name="Currency (0.00) 32 4" xfId="16397"/>
    <cellStyle name="Currency (0.00) 32 40" xfId="16398"/>
    <cellStyle name="Currency (0.00) 32 41" xfId="16399"/>
    <cellStyle name="Currency (0.00) 32 42" xfId="16400"/>
    <cellStyle name="Currency (0.00) 32 43" xfId="16401"/>
    <cellStyle name="Currency (0.00) 32 44" xfId="16402"/>
    <cellStyle name="Currency (0.00) 32 45" xfId="16403"/>
    <cellStyle name="Currency (0.00) 32 46" xfId="16404"/>
    <cellStyle name="Currency (0.00) 32 47" xfId="16405"/>
    <cellStyle name="Currency (0.00) 32 48" xfId="16406"/>
    <cellStyle name="Currency (0.00) 32 5" xfId="16407"/>
    <cellStyle name="Currency (0.00) 32 6" xfId="16408"/>
    <cellStyle name="Currency (0.00) 32 7" xfId="16409"/>
    <cellStyle name="Currency (0.00) 32 8" xfId="16410"/>
    <cellStyle name="Currency (0.00) 32 9" xfId="16411"/>
    <cellStyle name="Currency (0.00) 32_분양(100%)" xfId="38802"/>
    <cellStyle name="Currency (0.00) 33" xfId="16412"/>
    <cellStyle name="Currency (0.00) 33 10" xfId="16413"/>
    <cellStyle name="Currency (0.00) 33 11" xfId="16414"/>
    <cellStyle name="Currency (0.00) 33 12" xfId="16415"/>
    <cellStyle name="Currency (0.00) 33 13" xfId="16416"/>
    <cellStyle name="Currency (0.00) 33 14" xfId="16417"/>
    <cellStyle name="Currency (0.00) 33 15" xfId="16418"/>
    <cellStyle name="Currency (0.00) 33 16" xfId="16419"/>
    <cellStyle name="Currency (0.00) 33 17" xfId="16420"/>
    <cellStyle name="Currency (0.00) 33 18" xfId="16421"/>
    <cellStyle name="Currency (0.00) 33 19" xfId="16422"/>
    <cellStyle name="Currency (0.00) 33 2" xfId="16423"/>
    <cellStyle name="Currency (0.00) 33 20" xfId="16424"/>
    <cellStyle name="Currency (0.00) 33 21" xfId="16425"/>
    <cellStyle name="Currency (0.00) 33 22" xfId="16426"/>
    <cellStyle name="Currency (0.00) 33 23" xfId="16427"/>
    <cellStyle name="Currency (0.00) 33 24" xfId="16428"/>
    <cellStyle name="Currency (0.00) 33 25" xfId="16429"/>
    <cellStyle name="Currency (0.00) 33 26" xfId="16430"/>
    <cellStyle name="Currency (0.00) 33 27" xfId="16431"/>
    <cellStyle name="Currency (0.00) 33 28" xfId="16432"/>
    <cellStyle name="Currency (0.00) 33 29" xfId="16433"/>
    <cellStyle name="Currency (0.00) 33 3" xfId="16434"/>
    <cellStyle name="Currency (0.00) 33 30" xfId="16435"/>
    <cellStyle name="Currency (0.00) 33 31" xfId="16436"/>
    <cellStyle name="Currency (0.00) 33 32" xfId="16437"/>
    <cellStyle name="Currency (0.00) 33 33" xfId="16438"/>
    <cellStyle name="Currency (0.00) 33 34" xfId="16439"/>
    <cellStyle name="Currency (0.00) 33 35" xfId="16440"/>
    <cellStyle name="Currency (0.00) 33 36" xfId="16441"/>
    <cellStyle name="Currency (0.00) 33 37" xfId="16442"/>
    <cellStyle name="Currency (0.00) 33 38" xfId="16443"/>
    <cellStyle name="Currency (0.00) 33 39" xfId="16444"/>
    <cellStyle name="Currency (0.00) 33 4" xfId="16445"/>
    <cellStyle name="Currency (0.00) 33 40" xfId="16446"/>
    <cellStyle name="Currency (0.00) 33 41" xfId="16447"/>
    <cellStyle name="Currency (0.00) 33 42" xfId="16448"/>
    <cellStyle name="Currency (0.00) 33 43" xfId="16449"/>
    <cellStyle name="Currency (0.00) 33 44" xfId="16450"/>
    <cellStyle name="Currency (0.00) 33 45" xfId="16451"/>
    <cellStyle name="Currency (0.00) 33 46" xfId="16452"/>
    <cellStyle name="Currency (0.00) 33 47" xfId="16453"/>
    <cellStyle name="Currency (0.00) 33 48" xfId="16454"/>
    <cellStyle name="Currency (0.00) 33 5" xfId="16455"/>
    <cellStyle name="Currency (0.00) 33 6" xfId="16456"/>
    <cellStyle name="Currency (0.00) 33 7" xfId="16457"/>
    <cellStyle name="Currency (0.00) 33 8" xfId="16458"/>
    <cellStyle name="Currency (0.00) 33 9" xfId="16459"/>
    <cellStyle name="Currency (0.00) 33_분양(100%)" xfId="38803"/>
    <cellStyle name="Currency (0.00) 34" xfId="16460"/>
    <cellStyle name="Currency (0.00) 34 10" xfId="16461"/>
    <cellStyle name="Currency (0.00) 34 11" xfId="16462"/>
    <cellStyle name="Currency (0.00) 34 12" xfId="16463"/>
    <cellStyle name="Currency (0.00) 34 13" xfId="16464"/>
    <cellStyle name="Currency (0.00) 34 14" xfId="16465"/>
    <cellStyle name="Currency (0.00) 34 15" xfId="16466"/>
    <cellStyle name="Currency (0.00) 34 16" xfId="16467"/>
    <cellStyle name="Currency (0.00) 34 17" xfId="16468"/>
    <cellStyle name="Currency (0.00) 34 18" xfId="16469"/>
    <cellStyle name="Currency (0.00) 34 19" xfId="16470"/>
    <cellStyle name="Currency (0.00) 34 2" xfId="16471"/>
    <cellStyle name="Currency (0.00) 34 20" xfId="16472"/>
    <cellStyle name="Currency (0.00) 34 21" xfId="16473"/>
    <cellStyle name="Currency (0.00) 34 22" xfId="16474"/>
    <cellStyle name="Currency (0.00) 34 23" xfId="16475"/>
    <cellStyle name="Currency (0.00) 34 24" xfId="16476"/>
    <cellStyle name="Currency (0.00) 34 25" xfId="16477"/>
    <cellStyle name="Currency (0.00) 34 26" xfId="16478"/>
    <cellStyle name="Currency (0.00) 34 27" xfId="16479"/>
    <cellStyle name="Currency (0.00) 34 28" xfId="16480"/>
    <cellStyle name="Currency (0.00) 34 29" xfId="16481"/>
    <cellStyle name="Currency (0.00) 34 3" xfId="16482"/>
    <cellStyle name="Currency (0.00) 34 30" xfId="16483"/>
    <cellStyle name="Currency (0.00) 34 31" xfId="16484"/>
    <cellStyle name="Currency (0.00) 34 32" xfId="16485"/>
    <cellStyle name="Currency (0.00) 34 33" xfId="16486"/>
    <cellStyle name="Currency (0.00) 34 34" xfId="16487"/>
    <cellStyle name="Currency (0.00) 34 35" xfId="16488"/>
    <cellStyle name="Currency (0.00) 34 36" xfId="16489"/>
    <cellStyle name="Currency (0.00) 34 37" xfId="16490"/>
    <cellStyle name="Currency (0.00) 34 38" xfId="16491"/>
    <cellStyle name="Currency (0.00) 34 39" xfId="16492"/>
    <cellStyle name="Currency (0.00) 34 4" xfId="16493"/>
    <cellStyle name="Currency (0.00) 34 40" xfId="16494"/>
    <cellStyle name="Currency (0.00) 34 41" xfId="16495"/>
    <cellStyle name="Currency (0.00) 34 42" xfId="16496"/>
    <cellStyle name="Currency (0.00) 34 43" xfId="16497"/>
    <cellStyle name="Currency (0.00) 34 44" xfId="16498"/>
    <cellStyle name="Currency (0.00) 34 45" xfId="16499"/>
    <cellStyle name="Currency (0.00) 34 46" xfId="16500"/>
    <cellStyle name="Currency (0.00) 34 47" xfId="16501"/>
    <cellStyle name="Currency (0.00) 34 48" xfId="16502"/>
    <cellStyle name="Currency (0.00) 34 5" xfId="16503"/>
    <cellStyle name="Currency (0.00) 34 6" xfId="16504"/>
    <cellStyle name="Currency (0.00) 34 7" xfId="16505"/>
    <cellStyle name="Currency (0.00) 34 8" xfId="16506"/>
    <cellStyle name="Currency (0.00) 34 9" xfId="16507"/>
    <cellStyle name="Currency (0.00) 34_분양(100%)" xfId="38804"/>
    <cellStyle name="Currency (0.00) 35" xfId="16508"/>
    <cellStyle name="Currency (0.00) 35 10" xfId="16509"/>
    <cellStyle name="Currency (0.00) 35 11" xfId="16510"/>
    <cellStyle name="Currency (0.00) 35 12" xfId="16511"/>
    <cellStyle name="Currency (0.00) 35 13" xfId="16512"/>
    <cellStyle name="Currency (0.00) 35 14" xfId="16513"/>
    <cellStyle name="Currency (0.00) 35 15" xfId="16514"/>
    <cellStyle name="Currency (0.00) 35 16" xfId="16515"/>
    <cellStyle name="Currency (0.00) 35 17" xfId="16516"/>
    <cellStyle name="Currency (0.00) 35 18" xfId="16517"/>
    <cellStyle name="Currency (0.00) 35 19" xfId="16518"/>
    <cellStyle name="Currency (0.00) 35 2" xfId="16519"/>
    <cellStyle name="Currency (0.00) 35 20" xfId="16520"/>
    <cellStyle name="Currency (0.00) 35 21" xfId="16521"/>
    <cellStyle name="Currency (0.00) 35 22" xfId="16522"/>
    <cellStyle name="Currency (0.00) 35 23" xfId="16523"/>
    <cellStyle name="Currency (0.00) 35 24" xfId="16524"/>
    <cellStyle name="Currency (0.00) 35 25" xfId="16525"/>
    <cellStyle name="Currency (0.00) 35 26" xfId="16526"/>
    <cellStyle name="Currency (0.00) 35 27" xfId="16527"/>
    <cellStyle name="Currency (0.00) 35 28" xfId="16528"/>
    <cellStyle name="Currency (0.00) 35 29" xfId="16529"/>
    <cellStyle name="Currency (0.00) 35 3" xfId="16530"/>
    <cellStyle name="Currency (0.00) 35 30" xfId="16531"/>
    <cellStyle name="Currency (0.00) 35 31" xfId="16532"/>
    <cellStyle name="Currency (0.00) 35 32" xfId="16533"/>
    <cellStyle name="Currency (0.00) 35 33" xfId="16534"/>
    <cellStyle name="Currency (0.00) 35 34" xfId="16535"/>
    <cellStyle name="Currency (0.00) 35 35" xfId="16536"/>
    <cellStyle name="Currency (0.00) 35 36" xfId="16537"/>
    <cellStyle name="Currency (0.00) 35 37" xfId="16538"/>
    <cellStyle name="Currency (0.00) 35 38" xfId="16539"/>
    <cellStyle name="Currency (0.00) 35 39" xfId="16540"/>
    <cellStyle name="Currency (0.00) 35 4" xfId="16541"/>
    <cellStyle name="Currency (0.00) 35 40" xfId="16542"/>
    <cellStyle name="Currency (0.00) 35 41" xfId="16543"/>
    <cellStyle name="Currency (0.00) 35 42" xfId="16544"/>
    <cellStyle name="Currency (0.00) 35 43" xfId="16545"/>
    <cellStyle name="Currency (0.00) 35 44" xfId="16546"/>
    <cellStyle name="Currency (0.00) 35 45" xfId="16547"/>
    <cellStyle name="Currency (0.00) 35 46" xfId="16548"/>
    <cellStyle name="Currency (0.00) 35 47" xfId="16549"/>
    <cellStyle name="Currency (0.00) 35 48" xfId="16550"/>
    <cellStyle name="Currency (0.00) 35 5" xfId="16551"/>
    <cellStyle name="Currency (0.00) 35 6" xfId="16552"/>
    <cellStyle name="Currency (0.00) 35 7" xfId="16553"/>
    <cellStyle name="Currency (0.00) 35 8" xfId="16554"/>
    <cellStyle name="Currency (0.00) 35 9" xfId="16555"/>
    <cellStyle name="Currency (0.00) 35_분양(100%)" xfId="38805"/>
    <cellStyle name="Currency (0.00) 36" xfId="16556"/>
    <cellStyle name="Currency (0.00) 36 10" xfId="16557"/>
    <cellStyle name="Currency (0.00) 36 11" xfId="16558"/>
    <cellStyle name="Currency (0.00) 36 12" xfId="16559"/>
    <cellStyle name="Currency (0.00) 36 13" xfId="16560"/>
    <cellStyle name="Currency (0.00) 36 14" xfId="16561"/>
    <cellStyle name="Currency (0.00) 36 15" xfId="16562"/>
    <cellStyle name="Currency (0.00) 36 16" xfId="16563"/>
    <cellStyle name="Currency (0.00) 36 17" xfId="16564"/>
    <cellStyle name="Currency (0.00) 36 18" xfId="16565"/>
    <cellStyle name="Currency (0.00) 36 19" xfId="16566"/>
    <cellStyle name="Currency (0.00) 36 2" xfId="16567"/>
    <cellStyle name="Currency (0.00) 36 20" xfId="16568"/>
    <cellStyle name="Currency (0.00) 36 21" xfId="16569"/>
    <cellStyle name="Currency (0.00) 36 22" xfId="16570"/>
    <cellStyle name="Currency (0.00) 36 23" xfId="16571"/>
    <cellStyle name="Currency (0.00) 36 24" xfId="16572"/>
    <cellStyle name="Currency (0.00) 36 25" xfId="16573"/>
    <cellStyle name="Currency (0.00) 36 26" xfId="16574"/>
    <cellStyle name="Currency (0.00) 36 27" xfId="16575"/>
    <cellStyle name="Currency (0.00) 36 28" xfId="16576"/>
    <cellStyle name="Currency (0.00) 36 29" xfId="16577"/>
    <cellStyle name="Currency (0.00) 36 3" xfId="16578"/>
    <cellStyle name="Currency (0.00) 36 30" xfId="16579"/>
    <cellStyle name="Currency (0.00) 36 31" xfId="16580"/>
    <cellStyle name="Currency (0.00) 36 32" xfId="16581"/>
    <cellStyle name="Currency (0.00) 36 33" xfId="16582"/>
    <cellStyle name="Currency (0.00) 36 34" xfId="16583"/>
    <cellStyle name="Currency (0.00) 36 35" xfId="16584"/>
    <cellStyle name="Currency (0.00) 36 36" xfId="16585"/>
    <cellStyle name="Currency (0.00) 36 37" xfId="16586"/>
    <cellStyle name="Currency (0.00) 36 38" xfId="16587"/>
    <cellStyle name="Currency (0.00) 36 39" xfId="16588"/>
    <cellStyle name="Currency (0.00) 36 4" xfId="16589"/>
    <cellStyle name="Currency (0.00) 36 40" xfId="16590"/>
    <cellStyle name="Currency (0.00) 36 41" xfId="16591"/>
    <cellStyle name="Currency (0.00) 36 42" xfId="16592"/>
    <cellStyle name="Currency (0.00) 36 43" xfId="16593"/>
    <cellStyle name="Currency (0.00) 36 44" xfId="16594"/>
    <cellStyle name="Currency (0.00) 36 45" xfId="16595"/>
    <cellStyle name="Currency (0.00) 36 46" xfId="16596"/>
    <cellStyle name="Currency (0.00) 36 47" xfId="16597"/>
    <cellStyle name="Currency (0.00) 36 48" xfId="16598"/>
    <cellStyle name="Currency (0.00) 36 5" xfId="16599"/>
    <cellStyle name="Currency (0.00) 36 6" xfId="16600"/>
    <cellStyle name="Currency (0.00) 36 7" xfId="16601"/>
    <cellStyle name="Currency (0.00) 36 8" xfId="16602"/>
    <cellStyle name="Currency (0.00) 36 9" xfId="16603"/>
    <cellStyle name="Currency (0.00) 36_분양(100%)" xfId="38806"/>
    <cellStyle name="Currency (0.00) 37" xfId="16604"/>
    <cellStyle name="Currency (0.00) 37 10" xfId="16605"/>
    <cellStyle name="Currency (0.00) 37 11" xfId="16606"/>
    <cellStyle name="Currency (0.00) 37 12" xfId="16607"/>
    <cellStyle name="Currency (0.00) 37 13" xfId="16608"/>
    <cellStyle name="Currency (0.00) 37 14" xfId="16609"/>
    <cellStyle name="Currency (0.00) 37 15" xfId="16610"/>
    <cellStyle name="Currency (0.00) 37 16" xfId="16611"/>
    <cellStyle name="Currency (0.00) 37 17" xfId="16612"/>
    <cellStyle name="Currency (0.00) 37 18" xfId="16613"/>
    <cellStyle name="Currency (0.00) 37 19" xfId="16614"/>
    <cellStyle name="Currency (0.00) 37 2" xfId="16615"/>
    <cellStyle name="Currency (0.00) 37 20" xfId="16616"/>
    <cellStyle name="Currency (0.00) 37 21" xfId="16617"/>
    <cellStyle name="Currency (0.00) 37 22" xfId="16618"/>
    <cellStyle name="Currency (0.00) 37 23" xfId="16619"/>
    <cellStyle name="Currency (0.00) 37 24" xfId="16620"/>
    <cellStyle name="Currency (0.00) 37 25" xfId="16621"/>
    <cellStyle name="Currency (0.00) 37 26" xfId="16622"/>
    <cellStyle name="Currency (0.00) 37 27" xfId="16623"/>
    <cellStyle name="Currency (0.00) 37 28" xfId="16624"/>
    <cellStyle name="Currency (0.00) 37 29" xfId="16625"/>
    <cellStyle name="Currency (0.00) 37 3" xfId="16626"/>
    <cellStyle name="Currency (0.00) 37 30" xfId="16627"/>
    <cellStyle name="Currency (0.00) 37 31" xfId="16628"/>
    <cellStyle name="Currency (0.00) 37 32" xfId="16629"/>
    <cellStyle name="Currency (0.00) 37 33" xfId="16630"/>
    <cellStyle name="Currency (0.00) 37 34" xfId="16631"/>
    <cellStyle name="Currency (0.00) 37 35" xfId="16632"/>
    <cellStyle name="Currency (0.00) 37 36" xfId="16633"/>
    <cellStyle name="Currency (0.00) 37 37" xfId="16634"/>
    <cellStyle name="Currency (0.00) 37 38" xfId="16635"/>
    <cellStyle name="Currency (0.00) 37 39" xfId="16636"/>
    <cellStyle name="Currency (0.00) 37 4" xfId="16637"/>
    <cellStyle name="Currency (0.00) 37 40" xfId="16638"/>
    <cellStyle name="Currency (0.00) 37 41" xfId="16639"/>
    <cellStyle name="Currency (0.00) 37 42" xfId="16640"/>
    <cellStyle name="Currency (0.00) 37 43" xfId="16641"/>
    <cellStyle name="Currency (0.00) 37 44" xfId="16642"/>
    <cellStyle name="Currency (0.00) 37 45" xfId="16643"/>
    <cellStyle name="Currency (0.00) 37 46" xfId="16644"/>
    <cellStyle name="Currency (0.00) 37 47" xfId="16645"/>
    <cellStyle name="Currency (0.00) 37 48" xfId="16646"/>
    <cellStyle name="Currency (0.00) 37 5" xfId="16647"/>
    <cellStyle name="Currency (0.00) 37 6" xfId="16648"/>
    <cellStyle name="Currency (0.00) 37 7" xfId="16649"/>
    <cellStyle name="Currency (0.00) 37 8" xfId="16650"/>
    <cellStyle name="Currency (0.00) 37 9" xfId="16651"/>
    <cellStyle name="Currency (0.00) 37_분양(100%)" xfId="38807"/>
    <cellStyle name="Currency (0.00) 38" xfId="16652"/>
    <cellStyle name="Currency (0.00) 38 10" xfId="16653"/>
    <cellStyle name="Currency (0.00) 38 11" xfId="16654"/>
    <cellStyle name="Currency (0.00) 38 12" xfId="16655"/>
    <cellStyle name="Currency (0.00) 38 13" xfId="16656"/>
    <cellStyle name="Currency (0.00) 38 14" xfId="16657"/>
    <cellStyle name="Currency (0.00) 38 15" xfId="16658"/>
    <cellStyle name="Currency (0.00) 38 16" xfId="16659"/>
    <cellStyle name="Currency (0.00) 38 17" xfId="16660"/>
    <cellStyle name="Currency (0.00) 38 18" xfId="16661"/>
    <cellStyle name="Currency (0.00) 38 19" xfId="16662"/>
    <cellStyle name="Currency (0.00) 38 2" xfId="16663"/>
    <cellStyle name="Currency (0.00) 38 20" xfId="16664"/>
    <cellStyle name="Currency (0.00) 38 21" xfId="16665"/>
    <cellStyle name="Currency (0.00) 38 22" xfId="16666"/>
    <cellStyle name="Currency (0.00) 38 23" xfId="16667"/>
    <cellStyle name="Currency (0.00) 38 24" xfId="16668"/>
    <cellStyle name="Currency (0.00) 38 25" xfId="16669"/>
    <cellStyle name="Currency (0.00) 38 26" xfId="16670"/>
    <cellStyle name="Currency (0.00) 38 27" xfId="16671"/>
    <cellStyle name="Currency (0.00) 38 28" xfId="16672"/>
    <cellStyle name="Currency (0.00) 38 29" xfId="16673"/>
    <cellStyle name="Currency (0.00) 38 3" xfId="16674"/>
    <cellStyle name="Currency (0.00) 38 30" xfId="16675"/>
    <cellStyle name="Currency (0.00) 38 31" xfId="16676"/>
    <cellStyle name="Currency (0.00) 38 32" xfId="16677"/>
    <cellStyle name="Currency (0.00) 38 33" xfId="16678"/>
    <cellStyle name="Currency (0.00) 38 34" xfId="16679"/>
    <cellStyle name="Currency (0.00) 38 35" xfId="16680"/>
    <cellStyle name="Currency (0.00) 38 36" xfId="16681"/>
    <cellStyle name="Currency (0.00) 38 37" xfId="16682"/>
    <cellStyle name="Currency (0.00) 38 38" xfId="16683"/>
    <cellStyle name="Currency (0.00) 38 39" xfId="16684"/>
    <cellStyle name="Currency (0.00) 38 4" xfId="16685"/>
    <cellStyle name="Currency (0.00) 38 40" xfId="16686"/>
    <cellStyle name="Currency (0.00) 38 41" xfId="16687"/>
    <cellStyle name="Currency (0.00) 38 42" xfId="16688"/>
    <cellStyle name="Currency (0.00) 38 43" xfId="16689"/>
    <cellStyle name="Currency (0.00) 38 44" xfId="16690"/>
    <cellStyle name="Currency (0.00) 38 45" xfId="16691"/>
    <cellStyle name="Currency (0.00) 38 46" xfId="16692"/>
    <cellStyle name="Currency (0.00) 38 47" xfId="16693"/>
    <cellStyle name="Currency (0.00) 38 48" xfId="16694"/>
    <cellStyle name="Currency (0.00) 38 5" xfId="16695"/>
    <cellStyle name="Currency (0.00) 38 6" xfId="16696"/>
    <cellStyle name="Currency (0.00) 38 7" xfId="16697"/>
    <cellStyle name="Currency (0.00) 38 8" xfId="16698"/>
    <cellStyle name="Currency (0.00) 38 9" xfId="16699"/>
    <cellStyle name="Currency (0.00) 38_분양(100%)" xfId="38808"/>
    <cellStyle name="Currency (0.00) 39" xfId="16700"/>
    <cellStyle name="Currency (0.00) 39 10" xfId="16701"/>
    <cellStyle name="Currency (0.00) 39 11" xfId="16702"/>
    <cellStyle name="Currency (0.00) 39 12" xfId="16703"/>
    <cellStyle name="Currency (0.00) 39 13" xfId="16704"/>
    <cellStyle name="Currency (0.00) 39 14" xfId="16705"/>
    <cellStyle name="Currency (0.00) 39 15" xfId="16706"/>
    <cellStyle name="Currency (0.00) 39 16" xfId="16707"/>
    <cellStyle name="Currency (0.00) 39 17" xfId="16708"/>
    <cellStyle name="Currency (0.00) 39 18" xfId="16709"/>
    <cellStyle name="Currency (0.00) 39 19" xfId="16710"/>
    <cellStyle name="Currency (0.00) 39 2" xfId="16711"/>
    <cellStyle name="Currency (0.00) 39 20" xfId="16712"/>
    <cellStyle name="Currency (0.00) 39 21" xfId="16713"/>
    <cellStyle name="Currency (0.00) 39 22" xfId="16714"/>
    <cellStyle name="Currency (0.00) 39 23" xfId="16715"/>
    <cellStyle name="Currency (0.00) 39 24" xfId="16716"/>
    <cellStyle name="Currency (0.00) 39 25" xfId="16717"/>
    <cellStyle name="Currency (0.00) 39 26" xfId="16718"/>
    <cellStyle name="Currency (0.00) 39 27" xfId="16719"/>
    <cellStyle name="Currency (0.00) 39 28" xfId="16720"/>
    <cellStyle name="Currency (0.00) 39 29" xfId="16721"/>
    <cellStyle name="Currency (0.00) 39 3" xfId="16722"/>
    <cellStyle name="Currency (0.00) 39 30" xfId="16723"/>
    <cellStyle name="Currency (0.00) 39 31" xfId="16724"/>
    <cellStyle name="Currency (0.00) 39 32" xfId="16725"/>
    <cellStyle name="Currency (0.00) 39 33" xfId="16726"/>
    <cellStyle name="Currency (0.00) 39 34" xfId="16727"/>
    <cellStyle name="Currency (0.00) 39 35" xfId="16728"/>
    <cellStyle name="Currency (0.00) 39 36" xfId="16729"/>
    <cellStyle name="Currency (0.00) 39 37" xfId="16730"/>
    <cellStyle name="Currency (0.00) 39 38" xfId="16731"/>
    <cellStyle name="Currency (0.00) 39 39" xfId="16732"/>
    <cellStyle name="Currency (0.00) 39 4" xfId="16733"/>
    <cellStyle name="Currency (0.00) 39 40" xfId="16734"/>
    <cellStyle name="Currency (0.00) 39 41" xfId="16735"/>
    <cellStyle name="Currency (0.00) 39 42" xfId="16736"/>
    <cellStyle name="Currency (0.00) 39 43" xfId="16737"/>
    <cellStyle name="Currency (0.00) 39 44" xfId="16738"/>
    <cellStyle name="Currency (0.00) 39 45" xfId="16739"/>
    <cellStyle name="Currency (0.00) 39 46" xfId="16740"/>
    <cellStyle name="Currency (0.00) 39 47" xfId="16741"/>
    <cellStyle name="Currency (0.00) 39 48" xfId="16742"/>
    <cellStyle name="Currency (0.00) 39 5" xfId="16743"/>
    <cellStyle name="Currency (0.00) 39 6" xfId="16744"/>
    <cellStyle name="Currency (0.00) 39 7" xfId="16745"/>
    <cellStyle name="Currency (0.00) 39 8" xfId="16746"/>
    <cellStyle name="Currency (0.00) 39 9" xfId="16747"/>
    <cellStyle name="Currency (0.00) 39_분양(100%)" xfId="38809"/>
    <cellStyle name="Currency (0.00) 4" xfId="16748"/>
    <cellStyle name="Currency (0.00) 4 10" xfId="16749"/>
    <cellStyle name="Currency (0.00) 4 11" xfId="16750"/>
    <cellStyle name="Currency (0.00) 4 12" xfId="16751"/>
    <cellStyle name="Currency (0.00) 4 13" xfId="16752"/>
    <cellStyle name="Currency (0.00) 4 14" xfId="16753"/>
    <cellStyle name="Currency (0.00) 4 15" xfId="16754"/>
    <cellStyle name="Currency (0.00) 4 16" xfId="16755"/>
    <cellStyle name="Currency (0.00) 4 17" xfId="16756"/>
    <cellStyle name="Currency (0.00) 4 18" xfId="16757"/>
    <cellStyle name="Currency (0.00) 4 19" xfId="16758"/>
    <cellStyle name="Currency (0.00) 4 2" xfId="16759"/>
    <cellStyle name="Currency (0.00) 4 20" xfId="16760"/>
    <cellStyle name="Currency (0.00) 4 21" xfId="16761"/>
    <cellStyle name="Currency (0.00) 4 22" xfId="16762"/>
    <cellStyle name="Currency (0.00) 4 23" xfId="16763"/>
    <cellStyle name="Currency (0.00) 4 24" xfId="16764"/>
    <cellStyle name="Currency (0.00) 4 25" xfId="16765"/>
    <cellStyle name="Currency (0.00) 4 26" xfId="16766"/>
    <cellStyle name="Currency (0.00) 4 27" xfId="16767"/>
    <cellStyle name="Currency (0.00) 4 28" xfId="16768"/>
    <cellStyle name="Currency (0.00) 4 29" xfId="16769"/>
    <cellStyle name="Currency (0.00) 4 3" xfId="16770"/>
    <cellStyle name="Currency (0.00) 4 30" xfId="16771"/>
    <cellStyle name="Currency (0.00) 4 31" xfId="16772"/>
    <cellStyle name="Currency (0.00) 4 32" xfId="16773"/>
    <cellStyle name="Currency (0.00) 4 33" xfId="16774"/>
    <cellStyle name="Currency (0.00) 4 34" xfId="16775"/>
    <cellStyle name="Currency (0.00) 4 35" xfId="16776"/>
    <cellStyle name="Currency (0.00) 4 36" xfId="16777"/>
    <cellStyle name="Currency (0.00) 4 37" xfId="16778"/>
    <cellStyle name="Currency (0.00) 4 38" xfId="16779"/>
    <cellStyle name="Currency (0.00) 4 39" xfId="16780"/>
    <cellStyle name="Currency (0.00) 4 4" xfId="16781"/>
    <cellStyle name="Currency (0.00) 4 40" xfId="16782"/>
    <cellStyle name="Currency (0.00) 4 41" xfId="16783"/>
    <cellStyle name="Currency (0.00) 4 42" xfId="16784"/>
    <cellStyle name="Currency (0.00) 4 43" xfId="16785"/>
    <cellStyle name="Currency (0.00) 4 44" xfId="16786"/>
    <cellStyle name="Currency (0.00) 4 45" xfId="16787"/>
    <cellStyle name="Currency (0.00) 4 46" xfId="16788"/>
    <cellStyle name="Currency (0.00) 4 47" xfId="16789"/>
    <cellStyle name="Currency (0.00) 4 48" xfId="16790"/>
    <cellStyle name="Currency (0.00) 4 5" xfId="16791"/>
    <cellStyle name="Currency (0.00) 4 6" xfId="16792"/>
    <cellStyle name="Currency (0.00) 4 7" xfId="16793"/>
    <cellStyle name="Currency (0.00) 4 8" xfId="16794"/>
    <cellStyle name="Currency (0.00) 4 9" xfId="16795"/>
    <cellStyle name="Currency (0.00) 4_분양(100%)" xfId="38810"/>
    <cellStyle name="Currency (0.00) 40" xfId="16796"/>
    <cellStyle name="Currency (0.00) 40 10" xfId="16797"/>
    <cellStyle name="Currency (0.00) 40 11" xfId="16798"/>
    <cellStyle name="Currency (0.00) 40 12" xfId="16799"/>
    <cellStyle name="Currency (0.00) 40 13" xfId="16800"/>
    <cellStyle name="Currency (0.00) 40 14" xfId="16801"/>
    <cellStyle name="Currency (0.00) 40 15" xfId="16802"/>
    <cellStyle name="Currency (0.00) 40 16" xfId="16803"/>
    <cellStyle name="Currency (0.00) 40 17" xfId="16804"/>
    <cellStyle name="Currency (0.00) 40 18" xfId="16805"/>
    <cellStyle name="Currency (0.00) 40 19" xfId="16806"/>
    <cellStyle name="Currency (0.00) 40 2" xfId="16807"/>
    <cellStyle name="Currency (0.00) 40 20" xfId="16808"/>
    <cellStyle name="Currency (0.00) 40 21" xfId="16809"/>
    <cellStyle name="Currency (0.00) 40 22" xfId="16810"/>
    <cellStyle name="Currency (0.00) 40 23" xfId="16811"/>
    <cellStyle name="Currency (0.00) 40 24" xfId="16812"/>
    <cellStyle name="Currency (0.00) 40 25" xfId="16813"/>
    <cellStyle name="Currency (0.00) 40 26" xfId="16814"/>
    <cellStyle name="Currency (0.00) 40 27" xfId="16815"/>
    <cellStyle name="Currency (0.00) 40 28" xfId="16816"/>
    <cellStyle name="Currency (0.00) 40 29" xfId="16817"/>
    <cellStyle name="Currency (0.00) 40 3" xfId="16818"/>
    <cellStyle name="Currency (0.00) 40 30" xfId="16819"/>
    <cellStyle name="Currency (0.00) 40 31" xfId="16820"/>
    <cellStyle name="Currency (0.00) 40 32" xfId="16821"/>
    <cellStyle name="Currency (0.00) 40 33" xfId="16822"/>
    <cellStyle name="Currency (0.00) 40 34" xfId="16823"/>
    <cellStyle name="Currency (0.00) 40 35" xfId="16824"/>
    <cellStyle name="Currency (0.00) 40 36" xfId="16825"/>
    <cellStyle name="Currency (0.00) 40 37" xfId="16826"/>
    <cellStyle name="Currency (0.00) 40 38" xfId="16827"/>
    <cellStyle name="Currency (0.00) 40 39" xfId="16828"/>
    <cellStyle name="Currency (0.00) 40 4" xfId="16829"/>
    <cellStyle name="Currency (0.00) 40 40" xfId="16830"/>
    <cellStyle name="Currency (0.00) 40 41" xfId="16831"/>
    <cellStyle name="Currency (0.00) 40 42" xfId="16832"/>
    <cellStyle name="Currency (0.00) 40 43" xfId="16833"/>
    <cellStyle name="Currency (0.00) 40 44" xfId="16834"/>
    <cellStyle name="Currency (0.00) 40 45" xfId="16835"/>
    <cellStyle name="Currency (0.00) 40 46" xfId="16836"/>
    <cellStyle name="Currency (0.00) 40 47" xfId="16837"/>
    <cellStyle name="Currency (0.00) 40 48" xfId="16838"/>
    <cellStyle name="Currency (0.00) 40 5" xfId="16839"/>
    <cellStyle name="Currency (0.00) 40 6" xfId="16840"/>
    <cellStyle name="Currency (0.00) 40 7" xfId="16841"/>
    <cellStyle name="Currency (0.00) 40 8" xfId="16842"/>
    <cellStyle name="Currency (0.00) 40 9" xfId="16843"/>
    <cellStyle name="Currency (0.00) 40_분양(100%)" xfId="38811"/>
    <cellStyle name="Currency (0.00) 41" xfId="16844"/>
    <cellStyle name="Currency (0.00) 42" xfId="16845"/>
    <cellStyle name="Currency (0.00) 43" xfId="16846"/>
    <cellStyle name="Currency (0.00) 44" xfId="16847"/>
    <cellStyle name="Currency (0.00) 45" xfId="16848"/>
    <cellStyle name="Currency (0.00) 5" xfId="16849"/>
    <cellStyle name="Currency (0.00) 5 10" xfId="16850"/>
    <cellStyle name="Currency (0.00) 5 11" xfId="16851"/>
    <cellStyle name="Currency (0.00) 5 12" xfId="16852"/>
    <cellStyle name="Currency (0.00) 5 13" xfId="16853"/>
    <cellStyle name="Currency (0.00) 5 14" xfId="16854"/>
    <cellStyle name="Currency (0.00) 5 15" xfId="16855"/>
    <cellStyle name="Currency (0.00) 5 16" xfId="16856"/>
    <cellStyle name="Currency (0.00) 5 17" xfId="16857"/>
    <cellStyle name="Currency (0.00) 5 18" xfId="16858"/>
    <cellStyle name="Currency (0.00) 5 19" xfId="16859"/>
    <cellStyle name="Currency (0.00) 5 2" xfId="16860"/>
    <cellStyle name="Currency (0.00) 5 20" xfId="16861"/>
    <cellStyle name="Currency (0.00) 5 21" xfId="16862"/>
    <cellStyle name="Currency (0.00) 5 22" xfId="16863"/>
    <cellStyle name="Currency (0.00) 5 23" xfId="16864"/>
    <cellStyle name="Currency (0.00) 5 24" xfId="16865"/>
    <cellStyle name="Currency (0.00) 5 25" xfId="16866"/>
    <cellStyle name="Currency (0.00) 5 26" xfId="16867"/>
    <cellStyle name="Currency (0.00) 5 27" xfId="16868"/>
    <cellStyle name="Currency (0.00) 5 28" xfId="16869"/>
    <cellStyle name="Currency (0.00) 5 29" xfId="16870"/>
    <cellStyle name="Currency (0.00) 5 3" xfId="16871"/>
    <cellStyle name="Currency (0.00) 5 30" xfId="16872"/>
    <cellStyle name="Currency (0.00) 5 31" xfId="16873"/>
    <cellStyle name="Currency (0.00) 5 32" xfId="16874"/>
    <cellStyle name="Currency (0.00) 5 33" xfId="16875"/>
    <cellStyle name="Currency (0.00) 5 34" xfId="16876"/>
    <cellStyle name="Currency (0.00) 5 35" xfId="16877"/>
    <cellStyle name="Currency (0.00) 5 36" xfId="16878"/>
    <cellStyle name="Currency (0.00) 5 37" xfId="16879"/>
    <cellStyle name="Currency (0.00) 5 38" xfId="16880"/>
    <cellStyle name="Currency (0.00) 5 39" xfId="16881"/>
    <cellStyle name="Currency (0.00) 5 4" xfId="16882"/>
    <cellStyle name="Currency (0.00) 5 40" xfId="16883"/>
    <cellStyle name="Currency (0.00) 5 41" xfId="16884"/>
    <cellStyle name="Currency (0.00) 5 42" xfId="16885"/>
    <cellStyle name="Currency (0.00) 5 43" xfId="16886"/>
    <cellStyle name="Currency (0.00) 5 44" xfId="16887"/>
    <cellStyle name="Currency (0.00) 5 45" xfId="16888"/>
    <cellStyle name="Currency (0.00) 5 46" xfId="16889"/>
    <cellStyle name="Currency (0.00) 5 47" xfId="16890"/>
    <cellStyle name="Currency (0.00) 5 48" xfId="16891"/>
    <cellStyle name="Currency (0.00) 5 5" xfId="16892"/>
    <cellStyle name="Currency (0.00) 5 6" xfId="16893"/>
    <cellStyle name="Currency (0.00) 5 7" xfId="16894"/>
    <cellStyle name="Currency (0.00) 5 8" xfId="16895"/>
    <cellStyle name="Currency (0.00) 5 9" xfId="16896"/>
    <cellStyle name="Currency (0.00) 5_분양(100%)" xfId="38812"/>
    <cellStyle name="Currency (0.00) 6" xfId="16897"/>
    <cellStyle name="Currency (0.00) 6 10" xfId="16898"/>
    <cellStyle name="Currency (0.00) 6 11" xfId="16899"/>
    <cellStyle name="Currency (0.00) 6 12" xfId="16900"/>
    <cellStyle name="Currency (0.00) 6 13" xfId="16901"/>
    <cellStyle name="Currency (0.00) 6 14" xfId="16902"/>
    <cellStyle name="Currency (0.00) 6 15" xfId="16903"/>
    <cellStyle name="Currency (0.00) 6 16" xfId="16904"/>
    <cellStyle name="Currency (0.00) 6 17" xfId="16905"/>
    <cellStyle name="Currency (0.00) 6 18" xfId="16906"/>
    <cellStyle name="Currency (0.00) 6 19" xfId="16907"/>
    <cellStyle name="Currency (0.00) 6 2" xfId="16908"/>
    <cellStyle name="Currency (0.00) 6 20" xfId="16909"/>
    <cellStyle name="Currency (0.00) 6 21" xfId="16910"/>
    <cellStyle name="Currency (0.00) 6 22" xfId="16911"/>
    <cellStyle name="Currency (0.00) 6 23" xfId="16912"/>
    <cellStyle name="Currency (0.00) 6 24" xfId="16913"/>
    <cellStyle name="Currency (0.00) 6 25" xfId="16914"/>
    <cellStyle name="Currency (0.00) 6 26" xfId="16915"/>
    <cellStyle name="Currency (0.00) 6 27" xfId="16916"/>
    <cellStyle name="Currency (0.00) 6 28" xfId="16917"/>
    <cellStyle name="Currency (0.00) 6 29" xfId="16918"/>
    <cellStyle name="Currency (0.00) 6 3" xfId="16919"/>
    <cellStyle name="Currency (0.00) 6 30" xfId="16920"/>
    <cellStyle name="Currency (0.00) 6 31" xfId="16921"/>
    <cellStyle name="Currency (0.00) 6 32" xfId="16922"/>
    <cellStyle name="Currency (0.00) 6 33" xfId="16923"/>
    <cellStyle name="Currency (0.00) 6 34" xfId="16924"/>
    <cellStyle name="Currency (0.00) 6 35" xfId="16925"/>
    <cellStyle name="Currency (0.00) 6 36" xfId="16926"/>
    <cellStyle name="Currency (0.00) 6 37" xfId="16927"/>
    <cellStyle name="Currency (0.00) 6 38" xfId="16928"/>
    <cellStyle name="Currency (0.00) 6 39" xfId="16929"/>
    <cellStyle name="Currency (0.00) 6 4" xfId="16930"/>
    <cellStyle name="Currency (0.00) 6 40" xfId="16931"/>
    <cellStyle name="Currency (0.00) 6 41" xfId="16932"/>
    <cellStyle name="Currency (0.00) 6 42" xfId="16933"/>
    <cellStyle name="Currency (0.00) 6 43" xfId="16934"/>
    <cellStyle name="Currency (0.00) 6 44" xfId="16935"/>
    <cellStyle name="Currency (0.00) 6 45" xfId="16936"/>
    <cellStyle name="Currency (0.00) 6 46" xfId="16937"/>
    <cellStyle name="Currency (0.00) 6 47" xfId="16938"/>
    <cellStyle name="Currency (0.00) 6 48" xfId="16939"/>
    <cellStyle name="Currency (0.00) 6 5" xfId="16940"/>
    <cellStyle name="Currency (0.00) 6 6" xfId="16941"/>
    <cellStyle name="Currency (0.00) 6 7" xfId="16942"/>
    <cellStyle name="Currency (0.00) 6 8" xfId="16943"/>
    <cellStyle name="Currency (0.00) 6 9" xfId="16944"/>
    <cellStyle name="Currency (0.00) 6_분양(100%)" xfId="38813"/>
    <cellStyle name="Currency (0.00) 7" xfId="16945"/>
    <cellStyle name="Currency (0.00) 7 10" xfId="16946"/>
    <cellStyle name="Currency (0.00) 7 11" xfId="16947"/>
    <cellStyle name="Currency (0.00) 7 12" xfId="16948"/>
    <cellStyle name="Currency (0.00) 7 13" xfId="16949"/>
    <cellStyle name="Currency (0.00) 7 14" xfId="16950"/>
    <cellStyle name="Currency (0.00) 7 15" xfId="16951"/>
    <cellStyle name="Currency (0.00) 7 16" xfId="16952"/>
    <cellStyle name="Currency (0.00) 7 17" xfId="16953"/>
    <cellStyle name="Currency (0.00) 7 18" xfId="16954"/>
    <cellStyle name="Currency (0.00) 7 19" xfId="16955"/>
    <cellStyle name="Currency (0.00) 7 2" xfId="16956"/>
    <cellStyle name="Currency (0.00) 7 20" xfId="16957"/>
    <cellStyle name="Currency (0.00) 7 21" xfId="16958"/>
    <cellStyle name="Currency (0.00) 7 22" xfId="16959"/>
    <cellStyle name="Currency (0.00) 7 23" xfId="16960"/>
    <cellStyle name="Currency (0.00) 7 24" xfId="16961"/>
    <cellStyle name="Currency (0.00) 7 25" xfId="16962"/>
    <cellStyle name="Currency (0.00) 7 26" xfId="16963"/>
    <cellStyle name="Currency (0.00) 7 27" xfId="16964"/>
    <cellStyle name="Currency (0.00) 7 28" xfId="16965"/>
    <cellStyle name="Currency (0.00) 7 29" xfId="16966"/>
    <cellStyle name="Currency (0.00) 7 3" xfId="16967"/>
    <cellStyle name="Currency (0.00) 7 30" xfId="16968"/>
    <cellStyle name="Currency (0.00) 7 31" xfId="16969"/>
    <cellStyle name="Currency (0.00) 7 32" xfId="16970"/>
    <cellStyle name="Currency (0.00) 7 33" xfId="16971"/>
    <cellStyle name="Currency (0.00) 7 34" xfId="16972"/>
    <cellStyle name="Currency (0.00) 7 35" xfId="16973"/>
    <cellStyle name="Currency (0.00) 7 36" xfId="16974"/>
    <cellStyle name="Currency (0.00) 7 37" xfId="16975"/>
    <cellStyle name="Currency (0.00) 7 38" xfId="16976"/>
    <cellStyle name="Currency (0.00) 7 39" xfId="16977"/>
    <cellStyle name="Currency (0.00) 7 4" xfId="16978"/>
    <cellStyle name="Currency (0.00) 7 40" xfId="16979"/>
    <cellStyle name="Currency (0.00) 7 41" xfId="16980"/>
    <cellStyle name="Currency (0.00) 7 42" xfId="16981"/>
    <cellStyle name="Currency (0.00) 7 43" xfId="16982"/>
    <cellStyle name="Currency (0.00) 7 44" xfId="16983"/>
    <cellStyle name="Currency (0.00) 7 45" xfId="16984"/>
    <cellStyle name="Currency (0.00) 7 46" xfId="16985"/>
    <cellStyle name="Currency (0.00) 7 47" xfId="16986"/>
    <cellStyle name="Currency (0.00) 7 48" xfId="16987"/>
    <cellStyle name="Currency (0.00) 7 5" xfId="16988"/>
    <cellStyle name="Currency (0.00) 7 6" xfId="16989"/>
    <cellStyle name="Currency (0.00) 7 7" xfId="16990"/>
    <cellStyle name="Currency (0.00) 7 8" xfId="16991"/>
    <cellStyle name="Currency (0.00) 7 9" xfId="16992"/>
    <cellStyle name="Currency (0.00) 7_분양(100%)" xfId="38814"/>
    <cellStyle name="Currency (0.00) 8" xfId="16993"/>
    <cellStyle name="Currency (0.00) 8 10" xfId="16994"/>
    <cellStyle name="Currency (0.00) 8 11" xfId="16995"/>
    <cellStyle name="Currency (0.00) 8 12" xfId="16996"/>
    <cellStyle name="Currency (0.00) 8 13" xfId="16997"/>
    <cellStyle name="Currency (0.00) 8 14" xfId="16998"/>
    <cellStyle name="Currency (0.00) 8 15" xfId="16999"/>
    <cellStyle name="Currency (0.00) 8 16" xfId="17000"/>
    <cellStyle name="Currency (0.00) 8 17" xfId="17001"/>
    <cellStyle name="Currency (0.00) 8 18" xfId="17002"/>
    <cellStyle name="Currency (0.00) 8 19" xfId="17003"/>
    <cellStyle name="Currency (0.00) 8 2" xfId="17004"/>
    <cellStyle name="Currency (0.00) 8 20" xfId="17005"/>
    <cellStyle name="Currency (0.00) 8 21" xfId="17006"/>
    <cellStyle name="Currency (0.00) 8 22" xfId="17007"/>
    <cellStyle name="Currency (0.00) 8 23" xfId="17008"/>
    <cellStyle name="Currency (0.00) 8 24" xfId="17009"/>
    <cellStyle name="Currency (0.00) 8 25" xfId="17010"/>
    <cellStyle name="Currency (0.00) 8 26" xfId="17011"/>
    <cellStyle name="Currency (0.00) 8 27" xfId="17012"/>
    <cellStyle name="Currency (0.00) 8 28" xfId="17013"/>
    <cellStyle name="Currency (0.00) 8 29" xfId="17014"/>
    <cellStyle name="Currency (0.00) 8 3" xfId="17015"/>
    <cellStyle name="Currency (0.00) 8 30" xfId="17016"/>
    <cellStyle name="Currency (0.00) 8 31" xfId="17017"/>
    <cellStyle name="Currency (0.00) 8 32" xfId="17018"/>
    <cellStyle name="Currency (0.00) 8 33" xfId="17019"/>
    <cellStyle name="Currency (0.00) 8 34" xfId="17020"/>
    <cellStyle name="Currency (0.00) 8 35" xfId="17021"/>
    <cellStyle name="Currency (0.00) 8 36" xfId="17022"/>
    <cellStyle name="Currency (0.00) 8 37" xfId="17023"/>
    <cellStyle name="Currency (0.00) 8 38" xfId="17024"/>
    <cellStyle name="Currency (0.00) 8 39" xfId="17025"/>
    <cellStyle name="Currency (0.00) 8 4" xfId="17026"/>
    <cellStyle name="Currency (0.00) 8 40" xfId="17027"/>
    <cellStyle name="Currency (0.00) 8 41" xfId="17028"/>
    <cellStyle name="Currency (0.00) 8 42" xfId="17029"/>
    <cellStyle name="Currency (0.00) 8 43" xfId="17030"/>
    <cellStyle name="Currency (0.00) 8 44" xfId="17031"/>
    <cellStyle name="Currency (0.00) 8 45" xfId="17032"/>
    <cellStyle name="Currency (0.00) 8 46" xfId="17033"/>
    <cellStyle name="Currency (0.00) 8 47" xfId="17034"/>
    <cellStyle name="Currency (0.00) 8 48" xfId="17035"/>
    <cellStyle name="Currency (0.00) 8 5" xfId="17036"/>
    <cellStyle name="Currency (0.00) 8 6" xfId="17037"/>
    <cellStyle name="Currency (0.00) 8 7" xfId="17038"/>
    <cellStyle name="Currency (0.00) 8 8" xfId="17039"/>
    <cellStyle name="Currency (0.00) 8 9" xfId="17040"/>
    <cellStyle name="Currency (0.00) 8_분양(100%)" xfId="38815"/>
    <cellStyle name="Currency (0.00) 9" xfId="17041"/>
    <cellStyle name="Currency (0.00) 9 10" xfId="17042"/>
    <cellStyle name="Currency (0.00) 9 11" xfId="17043"/>
    <cellStyle name="Currency (0.00) 9 12" xfId="17044"/>
    <cellStyle name="Currency (0.00) 9 13" xfId="17045"/>
    <cellStyle name="Currency (0.00) 9 14" xfId="17046"/>
    <cellStyle name="Currency (0.00) 9 15" xfId="17047"/>
    <cellStyle name="Currency (0.00) 9 16" xfId="17048"/>
    <cellStyle name="Currency (0.00) 9 17" xfId="17049"/>
    <cellStyle name="Currency (0.00) 9 18" xfId="17050"/>
    <cellStyle name="Currency (0.00) 9 19" xfId="17051"/>
    <cellStyle name="Currency (0.00) 9 2" xfId="17052"/>
    <cellStyle name="Currency (0.00) 9 20" xfId="17053"/>
    <cellStyle name="Currency (0.00) 9 21" xfId="17054"/>
    <cellStyle name="Currency (0.00) 9 22" xfId="17055"/>
    <cellStyle name="Currency (0.00) 9 23" xfId="17056"/>
    <cellStyle name="Currency (0.00) 9 24" xfId="17057"/>
    <cellStyle name="Currency (0.00) 9 25" xfId="17058"/>
    <cellStyle name="Currency (0.00) 9 26" xfId="17059"/>
    <cellStyle name="Currency (0.00) 9 27" xfId="17060"/>
    <cellStyle name="Currency (0.00) 9 28" xfId="17061"/>
    <cellStyle name="Currency (0.00) 9 29" xfId="17062"/>
    <cellStyle name="Currency (0.00) 9 3" xfId="17063"/>
    <cellStyle name="Currency (0.00) 9 30" xfId="17064"/>
    <cellStyle name="Currency (0.00) 9 31" xfId="17065"/>
    <cellStyle name="Currency (0.00) 9 32" xfId="17066"/>
    <cellStyle name="Currency (0.00) 9 33" xfId="17067"/>
    <cellStyle name="Currency (0.00) 9 34" xfId="17068"/>
    <cellStyle name="Currency (0.00) 9 35" xfId="17069"/>
    <cellStyle name="Currency (0.00) 9 36" xfId="17070"/>
    <cellStyle name="Currency (0.00) 9 37" xfId="17071"/>
    <cellStyle name="Currency (0.00) 9 38" xfId="17072"/>
    <cellStyle name="Currency (0.00) 9 39" xfId="17073"/>
    <cellStyle name="Currency (0.00) 9 4" xfId="17074"/>
    <cellStyle name="Currency (0.00) 9 40" xfId="17075"/>
    <cellStyle name="Currency (0.00) 9 41" xfId="17076"/>
    <cellStyle name="Currency (0.00) 9 42" xfId="17077"/>
    <cellStyle name="Currency (0.00) 9 43" xfId="17078"/>
    <cellStyle name="Currency (0.00) 9 44" xfId="17079"/>
    <cellStyle name="Currency (0.00) 9 45" xfId="17080"/>
    <cellStyle name="Currency (0.00) 9 46" xfId="17081"/>
    <cellStyle name="Currency (0.00) 9 47" xfId="17082"/>
    <cellStyle name="Currency (0.00) 9 48" xfId="17083"/>
    <cellStyle name="Currency (0.00) 9 5" xfId="17084"/>
    <cellStyle name="Currency (0.00) 9 6" xfId="17085"/>
    <cellStyle name="Currency (0.00) 9 7" xfId="17086"/>
    <cellStyle name="Currency (0.00) 9 8" xfId="17087"/>
    <cellStyle name="Currency (0.00) 9 9" xfId="17088"/>
    <cellStyle name="Currency (0.00) 9_분양(100%)" xfId="38816"/>
    <cellStyle name="Currency (0.00)_분양(100%)" xfId="38777"/>
    <cellStyle name="Currency [0]" xfId="2741"/>
    <cellStyle name="Currency [0] 2" xfId="4320"/>
    <cellStyle name="Currency [0] 2 2" xfId="17089"/>
    <cellStyle name="Currency [0] 2_분양(100%)" xfId="38817"/>
    <cellStyle name="Currency [0] 3" xfId="17090"/>
    <cellStyle name="Currency [0]_ SG&amp;A Bridge " xfId="5297"/>
    <cellStyle name="Currency [0}_r1" xfId="17091"/>
    <cellStyle name="Currency [00]" xfId="17092"/>
    <cellStyle name="Currency 2" xfId="649"/>
    <cellStyle name="Currency 3" xfId="4321"/>
    <cellStyle name="Currency 4" xfId="4322"/>
    <cellStyle name="currency-$" xfId="4323"/>
    <cellStyle name="Currency_ SG&amp;A Bridge " xfId="176"/>
    <cellStyle name="Currency0" xfId="177"/>
    <cellStyle name="Currency0 2" xfId="650"/>
    <cellStyle name="Currency0_분양(100%)" xfId="38818"/>
    <cellStyle name="Currency1" xfId="178"/>
    <cellStyle name="Currency1 2" xfId="651"/>
    <cellStyle name="Currency1 2 2" xfId="17093"/>
    <cellStyle name="Currency1 2_분양(100%)" xfId="38820"/>
    <cellStyle name="Currency1 3" xfId="4324"/>
    <cellStyle name="Currency1 4" xfId="17094"/>
    <cellStyle name="Currency1_분양(100%)" xfId="38819"/>
    <cellStyle name="C줔AO_  FAB AIA?  " xfId="17095"/>
    <cellStyle name="D" xfId="4325"/>
    <cellStyle name="D_AM monthly_Appendixl_200206" xfId="4326"/>
    <cellStyle name="D_Monthly Report(대아 2002.6)" xfId="4327"/>
    <cellStyle name="Date" xfId="179"/>
    <cellStyle name="Date 2" xfId="652"/>
    <cellStyle name="Date 2 2" xfId="17096"/>
    <cellStyle name="Date 2_분양(100%)" xfId="38822"/>
    <cellStyle name="Date 3" xfId="4328"/>
    <cellStyle name="Date_분양(100%)" xfId="38821"/>
    <cellStyle name="Dezimal [0]_Compiling Utility Macros" xfId="2742"/>
    <cellStyle name="Dezimal__Utopia Index Index und Guidance (Deutsch)" xfId="17097"/>
    <cellStyle name="Dollar (zero dec)" xfId="180"/>
    <cellStyle name="Dollar (zero dec) 2" xfId="653"/>
    <cellStyle name="Dollar (zero dec) 2 2" xfId="17098"/>
    <cellStyle name="Dollar (zero dec) 2_분양(100%)" xfId="38824"/>
    <cellStyle name="Dollar (zero dec) 3" xfId="4329"/>
    <cellStyle name="Dollar (zero dec)_분양(100%)" xfId="38823"/>
    <cellStyle name="DWF1.5-3.0split" xfId="17099"/>
    <cellStyle name="DWFsplit0-1.5" xfId="17100"/>
    <cellStyle name="E­æo±" xfId="654"/>
    <cellStyle name="E­æo±a" xfId="655"/>
    <cellStyle name="eet1_Q1" xfId="17101"/>
    <cellStyle name="Entered" xfId="2743"/>
    <cellStyle name="entry" xfId="17102"/>
    <cellStyle name="Euro" xfId="181"/>
    <cellStyle name="Euro 2" xfId="4330"/>
    <cellStyle name="Euro 3" xfId="17103"/>
    <cellStyle name="Euro 4" xfId="17104"/>
    <cellStyle name="Euro_분양(100%)" xfId="38825"/>
    <cellStyle name="Excel Built-in Normal" xfId="1976"/>
    <cellStyle name="Explanatory Text" xfId="182"/>
    <cellStyle name="Explanatory Text 2" xfId="656"/>
    <cellStyle name="Explanatory Text_분양(100%)" xfId="38826"/>
    <cellStyle name="EY0dp" xfId="17105"/>
    <cellStyle name="F2" xfId="2744"/>
    <cellStyle name="F3" xfId="2745"/>
    <cellStyle name="F4" xfId="2746"/>
    <cellStyle name="F5" xfId="2747"/>
    <cellStyle name="F6" xfId="2748"/>
    <cellStyle name="F7" xfId="2749"/>
    <cellStyle name="F8" xfId="2750"/>
    <cellStyle name="Fixed" xfId="183"/>
    <cellStyle name="Fixed 2" xfId="657"/>
    <cellStyle name="Fixed 2 2" xfId="17106"/>
    <cellStyle name="Fixed 2_분양(100%)" xfId="38828"/>
    <cellStyle name="Fixed 3" xfId="17107"/>
    <cellStyle name="Fixed_분양(100%)" xfId="38827"/>
    <cellStyle name="Followed Hyperlink" xfId="184"/>
    <cellStyle name="Footnote" xfId="4331"/>
    <cellStyle name="Good" xfId="185"/>
    <cellStyle name="Good 2" xfId="658"/>
    <cellStyle name="Good_분양(100%)" xfId="38829"/>
    <cellStyle name="Grey" xfId="186"/>
    <cellStyle name="Grey 2" xfId="17108"/>
    <cellStyle name="Grey 3" xfId="17109"/>
    <cellStyle name="Grey_분양(100%)" xfId="38830"/>
    <cellStyle name="H1" xfId="2751"/>
    <cellStyle name="H2" xfId="2752"/>
    <cellStyle name="HEADER" xfId="2753"/>
    <cellStyle name="Header1" xfId="187"/>
    <cellStyle name="Header2" xfId="188"/>
    <cellStyle name="Header2 2" xfId="552"/>
    <cellStyle name="Header2 2 2" xfId="3150"/>
    <cellStyle name="Header2 2 2 2" xfId="3606"/>
    <cellStyle name="Header2 2 2 2 2" xfId="4678"/>
    <cellStyle name="Header2 2 2 2 3" xfId="5032"/>
    <cellStyle name="Header2 2 2 3" xfId="3607"/>
    <cellStyle name="Header2 2 2 3 2" xfId="4679"/>
    <cellStyle name="Header2 2 2 3 3" xfId="5033"/>
    <cellStyle name="Header2 2 2 4" xfId="3608"/>
    <cellStyle name="Header2 2 2 4 2" xfId="4680"/>
    <cellStyle name="Header2 2 2 4 3" xfId="5034"/>
    <cellStyle name="Header2 2 2 5" xfId="3609"/>
    <cellStyle name="Header2 2 2 5 2" xfId="4681"/>
    <cellStyle name="Header2 2 2 5 3" xfId="5035"/>
    <cellStyle name="Header2 2 2 6" xfId="4565"/>
    <cellStyle name="Header2 2 2 7" xfId="4485"/>
    <cellStyle name="Header2 2 3" xfId="3610"/>
    <cellStyle name="Header2 2 3 2" xfId="4682"/>
    <cellStyle name="Header2 2 3 3" xfId="5036"/>
    <cellStyle name="Header2 2 4" xfId="3611"/>
    <cellStyle name="Header2 2 4 2" xfId="4683"/>
    <cellStyle name="Header2 2 4 3" xfId="5037"/>
    <cellStyle name="Header2 2 5" xfId="3612"/>
    <cellStyle name="Header2 2 5 2" xfId="4684"/>
    <cellStyle name="Header2 2 5 3" xfId="5038"/>
    <cellStyle name="Header2 2_분양(100%)" xfId="38832"/>
    <cellStyle name="Header2 3" xfId="570"/>
    <cellStyle name="Header2 3 2" xfId="3168"/>
    <cellStyle name="Header2 3 2 2" xfId="3613"/>
    <cellStyle name="Header2 3 2 2 2" xfId="4685"/>
    <cellStyle name="Header2 3 2 2 3" xfId="5039"/>
    <cellStyle name="Header2 3 2 3" xfId="3614"/>
    <cellStyle name="Header2 3 2 3 2" xfId="4686"/>
    <cellStyle name="Header2 3 2 3 3" xfId="5040"/>
    <cellStyle name="Header2 3 2 4" xfId="3615"/>
    <cellStyle name="Header2 3 2 4 2" xfId="4687"/>
    <cellStyle name="Header2 3 2 4 3" xfId="5041"/>
    <cellStyle name="Header2 3 2 5" xfId="3616"/>
    <cellStyle name="Header2 3 2 5 2" xfId="4688"/>
    <cellStyle name="Header2 3 2 5 3" xfId="5042"/>
    <cellStyle name="Header2 3 3" xfId="3617"/>
    <cellStyle name="Header2 3 3 2" xfId="4689"/>
    <cellStyle name="Header2 3 3 3" xfId="5043"/>
    <cellStyle name="Header2 3 4" xfId="3618"/>
    <cellStyle name="Header2 3 4 2" xfId="4690"/>
    <cellStyle name="Header2 3 4 3" xfId="5044"/>
    <cellStyle name="Header2 4" xfId="546"/>
    <cellStyle name="Header2 4 2" xfId="3144"/>
    <cellStyle name="Header2 4 2 2" xfId="3619"/>
    <cellStyle name="Header2 4 2 2 2" xfId="4691"/>
    <cellStyle name="Header2 4 2 2 3" xfId="5045"/>
    <cellStyle name="Header2 4 2 3" xfId="3620"/>
    <cellStyle name="Header2 4 2 3 2" xfId="4692"/>
    <cellStyle name="Header2 4 2 3 3" xfId="5046"/>
    <cellStyle name="Header2 4 2 4" xfId="3621"/>
    <cellStyle name="Header2 4 2 4 2" xfId="4693"/>
    <cellStyle name="Header2 4 2 4 3" xfId="5047"/>
    <cellStyle name="Header2 4 2 5" xfId="3622"/>
    <cellStyle name="Header2 4 2 5 2" xfId="4694"/>
    <cellStyle name="Header2 4 2 5 3" xfId="5048"/>
    <cellStyle name="Header2 4 2 6" xfId="4559"/>
    <cellStyle name="Header2 4 2 7" xfId="4491"/>
    <cellStyle name="Header2 4 3" xfId="3623"/>
    <cellStyle name="Header2 4 3 2" xfId="4695"/>
    <cellStyle name="Header2 4 3 3" xfId="5049"/>
    <cellStyle name="Header2 4 4" xfId="3624"/>
    <cellStyle name="Header2 4 4 2" xfId="4696"/>
    <cellStyle name="Header2 4 4 3" xfId="5050"/>
    <cellStyle name="Header2 4 5" xfId="3625"/>
    <cellStyle name="Header2 4 5 2" xfId="4697"/>
    <cellStyle name="Header2 4 5 3" xfId="5051"/>
    <cellStyle name="Header2 5" xfId="659"/>
    <cellStyle name="Header2 5 2" xfId="3626"/>
    <cellStyle name="Header2 5 2 2" xfId="4698"/>
    <cellStyle name="Header2 5 2 3" xfId="5052"/>
    <cellStyle name="Header2 5 3" xfId="3627"/>
    <cellStyle name="Header2 5 3 2" xfId="4699"/>
    <cellStyle name="Header2 5 3 3" xfId="5053"/>
    <cellStyle name="Header2 6" xfId="3115"/>
    <cellStyle name="Header2 6 2" xfId="3628"/>
    <cellStyle name="Header2 6 2 2" xfId="4700"/>
    <cellStyle name="Header2 6 2 3" xfId="5054"/>
    <cellStyle name="Header2 6 3" xfId="3629"/>
    <cellStyle name="Header2 6 3 2" xfId="4701"/>
    <cellStyle name="Header2 6 3 3" xfId="5055"/>
    <cellStyle name="Header2 6 4" xfId="3630"/>
    <cellStyle name="Header2 6 4 2" xfId="4702"/>
    <cellStyle name="Header2 6 4 3" xfId="5056"/>
    <cellStyle name="Header2 6 5" xfId="3631"/>
    <cellStyle name="Header2 6 5 2" xfId="4703"/>
    <cellStyle name="Header2 6 5 3" xfId="5057"/>
    <cellStyle name="Header2 6 6" xfId="4530"/>
    <cellStyle name="Header2 6 7" xfId="4500"/>
    <cellStyle name="Header2 7" xfId="3632"/>
    <cellStyle name="Header2 7 2" xfId="4704"/>
    <cellStyle name="Header2 7 3" xfId="5058"/>
    <cellStyle name="Header2 8" xfId="3633"/>
    <cellStyle name="Header2 8 2" xfId="4705"/>
    <cellStyle name="Header2 8 3" xfId="5059"/>
    <cellStyle name="Header2 9" xfId="3634"/>
    <cellStyle name="Header2 9 2" xfId="4706"/>
    <cellStyle name="Header2 9 3" xfId="5060"/>
    <cellStyle name="Header2_분양(100%)" xfId="38831"/>
    <cellStyle name="Heading" xfId="4332"/>
    <cellStyle name="Heading 1" xfId="189"/>
    <cellStyle name="Heading 1 2" xfId="660"/>
    <cellStyle name="Heading 1 3" xfId="4333"/>
    <cellStyle name="Heading 1_분양(100%)" xfId="38834"/>
    <cellStyle name="Heading 2" xfId="190"/>
    <cellStyle name="Heading 2 2" xfId="661"/>
    <cellStyle name="Heading 2 3" xfId="4334"/>
    <cellStyle name="Heading 2_분양(100%)" xfId="38835"/>
    <cellStyle name="Heading 3" xfId="191"/>
    <cellStyle name="Heading 3 2" xfId="662"/>
    <cellStyle name="Heading 3 2 2" xfId="3635"/>
    <cellStyle name="Heading 3 3" xfId="3636"/>
    <cellStyle name="Heading 3_분양(100%)" xfId="38836"/>
    <cellStyle name="Heading 4" xfId="192"/>
    <cellStyle name="Heading 4 2" xfId="663"/>
    <cellStyle name="Heading 4_분양(100%)" xfId="38837"/>
    <cellStyle name="heading, 1,A MAJOR/BOLD" xfId="17110"/>
    <cellStyle name="Heading_분양(100%)" xfId="38833"/>
    <cellStyle name="Heading1" xfId="193"/>
    <cellStyle name="Heading1 2" xfId="4335"/>
    <cellStyle name="Heading1 2 2" xfId="17111"/>
    <cellStyle name="Heading1 2_분양(100%)" xfId="38839"/>
    <cellStyle name="Heading1 3" xfId="17112"/>
    <cellStyle name="Heading1_분양(100%)" xfId="38838"/>
    <cellStyle name="Heading2" xfId="194"/>
    <cellStyle name="Heading2 2" xfId="17113"/>
    <cellStyle name="Heading2 2 2" xfId="17114"/>
    <cellStyle name="Heading2 2_분양(100%)" xfId="38841"/>
    <cellStyle name="Heading2 3" xfId="17115"/>
    <cellStyle name="Heading2_분양(100%)" xfId="38840"/>
    <cellStyle name="Heading3" xfId="195"/>
    <cellStyle name="Heading4" xfId="196"/>
    <cellStyle name="Helv8_PFD4.XLS" xfId="2754"/>
    <cellStyle name="HIGHLIGHT" xfId="17116"/>
    <cellStyle name="Hyperlink" xfId="197"/>
    <cellStyle name="Input" xfId="198"/>
    <cellStyle name="Input [yellow]" xfId="199"/>
    <cellStyle name="Input [yellow] 2" xfId="556"/>
    <cellStyle name="Input [yellow] 2 2" xfId="3154"/>
    <cellStyle name="Input [yellow] 2 2 2" xfId="3637"/>
    <cellStyle name="Input [yellow] 2 2 2 2" xfId="4707"/>
    <cellStyle name="Input [yellow] 2 2 2 3" xfId="5061"/>
    <cellStyle name="Input [yellow] 2 2 3" xfId="3638"/>
    <cellStyle name="Input [yellow] 2 2 3 2" xfId="4708"/>
    <cellStyle name="Input [yellow] 2 2 3 3" xfId="5062"/>
    <cellStyle name="Input [yellow] 2 2 4" xfId="3639"/>
    <cellStyle name="Input [yellow] 2 2 4 2" xfId="4709"/>
    <cellStyle name="Input [yellow] 2 2 4 3" xfId="5063"/>
    <cellStyle name="Input [yellow] 2 2 5" xfId="4569"/>
    <cellStyle name="Input [yellow] 2 2 6" xfId="4481"/>
    <cellStyle name="Input [yellow] 2 3" xfId="3640"/>
    <cellStyle name="Input [yellow] 2 3 2" xfId="4710"/>
    <cellStyle name="Input [yellow] 2 3 3" xfId="5064"/>
    <cellStyle name="Input [yellow] 2 4" xfId="3641"/>
    <cellStyle name="Input [yellow] 2 4 2" xfId="4711"/>
    <cellStyle name="Input [yellow] 2 4 3" xfId="5065"/>
    <cellStyle name="Input [yellow] 2 5" xfId="3642"/>
    <cellStyle name="Input [yellow] 2 5 2" xfId="4712"/>
    <cellStyle name="Input [yellow] 2 5 3" xfId="5066"/>
    <cellStyle name="Input [yellow] 2_분양(100%)" xfId="38844"/>
    <cellStyle name="Input [yellow] 3" xfId="568"/>
    <cellStyle name="Input [yellow] 3 2" xfId="3166"/>
    <cellStyle name="Input [yellow] 3 2 2" xfId="3643"/>
    <cellStyle name="Input [yellow] 3 2 2 2" xfId="4713"/>
    <cellStyle name="Input [yellow] 3 2 2 3" xfId="5067"/>
    <cellStyle name="Input [yellow] 3 2 3" xfId="3644"/>
    <cellStyle name="Input [yellow] 3 2 3 2" xfId="4714"/>
    <cellStyle name="Input [yellow] 3 2 3 3" xfId="5068"/>
    <cellStyle name="Input [yellow] 3 2 4" xfId="3645"/>
    <cellStyle name="Input [yellow] 3 2 4 2" xfId="4715"/>
    <cellStyle name="Input [yellow] 3 2 4 3" xfId="5069"/>
    <cellStyle name="Input [yellow] 3 2 5" xfId="4581"/>
    <cellStyle name="Input [yellow] 3 2 6" xfId="4470"/>
    <cellStyle name="Input [yellow] 3 3" xfId="3646"/>
    <cellStyle name="Input [yellow] 3 3 2" xfId="4716"/>
    <cellStyle name="Input [yellow] 3 3 3" xfId="5070"/>
    <cellStyle name="Input [yellow] 3 4" xfId="3647"/>
    <cellStyle name="Input [yellow] 3 4 2" xfId="4717"/>
    <cellStyle name="Input [yellow] 3 4 3" xfId="5071"/>
    <cellStyle name="Input [yellow] 3 5" xfId="3648"/>
    <cellStyle name="Input [yellow] 3 5 2" xfId="4718"/>
    <cellStyle name="Input [yellow] 3 5 3" xfId="5072"/>
    <cellStyle name="Input [yellow] 3_분양(100%)" xfId="38845"/>
    <cellStyle name="Input [yellow] 4" xfId="548"/>
    <cellStyle name="Input [yellow] 4 2" xfId="3146"/>
    <cellStyle name="Input [yellow] 4 2 2" xfId="3649"/>
    <cellStyle name="Input [yellow] 4 2 2 2" xfId="4719"/>
    <cellStyle name="Input [yellow] 4 2 2 3" xfId="5073"/>
    <cellStyle name="Input [yellow] 4 2 3" xfId="3650"/>
    <cellStyle name="Input [yellow] 4 2 3 2" xfId="4720"/>
    <cellStyle name="Input [yellow] 4 2 3 3" xfId="5074"/>
    <cellStyle name="Input [yellow] 4 2 4" xfId="3651"/>
    <cellStyle name="Input [yellow] 4 2 4 2" xfId="4721"/>
    <cellStyle name="Input [yellow] 4 2 4 3" xfId="5075"/>
    <cellStyle name="Input [yellow] 4 2 5" xfId="4561"/>
    <cellStyle name="Input [yellow] 4 2 6" xfId="4489"/>
    <cellStyle name="Input [yellow] 4 3" xfId="3652"/>
    <cellStyle name="Input [yellow] 4 3 2" xfId="4722"/>
    <cellStyle name="Input [yellow] 4 3 3" xfId="5076"/>
    <cellStyle name="Input [yellow] 4 4" xfId="3653"/>
    <cellStyle name="Input [yellow] 4 4 2" xfId="4723"/>
    <cellStyle name="Input [yellow] 4 4 3" xfId="5077"/>
    <cellStyle name="Input [yellow] 4 5" xfId="3654"/>
    <cellStyle name="Input [yellow] 4 5 2" xfId="4724"/>
    <cellStyle name="Input [yellow] 4 5 3" xfId="5078"/>
    <cellStyle name="Input [yellow] 4_분양(100%)" xfId="38846"/>
    <cellStyle name="Input [yellow] 5" xfId="3117"/>
    <cellStyle name="Input [yellow] 5 2" xfId="3655"/>
    <cellStyle name="Input [yellow] 5 2 2" xfId="4725"/>
    <cellStyle name="Input [yellow] 5 2 3" xfId="5079"/>
    <cellStyle name="Input [yellow] 5 3" xfId="3656"/>
    <cellStyle name="Input [yellow] 5 3 2" xfId="4726"/>
    <cellStyle name="Input [yellow] 5 3 3" xfId="5080"/>
    <cellStyle name="Input [yellow] 5 4" xfId="3657"/>
    <cellStyle name="Input [yellow] 5 4 2" xfId="4727"/>
    <cellStyle name="Input [yellow] 5 4 3" xfId="5081"/>
    <cellStyle name="Input [yellow] 5 5" xfId="4532"/>
    <cellStyle name="Input [yellow] 5 6" xfId="4498"/>
    <cellStyle name="Input [yellow] 6" xfId="3658"/>
    <cellStyle name="Input [yellow] 6 2" xfId="4728"/>
    <cellStyle name="Input [yellow] 6 3" xfId="5082"/>
    <cellStyle name="Input [yellow] 7" xfId="3659"/>
    <cellStyle name="Input [yellow] 7 2" xfId="4729"/>
    <cellStyle name="Input [yellow] 7 3" xfId="5083"/>
    <cellStyle name="Input [yellow] 8" xfId="3660"/>
    <cellStyle name="Input [yellow] 8 2" xfId="4730"/>
    <cellStyle name="Input [yellow] 8 3" xfId="5084"/>
    <cellStyle name="Input [yellow]_분양(100%)" xfId="38843"/>
    <cellStyle name="Input 10" xfId="3661"/>
    <cellStyle name="Input 10 2" xfId="4731"/>
    <cellStyle name="Input 10 3" xfId="5085"/>
    <cellStyle name="Input 11" xfId="3662"/>
    <cellStyle name="Input 11 2" xfId="4732"/>
    <cellStyle name="Input 11 3" xfId="5086"/>
    <cellStyle name="Input 12" xfId="3663"/>
    <cellStyle name="Input 12 2" xfId="4733"/>
    <cellStyle name="Input 12 3" xfId="5087"/>
    <cellStyle name="Input 13" xfId="4416"/>
    <cellStyle name="Input 14" xfId="4636"/>
    <cellStyle name="Input 2" xfId="514"/>
    <cellStyle name="Input 2 2" xfId="576"/>
    <cellStyle name="Input 2 2 2" xfId="3174"/>
    <cellStyle name="Input 2 2 2 2" xfId="3664"/>
    <cellStyle name="Input 2 2 2 2 2" xfId="4734"/>
    <cellStyle name="Input 2 2 2 2 3" xfId="5088"/>
    <cellStyle name="Input 2 2 2 3" xfId="3665"/>
    <cellStyle name="Input 2 2 2 3 2" xfId="4735"/>
    <cellStyle name="Input 2 2 2 3 3" xfId="5089"/>
    <cellStyle name="Input 2 2 2 4" xfId="3666"/>
    <cellStyle name="Input 2 2 2 4 2" xfId="4736"/>
    <cellStyle name="Input 2 2 2 4 3" xfId="5090"/>
    <cellStyle name="Input 2 2 2 5" xfId="4588"/>
    <cellStyle name="Input 2 2 2 6" xfId="4466"/>
    <cellStyle name="Input 2 2 3" xfId="3667"/>
    <cellStyle name="Input 2 2 3 2" xfId="4737"/>
    <cellStyle name="Input 2 2 3 3" xfId="5091"/>
    <cellStyle name="Input 2 2 4" xfId="3668"/>
    <cellStyle name="Input 2 2 4 2" xfId="4738"/>
    <cellStyle name="Input 2 2 4 3" xfId="5092"/>
    <cellStyle name="Input 2 2 5" xfId="3669"/>
    <cellStyle name="Input 2 2 5 2" xfId="4739"/>
    <cellStyle name="Input 2 2 5 3" xfId="5093"/>
    <cellStyle name="Input 2 3" xfId="592"/>
    <cellStyle name="Input 2 3 2" xfId="3190"/>
    <cellStyle name="Input 2 3 2 2" xfId="3670"/>
    <cellStyle name="Input 2 3 2 2 2" xfId="4740"/>
    <cellStyle name="Input 2 3 2 2 3" xfId="5094"/>
    <cellStyle name="Input 2 3 2 3" xfId="3671"/>
    <cellStyle name="Input 2 3 2 3 2" xfId="4741"/>
    <cellStyle name="Input 2 3 2 3 3" xfId="5095"/>
    <cellStyle name="Input 2 3 2 4" xfId="3672"/>
    <cellStyle name="Input 2 3 2 4 2" xfId="4742"/>
    <cellStyle name="Input 2 3 2 4 3" xfId="5096"/>
    <cellStyle name="Input 2 3 2 5" xfId="4604"/>
    <cellStyle name="Input 2 3 2 6" xfId="4464"/>
    <cellStyle name="Input 2 3 3" xfId="3673"/>
    <cellStyle name="Input 2 3 3 2" xfId="4743"/>
    <cellStyle name="Input 2 3 3 3" xfId="5097"/>
    <cellStyle name="Input 2 3 4" xfId="3674"/>
    <cellStyle name="Input 2 3 4 2" xfId="4744"/>
    <cellStyle name="Input 2 3 4 3" xfId="5098"/>
    <cellStyle name="Input 2 3 5" xfId="3675"/>
    <cellStyle name="Input 2 3 5 2" xfId="4745"/>
    <cellStyle name="Input 2 3 5 3" xfId="5099"/>
    <cellStyle name="Input 2 4" xfId="3126"/>
    <cellStyle name="Input 2 4 2" xfId="3676"/>
    <cellStyle name="Input 2 4 2 2" xfId="4746"/>
    <cellStyle name="Input 2 4 2 3" xfId="5100"/>
    <cellStyle name="Input 2 4 3" xfId="3677"/>
    <cellStyle name="Input 2 4 3 2" xfId="4747"/>
    <cellStyle name="Input 2 4 3 3" xfId="5101"/>
    <cellStyle name="Input 2 4 4" xfId="3678"/>
    <cellStyle name="Input 2 4 4 2" xfId="4748"/>
    <cellStyle name="Input 2 4 4 3" xfId="5102"/>
    <cellStyle name="Input 2 4 5" xfId="4541"/>
    <cellStyle name="Input 2 4 6" xfId="4511"/>
    <cellStyle name="Input 2 5" xfId="3679"/>
    <cellStyle name="Input 2 5 2" xfId="4749"/>
    <cellStyle name="Input 2 5 3" xfId="5103"/>
    <cellStyle name="Input 2 6" xfId="3680"/>
    <cellStyle name="Input 2 6 2" xfId="4750"/>
    <cellStyle name="Input 2 6 3" xfId="5104"/>
    <cellStyle name="Input 2 7" xfId="3681"/>
    <cellStyle name="Input 2 7 2" xfId="4751"/>
    <cellStyle name="Input 2 7 3" xfId="5105"/>
    <cellStyle name="Input 3" xfId="516"/>
    <cellStyle name="Input 3 2" xfId="578"/>
    <cellStyle name="Input 3 2 2" xfId="3176"/>
    <cellStyle name="Input 3 2 2 2" xfId="3682"/>
    <cellStyle name="Input 3 2 2 2 2" xfId="4752"/>
    <cellStyle name="Input 3 2 2 2 3" xfId="5106"/>
    <cellStyle name="Input 3 2 2 3" xfId="3683"/>
    <cellStyle name="Input 3 2 2 3 2" xfId="4753"/>
    <cellStyle name="Input 3 2 2 3 3" xfId="5107"/>
    <cellStyle name="Input 3 2 2 4" xfId="3684"/>
    <cellStyle name="Input 3 2 2 4 2" xfId="4754"/>
    <cellStyle name="Input 3 2 2 4 3" xfId="5108"/>
    <cellStyle name="Input 3 2 2 5" xfId="4590"/>
    <cellStyle name="Input 3 2 2 6" xfId="4506"/>
    <cellStyle name="Input 3 2 3" xfId="3685"/>
    <cellStyle name="Input 3 2 3 2" xfId="4755"/>
    <cellStyle name="Input 3 2 3 3" xfId="5109"/>
    <cellStyle name="Input 3 2 4" xfId="3686"/>
    <cellStyle name="Input 3 2 4 2" xfId="4756"/>
    <cellStyle name="Input 3 2 4 3" xfId="5110"/>
    <cellStyle name="Input 3 2 5" xfId="3687"/>
    <cellStyle name="Input 3 2 5 2" xfId="4757"/>
    <cellStyle name="Input 3 2 5 3" xfId="5111"/>
    <cellStyle name="Input 3 3" xfId="594"/>
    <cellStyle name="Input 3 3 2" xfId="3192"/>
    <cellStyle name="Input 3 3 2 2" xfId="3688"/>
    <cellStyle name="Input 3 3 2 2 2" xfId="4758"/>
    <cellStyle name="Input 3 3 2 2 3" xfId="5112"/>
    <cellStyle name="Input 3 3 2 3" xfId="3689"/>
    <cellStyle name="Input 3 3 2 3 2" xfId="4759"/>
    <cellStyle name="Input 3 3 2 3 3" xfId="5113"/>
    <cellStyle name="Input 3 3 2 4" xfId="3690"/>
    <cellStyle name="Input 3 3 2 4 2" xfId="4760"/>
    <cellStyle name="Input 3 3 2 4 3" xfId="5114"/>
    <cellStyle name="Input 3 3 2 5" xfId="4606"/>
    <cellStyle name="Input 3 3 2 6" xfId="4462"/>
    <cellStyle name="Input 3 3 3" xfId="3691"/>
    <cellStyle name="Input 3 3 3 2" xfId="4761"/>
    <cellStyle name="Input 3 3 3 3" xfId="5115"/>
    <cellStyle name="Input 3 3 4" xfId="3692"/>
    <cellStyle name="Input 3 3 4 2" xfId="4762"/>
    <cellStyle name="Input 3 3 4 3" xfId="5116"/>
    <cellStyle name="Input 3 3 5" xfId="3693"/>
    <cellStyle name="Input 3 3 5 2" xfId="4763"/>
    <cellStyle name="Input 3 3 5 3" xfId="5117"/>
    <cellStyle name="Input 3 4" xfId="3128"/>
    <cellStyle name="Input 3 4 2" xfId="3694"/>
    <cellStyle name="Input 3 4 2 2" xfId="4764"/>
    <cellStyle name="Input 3 4 2 3" xfId="5118"/>
    <cellStyle name="Input 3 4 3" xfId="3695"/>
    <cellStyle name="Input 3 4 3 2" xfId="4765"/>
    <cellStyle name="Input 3 4 3 3" xfId="5119"/>
    <cellStyle name="Input 3 4 4" xfId="3696"/>
    <cellStyle name="Input 3 4 4 2" xfId="4766"/>
    <cellStyle name="Input 3 4 4 3" xfId="5120"/>
    <cellStyle name="Input 3 4 5" xfId="4543"/>
    <cellStyle name="Input 3 4 6" xfId="4509"/>
    <cellStyle name="Input 3 5" xfId="3697"/>
    <cellStyle name="Input 3 5 2" xfId="4767"/>
    <cellStyle name="Input 3 5 3" xfId="5121"/>
    <cellStyle name="Input 3 6" xfId="3698"/>
    <cellStyle name="Input 3 6 2" xfId="4768"/>
    <cellStyle name="Input 3 6 3" xfId="5122"/>
    <cellStyle name="Input 3 7" xfId="3699"/>
    <cellStyle name="Input 3 7 2" xfId="4769"/>
    <cellStyle name="Input 3 7 3" xfId="5123"/>
    <cellStyle name="Input 4" xfId="555"/>
    <cellStyle name="Input 4 2" xfId="3153"/>
    <cellStyle name="Input 4 2 2" xfId="3700"/>
    <cellStyle name="Input 4 2 2 2" xfId="4770"/>
    <cellStyle name="Input 4 2 2 3" xfId="5124"/>
    <cellStyle name="Input 4 2 3" xfId="3701"/>
    <cellStyle name="Input 4 2 3 2" xfId="4771"/>
    <cellStyle name="Input 4 2 3 3" xfId="5125"/>
    <cellStyle name="Input 4 2 4" xfId="3702"/>
    <cellStyle name="Input 4 2 4 2" xfId="4772"/>
    <cellStyle name="Input 4 2 4 3" xfId="5126"/>
    <cellStyle name="Input 4 2 5" xfId="4568"/>
    <cellStyle name="Input 4 2 6" xfId="4482"/>
    <cellStyle name="Input 4 3" xfId="3703"/>
    <cellStyle name="Input 4 3 2" xfId="4773"/>
    <cellStyle name="Input 4 3 3" xfId="5127"/>
    <cellStyle name="Input 4 4" xfId="3704"/>
    <cellStyle name="Input 4 4 2" xfId="4774"/>
    <cellStyle name="Input 4 4 3" xfId="5128"/>
    <cellStyle name="Input 4 5" xfId="3705"/>
    <cellStyle name="Input 4 5 2" xfId="4775"/>
    <cellStyle name="Input 4 5 3" xfId="5129"/>
    <cellStyle name="Input 5" xfId="569"/>
    <cellStyle name="Input 5 2" xfId="3167"/>
    <cellStyle name="Input 5 2 2" xfId="3706"/>
    <cellStyle name="Input 5 2 2 2" xfId="4776"/>
    <cellStyle name="Input 5 2 2 3" xfId="5130"/>
    <cellStyle name="Input 5 2 3" xfId="3707"/>
    <cellStyle name="Input 5 2 3 2" xfId="4777"/>
    <cellStyle name="Input 5 2 3 3" xfId="5131"/>
    <cellStyle name="Input 5 2 4" xfId="3708"/>
    <cellStyle name="Input 5 2 4 2" xfId="4778"/>
    <cellStyle name="Input 5 2 4 3" xfId="5132"/>
    <cellStyle name="Input 5 2 5" xfId="4582"/>
    <cellStyle name="Input 5 2 6" xfId="4469"/>
    <cellStyle name="Input 5 3" xfId="3709"/>
    <cellStyle name="Input 5 3 2" xfId="4779"/>
    <cellStyle name="Input 5 3 3" xfId="5133"/>
    <cellStyle name="Input 5 4" xfId="3710"/>
    <cellStyle name="Input 5 4 2" xfId="4780"/>
    <cellStyle name="Input 5 4 3" xfId="5134"/>
    <cellStyle name="Input 5 5" xfId="3711"/>
    <cellStyle name="Input 5 5 2" xfId="4781"/>
    <cellStyle name="Input 5 5 3" xfId="5135"/>
    <cellStyle name="Input 6" xfId="547"/>
    <cellStyle name="Input 6 2" xfId="3145"/>
    <cellStyle name="Input 6 2 2" xfId="3712"/>
    <cellStyle name="Input 6 2 2 2" xfId="4782"/>
    <cellStyle name="Input 6 2 2 3" xfId="5136"/>
    <cellStyle name="Input 6 2 3" xfId="3713"/>
    <cellStyle name="Input 6 2 3 2" xfId="4783"/>
    <cellStyle name="Input 6 2 3 3" xfId="5137"/>
    <cellStyle name="Input 6 2 4" xfId="3714"/>
    <cellStyle name="Input 6 2 4 2" xfId="4784"/>
    <cellStyle name="Input 6 2 4 3" xfId="5138"/>
    <cellStyle name="Input 6 2 5" xfId="4560"/>
    <cellStyle name="Input 6 2 6" xfId="4490"/>
    <cellStyle name="Input 6 3" xfId="3715"/>
    <cellStyle name="Input 6 3 2" xfId="4785"/>
    <cellStyle name="Input 6 3 3" xfId="5139"/>
    <cellStyle name="Input 6 4" xfId="3716"/>
    <cellStyle name="Input 6 4 2" xfId="4786"/>
    <cellStyle name="Input 6 4 3" xfId="5140"/>
    <cellStyle name="Input 6 5" xfId="3717"/>
    <cellStyle name="Input 6 5 2" xfId="4787"/>
    <cellStyle name="Input 6 5 3" xfId="5141"/>
    <cellStyle name="Input 7" xfId="664"/>
    <cellStyle name="Input 7 2" xfId="3718"/>
    <cellStyle name="Input 7 2 2" xfId="4788"/>
    <cellStyle name="Input 7 2 3" xfId="5142"/>
    <cellStyle name="Input 7 3" xfId="3719"/>
    <cellStyle name="Input 7 3 2" xfId="4789"/>
    <cellStyle name="Input 7 3 3" xfId="5143"/>
    <cellStyle name="Input 7 4" xfId="3720"/>
    <cellStyle name="Input 7 4 2" xfId="4790"/>
    <cellStyle name="Input 7 4 3" xfId="5144"/>
    <cellStyle name="Input 7 5" xfId="4451"/>
    <cellStyle name="Input 7 6" xfId="4519"/>
    <cellStyle name="Input 8" xfId="3116"/>
    <cellStyle name="Input 8 2" xfId="3721"/>
    <cellStyle name="Input 8 2 2" xfId="4791"/>
    <cellStyle name="Input 8 2 3" xfId="5145"/>
    <cellStyle name="Input 8 3" xfId="3722"/>
    <cellStyle name="Input 8 3 2" xfId="4792"/>
    <cellStyle name="Input 8 3 3" xfId="5146"/>
    <cellStyle name="Input 8 4" xfId="3723"/>
    <cellStyle name="Input 8 4 2" xfId="4793"/>
    <cellStyle name="Input 8 4 3" xfId="5147"/>
    <cellStyle name="Input 8 5" xfId="4531"/>
    <cellStyle name="Input 8 6" xfId="4499"/>
    <cellStyle name="Input 9" xfId="3724"/>
    <cellStyle name="Input 9 2" xfId="4794"/>
    <cellStyle name="Input 9 3" xfId="5148"/>
    <cellStyle name="Input_분양(100%)" xfId="38842"/>
    <cellStyle name="KPMG Heading 1" xfId="17117"/>
    <cellStyle name="KPMG Heading 2" xfId="17118"/>
    <cellStyle name="KPMG Heading 3" xfId="17119"/>
    <cellStyle name="KPMG Heading 4" xfId="17120"/>
    <cellStyle name="KPMG Normal" xfId="17121"/>
    <cellStyle name="KPMG Normal Text" xfId="17122"/>
    <cellStyle name="KPMG Normal_분양(100%)" xfId="38847"/>
    <cellStyle name="Label" xfId="17123"/>
    <cellStyle name="left" xfId="17124"/>
    <cellStyle name="Linked Cell" xfId="200"/>
    <cellStyle name="Linked Cell 2" xfId="665"/>
    <cellStyle name="Linked Cell_분양(100%)" xfId="38848"/>
    <cellStyle name="MainData" xfId="17125"/>
    <cellStyle name="MajorTotal" xfId="17126"/>
    <cellStyle name="Millares [0]_PERSONAL" xfId="4336"/>
    <cellStyle name="Millares_PERSONAL" xfId="4337"/>
    <cellStyle name="Milliers [0]_Arabian Spec" xfId="201"/>
    <cellStyle name="Milliers_Arabian Spec" xfId="202"/>
    <cellStyle name="Model" xfId="2755"/>
    <cellStyle name="Model 2" xfId="3725"/>
    <cellStyle name="Model_분양(100%)" xfId="38849"/>
    <cellStyle name="Mon?aire [0]_Arabian Spec" xfId="203"/>
    <cellStyle name="Mon?aire_Arabian Spec" xfId="204"/>
    <cellStyle name="Moneda [0]_CONTENCION CONDELL 25.051" xfId="4338"/>
    <cellStyle name="Moneda_CONTENCION CONDELL 25.051" xfId="4339"/>
    <cellStyle name="Neutral" xfId="205"/>
    <cellStyle name="Neutral 2" xfId="666"/>
    <cellStyle name="Neutral_분양(100%)" xfId="38850"/>
    <cellStyle name="no dec" xfId="206"/>
    <cellStyle name="Nor_SX_DB" xfId="17127"/>
    <cellStyle name="normal" xfId="667"/>
    <cellStyle name="Normal - Style1" xfId="207"/>
    <cellStyle name="Normal - Style1 2" xfId="2756"/>
    <cellStyle name="Normal - Style1 2 2" xfId="17128"/>
    <cellStyle name="Normal - Style1 2_분양(100%)" xfId="38852"/>
    <cellStyle name="Normal - Style1 3" xfId="4340"/>
    <cellStyle name="Normal - Style1 4" xfId="17129"/>
    <cellStyle name="Normal - Style1_분양(100%)" xfId="38851"/>
    <cellStyle name="Normal - Style2" xfId="208"/>
    <cellStyle name="Normal - Style3" xfId="209"/>
    <cellStyle name="Normal - Style4" xfId="210"/>
    <cellStyle name="Normal - Style5" xfId="211"/>
    <cellStyle name="Normal - Style6" xfId="212"/>
    <cellStyle name="Normal - Style7" xfId="213"/>
    <cellStyle name="Normal - Style8" xfId="214"/>
    <cellStyle name="Normal - 유형1" xfId="668"/>
    <cellStyle name="Normal 2" xfId="215"/>
    <cellStyle name="Normal 2 2" xfId="216"/>
    <cellStyle name="Normal 3" xfId="217"/>
    <cellStyle name="Normal 3 2" xfId="17130"/>
    <cellStyle name="Normal 3_분양(100%)" xfId="38853"/>
    <cellStyle name="Normal 4" xfId="218"/>
    <cellStyle name="Normal 5" xfId="219"/>
    <cellStyle name="Normal_ SG&amp;A Bridge" xfId="220"/>
    <cellStyle name="Normal1" xfId="17131"/>
    <cellStyle name="Normal2" xfId="17132"/>
    <cellStyle name="Normal3" xfId="4341"/>
    <cellStyle name="Normal4" xfId="17133"/>
    <cellStyle name="Note" xfId="221"/>
    <cellStyle name="Note 2" xfId="558"/>
    <cellStyle name="Note 2 2" xfId="3156"/>
    <cellStyle name="Note 2 2 2" xfId="3726"/>
    <cellStyle name="Note 2 2 2 2" xfId="4795"/>
    <cellStyle name="Note 2 2 2 3" xfId="5149"/>
    <cellStyle name="Note 2 2 3" xfId="3727"/>
    <cellStyle name="Note 2 2 3 2" xfId="4796"/>
    <cellStyle name="Note 2 2 3 3" xfId="5150"/>
    <cellStyle name="Note 2 2 4" xfId="4571"/>
    <cellStyle name="Note 2 2 5" xfId="4479"/>
    <cellStyle name="Note 2 3" xfId="3728"/>
    <cellStyle name="Note 2 3 2" xfId="4797"/>
    <cellStyle name="Note 2 3 3" xfId="5151"/>
    <cellStyle name="Note 2 4" xfId="3729"/>
    <cellStyle name="Note 2 4 2" xfId="4798"/>
    <cellStyle name="Note 2 4 3" xfId="5152"/>
    <cellStyle name="Note 3" xfId="567"/>
    <cellStyle name="Note 3 2" xfId="3165"/>
    <cellStyle name="Note 3 2 2" xfId="3730"/>
    <cellStyle name="Note 3 2 2 2" xfId="4799"/>
    <cellStyle name="Note 3 2 2 3" xfId="5153"/>
    <cellStyle name="Note 3 2 3" xfId="3731"/>
    <cellStyle name="Note 3 2 3 2" xfId="4800"/>
    <cellStyle name="Note 3 2 3 3" xfId="5154"/>
    <cellStyle name="Note 3 2 4" xfId="4580"/>
    <cellStyle name="Note 3 2 5" xfId="4471"/>
    <cellStyle name="Note 3 3" xfId="3732"/>
    <cellStyle name="Note 3 3 2" xfId="4801"/>
    <cellStyle name="Note 3 3 3" xfId="5155"/>
    <cellStyle name="Note 3 4" xfId="3733"/>
    <cellStyle name="Note 3 4 2" xfId="4802"/>
    <cellStyle name="Note 3 4 3" xfId="5156"/>
    <cellStyle name="Note 4" xfId="550"/>
    <cellStyle name="Note 4 2" xfId="3148"/>
    <cellStyle name="Note 4 2 2" xfId="3734"/>
    <cellStyle name="Note 4 2 2 2" xfId="4803"/>
    <cellStyle name="Note 4 2 2 3" xfId="5157"/>
    <cellStyle name="Note 4 2 3" xfId="3735"/>
    <cellStyle name="Note 4 2 3 2" xfId="4804"/>
    <cellStyle name="Note 4 2 3 3" xfId="5158"/>
    <cellStyle name="Note 4 2 4" xfId="4563"/>
    <cellStyle name="Note 4 2 5" xfId="4487"/>
    <cellStyle name="Note 4 3" xfId="3736"/>
    <cellStyle name="Note 4 3 2" xfId="4805"/>
    <cellStyle name="Note 4 3 3" xfId="5159"/>
    <cellStyle name="Note 4 4" xfId="3737"/>
    <cellStyle name="Note 4 4 2" xfId="4806"/>
    <cellStyle name="Note 4 4 3" xfId="5160"/>
    <cellStyle name="Note 5" xfId="669"/>
    <cellStyle name="Note 5 2" xfId="3738"/>
    <cellStyle name="Note 5 2 2" xfId="4807"/>
    <cellStyle name="Note 5 2 3" xfId="5161"/>
    <cellStyle name="Note 5 3" xfId="3739"/>
    <cellStyle name="Note 5 3 2" xfId="4808"/>
    <cellStyle name="Note 5 3 3" xfId="5162"/>
    <cellStyle name="Note 5 4" xfId="4452"/>
    <cellStyle name="Note 5 5" xfId="4518"/>
    <cellStyle name="Note 6" xfId="3118"/>
    <cellStyle name="Note 6 2" xfId="3740"/>
    <cellStyle name="Note 6 2 2" xfId="4809"/>
    <cellStyle name="Note 6 2 3" xfId="5163"/>
    <cellStyle name="Note 6 3" xfId="3741"/>
    <cellStyle name="Note 6 3 2" xfId="4810"/>
    <cellStyle name="Note 6 3 3" xfId="5164"/>
    <cellStyle name="Note 6 4" xfId="4533"/>
    <cellStyle name="Note 6 5" xfId="4497"/>
    <cellStyle name="Note 7" xfId="3742"/>
    <cellStyle name="Note 7 2" xfId="4811"/>
    <cellStyle name="Note 7 3" xfId="5165"/>
    <cellStyle name="Note 8" xfId="3743"/>
    <cellStyle name="Note 8 2" xfId="4812"/>
    <cellStyle name="Note 8 3" xfId="5166"/>
    <cellStyle name="Note_분양(100%)" xfId="38854"/>
    <cellStyle name="Num_Inputs" xfId="17134"/>
    <cellStyle name="Num1_Inputs" xfId="17135"/>
    <cellStyle name="Num3_Input" xfId="17136"/>
    <cellStyle name="Œ…?æ맖?e [0.00]_laroux" xfId="17137"/>
    <cellStyle name="Œ…?æ맖?e_laroux" xfId="17138"/>
    <cellStyle name="oft Excel]_x000d__x000a_Comment=The open=/f lines load custom functions into the Paste Function list._x000d__x000a_Maximized=3_x000d__x000a_AutoFormat=" xfId="2757"/>
    <cellStyle name="OJECT" xfId="17139"/>
    <cellStyle name="Out%2" xfId="17140"/>
    <cellStyle name="Out0" xfId="17141"/>
    <cellStyle name="Out1" xfId="17142"/>
    <cellStyle name="Out2" xfId="17143"/>
    <cellStyle name="Output" xfId="222"/>
    <cellStyle name="Output 2" xfId="559"/>
    <cellStyle name="Output 2 2" xfId="3157"/>
    <cellStyle name="Output 2 2 2" xfId="3744"/>
    <cellStyle name="Output 2 2 2 2" xfId="4813"/>
    <cellStyle name="Output 2 2 2 3" xfId="5167"/>
    <cellStyle name="Output 2 2 3" xfId="3745"/>
    <cellStyle name="Output 2 2 3 2" xfId="4814"/>
    <cellStyle name="Output 2 2 3 3" xfId="5168"/>
    <cellStyle name="Output 2 2 4" xfId="3746"/>
    <cellStyle name="Output 2 2 4 2" xfId="4815"/>
    <cellStyle name="Output 2 2 4 3" xfId="5169"/>
    <cellStyle name="Output 2 2 5" xfId="4572"/>
    <cellStyle name="Output 2 2 6" xfId="4478"/>
    <cellStyle name="Output 2 3" xfId="3747"/>
    <cellStyle name="Output 2 3 2" xfId="4816"/>
    <cellStyle name="Output 2 3 3" xfId="5170"/>
    <cellStyle name="Output 2 4" xfId="3748"/>
    <cellStyle name="Output 2 4 2" xfId="4817"/>
    <cellStyle name="Output 2 4 3" xfId="5171"/>
    <cellStyle name="Output 2 5" xfId="3749"/>
    <cellStyle name="Output 2 5 2" xfId="4818"/>
    <cellStyle name="Output 2 5 3" xfId="5172"/>
    <cellStyle name="Output 3" xfId="566"/>
    <cellStyle name="Output 3 2" xfId="3164"/>
    <cellStyle name="Output 3 2 2" xfId="3750"/>
    <cellStyle name="Output 3 2 2 2" xfId="4819"/>
    <cellStyle name="Output 3 2 2 3" xfId="5173"/>
    <cellStyle name="Output 3 2 3" xfId="3751"/>
    <cellStyle name="Output 3 2 3 2" xfId="4820"/>
    <cellStyle name="Output 3 2 3 3" xfId="5174"/>
    <cellStyle name="Output 3 2 4" xfId="3752"/>
    <cellStyle name="Output 3 2 4 2" xfId="4821"/>
    <cellStyle name="Output 3 2 4 3" xfId="5175"/>
    <cellStyle name="Output 3 2 5" xfId="4579"/>
    <cellStyle name="Output 3 2 6" xfId="4472"/>
    <cellStyle name="Output 3 3" xfId="3753"/>
    <cellStyle name="Output 3 3 2" xfId="4822"/>
    <cellStyle name="Output 3 3 3" xfId="5176"/>
    <cellStyle name="Output 3 4" xfId="3754"/>
    <cellStyle name="Output 3 4 2" xfId="4823"/>
    <cellStyle name="Output 3 4 3" xfId="5177"/>
    <cellStyle name="Output 3 5" xfId="3755"/>
    <cellStyle name="Output 3 5 2" xfId="4824"/>
    <cellStyle name="Output 3 5 3" xfId="5178"/>
    <cellStyle name="Output 4" xfId="551"/>
    <cellStyle name="Output 4 2" xfId="3149"/>
    <cellStyle name="Output 4 2 2" xfId="3756"/>
    <cellStyle name="Output 4 2 2 2" xfId="4825"/>
    <cellStyle name="Output 4 2 2 3" xfId="5179"/>
    <cellStyle name="Output 4 2 3" xfId="3757"/>
    <cellStyle name="Output 4 2 3 2" xfId="4826"/>
    <cellStyle name="Output 4 2 3 3" xfId="5180"/>
    <cellStyle name="Output 4 2 4" xfId="3758"/>
    <cellStyle name="Output 4 2 4 2" xfId="4827"/>
    <cellStyle name="Output 4 2 4 3" xfId="5181"/>
    <cellStyle name="Output 4 2 5" xfId="4564"/>
    <cellStyle name="Output 4 2 6" xfId="4486"/>
    <cellStyle name="Output 4 3" xfId="3759"/>
    <cellStyle name="Output 4 3 2" xfId="4828"/>
    <cellStyle name="Output 4 3 3" xfId="5182"/>
    <cellStyle name="Output 4 4" xfId="3760"/>
    <cellStyle name="Output 4 4 2" xfId="4829"/>
    <cellStyle name="Output 4 4 3" xfId="5183"/>
    <cellStyle name="Output 4 5" xfId="3761"/>
    <cellStyle name="Output 4 5 2" xfId="4830"/>
    <cellStyle name="Output 4 5 3" xfId="5184"/>
    <cellStyle name="Output 5" xfId="670"/>
    <cellStyle name="Output 5 2" xfId="3762"/>
    <cellStyle name="Output 5 2 2" xfId="4831"/>
    <cellStyle name="Output 5 2 3" xfId="5185"/>
    <cellStyle name="Output 5 3" xfId="3763"/>
    <cellStyle name="Output 5 3 2" xfId="4832"/>
    <cellStyle name="Output 5 3 3" xfId="5186"/>
    <cellStyle name="Output 5 4" xfId="3764"/>
    <cellStyle name="Output 5 4 2" xfId="4833"/>
    <cellStyle name="Output 5 4 3" xfId="5187"/>
    <cellStyle name="Output 5 5" xfId="4453"/>
    <cellStyle name="Output 5 6" xfId="4517"/>
    <cellStyle name="Output 6" xfId="3119"/>
    <cellStyle name="Output 6 2" xfId="3765"/>
    <cellStyle name="Output 6 2 2" xfId="4834"/>
    <cellStyle name="Output 6 2 3" xfId="5188"/>
    <cellStyle name="Output 6 3" xfId="3766"/>
    <cellStyle name="Output 6 3 2" xfId="4835"/>
    <cellStyle name="Output 6 3 3" xfId="5189"/>
    <cellStyle name="Output 6 4" xfId="3767"/>
    <cellStyle name="Output 6 4 2" xfId="4836"/>
    <cellStyle name="Output 6 4 3" xfId="5190"/>
    <cellStyle name="Output 6 5" xfId="4534"/>
    <cellStyle name="Output 6 6" xfId="4512"/>
    <cellStyle name="Output 7" xfId="3768"/>
    <cellStyle name="Output 7 2" xfId="4837"/>
    <cellStyle name="Output 7 3" xfId="5191"/>
    <cellStyle name="Output 8" xfId="3769"/>
    <cellStyle name="Output 8 2" xfId="4838"/>
    <cellStyle name="Output 8 3" xfId="5192"/>
    <cellStyle name="Output 9" xfId="3770"/>
    <cellStyle name="Output 9 2" xfId="4839"/>
    <cellStyle name="Output 9 3" xfId="5193"/>
    <cellStyle name="Output_분양(100%)" xfId="38855"/>
    <cellStyle name="Percent" xfId="223"/>
    <cellStyle name="Percent [2]" xfId="224"/>
    <cellStyle name="Percent 2" xfId="225"/>
    <cellStyle name="Percent 3" xfId="226"/>
    <cellStyle name="Percent 4" xfId="227"/>
    <cellStyle name="Percent 5" xfId="671"/>
    <cellStyle name="Percent 6" xfId="4342"/>
    <cellStyle name="Percent 7" xfId="4343"/>
    <cellStyle name="Percent_①사업진척(0608)" xfId="17144"/>
    <cellStyle name="Percent2" xfId="17145"/>
    <cellStyle name="PwC" xfId="17146"/>
    <cellStyle name="RevList" xfId="2758"/>
    <cellStyle name="RevList 2" xfId="17147"/>
    <cellStyle name="RevList 2 2" xfId="17148"/>
    <cellStyle name="RevList 2_분양(100%)" xfId="38857"/>
    <cellStyle name="RevList 3" xfId="17149"/>
    <cellStyle name="RevList_분양(100%)" xfId="38856"/>
    <cellStyle name="rld Wide" xfId="17150"/>
    <cellStyle name="SAPBEXstdItem" xfId="17151"/>
    <cellStyle name="Sect_Title" xfId="17152"/>
    <cellStyle name="Sheet_Title" xfId="17153"/>
    <cellStyle name="Smart Bold" xfId="17154"/>
    <cellStyle name="Smart Forecast" xfId="17155"/>
    <cellStyle name="Smart General" xfId="17156"/>
    <cellStyle name="Smart Highlight" xfId="17157"/>
    <cellStyle name="Smart Percent" xfId="17158"/>
    <cellStyle name="Smart Source" xfId="17159"/>
    <cellStyle name="Smart Subtitle 1" xfId="17160"/>
    <cellStyle name="Smart Subtitle 2" xfId="17161"/>
    <cellStyle name="Smart Subtotal" xfId="17162"/>
    <cellStyle name="Smart Title" xfId="17163"/>
    <cellStyle name="Smart Total" xfId="17164"/>
    <cellStyle name="Standard__Utopia Index Index und Guidance (Deutsch)" xfId="17165"/>
    <cellStyle name="steve" xfId="17166"/>
    <cellStyle name="Sub_sub_title" xfId="17167"/>
    <cellStyle name="subhead" xfId="228"/>
    <cellStyle name="subhead 2" xfId="672"/>
    <cellStyle name="subhead 3" xfId="17168"/>
    <cellStyle name="subhead_분양(100%)" xfId="38858"/>
    <cellStyle name="Subtotal" xfId="2759"/>
    <cellStyle name="Text_In" xfId="17169"/>
    <cellStyle name="Thousands" xfId="4344"/>
    <cellStyle name="Title" xfId="229"/>
    <cellStyle name="title [1]" xfId="230"/>
    <cellStyle name="title [2]" xfId="231"/>
    <cellStyle name="Title 2" xfId="673"/>
    <cellStyle name="Title_분양(100%)" xfId="38859"/>
    <cellStyle name="Total" xfId="232"/>
    <cellStyle name="Total 2" xfId="560"/>
    <cellStyle name="Total 2 2" xfId="3158"/>
    <cellStyle name="Total 2 2 2" xfId="3771"/>
    <cellStyle name="Total 2 2 2 2" xfId="4840"/>
    <cellStyle name="Total 2 2 2 3" xfId="5194"/>
    <cellStyle name="Total 2 2 3" xfId="3772"/>
    <cellStyle name="Total 2 2 3 2" xfId="4841"/>
    <cellStyle name="Total 2 2 3 3" xfId="5195"/>
    <cellStyle name="Total 2 2 4" xfId="3773"/>
    <cellStyle name="Total 2 2 4 2" xfId="4842"/>
    <cellStyle name="Total 2 2 4 3" xfId="5196"/>
    <cellStyle name="Total 2 2 5" xfId="4573"/>
    <cellStyle name="Total 2 2 6" xfId="4477"/>
    <cellStyle name="Total 2 3" xfId="3774"/>
    <cellStyle name="Total 2 3 2" xfId="4843"/>
    <cellStyle name="Total 2 3 3" xfId="5197"/>
    <cellStyle name="Total 2 4" xfId="3775"/>
    <cellStyle name="Total 2 4 2" xfId="4844"/>
    <cellStyle name="Total 2 4 3" xfId="5198"/>
    <cellStyle name="Total 2 5" xfId="3776"/>
    <cellStyle name="Total 2 5 2" xfId="4845"/>
    <cellStyle name="Total 2 5 3" xfId="5199"/>
    <cellStyle name="Total 2_분양(100%)" xfId="38861"/>
    <cellStyle name="Total 3" xfId="565"/>
    <cellStyle name="Total 3 2" xfId="3163"/>
    <cellStyle name="Total 3 2 2" xfId="3777"/>
    <cellStyle name="Total 3 2 2 2" xfId="4846"/>
    <cellStyle name="Total 3 2 2 3" xfId="5200"/>
    <cellStyle name="Total 3 2 3" xfId="3778"/>
    <cellStyle name="Total 3 2 3 2" xfId="4847"/>
    <cellStyle name="Total 3 2 3 3" xfId="5201"/>
    <cellStyle name="Total 3 2 4" xfId="3779"/>
    <cellStyle name="Total 3 2 4 2" xfId="4848"/>
    <cellStyle name="Total 3 2 4 3" xfId="5202"/>
    <cellStyle name="Total 3 2 5" xfId="4578"/>
    <cellStyle name="Total 3 2 6" xfId="4473"/>
    <cellStyle name="Total 3 2_분양(100%)" xfId="38863"/>
    <cellStyle name="Total 3 3" xfId="3780"/>
    <cellStyle name="Total 3 3 2" xfId="4849"/>
    <cellStyle name="Total 3 3 3" xfId="5203"/>
    <cellStyle name="Total 3 4" xfId="3781"/>
    <cellStyle name="Total 3 4 2" xfId="4850"/>
    <cellStyle name="Total 3 4 3" xfId="5204"/>
    <cellStyle name="Total 3 5" xfId="3782"/>
    <cellStyle name="Total 3 5 2" xfId="4851"/>
    <cellStyle name="Total 3 5 3" xfId="5205"/>
    <cellStyle name="Total 3_분양(100%)" xfId="38862"/>
    <cellStyle name="Total 4" xfId="553"/>
    <cellStyle name="Total 4 2" xfId="3151"/>
    <cellStyle name="Total 4 2 2" xfId="3783"/>
    <cellStyle name="Total 4 2 2 2" xfId="4852"/>
    <cellStyle name="Total 4 2 2 3" xfId="5206"/>
    <cellStyle name="Total 4 2 3" xfId="3784"/>
    <cellStyle name="Total 4 2 3 2" xfId="4853"/>
    <cellStyle name="Total 4 2 3 3" xfId="5207"/>
    <cellStyle name="Total 4 2 4" xfId="3785"/>
    <cellStyle name="Total 4 2 4 2" xfId="4854"/>
    <cellStyle name="Total 4 2 4 3" xfId="5208"/>
    <cellStyle name="Total 4 2 5" xfId="4566"/>
    <cellStyle name="Total 4 2 6" xfId="4484"/>
    <cellStyle name="Total 4 3" xfId="3786"/>
    <cellStyle name="Total 4 3 2" xfId="4855"/>
    <cellStyle name="Total 4 3 3" xfId="5209"/>
    <cellStyle name="Total 4 4" xfId="3787"/>
    <cellStyle name="Total 4 4 2" xfId="4856"/>
    <cellStyle name="Total 4 4 3" xfId="5210"/>
    <cellStyle name="Total 4 5" xfId="3788"/>
    <cellStyle name="Total 4 5 2" xfId="4857"/>
    <cellStyle name="Total 4 5 3" xfId="5211"/>
    <cellStyle name="Total 5" xfId="674"/>
    <cellStyle name="Total 5 2" xfId="3789"/>
    <cellStyle name="Total 5 2 2" xfId="4858"/>
    <cellStyle name="Total 5 2 3" xfId="5212"/>
    <cellStyle name="Total 5 3" xfId="3790"/>
    <cellStyle name="Total 5 3 2" xfId="4859"/>
    <cellStyle name="Total 5 3 3" xfId="5213"/>
    <cellStyle name="Total 5 4" xfId="3791"/>
    <cellStyle name="Total 5 4 2" xfId="4860"/>
    <cellStyle name="Total 5 4 3" xfId="5214"/>
    <cellStyle name="Total 5 5" xfId="4454"/>
    <cellStyle name="Total 5 6" xfId="4516"/>
    <cellStyle name="Total 6" xfId="3120"/>
    <cellStyle name="Total 6 2" xfId="3792"/>
    <cellStyle name="Total 6 2 2" xfId="4861"/>
    <cellStyle name="Total 6 2 3" xfId="5215"/>
    <cellStyle name="Total 6 3" xfId="3793"/>
    <cellStyle name="Total 6 3 2" xfId="4862"/>
    <cellStyle name="Total 6 3 3" xfId="5216"/>
    <cellStyle name="Total 6 4" xfId="3794"/>
    <cellStyle name="Total 6 4 2" xfId="4863"/>
    <cellStyle name="Total 6 4 3" xfId="5217"/>
    <cellStyle name="Total 6 5" xfId="4535"/>
    <cellStyle name="Total 6 6" xfId="4496"/>
    <cellStyle name="Total 7" xfId="3795"/>
    <cellStyle name="Total 7 2" xfId="4864"/>
    <cellStyle name="Total 7 3" xfId="5218"/>
    <cellStyle name="Total 8" xfId="3796"/>
    <cellStyle name="Total 8 2" xfId="4865"/>
    <cellStyle name="Total 8 3" xfId="5219"/>
    <cellStyle name="Total 9" xfId="3797"/>
    <cellStyle name="Total 9 2" xfId="4866"/>
    <cellStyle name="Total 9 3" xfId="5220"/>
    <cellStyle name="Total_분양(100%)" xfId="38860"/>
    <cellStyle name="UM" xfId="233"/>
    <cellStyle name="Units" xfId="17170"/>
    <cellStyle name="Units 2" xfId="17171"/>
    <cellStyle name="Units_분양(100%)" xfId="38864"/>
    <cellStyle name="Unprot" xfId="17172"/>
    <cellStyle name="Unprot$" xfId="17173"/>
    <cellStyle name="Unprot_분양(100%)" xfId="38865"/>
    <cellStyle name="Unprotect" xfId="4345"/>
    <cellStyle name="W?rung [0]_Compiling Utility Macros" xfId="2760"/>
    <cellStyle name="W?rung_Compiling Utility Macros" xfId="2761"/>
    <cellStyle name="Warning Text" xfId="234"/>
    <cellStyle name="Warning Text 2" xfId="675"/>
    <cellStyle name="Warning Text_분양(100%)" xfId="38866"/>
    <cellStyle name="wrap" xfId="17174"/>
    <cellStyle name="μU¿¡ ¿A´A CIAIÆU¸μAⓒ" xfId="235"/>
    <cellStyle name="|?ドE" xfId="2762"/>
    <cellStyle name="가운데" xfId="17175"/>
    <cellStyle name="가운데 2" xfId="17176"/>
    <cellStyle name="가운데 3" xfId="17177"/>
    <cellStyle name="가운데_분양(100%)" xfId="38867"/>
    <cellStyle name="강조색1" xfId="597" builtinId="29"/>
    <cellStyle name="강조색1 2" xfId="4346"/>
    <cellStyle name="강조색1 2 2" xfId="17178"/>
    <cellStyle name="강조색1 2_분양(100%)" xfId="38868"/>
    <cellStyle name="강조색1 3" xfId="17179"/>
    <cellStyle name="강조색1 4" xfId="17180"/>
    <cellStyle name="강조색1 5" xfId="17181"/>
    <cellStyle name="강조색1 6" xfId="17182"/>
    <cellStyle name="강조색2 2" xfId="4347"/>
    <cellStyle name="강조색2 2 2" xfId="17183"/>
    <cellStyle name="강조색2 2_분양(100%)" xfId="38869"/>
    <cellStyle name="강조색2 3" xfId="17184"/>
    <cellStyle name="강조색2 4" xfId="17185"/>
    <cellStyle name="강조색2 5" xfId="17186"/>
    <cellStyle name="강조색2 6" xfId="17187"/>
    <cellStyle name="강조색3 2" xfId="4348"/>
    <cellStyle name="강조색3 2 2" xfId="17188"/>
    <cellStyle name="강조색3 2_분양(100%)" xfId="38870"/>
    <cellStyle name="강조색3 3" xfId="17189"/>
    <cellStyle name="강조색3 4" xfId="17190"/>
    <cellStyle name="강조색3 5" xfId="17191"/>
    <cellStyle name="강조색3 6" xfId="17192"/>
    <cellStyle name="강조색4 2" xfId="4349"/>
    <cellStyle name="강조색4 2 2" xfId="17193"/>
    <cellStyle name="강조색4 2_분양(100%)" xfId="38871"/>
    <cellStyle name="강조색4 3" xfId="17194"/>
    <cellStyle name="강조색4 4" xfId="17195"/>
    <cellStyle name="강조색4 5" xfId="17196"/>
    <cellStyle name="강조색4 6" xfId="17197"/>
    <cellStyle name="강조색5 2" xfId="4350"/>
    <cellStyle name="강조색5 2 2" xfId="17198"/>
    <cellStyle name="강조색5 2_분양(100%)" xfId="38872"/>
    <cellStyle name="강조색5 3" xfId="17199"/>
    <cellStyle name="강조색5 4" xfId="17200"/>
    <cellStyle name="강조색5 5" xfId="17201"/>
    <cellStyle name="강조색5 6" xfId="17202"/>
    <cellStyle name="강조색6 2" xfId="4351"/>
    <cellStyle name="강조색6 2 2" xfId="17203"/>
    <cellStyle name="강조색6 2_분양(100%)" xfId="38873"/>
    <cellStyle name="강조색6 3" xfId="17204"/>
    <cellStyle name="강조색6 4" xfId="17205"/>
    <cellStyle name="강조색6 5" xfId="17206"/>
    <cellStyle name="강조색6 6" xfId="17207"/>
    <cellStyle name="개" xfId="17208"/>
    <cellStyle name="개 2" xfId="17209"/>
    <cellStyle name="개 3" xfId="17210"/>
    <cellStyle name="개_02-포장-1" xfId="17211"/>
    <cellStyle name="개_02-포장-1 2" xfId="17212"/>
    <cellStyle name="개_02-포장-1 2_분양(100%)" xfId="38876"/>
    <cellStyle name="개_02-포장-1 3" xfId="17213"/>
    <cellStyle name="개_02-포장-1 3_분양(100%)" xfId="38877"/>
    <cellStyle name="개_02-포장-1_분양(100%)" xfId="38875"/>
    <cellStyle name="개_03-신축-수축" xfId="17214"/>
    <cellStyle name="개_03-신축-수축 2" xfId="17215"/>
    <cellStyle name="개_03-신축-수축 2_분양(100%)" xfId="38879"/>
    <cellStyle name="개_03-신축-수축 3" xfId="17216"/>
    <cellStyle name="개_03-신축-수축 3_분양(100%)" xfId="38880"/>
    <cellStyle name="개_03-신축-수축_분양(100%)" xfId="38878"/>
    <cellStyle name="개_분양(100%)" xfId="38874"/>
    <cellStyle name="개소" xfId="17217"/>
    <cellStyle name="개소 2" xfId="17218"/>
    <cellStyle name="개소 3" xfId="17219"/>
    <cellStyle name="개소_분양(100%)" xfId="38881"/>
    <cellStyle name="견적" xfId="17220"/>
    <cellStyle name="견적부" xfId="17221"/>
    <cellStyle name="견적부 2" xfId="17222"/>
    <cellStyle name="견적부_분양(100%)" xfId="38882"/>
    <cellStyle name="결산일" xfId="17223"/>
    <cellStyle name="결산일 2" xfId="17224"/>
    <cellStyle name="결산일_분양(100%)" xfId="38883"/>
    <cellStyle name="경고문 2" xfId="4352"/>
    <cellStyle name="경고문 2 2" xfId="17225"/>
    <cellStyle name="경고문 2_분양(100%)" xfId="38884"/>
    <cellStyle name="경고문 3" xfId="17226"/>
    <cellStyle name="경고문 4" xfId="17227"/>
    <cellStyle name="경고문 5" xfId="17228"/>
    <cellStyle name="경고문 6" xfId="17229"/>
    <cellStyle name="계산 10" xfId="17230"/>
    <cellStyle name="계산 10 10" xfId="17231"/>
    <cellStyle name="계산 10 11" xfId="17232"/>
    <cellStyle name="계산 10 12" xfId="17233"/>
    <cellStyle name="계산 10 13" xfId="17234"/>
    <cellStyle name="계산 10 14" xfId="17235"/>
    <cellStyle name="계산 10 15" xfId="17236"/>
    <cellStyle name="계산 10 16" xfId="17237"/>
    <cellStyle name="계산 10 17" xfId="17238"/>
    <cellStyle name="계산 10 18" xfId="17239"/>
    <cellStyle name="계산 10 19" xfId="17240"/>
    <cellStyle name="계산 10 2" xfId="17241"/>
    <cellStyle name="계산 10 20" xfId="17242"/>
    <cellStyle name="계산 10 21" xfId="17243"/>
    <cellStyle name="계산 10 22" xfId="17244"/>
    <cellStyle name="계산 10 23" xfId="17245"/>
    <cellStyle name="계산 10 24" xfId="17246"/>
    <cellStyle name="계산 10 25" xfId="17247"/>
    <cellStyle name="계산 10 26" xfId="17248"/>
    <cellStyle name="계산 10 27" xfId="17249"/>
    <cellStyle name="계산 10 28" xfId="17250"/>
    <cellStyle name="계산 10 29" xfId="17251"/>
    <cellStyle name="계산 10 3" xfId="17252"/>
    <cellStyle name="계산 10 30" xfId="17253"/>
    <cellStyle name="계산 10 31" xfId="17254"/>
    <cellStyle name="계산 10 32" xfId="17255"/>
    <cellStyle name="계산 10 33" xfId="17256"/>
    <cellStyle name="계산 10 34" xfId="17257"/>
    <cellStyle name="계산 10 35" xfId="17258"/>
    <cellStyle name="계산 10 36" xfId="17259"/>
    <cellStyle name="계산 10 37" xfId="17260"/>
    <cellStyle name="계산 10 38" xfId="17261"/>
    <cellStyle name="계산 10 39" xfId="17262"/>
    <cellStyle name="계산 10 4" xfId="17263"/>
    <cellStyle name="계산 10 40" xfId="17264"/>
    <cellStyle name="계산 10 41" xfId="17265"/>
    <cellStyle name="계산 10 42" xfId="17266"/>
    <cellStyle name="계산 10 43" xfId="17267"/>
    <cellStyle name="계산 10 5" xfId="17268"/>
    <cellStyle name="계산 10 6" xfId="17269"/>
    <cellStyle name="계산 10 7" xfId="17270"/>
    <cellStyle name="계산 10 8" xfId="17271"/>
    <cellStyle name="계산 10 9" xfId="17272"/>
    <cellStyle name="계산 10_분양(100%)" xfId="38885"/>
    <cellStyle name="계산 11" xfId="17273"/>
    <cellStyle name="계산 11 10" xfId="17274"/>
    <cellStyle name="계산 11 11" xfId="17275"/>
    <cellStyle name="계산 11 12" xfId="17276"/>
    <cellStyle name="계산 11 13" xfId="17277"/>
    <cellStyle name="계산 11 14" xfId="17278"/>
    <cellStyle name="계산 11 15" xfId="17279"/>
    <cellStyle name="계산 11 16" xfId="17280"/>
    <cellStyle name="계산 11 17" xfId="17281"/>
    <cellStyle name="계산 11 18" xfId="17282"/>
    <cellStyle name="계산 11 19" xfId="17283"/>
    <cellStyle name="계산 11 2" xfId="17284"/>
    <cellStyle name="계산 11 20" xfId="17285"/>
    <cellStyle name="계산 11 21" xfId="17286"/>
    <cellStyle name="계산 11 22" xfId="17287"/>
    <cellStyle name="계산 11 23" xfId="17288"/>
    <cellStyle name="계산 11 24" xfId="17289"/>
    <cellStyle name="계산 11 25" xfId="17290"/>
    <cellStyle name="계산 11 26" xfId="17291"/>
    <cellStyle name="계산 11 27" xfId="17292"/>
    <cellStyle name="계산 11 28" xfId="17293"/>
    <cellStyle name="계산 11 29" xfId="17294"/>
    <cellStyle name="계산 11 3" xfId="17295"/>
    <cellStyle name="계산 11 30" xfId="17296"/>
    <cellStyle name="계산 11 31" xfId="17297"/>
    <cellStyle name="계산 11 32" xfId="17298"/>
    <cellStyle name="계산 11 33" xfId="17299"/>
    <cellStyle name="계산 11 34" xfId="17300"/>
    <cellStyle name="계산 11 35" xfId="17301"/>
    <cellStyle name="계산 11 36" xfId="17302"/>
    <cellStyle name="계산 11 37" xfId="17303"/>
    <cellStyle name="계산 11 38" xfId="17304"/>
    <cellStyle name="계산 11 39" xfId="17305"/>
    <cellStyle name="계산 11 4" xfId="17306"/>
    <cellStyle name="계산 11 40" xfId="17307"/>
    <cellStyle name="계산 11 41" xfId="17308"/>
    <cellStyle name="계산 11 42" xfId="17309"/>
    <cellStyle name="계산 11 43" xfId="17310"/>
    <cellStyle name="계산 11 5" xfId="17311"/>
    <cellStyle name="계산 11 6" xfId="17312"/>
    <cellStyle name="계산 11 7" xfId="17313"/>
    <cellStyle name="계산 11 8" xfId="17314"/>
    <cellStyle name="계산 11 9" xfId="17315"/>
    <cellStyle name="계산 11_분양(100%)" xfId="38886"/>
    <cellStyle name="계산 12" xfId="17316"/>
    <cellStyle name="계산 12 10" xfId="17317"/>
    <cellStyle name="계산 12 11" xfId="17318"/>
    <cellStyle name="계산 12 12" xfId="17319"/>
    <cellStyle name="계산 12 13" xfId="17320"/>
    <cellStyle name="계산 12 14" xfId="17321"/>
    <cellStyle name="계산 12 15" xfId="17322"/>
    <cellStyle name="계산 12 16" xfId="17323"/>
    <cellStyle name="계산 12 17" xfId="17324"/>
    <cellStyle name="계산 12 18" xfId="17325"/>
    <cellStyle name="계산 12 19" xfId="17326"/>
    <cellStyle name="계산 12 2" xfId="17327"/>
    <cellStyle name="계산 12 20" xfId="17328"/>
    <cellStyle name="계산 12 21" xfId="17329"/>
    <cellStyle name="계산 12 22" xfId="17330"/>
    <cellStyle name="계산 12 23" xfId="17331"/>
    <cellStyle name="계산 12 24" xfId="17332"/>
    <cellStyle name="계산 12 25" xfId="17333"/>
    <cellStyle name="계산 12 26" xfId="17334"/>
    <cellStyle name="계산 12 27" xfId="17335"/>
    <cellStyle name="계산 12 28" xfId="17336"/>
    <cellStyle name="계산 12 29" xfId="17337"/>
    <cellStyle name="계산 12 3" xfId="17338"/>
    <cellStyle name="계산 12 30" xfId="17339"/>
    <cellStyle name="계산 12 31" xfId="17340"/>
    <cellStyle name="계산 12 32" xfId="17341"/>
    <cellStyle name="계산 12 33" xfId="17342"/>
    <cellStyle name="계산 12 34" xfId="17343"/>
    <cellStyle name="계산 12 35" xfId="17344"/>
    <cellStyle name="계산 12 36" xfId="17345"/>
    <cellStyle name="계산 12 37" xfId="17346"/>
    <cellStyle name="계산 12 38" xfId="17347"/>
    <cellStyle name="계산 12 39" xfId="17348"/>
    <cellStyle name="계산 12 4" xfId="17349"/>
    <cellStyle name="계산 12 40" xfId="17350"/>
    <cellStyle name="계산 12 41" xfId="17351"/>
    <cellStyle name="계산 12 42" xfId="17352"/>
    <cellStyle name="계산 12 43" xfId="17353"/>
    <cellStyle name="계산 12 5" xfId="17354"/>
    <cellStyle name="계산 12 6" xfId="17355"/>
    <cellStyle name="계산 12 7" xfId="17356"/>
    <cellStyle name="계산 12 8" xfId="17357"/>
    <cellStyle name="계산 12 9" xfId="17358"/>
    <cellStyle name="계산 12_분양(100%)" xfId="38887"/>
    <cellStyle name="계산 13" xfId="17359"/>
    <cellStyle name="계산 13 10" xfId="17360"/>
    <cellStyle name="계산 13 11" xfId="17361"/>
    <cellStyle name="계산 13 12" xfId="17362"/>
    <cellStyle name="계산 13 13" xfId="17363"/>
    <cellStyle name="계산 13 14" xfId="17364"/>
    <cellStyle name="계산 13 15" xfId="17365"/>
    <cellStyle name="계산 13 16" xfId="17366"/>
    <cellStyle name="계산 13 17" xfId="17367"/>
    <cellStyle name="계산 13 18" xfId="17368"/>
    <cellStyle name="계산 13 19" xfId="17369"/>
    <cellStyle name="계산 13 2" xfId="17370"/>
    <cellStyle name="계산 13 20" xfId="17371"/>
    <cellStyle name="계산 13 21" xfId="17372"/>
    <cellStyle name="계산 13 22" xfId="17373"/>
    <cellStyle name="계산 13 23" xfId="17374"/>
    <cellStyle name="계산 13 24" xfId="17375"/>
    <cellStyle name="계산 13 25" xfId="17376"/>
    <cellStyle name="계산 13 26" xfId="17377"/>
    <cellStyle name="계산 13 27" xfId="17378"/>
    <cellStyle name="계산 13 28" xfId="17379"/>
    <cellStyle name="계산 13 29" xfId="17380"/>
    <cellStyle name="계산 13 3" xfId="17381"/>
    <cellStyle name="계산 13 30" xfId="17382"/>
    <cellStyle name="계산 13 31" xfId="17383"/>
    <cellStyle name="계산 13 32" xfId="17384"/>
    <cellStyle name="계산 13 33" xfId="17385"/>
    <cellStyle name="계산 13 34" xfId="17386"/>
    <cellStyle name="계산 13 35" xfId="17387"/>
    <cellStyle name="계산 13 36" xfId="17388"/>
    <cellStyle name="계산 13 37" xfId="17389"/>
    <cellStyle name="계산 13 38" xfId="17390"/>
    <cellStyle name="계산 13 39" xfId="17391"/>
    <cellStyle name="계산 13 4" xfId="17392"/>
    <cellStyle name="계산 13 40" xfId="17393"/>
    <cellStyle name="계산 13 41" xfId="17394"/>
    <cellStyle name="계산 13 42" xfId="17395"/>
    <cellStyle name="계산 13 43" xfId="17396"/>
    <cellStyle name="계산 13 5" xfId="17397"/>
    <cellStyle name="계산 13 6" xfId="17398"/>
    <cellStyle name="계산 13 7" xfId="17399"/>
    <cellStyle name="계산 13 8" xfId="17400"/>
    <cellStyle name="계산 13 9" xfId="17401"/>
    <cellStyle name="계산 13_분양(100%)" xfId="38888"/>
    <cellStyle name="계산 14" xfId="17402"/>
    <cellStyle name="계산 14 10" xfId="17403"/>
    <cellStyle name="계산 14 11" xfId="17404"/>
    <cellStyle name="계산 14 12" xfId="17405"/>
    <cellStyle name="계산 14 13" xfId="17406"/>
    <cellStyle name="계산 14 14" xfId="17407"/>
    <cellStyle name="계산 14 15" xfId="17408"/>
    <cellStyle name="계산 14 16" xfId="17409"/>
    <cellStyle name="계산 14 17" xfId="17410"/>
    <cellStyle name="계산 14 18" xfId="17411"/>
    <cellStyle name="계산 14 19" xfId="17412"/>
    <cellStyle name="계산 14 2" xfId="17413"/>
    <cellStyle name="계산 14 20" xfId="17414"/>
    <cellStyle name="계산 14 21" xfId="17415"/>
    <cellStyle name="계산 14 22" xfId="17416"/>
    <cellStyle name="계산 14 23" xfId="17417"/>
    <cellStyle name="계산 14 24" xfId="17418"/>
    <cellStyle name="계산 14 25" xfId="17419"/>
    <cellStyle name="계산 14 26" xfId="17420"/>
    <cellStyle name="계산 14 27" xfId="17421"/>
    <cellStyle name="계산 14 28" xfId="17422"/>
    <cellStyle name="계산 14 29" xfId="17423"/>
    <cellStyle name="계산 14 3" xfId="17424"/>
    <cellStyle name="계산 14 30" xfId="17425"/>
    <cellStyle name="계산 14 31" xfId="17426"/>
    <cellStyle name="계산 14 32" xfId="17427"/>
    <cellStyle name="계산 14 33" xfId="17428"/>
    <cellStyle name="계산 14 34" xfId="17429"/>
    <cellStyle name="계산 14 35" xfId="17430"/>
    <cellStyle name="계산 14 36" xfId="17431"/>
    <cellStyle name="계산 14 37" xfId="17432"/>
    <cellStyle name="계산 14 38" xfId="17433"/>
    <cellStyle name="계산 14 39" xfId="17434"/>
    <cellStyle name="계산 14 4" xfId="17435"/>
    <cellStyle name="계산 14 40" xfId="17436"/>
    <cellStyle name="계산 14 41" xfId="17437"/>
    <cellStyle name="계산 14 42" xfId="17438"/>
    <cellStyle name="계산 14 43" xfId="17439"/>
    <cellStyle name="계산 14 5" xfId="17440"/>
    <cellStyle name="계산 14 6" xfId="17441"/>
    <cellStyle name="계산 14 7" xfId="17442"/>
    <cellStyle name="계산 14 8" xfId="17443"/>
    <cellStyle name="계산 14 9" xfId="17444"/>
    <cellStyle name="계산 14_분양(100%)" xfId="38889"/>
    <cellStyle name="계산 15" xfId="17445"/>
    <cellStyle name="계산 15 10" xfId="17446"/>
    <cellStyle name="계산 15 11" xfId="17447"/>
    <cellStyle name="계산 15 12" xfId="17448"/>
    <cellStyle name="계산 15 13" xfId="17449"/>
    <cellStyle name="계산 15 14" xfId="17450"/>
    <cellStyle name="계산 15 15" xfId="17451"/>
    <cellStyle name="계산 15 16" xfId="17452"/>
    <cellStyle name="계산 15 17" xfId="17453"/>
    <cellStyle name="계산 15 18" xfId="17454"/>
    <cellStyle name="계산 15 19" xfId="17455"/>
    <cellStyle name="계산 15 2" xfId="17456"/>
    <cellStyle name="계산 15 20" xfId="17457"/>
    <cellStyle name="계산 15 21" xfId="17458"/>
    <cellStyle name="계산 15 22" xfId="17459"/>
    <cellStyle name="계산 15 23" xfId="17460"/>
    <cellStyle name="계산 15 24" xfId="17461"/>
    <cellStyle name="계산 15 25" xfId="17462"/>
    <cellStyle name="계산 15 26" xfId="17463"/>
    <cellStyle name="계산 15 27" xfId="17464"/>
    <cellStyle name="계산 15 28" xfId="17465"/>
    <cellStyle name="계산 15 29" xfId="17466"/>
    <cellStyle name="계산 15 3" xfId="17467"/>
    <cellStyle name="계산 15 30" xfId="17468"/>
    <cellStyle name="계산 15 31" xfId="17469"/>
    <cellStyle name="계산 15 32" xfId="17470"/>
    <cellStyle name="계산 15 33" xfId="17471"/>
    <cellStyle name="계산 15 34" xfId="17472"/>
    <cellStyle name="계산 15 35" xfId="17473"/>
    <cellStyle name="계산 15 36" xfId="17474"/>
    <cellStyle name="계산 15 37" xfId="17475"/>
    <cellStyle name="계산 15 38" xfId="17476"/>
    <cellStyle name="계산 15 39" xfId="17477"/>
    <cellStyle name="계산 15 4" xfId="17478"/>
    <cellStyle name="계산 15 40" xfId="17479"/>
    <cellStyle name="계산 15 41" xfId="17480"/>
    <cellStyle name="계산 15 42" xfId="17481"/>
    <cellStyle name="계산 15 43" xfId="17482"/>
    <cellStyle name="계산 15 5" xfId="17483"/>
    <cellStyle name="계산 15 6" xfId="17484"/>
    <cellStyle name="계산 15 7" xfId="17485"/>
    <cellStyle name="계산 15 8" xfId="17486"/>
    <cellStyle name="계산 15 9" xfId="17487"/>
    <cellStyle name="계산 15_분양(100%)" xfId="38890"/>
    <cellStyle name="계산 16" xfId="17488"/>
    <cellStyle name="계산 16 10" xfId="17489"/>
    <cellStyle name="계산 16 11" xfId="17490"/>
    <cellStyle name="계산 16 12" xfId="17491"/>
    <cellStyle name="계산 16 13" xfId="17492"/>
    <cellStyle name="계산 16 14" xfId="17493"/>
    <cellStyle name="계산 16 15" xfId="17494"/>
    <cellStyle name="계산 16 16" xfId="17495"/>
    <cellStyle name="계산 16 17" xfId="17496"/>
    <cellStyle name="계산 16 18" xfId="17497"/>
    <cellStyle name="계산 16 19" xfId="17498"/>
    <cellStyle name="계산 16 2" xfId="17499"/>
    <cellStyle name="계산 16 20" xfId="17500"/>
    <cellStyle name="계산 16 21" xfId="17501"/>
    <cellStyle name="계산 16 22" xfId="17502"/>
    <cellStyle name="계산 16 23" xfId="17503"/>
    <cellStyle name="계산 16 24" xfId="17504"/>
    <cellStyle name="계산 16 25" xfId="17505"/>
    <cellStyle name="계산 16 26" xfId="17506"/>
    <cellStyle name="계산 16 27" xfId="17507"/>
    <cellStyle name="계산 16 28" xfId="17508"/>
    <cellStyle name="계산 16 29" xfId="17509"/>
    <cellStyle name="계산 16 3" xfId="17510"/>
    <cellStyle name="계산 16 30" xfId="17511"/>
    <cellStyle name="계산 16 31" xfId="17512"/>
    <cellStyle name="계산 16 32" xfId="17513"/>
    <cellStyle name="계산 16 33" xfId="17514"/>
    <cellStyle name="계산 16 34" xfId="17515"/>
    <cellStyle name="계산 16 35" xfId="17516"/>
    <cellStyle name="계산 16 36" xfId="17517"/>
    <cellStyle name="계산 16 37" xfId="17518"/>
    <cellStyle name="계산 16 38" xfId="17519"/>
    <cellStyle name="계산 16 39" xfId="17520"/>
    <cellStyle name="계산 16 4" xfId="17521"/>
    <cellStyle name="계산 16 40" xfId="17522"/>
    <cellStyle name="계산 16 41" xfId="17523"/>
    <cellStyle name="계산 16 42" xfId="17524"/>
    <cellStyle name="계산 16 43" xfId="17525"/>
    <cellStyle name="계산 16 5" xfId="17526"/>
    <cellStyle name="계산 16 6" xfId="17527"/>
    <cellStyle name="계산 16 7" xfId="17528"/>
    <cellStyle name="계산 16 8" xfId="17529"/>
    <cellStyle name="계산 16 9" xfId="17530"/>
    <cellStyle name="계산 16_분양(100%)" xfId="38891"/>
    <cellStyle name="계산 17" xfId="17531"/>
    <cellStyle name="계산 17 10" xfId="17532"/>
    <cellStyle name="계산 17 11" xfId="17533"/>
    <cellStyle name="계산 17 12" xfId="17534"/>
    <cellStyle name="계산 17 13" xfId="17535"/>
    <cellStyle name="계산 17 14" xfId="17536"/>
    <cellStyle name="계산 17 15" xfId="17537"/>
    <cellStyle name="계산 17 16" xfId="17538"/>
    <cellStyle name="계산 17 17" xfId="17539"/>
    <cellStyle name="계산 17 18" xfId="17540"/>
    <cellStyle name="계산 17 19" xfId="17541"/>
    <cellStyle name="계산 17 2" xfId="17542"/>
    <cellStyle name="계산 17 20" xfId="17543"/>
    <cellStyle name="계산 17 21" xfId="17544"/>
    <cellStyle name="계산 17 22" xfId="17545"/>
    <cellStyle name="계산 17 23" xfId="17546"/>
    <cellStyle name="계산 17 24" xfId="17547"/>
    <cellStyle name="계산 17 25" xfId="17548"/>
    <cellStyle name="계산 17 26" xfId="17549"/>
    <cellStyle name="계산 17 27" xfId="17550"/>
    <cellStyle name="계산 17 28" xfId="17551"/>
    <cellStyle name="계산 17 29" xfId="17552"/>
    <cellStyle name="계산 17 3" xfId="17553"/>
    <cellStyle name="계산 17 30" xfId="17554"/>
    <cellStyle name="계산 17 31" xfId="17555"/>
    <cellStyle name="계산 17 32" xfId="17556"/>
    <cellStyle name="계산 17 33" xfId="17557"/>
    <cellStyle name="계산 17 34" xfId="17558"/>
    <cellStyle name="계산 17 35" xfId="17559"/>
    <cellStyle name="계산 17 36" xfId="17560"/>
    <cellStyle name="계산 17 37" xfId="17561"/>
    <cellStyle name="계산 17 38" xfId="17562"/>
    <cellStyle name="계산 17 39" xfId="17563"/>
    <cellStyle name="계산 17 4" xfId="17564"/>
    <cellStyle name="계산 17 40" xfId="17565"/>
    <cellStyle name="계산 17 41" xfId="17566"/>
    <cellStyle name="계산 17 42" xfId="17567"/>
    <cellStyle name="계산 17 43" xfId="17568"/>
    <cellStyle name="계산 17 5" xfId="17569"/>
    <cellStyle name="계산 17 6" xfId="17570"/>
    <cellStyle name="계산 17 7" xfId="17571"/>
    <cellStyle name="계산 17 8" xfId="17572"/>
    <cellStyle name="계산 17 9" xfId="17573"/>
    <cellStyle name="계산 17_분양(100%)" xfId="38892"/>
    <cellStyle name="계산 18" xfId="17574"/>
    <cellStyle name="계산 18 10" xfId="17575"/>
    <cellStyle name="계산 18 11" xfId="17576"/>
    <cellStyle name="계산 18 12" xfId="17577"/>
    <cellStyle name="계산 18 13" xfId="17578"/>
    <cellStyle name="계산 18 14" xfId="17579"/>
    <cellStyle name="계산 18 15" xfId="17580"/>
    <cellStyle name="계산 18 16" xfId="17581"/>
    <cellStyle name="계산 18 17" xfId="17582"/>
    <cellStyle name="계산 18 18" xfId="17583"/>
    <cellStyle name="계산 18 19" xfId="17584"/>
    <cellStyle name="계산 18 2" xfId="17585"/>
    <cellStyle name="계산 18 20" xfId="17586"/>
    <cellStyle name="계산 18 21" xfId="17587"/>
    <cellStyle name="계산 18 22" xfId="17588"/>
    <cellStyle name="계산 18 23" xfId="17589"/>
    <cellStyle name="계산 18 24" xfId="17590"/>
    <cellStyle name="계산 18 25" xfId="17591"/>
    <cellStyle name="계산 18 26" xfId="17592"/>
    <cellStyle name="계산 18 27" xfId="17593"/>
    <cellStyle name="계산 18 28" xfId="17594"/>
    <cellStyle name="계산 18 29" xfId="17595"/>
    <cellStyle name="계산 18 3" xfId="17596"/>
    <cellStyle name="계산 18 30" xfId="17597"/>
    <cellStyle name="계산 18 31" xfId="17598"/>
    <cellStyle name="계산 18 32" xfId="17599"/>
    <cellStyle name="계산 18 33" xfId="17600"/>
    <cellStyle name="계산 18 34" xfId="17601"/>
    <cellStyle name="계산 18 35" xfId="17602"/>
    <cellStyle name="계산 18 36" xfId="17603"/>
    <cellStyle name="계산 18 37" xfId="17604"/>
    <cellStyle name="계산 18 38" xfId="17605"/>
    <cellStyle name="계산 18 39" xfId="17606"/>
    <cellStyle name="계산 18 4" xfId="17607"/>
    <cellStyle name="계산 18 40" xfId="17608"/>
    <cellStyle name="계산 18 41" xfId="17609"/>
    <cellStyle name="계산 18 42" xfId="17610"/>
    <cellStyle name="계산 18 43" xfId="17611"/>
    <cellStyle name="계산 18 5" xfId="17612"/>
    <cellStyle name="계산 18 6" xfId="17613"/>
    <cellStyle name="계산 18 7" xfId="17614"/>
    <cellStyle name="계산 18 8" xfId="17615"/>
    <cellStyle name="계산 18 9" xfId="17616"/>
    <cellStyle name="계산 18_분양(100%)" xfId="38893"/>
    <cellStyle name="계산 19" xfId="17617"/>
    <cellStyle name="계산 19 10" xfId="17618"/>
    <cellStyle name="계산 19 11" xfId="17619"/>
    <cellStyle name="계산 19 12" xfId="17620"/>
    <cellStyle name="계산 19 13" xfId="17621"/>
    <cellStyle name="계산 19 14" xfId="17622"/>
    <cellStyle name="계산 19 15" xfId="17623"/>
    <cellStyle name="계산 19 16" xfId="17624"/>
    <cellStyle name="계산 19 17" xfId="17625"/>
    <cellStyle name="계산 19 18" xfId="17626"/>
    <cellStyle name="계산 19 19" xfId="17627"/>
    <cellStyle name="계산 19 2" xfId="17628"/>
    <cellStyle name="계산 19 20" xfId="17629"/>
    <cellStyle name="계산 19 21" xfId="17630"/>
    <cellStyle name="계산 19 22" xfId="17631"/>
    <cellStyle name="계산 19 23" xfId="17632"/>
    <cellStyle name="계산 19 24" xfId="17633"/>
    <cellStyle name="계산 19 25" xfId="17634"/>
    <cellStyle name="계산 19 26" xfId="17635"/>
    <cellStyle name="계산 19 27" xfId="17636"/>
    <cellStyle name="계산 19 28" xfId="17637"/>
    <cellStyle name="계산 19 29" xfId="17638"/>
    <cellStyle name="계산 19 3" xfId="17639"/>
    <cellStyle name="계산 19 30" xfId="17640"/>
    <cellStyle name="계산 19 31" xfId="17641"/>
    <cellStyle name="계산 19 32" xfId="17642"/>
    <cellStyle name="계산 19 33" xfId="17643"/>
    <cellStyle name="계산 19 34" xfId="17644"/>
    <cellStyle name="계산 19 35" xfId="17645"/>
    <cellStyle name="계산 19 36" xfId="17646"/>
    <cellStyle name="계산 19 37" xfId="17647"/>
    <cellStyle name="계산 19 38" xfId="17648"/>
    <cellStyle name="계산 19 39" xfId="17649"/>
    <cellStyle name="계산 19 4" xfId="17650"/>
    <cellStyle name="계산 19 40" xfId="17651"/>
    <cellStyle name="계산 19 41" xfId="17652"/>
    <cellStyle name="계산 19 42" xfId="17653"/>
    <cellStyle name="계산 19 43" xfId="17654"/>
    <cellStyle name="계산 19 5" xfId="17655"/>
    <cellStyle name="계산 19 6" xfId="17656"/>
    <cellStyle name="계산 19 7" xfId="17657"/>
    <cellStyle name="계산 19 8" xfId="17658"/>
    <cellStyle name="계산 19 9" xfId="17659"/>
    <cellStyle name="계산 19_분양(100%)" xfId="38894"/>
    <cellStyle name="계산 2" xfId="4353"/>
    <cellStyle name="계산 2 10" xfId="17660"/>
    <cellStyle name="계산 2 10 10" xfId="17661"/>
    <cellStyle name="계산 2 10 11" xfId="17662"/>
    <cellStyle name="계산 2 10 12" xfId="17663"/>
    <cellStyle name="계산 2 10 13" xfId="17664"/>
    <cellStyle name="계산 2 10 14" xfId="17665"/>
    <cellStyle name="계산 2 10 15" xfId="17666"/>
    <cellStyle name="계산 2 10 16" xfId="17667"/>
    <cellStyle name="계산 2 10 17" xfId="17668"/>
    <cellStyle name="계산 2 10 18" xfId="17669"/>
    <cellStyle name="계산 2 10 19" xfId="17670"/>
    <cellStyle name="계산 2 10 2" xfId="17671"/>
    <cellStyle name="계산 2 10 20" xfId="17672"/>
    <cellStyle name="계산 2 10 21" xfId="17673"/>
    <cellStyle name="계산 2 10 22" xfId="17674"/>
    <cellStyle name="계산 2 10 23" xfId="17675"/>
    <cellStyle name="계산 2 10 24" xfId="17676"/>
    <cellStyle name="계산 2 10 25" xfId="17677"/>
    <cellStyle name="계산 2 10 26" xfId="17678"/>
    <cellStyle name="계산 2 10 27" xfId="17679"/>
    <cellStyle name="계산 2 10 28" xfId="17680"/>
    <cellStyle name="계산 2 10 29" xfId="17681"/>
    <cellStyle name="계산 2 10 3" xfId="17682"/>
    <cellStyle name="계산 2 10 30" xfId="17683"/>
    <cellStyle name="계산 2 10 31" xfId="17684"/>
    <cellStyle name="계산 2 10 32" xfId="17685"/>
    <cellStyle name="계산 2 10 33" xfId="17686"/>
    <cellStyle name="계산 2 10 34" xfId="17687"/>
    <cellStyle name="계산 2 10 35" xfId="17688"/>
    <cellStyle name="계산 2 10 36" xfId="17689"/>
    <cellStyle name="계산 2 10 37" xfId="17690"/>
    <cellStyle name="계산 2 10 38" xfId="17691"/>
    <cellStyle name="계산 2 10 39" xfId="17692"/>
    <cellStyle name="계산 2 10 4" xfId="17693"/>
    <cellStyle name="계산 2 10 40" xfId="17694"/>
    <cellStyle name="계산 2 10 41" xfId="17695"/>
    <cellStyle name="계산 2 10 42" xfId="17696"/>
    <cellStyle name="계산 2 10 43" xfId="17697"/>
    <cellStyle name="계산 2 10 5" xfId="17698"/>
    <cellStyle name="계산 2 10 6" xfId="17699"/>
    <cellStyle name="계산 2 10 7" xfId="17700"/>
    <cellStyle name="계산 2 10 8" xfId="17701"/>
    <cellStyle name="계산 2 10 9" xfId="17702"/>
    <cellStyle name="계산 2 10_분양(100%)" xfId="38896"/>
    <cellStyle name="계산 2 11" xfId="17703"/>
    <cellStyle name="계산 2 11 10" xfId="17704"/>
    <cellStyle name="계산 2 11 11" xfId="17705"/>
    <cellStyle name="계산 2 11 12" xfId="17706"/>
    <cellStyle name="계산 2 11 13" xfId="17707"/>
    <cellStyle name="계산 2 11 14" xfId="17708"/>
    <cellStyle name="계산 2 11 15" xfId="17709"/>
    <cellStyle name="계산 2 11 16" xfId="17710"/>
    <cellStyle name="계산 2 11 17" xfId="17711"/>
    <cellStyle name="계산 2 11 18" xfId="17712"/>
    <cellStyle name="계산 2 11 19" xfId="17713"/>
    <cellStyle name="계산 2 11 2" xfId="17714"/>
    <cellStyle name="계산 2 11 20" xfId="17715"/>
    <cellStyle name="계산 2 11 21" xfId="17716"/>
    <cellStyle name="계산 2 11 22" xfId="17717"/>
    <cellStyle name="계산 2 11 23" xfId="17718"/>
    <cellStyle name="계산 2 11 24" xfId="17719"/>
    <cellStyle name="계산 2 11 25" xfId="17720"/>
    <cellStyle name="계산 2 11 26" xfId="17721"/>
    <cellStyle name="계산 2 11 27" xfId="17722"/>
    <cellStyle name="계산 2 11 28" xfId="17723"/>
    <cellStyle name="계산 2 11 29" xfId="17724"/>
    <cellStyle name="계산 2 11 3" xfId="17725"/>
    <cellStyle name="계산 2 11 30" xfId="17726"/>
    <cellStyle name="계산 2 11 31" xfId="17727"/>
    <cellStyle name="계산 2 11 32" xfId="17728"/>
    <cellStyle name="계산 2 11 33" xfId="17729"/>
    <cellStyle name="계산 2 11 34" xfId="17730"/>
    <cellStyle name="계산 2 11 35" xfId="17731"/>
    <cellStyle name="계산 2 11 36" xfId="17732"/>
    <cellStyle name="계산 2 11 37" xfId="17733"/>
    <cellStyle name="계산 2 11 38" xfId="17734"/>
    <cellStyle name="계산 2 11 39" xfId="17735"/>
    <cellStyle name="계산 2 11 4" xfId="17736"/>
    <cellStyle name="계산 2 11 40" xfId="17737"/>
    <cellStyle name="계산 2 11 41" xfId="17738"/>
    <cellStyle name="계산 2 11 42" xfId="17739"/>
    <cellStyle name="계산 2 11 43" xfId="17740"/>
    <cellStyle name="계산 2 11 5" xfId="17741"/>
    <cellStyle name="계산 2 11 6" xfId="17742"/>
    <cellStyle name="계산 2 11 7" xfId="17743"/>
    <cellStyle name="계산 2 11 8" xfId="17744"/>
    <cellStyle name="계산 2 11 9" xfId="17745"/>
    <cellStyle name="계산 2 11_분양(100%)" xfId="38897"/>
    <cellStyle name="계산 2 12" xfId="17746"/>
    <cellStyle name="계산 2 12 10" xfId="17747"/>
    <cellStyle name="계산 2 12 11" xfId="17748"/>
    <cellStyle name="계산 2 12 12" xfId="17749"/>
    <cellStyle name="계산 2 12 13" xfId="17750"/>
    <cellStyle name="계산 2 12 14" xfId="17751"/>
    <cellStyle name="계산 2 12 15" xfId="17752"/>
    <cellStyle name="계산 2 12 16" xfId="17753"/>
    <cellStyle name="계산 2 12 17" xfId="17754"/>
    <cellStyle name="계산 2 12 18" xfId="17755"/>
    <cellStyle name="계산 2 12 19" xfId="17756"/>
    <cellStyle name="계산 2 12 2" xfId="17757"/>
    <cellStyle name="계산 2 12 20" xfId="17758"/>
    <cellStyle name="계산 2 12 21" xfId="17759"/>
    <cellStyle name="계산 2 12 22" xfId="17760"/>
    <cellStyle name="계산 2 12 23" xfId="17761"/>
    <cellStyle name="계산 2 12 24" xfId="17762"/>
    <cellStyle name="계산 2 12 25" xfId="17763"/>
    <cellStyle name="계산 2 12 26" xfId="17764"/>
    <cellStyle name="계산 2 12 27" xfId="17765"/>
    <cellStyle name="계산 2 12 28" xfId="17766"/>
    <cellStyle name="계산 2 12 29" xfId="17767"/>
    <cellStyle name="계산 2 12 3" xfId="17768"/>
    <cellStyle name="계산 2 12 30" xfId="17769"/>
    <cellStyle name="계산 2 12 31" xfId="17770"/>
    <cellStyle name="계산 2 12 32" xfId="17771"/>
    <cellStyle name="계산 2 12 33" xfId="17772"/>
    <cellStyle name="계산 2 12 34" xfId="17773"/>
    <cellStyle name="계산 2 12 35" xfId="17774"/>
    <cellStyle name="계산 2 12 36" xfId="17775"/>
    <cellStyle name="계산 2 12 37" xfId="17776"/>
    <cellStyle name="계산 2 12 38" xfId="17777"/>
    <cellStyle name="계산 2 12 39" xfId="17778"/>
    <cellStyle name="계산 2 12 4" xfId="17779"/>
    <cellStyle name="계산 2 12 40" xfId="17780"/>
    <cellStyle name="계산 2 12 41" xfId="17781"/>
    <cellStyle name="계산 2 12 42" xfId="17782"/>
    <cellStyle name="계산 2 12 43" xfId="17783"/>
    <cellStyle name="계산 2 12 5" xfId="17784"/>
    <cellStyle name="계산 2 12 6" xfId="17785"/>
    <cellStyle name="계산 2 12 7" xfId="17786"/>
    <cellStyle name="계산 2 12 8" xfId="17787"/>
    <cellStyle name="계산 2 12 9" xfId="17788"/>
    <cellStyle name="계산 2 12_분양(100%)" xfId="38898"/>
    <cellStyle name="계산 2 13" xfId="17789"/>
    <cellStyle name="계산 2 13 10" xfId="17790"/>
    <cellStyle name="계산 2 13 11" xfId="17791"/>
    <cellStyle name="계산 2 13 12" xfId="17792"/>
    <cellStyle name="계산 2 13 13" xfId="17793"/>
    <cellStyle name="계산 2 13 14" xfId="17794"/>
    <cellStyle name="계산 2 13 15" xfId="17795"/>
    <cellStyle name="계산 2 13 16" xfId="17796"/>
    <cellStyle name="계산 2 13 17" xfId="17797"/>
    <cellStyle name="계산 2 13 18" xfId="17798"/>
    <cellStyle name="계산 2 13 19" xfId="17799"/>
    <cellStyle name="계산 2 13 2" xfId="17800"/>
    <cellStyle name="계산 2 13 20" xfId="17801"/>
    <cellStyle name="계산 2 13 21" xfId="17802"/>
    <cellStyle name="계산 2 13 22" xfId="17803"/>
    <cellStyle name="계산 2 13 23" xfId="17804"/>
    <cellStyle name="계산 2 13 24" xfId="17805"/>
    <cellStyle name="계산 2 13 25" xfId="17806"/>
    <cellStyle name="계산 2 13 26" xfId="17807"/>
    <cellStyle name="계산 2 13 27" xfId="17808"/>
    <cellStyle name="계산 2 13 28" xfId="17809"/>
    <cellStyle name="계산 2 13 29" xfId="17810"/>
    <cellStyle name="계산 2 13 3" xfId="17811"/>
    <cellStyle name="계산 2 13 30" xfId="17812"/>
    <cellStyle name="계산 2 13 31" xfId="17813"/>
    <cellStyle name="계산 2 13 32" xfId="17814"/>
    <cellStyle name="계산 2 13 33" xfId="17815"/>
    <cellStyle name="계산 2 13 34" xfId="17816"/>
    <cellStyle name="계산 2 13 35" xfId="17817"/>
    <cellStyle name="계산 2 13 36" xfId="17818"/>
    <cellStyle name="계산 2 13 37" xfId="17819"/>
    <cellStyle name="계산 2 13 38" xfId="17820"/>
    <cellStyle name="계산 2 13 39" xfId="17821"/>
    <cellStyle name="계산 2 13 4" xfId="17822"/>
    <cellStyle name="계산 2 13 40" xfId="17823"/>
    <cellStyle name="계산 2 13 41" xfId="17824"/>
    <cellStyle name="계산 2 13 42" xfId="17825"/>
    <cellStyle name="계산 2 13 43" xfId="17826"/>
    <cellStyle name="계산 2 13 5" xfId="17827"/>
    <cellStyle name="계산 2 13 6" xfId="17828"/>
    <cellStyle name="계산 2 13 7" xfId="17829"/>
    <cellStyle name="계산 2 13 8" xfId="17830"/>
    <cellStyle name="계산 2 13 9" xfId="17831"/>
    <cellStyle name="계산 2 13_분양(100%)" xfId="38899"/>
    <cellStyle name="계산 2 14" xfId="17832"/>
    <cellStyle name="계산 2 14 10" xfId="17833"/>
    <cellStyle name="계산 2 14 11" xfId="17834"/>
    <cellStyle name="계산 2 14 12" xfId="17835"/>
    <cellStyle name="계산 2 14 13" xfId="17836"/>
    <cellStyle name="계산 2 14 14" xfId="17837"/>
    <cellStyle name="계산 2 14 15" xfId="17838"/>
    <cellStyle name="계산 2 14 16" xfId="17839"/>
    <cellStyle name="계산 2 14 17" xfId="17840"/>
    <cellStyle name="계산 2 14 18" xfId="17841"/>
    <cellStyle name="계산 2 14 19" xfId="17842"/>
    <cellStyle name="계산 2 14 2" xfId="17843"/>
    <cellStyle name="계산 2 14 20" xfId="17844"/>
    <cellStyle name="계산 2 14 21" xfId="17845"/>
    <cellStyle name="계산 2 14 22" xfId="17846"/>
    <cellStyle name="계산 2 14 23" xfId="17847"/>
    <cellStyle name="계산 2 14 24" xfId="17848"/>
    <cellStyle name="계산 2 14 25" xfId="17849"/>
    <cellStyle name="계산 2 14 26" xfId="17850"/>
    <cellStyle name="계산 2 14 27" xfId="17851"/>
    <cellStyle name="계산 2 14 28" xfId="17852"/>
    <cellStyle name="계산 2 14 29" xfId="17853"/>
    <cellStyle name="계산 2 14 3" xfId="17854"/>
    <cellStyle name="계산 2 14 30" xfId="17855"/>
    <cellStyle name="계산 2 14 31" xfId="17856"/>
    <cellStyle name="계산 2 14 32" xfId="17857"/>
    <cellStyle name="계산 2 14 33" xfId="17858"/>
    <cellStyle name="계산 2 14 34" xfId="17859"/>
    <cellStyle name="계산 2 14 35" xfId="17860"/>
    <cellStyle name="계산 2 14 36" xfId="17861"/>
    <cellStyle name="계산 2 14 37" xfId="17862"/>
    <cellStyle name="계산 2 14 38" xfId="17863"/>
    <cellStyle name="계산 2 14 39" xfId="17864"/>
    <cellStyle name="계산 2 14 4" xfId="17865"/>
    <cellStyle name="계산 2 14 40" xfId="17866"/>
    <cellStyle name="계산 2 14 41" xfId="17867"/>
    <cellStyle name="계산 2 14 42" xfId="17868"/>
    <cellStyle name="계산 2 14 43" xfId="17869"/>
    <cellStyle name="계산 2 14 5" xfId="17870"/>
    <cellStyle name="계산 2 14 6" xfId="17871"/>
    <cellStyle name="계산 2 14 7" xfId="17872"/>
    <cellStyle name="계산 2 14 8" xfId="17873"/>
    <cellStyle name="계산 2 14 9" xfId="17874"/>
    <cellStyle name="계산 2 14_분양(100%)" xfId="38900"/>
    <cellStyle name="계산 2 15" xfId="17875"/>
    <cellStyle name="계산 2 15 10" xfId="17876"/>
    <cellStyle name="계산 2 15 11" xfId="17877"/>
    <cellStyle name="계산 2 15 12" xfId="17878"/>
    <cellStyle name="계산 2 15 13" xfId="17879"/>
    <cellStyle name="계산 2 15 14" xfId="17880"/>
    <cellStyle name="계산 2 15 15" xfId="17881"/>
    <cellStyle name="계산 2 15 16" xfId="17882"/>
    <cellStyle name="계산 2 15 17" xfId="17883"/>
    <cellStyle name="계산 2 15 18" xfId="17884"/>
    <cellStyle name="계산 2 15 19" xfId="17885"/>
    <cellStyle name="계산 2 15 2" xfId="17886"/>
    <cellStyle name="계산 2 15 20" xfId="17887"/>
    <cellStyle name="계산 2 15 21" xfId="17888"/>
    <cellStyle name="계산 2 15 22" xfId="17889"/>
    <cellStyle name="계산 2 15 23" xfId="17890"/>
    <cellStyle name="계산 2 15 24" xfId="17891"/>
    <cellStyle name="계산 2 15 25" xfId="17892"/>
    <cellStyle name="계산 2 15 26" xfId="17893"/>
    <cellStyle name="계산 2 15 27" xfId="17894"/>
    <cellStyle name="계산 2 15 28" xfId="17895"/>
    <cellStyle name="계산 2 15 29" xfId="17896"/>
    <cellStyle name="계산 2 15 3" xfId="17897"/>
    <cellStyle name="계산 2 15 30" xfId="17898"/>
    <cellStyle name="계산 2 15 31" xfId="17899"/>
    <cellStyle name="계산 2 15 32" xfId="17900"/>
    <cellStyle name="계산 2 15 33" xfId="17901"/>
    <cellStyle name="계산 2 15 34" xfId="17902"/>
    <cellStyle name="계산 2 15 35" xfId="17903"/>
    <cellStyle name="계산 2 15 36" xfId="17904"/>
    <cellStyle name="계산 2 15 37" xfId="17905"/>
    <cellStyle name="계산 2 15 38" xfId="17906"/>
    <cellStyle name="계산 2 15 39" xfId="17907"/>
    <cellStyle name="계산 2 15 4" xfId="17908"/>
    <cellStyle name="계산 2 15 40" xfId="17909"/>
    <cellStyle name="계산 2 15 41" xfId="17910"/>
    <cellStyle name="계산 2 15 42" xfId="17911"/>
    <cellStyle name="계산 2 15 43" xfId="17912"/>
    <cellStyle name="계산 2 15 5" xfId="17913"/>
    <cellStyle name="계산 2 15 6" xfId="17914"/>
    <cellStyle name="계산 2 15 7" xfId="17915"/>
    <cellStyle name="계산 2 15 8" xfId="17916"/>
    <cellStyle name="계산 2 15 9" xfId="17917"/>
    <cellStyle name="계산 2 15_분양(100%)" xfId="38901"/>
    <cellStyle name="계산 2 16" xfId="17918"/>
    <cellStyle name="계산 2 16 10" xfId="17919"/>
    <cellStyle name="계산 2 16 11" xfId="17920"/>
    <cellStyle name="계산 2 16 12" xfId="17921"/>
    <cellStyle name="계산 2 16 13" xfId="17922"/>
    <cellStyle name="계산 2 16 14" xfId="17923"/>
    <cellStyle name="계산 2 16 15" xfId="17924"/>
    <cellStyle name="계산 2 16 16" xfId="17925"/>
    <cellStyle name="계산 2 16 17" xfId="17926"/>
    <cellStyle name="계산 2 16 18" xfId="17927"/>
    <cellStyle name="계산 2 16 19" xfId="17928"/>
    <cellStyle name="계산 2 16 2" xfId="17929"/>
    <cellStyle name="계산 2 16 20" xfId="17930"/>
    <cellStyle name="계산 2 16 21" xfId="17931"/>
    <cellStyle name="계산 2 16 22" xfId="17932"/>
    <cellStyle name="계산 2 16 23" xfId="17933"/>
    <cellStyle name="계산 2 16 24" xfId="17934"/>
    <cellStyle name="계산 2 16 25" xfId="17935"/>
    <cellStyle name="계산 2 16 26" xfId="17936"/>
    <cellStyle name="계산 2 16 27" xfId="17937"/>
    <cellStyle name="계산 2 16 28" xfId="17938"/>
    <cellStyle name="계산 2 16 29" xfId="17939"/>
    <cellStyle name="계산 2 16 3" xfId="17940"/>
    <cellStyle name="계산 2 16 30" xfId="17941"/>
    <cellStyle name="계산 2 16 31" xfId="17942"/>
    <cellStyle name="계산 2 16 32" xfId="17943"/>
    <cellStyle name="계산 2 16 33" xfId="17944"/>
    <cellStyle name="계산 2 16 34" xfId="17945"/>
    <cellStyle name="계산 2 16 35" xfId="17946"/>
    <cellStyle name="계산 2 16 36" xfId="17947"/>
    <cellStyle name="계산 2 16 37" xfId="17948"/>
    <cellStyle name="계산 2 16 38" xfId="17949"/>
    <cellStyle name="계산 2 16 39" xfId="17950"/>
    <cellStyle name="계산 2 16 4" xfId="17951"/>
    <cellStyle name="계산 2 16 40" xfId="17952"/>
    <cellStyle name="계산 2 16 41" xfId="17953"/>
    <cellStyle name="계산 2 16 42" xfId="17954"/>
    <cellStyle name="계산 2 16 43" xfId="17955"/>
    <cellStyle name="계산 2 16 5" xfId="17956"/>
    <cellStyle name="계산 2 16 6" xfId="17957"/>
    <cellStyle name="계산 2 16 7" xfId="17958"/>
    <cellStyle name="계산 2 16 8" xfId="17959"/>
    <cellStyle name="계산 2 16 9" xfId="17960"/>
    <cellStyle name="계산 2 16_분양(100%)" xfId="38902"/>
    <cellStyle name="계산 2 17" xfId="17961"/>
    <cellStyle name="계산 2 17 10" xfId="17962"/>
    <cellStyle name="계산 2 17 11" xfId="17963"/>
    <cellStyle name="계산 2 17 12" xfId="17964"/>
    <cellStyle name="계산 2 17 13" xfId="17965"/>
    <cellStyle name="계산 2 17 14" xfId="17966"/>
    <cellStyle name="계산 2 17 15" xfId="17967"/>
    <cellStyle name="계산 2 17 16" xfId="17968"/>
    <cellStyle name="계산 2 17 17" xfId="17969"/>
    <cellStyle name="계산 2 17 18" xfId="17970"/>
    <cellStyle name="계산 2 17 19" xfId="17971"/>
    <cellStyle name="계산 2 17 2" xfId="17972"/>
    <cellStyle name="계산 2 17 20" xfId="17973"/>
    <cellStyle name="계산 2 17 21" xfId="17974"/>
    <cellStyle name="계산 2 17 22" xfId="17975"/>
    <cellStyle name="계산 2 17 23" xfId="17976"/>
    <cellStyle name="계산 2 17 24" xfId="17977"/>
    <cellStyle name="계산 2 17 25" xfId="17978"/>
    <cellStyle name="계산 2 17 26" xfId="17979"/>
    <cellStyle name="계산 2 17 27" xfId="17980"/>
    <cellStyle name="계산 2 17 28" xfId="17981"/>
    <cellStyle name="계산 2 17 29" xfId="17982"/>
    <cellStyle name="계산 2 17 3" xfId="17983"/>
    <cellStyle name="계산 2 17 30" xfId="17984"/>
    <cellStyle name="계산 2 17 31" xfId="17985"/>
    <cellStyle name="계산 2 17 32" xfId="17986"/>
    <cellStyle name="계산 2 17 33" xfId="17987"/>
    <cellStyle name="계산 2 17 34" xfId="17988"/>
    <cellStyle name="계산 2 17 35" xfId="17989"/>
    <cellStyle name="계산 2 17 36" xfId="17990"/>
    <cellStyle name="계산 2 17 37" xfId="17991"/>
    <cellStyle name="계산 2 17 38" xfId="17992"/>
    <cellStyle name="계산 2 17 39" xfId="17993"/>
    <cellStyle name="계산 2 17 4" xfId="17994"/>
    <cellStyle name="계산 2 17 40" xfId="17995"/>
    <cellStyle name="계산 2 17 41" xfId="17996"/>
    <cellStyle name="계산 2 17 42" xfId="17997"/>
    <cellStyle name="계산 2 17 43" xfId="17998"/>
    <cellStyle name="계산 2 17 5" xfId="17999"/>
    <cellStyle name="계산 2 17 6" xfId="18000"/>
    <cellStyle name="계산 2 17 7" xfId="18001"/>
    <cellStyle name="계산 2 17 8" xfId="18002"/>
    <cellStyle name="계산 2 17 9" xfId="18003"/>
    <cellStyle name="계산 2 17_분양(100%)" xfId="38903"/>
    <cellStyle name="계산 2 18" xfId="18004"/>
    <cellStyle name="계산 2 18 10" xfId="18005"/>
    <cellStyle name="계산 2 18 11" xfId="18006"/>
    <cellStyle name="계산 2 18 12" xfId="18007"/>
    <cellStyle name="계산 2 18 13" xfId="18008"/>
    <cellStyle name="계산 2 18 14" xfId="18009"/>
    <cellStyle name="계산 2 18 15" xfId="18010"/>
    <cellStyle name="계산 2 18 16" xfId="18011"/>
    <cellStyle name="계산 2 18 17" xfId="18012"/>
    <cellStyle name="계산 2 18 18" xfId="18013"/>
    <cellStyle name="계산 2 18 19" xfId="18014"/>
    <cellStyle name="계산 2 18 2" xfId="18015"/>
    <cellStyle name="계산 2 18 20" xfId="18016"/>
    <cellStyle name="계산 2 18 21" xfId="18017"/>
    <cellStyle name="계산 2 18 22" xfId="18018"/>
    <cellStyle name="계산 2 18 23" xfId="18019"/>
    <cellStyle name="계산 2 18 24" xfId="18020"/>
    <cellStyle name="계산 2 18 25" xfId="18021"/>
    <cellStyle name="계산 2 18 26" xfId="18022"/>
    <cellStyle name="계산 2 18 27" xfId="18023"/>
    <cellStyle name="계산 2 18 28" xfId="18024"/>
    <cellStyle name="계산 2 18 29" xfId="18025"/>
    <cellStyle name="계산 2 18 3" xfId="18026"/>
    <cellStyle name="계산 2 18 30" xfId="18027"/>
    <cellStyle name="계산 2 18 31" xfId="18028"/>
    <cellStyle name="계산 2 18 32" xfId="18029"/>
    <cellStyle name="계산 2 18 33" xfId="18030"/>
    <cellStyle name="계산 2 18 34" xfId="18031"/>
    <cellStyle name="계산 2 18 35" xfId="18032"/>
    <cellStyle name="계산 2 18 36" xfId="18033"/>
    <cellStyle name="계산 2 18 37" xfId="18034"/>
    <cellStyle name="계산 2 18 38" xfId="18035"/>
    <cellStyle name="계산 2 18 39" xfId="18036"/>
    <cellStyle name="계산 2 18 4" xfId="18037"/>
    <cellStyle name="계산 2 18 40" xfId="18038"/>
    <cellStyle name="계산 2 18 41" xfId="18039"/>
    <cellStyle name="계산 2 18 42" xfId="18040"/>
    <cellStyle name="계산 2 18 43" xfId="18041"/>
    <cellStyle name="계산 2 18 5" xfId="18042"/>
    <cellStyle name="계산 2 18 6" xfId="18043"/>
    <cellStyle name="계산 2 18 7" xfId="18044"/>
    <cellStyle name="계산 2 18 8" xfId="18045"/>
    <cellStyle name="계산 2 18 9" xfId="18046"/>
    <cellStyle name="계산 2 18_분양(100%)" xfId="38904"/>
    <cellStyle name="계산 2 19" xfId="18047"/>
    <cellStyle name="계산 2 19 10" xfId="18048"/>
    <cellStyle name="계산 2 19 11" xfId="18049"/>
    <cellStyle name="계산 2 19 12" xfId="18050"/>
    <cellStyle name="계산 2 19 13" xfId="18051"/>
    <cellStyle name="계산 2 19 14" xfId="18052"/>
    <cellStyle name="계산 2 19 15" xfId="18053"/>
    <cellStyle name="계산 2 19 16" xfId="18054"/>
    <cellStyle name="계산 2 19 17" xfId="18055"/>
    <cellStyle name="계산 2 19 18" xfId="18056"/>
    <cellStyle name="계산 2 19 19" xfId="18057"/>
    <cellStyle name="계산 2 19 2" xfId="18058"/>
    <cellStyle name="계산 2 19 20" xfId="18059"/>
    <cellStyle name="계산 2 19 21" xfId="18060"/>
    <cellStyle name="계산 2 19 22" xfId="18061"/>
    <cellStyle name="계산 2 19 23" xfId="18062"/>
    <cellStyle name="계산 2 19 24" xfId="18063"/>
    <cellStyle name="계산 2 19 25" xfId="18064"/>
    <cellStyle name="계산 2 19 26" xfId="18065"/>
    <cellStyle name="계산 2 19 27" xfId="18066"/>
    <cellStyle name="계산 2 19 28" xfId="18067"/>
    <cellStyle name="계산 2 19 29" xfId="18068"/>
    <cellStyle name="계산 2 19 3" xfId="18069"/>
    <cellStyle name="계산 2 19 30" xfId="18070"/>
    <cellStyle name="계산 2 19 31" xfId="18071"/>
    <cellStyle name="계산 2 19 32" xfId="18072"/>
    <cellStyle name="계산 2 19 33" xfId="18073"/>
    <cellStyle name="계산 2 19 34" xfId="18074"/>
    <cellStyle name="계산 2 19 35" xfId="18075"/>
    <cellStyle name="계산 2 19 36" xfId="18076"/>
    <cellStyle name="계산 2 19 37" xfId="18077"/>
    <cellStyle name="계산 2 19 38" xfId="18078"/>
    <cellStyle name="계산 2 19 39" xfId="18079"/>
    <cellStyle name="계산 2 19 4" xfId="18080"/>
    <cellStyle name="계산 2 19 40" xfId="18081"/>
    <cellStyle name="계산 2 19 41" xfId="18082"/>
    <cellStyle name="계산 2 19 42" xfId="18083"/>
    <cellStyle name="계산 2 19 43" xfId="18084"/>
    <cellStyle name="계산 2 19 5" xfId="18085"/>
    <cellStyle name="계산 2 19 6" xfId="18086"/>
    <cellStyle name="계산 2 19 7" xfId="18087"/>
    <cellStyle name="계산 2 19 8" xfId="18088"/>
    <cellStyle name="계산 2 19 9" xfId="18089"/>
    <cellStyle name="계산 2 19_분양(100%)" xfId="38905"/>
    <cellStyle name="계산 2 2" xfId="18090"/>
    <cellStyle name="계산 2 2 10" xfId="18091"/>
    <cellStyle name="계산 2 2 11" xfId="18092"/>
    <cellStyle name="계산 2 2 12" xfId="18093"/>
    <cellStyle name="계산 2 2 13" xfId="18094"/>
    <cellStyle name="계산 2 2 14" xfId="18095"/>
    <cellStyle name="계산 2 2 15" xfId="18096"/>
    <cellStyle name="계산 2 2 16" xfId="18097"/>
    <cellStyle name="계산 2 2 17" xfId="18098"/>
    <cellStyle name="계산 2 2 18" xfId="18099"/>
    <cellStyle name="계산 2 2 19" xfId="18100"/>
    <cellStyle name="계산 2 2 2" xfId="18101"/>
    <cellStyle name="계산 2 2 20" xfId="18102"/>
    <cellStyle name="계산 2 2 21" xfId="18103"/>
    <cellStyle name="계산 2 2 22" xfId="18104"/>
    <cellStyle name="계산 2 2 23" xfId="18105"/>
    <cellStyle name="계산 2 2 24" xfId="18106"/>
    <cellStyle name="계산 2 2 25" xfId="18107"/>
    <cellStyle name="계산 2 2 26" xfId="18108"/>
    <cellStyle name="계산 2 2 27" xfId="18109"/>
    <cellStyle name="계산 2 2 28" xfId="18110"/>
    <cellStyle name="계산 2 2 29" xfId="18111"/>
    <cellStyle name="계산 2 2 3" xfId="18112"/>
    <cellStyle name="계산 2 2 30" xfId="18113"/>
    <cellStyle name="계산 2 2 31" xfId="18114"/>
    <cellStyle name="계산 2 2 32" xfId="18115"/>
    <cellStyle name="계산 2 2 33" xfId="18116"/>
    <cellStyle name="계산 2 2 34" xfId="18117"/>
    <cellStyle name="계산 2 2 35" xfId="18118"/>
    <cellStyle name="계산 2 2 36" xfId="18119"/>
    <cellStyle name="계산 2 2 37" xfId="18120"/>
    <cellStyle name="계산 2 2 38" xfId="18121"/>
    <cellStyle name="계산 2 2 39" xfId="18122"/>
    <cellStyle name="계산 2 2 4" xfId="18123"/>
    <cellStyle name="계산 2 2 40" xfId="18124"/>
    <cellStyle name="계산 2 2 41" xfId="18125"/>
    <cellStyle name="계산 2 2 42" xfId="18126"/>
    <cellStyle name="계산 2 2 43" xfId="18127"/>
    <cellStyle name="계산 2 2 5" xfId="18128"/>
    <cellStyle name="계산 2 2 6" xfId="18129"/>
    <cellStyle name="계산 2 2 7" xfId="18130"/>
    <cellStyle name="계산 2 2 8" xfId="18131"/>
    <cellStyle name="계산 2 2 9" xfId="18132"/>
    <cellStyle name="계산 2 2_분양(100%)" xfId="38906"/>
    <cellStyle name="계산 2 20" xfId="18133"/>
    <cellStyle name="계산 2 20 10" xfId="18134"/>
    <cellStyle name="계산 2 20 11" xfId="18135"/>
    <cellStyle name="계산 2 20 12" xfId="18136"/>
    <cellStyle name="계산 2 20 13" xfId="18137"/>
    <cellStyle name="계산 2 20 14" xfId="18138"/>
    <cellStyle name="계산 2 20 15" xfId="18139"/>
    <cellStyle name="계산 2 20 16" xfId="18140"/>
    <cellStyle name="계산 2 20 17" xfId="18141"/>
    <cellStyle name="계산 2 20 18" xfId="18142"/>
    <cellStyle name="계산 2 20 19" xfId="18143"/>
    <cellStyle name="계산 2 20 2" xfId="18144"/>
    <cellStyle name="계산 2 20 20" xfId="18145"/>
    <cellStyle name="계산 2 20 21" xfId="18146"/>
    <cellStyle name="계산 2 20 22" xfId="18147"/>
    <cellStyle name="계산 2 20 23" xfId="18148"/>
    <cellStyle name="계산 2 20 24" xfId="18149"/>
    <cellStyle name="계산 2 20 25" xfId="18150"/>
    <cellStyle name="계산 2 20 26" xfId="18151"/>
    <cellStyle name="계산 2 20 27" xfId="18152"/>
    <cellStyle name="계산 2 20 28" xfId="18153"/>
    <cellStyle name="계산 2 20 29" xfId="18154"/>
    <cellStyle name="계산 2 20 3" xfId="18155"/>
    <cellStyle name="계산 2 20 30" xfId="18156"/>
    <cellStyle name="계산 2 20 31" xfId="18157"/>
    <cellStyle name="계산 2 20 32" xfId="18158"/>
    <cellStyle name="계산 2 20 33" xfId="18159"/>
    <cellStyle name="계산 2 20 34" xfId="18160"/>
    <cellStyle name="계산 2 20 35" xfId="18161"/>
    <cellStyle name="계산 2 20 36" xfId="18162"/>
    <cellStyle name="계산 2 20 37" xfId="18163"/>
    <cellStyle name="계산 2 20 38" xfId="18164"/>
    <cellStyle name="계산 2 20 39" xfId="18165"/>
    <cellStyle name="계산 2 20 4" xfId="18166"/>
    <cellStyle name="계산 2 20 40" xfId="18167"/>
    <cellStyle name="계산 2 20 41" xfId="18168"/>
    <cellStyle name="계산 2 20 42" xfId="18169"/>
    <cellStyle name="계산 2 20 43" xfId="18170"/>
    <cellStyle name="계산 2 20 5" xfId="18171"/>
    <cellStyle name="계산 2 20 6" xfId="18172"/>
    <cellStyle name="계산 2 20 7" xfId="18173"/>
    <cellStyle name="계산 2 20 8" xfId="18174"/>
    <cellStyle name="계산 2 20 9" xfId="18175"/>
    <cellStyle name="계산 2 20_분양(100%)" xfId="38907"/>
    <cellStyle name="계산 2 21" xfId="18176"/>
    <cellStyle name="계산 2 21 10" xfId="18177"/>
    <cellStyle name="계산 2 21 11" xfId="18178"/>
    <cellStyle name="계산 2 21 12" xfId="18179"/>
    <cellStyle name="계산 2 21 13" xfId="18180"/>
    <cellStyle name="계산 2 21 14" xfId="18181"/>
    <cellStyle name="계산 2 21 15" xfId="18182"/>
    <cellStyle name="계산 2 21 16" xfId="18183"/>
    <cellStyle name="계산 2 21 17" xfId="18184"/>
    <cellStyle name="계산 2 21 18" xfId="18185"/>
    <cellStyle name="계산 2 21 19" xfId="18186"/>
    <cellStyle name="계산 2 21 2" xfId="18187"/>
    <cellStyle name="계산 2 21 20" xfId="18188"/>
    <cellStyle name="계산 2 21 21" xfId="18189"/>
    <cellStyle name="계산 2 21 22" xfId="18190"/>
    <cellStyle name="계산 2 21 23" xfId="18191"/>
    <cellStyle name="계산 2 21 24" xfId="18192"/>
    <cellStyle name="계산 2 21 25" xfId="18193"/>
    <cellStyle name="계산 2 21 26" xfId="18194"/>
    <cellStyle name="계산 2 21 27" xfId="18195"/>
    <cellStyle name="계산 2 21 28" xfId="18196"/>
    <cellStyle name="계산 2 21 29" xfId="18197"/>
    <cellStyle name="계산 2 21 3" xfId="18198"/>
    <cellStyle name="계산 2 21 30" xfId="18199"/>
    <cellStyle name="계산 2 21 31" xfId="18200"/>
    <cellStyle name="계산 2 21 32" xfId="18201"/>
    <cellStyle name="계산 2 21 33" xfId="18202"/>
    <cellStyle name="계산 2 21 34" xfId="18203"/>
    <cellStyle name="계산 2 21 35" xfId="18204"/>
    <cellStyle name="계산 2 21 36" xfId="18205"/>
    <cellStyle name="계산 2 21 37" xfId="18206"/>
    <cellStyle name="계산 2 21 38" xfId="18207"/>
    <cellStyle name="계산 2 21 39" xfId="18208"/>
    <cellStyle name="계산 2 21 4" xfId="18209"/>
    <cellStyle name="계산 2 21 40" xfId="18210"/>
    <cellStyle name="계산 2 21 41" xfId="18211"/>
    <cellStyle name="계산 2 21 42" xfId="18212"/>
    <cellStyle name="계산 2 21 43" xfId="18213"/>
    <cellStyle name="계산 2 21 5" xfId="18214"/>
    <cellStyle name="계산 2 21 6" xfId="18215"/>
    <cellStyle name="계산 2 21 7" xfId="18216"/>
    <cellStyle name="계산 2 21 8" xfId="18217"/>
    <cellStyle name="계산 2 21 9" xfId="18218"/>
    <cellStyle name="계산 2 21_분양(100%)" xfId="38908"/>
    <cellStyle name="계산 2 22" xfId="18219"/>
    <cellStyle name="계산 2 22 10" xfId="18220"/>
    <cellStyle name="계산 2 22 11" xfId="18221"/>
    <cellStyle name="계산 2 22 12" xfId="18222"/>
    <cellStyle name="계산 2 22 13" xfId="18223"/>
    <cellStyle name="계산 2 22 14" xfId="18224"/>
    <cellStyle name="계산 2 22 15" xfId="18225"/>
    <cellStyle name="계산 2 22 16" xfId="18226"/>
    <cellStyle name="계산 2 22 17" xfId="18227"/>
    <cellStyle name="계산 2 22 18" xfId="18228"/>
    <cellStyle name="계산 2 22 19" xfId="18229"/>
    <cellStyle name="계산 2 22 2" xfId="18230"/>
    <cellStyle name="계산 2 22 20" xfId="18231"/>
    <cellStyle name="계산 2 22 21" xfId="18232"/>
    <cellStyle name="계산 2 22 22" xfId="18233"/>
    <cellStyle name="계산 2 22 23" xfId="18234"/>
    <cellStyle name="계산 2 22 24" xfId="18235"/>
    <cellStyle name="계산 2 22 25" xfId="18236"/>
    <cellStyle name="계산 2 22 26" xfId="18237"/>
    <cellStyle name="계산 2 22 27" xfId="18238"/>
    <cellStyle name="계산 2 22 28" xfId="18239"/>
    <cellStyle name="계산 2 22 29" xfId="18240"/>
    <cellStyle name="계산 2 22 3" xfId="18241"/>
    <cellStyle name="계산 2 22 30" xfId="18242"/>
    <cellStyle name="계산 2 22 31" xfId="18243"/>
    <cellStyle name="계산 2 22 32" xfId="18244"/>
    <cellStyle name="계산 2 22 33" xfId="18245"/>
    <cellStyle name="계산 2 22 34" xfId="18246"/>
    <cellStyle name="계산 2 22 35" xfId="18247"/>
    <cellStyle name="계산 2 22 36" xfId="18248"/>
    <cellStyle name="계산 2 22 37" xfId="18249"/>
    <cellStyle name="계산 2 22 38" xfId="18250"/>
    <cellStyle name="계산 2 22 39" xfId="18251"/>
    <cellStyle name="계산 2 22 4" xfId="18252"/>
    <cellStyle name="계산 2 22 40" xfId="18253"/>
    <cellStyle name="계산 2 22 41" xfId="18254"/>
    <cellStyle name="계산 2 22 42" xfId="18255"/>
    <cellStyle name="계산 2 22 43" xfId="18256"/>
    <cellStyle name="계산 2 22 5" xfId="18257"/>
    <cellStyle name="계산 2 22 6" xfId="18258"/>
    <cellStyle name="계산 2 22 7" xfId="18259"/>
    <cellStyle name="계산 2 22 8" xfId="18260"/>
    <cellStyle name="계산 2 22 9" xfId="18261"/>
    <cellStyle name="계산 2 22_분양(100%)" xfId="38909"/>
    <cellStyle name="계산 2 23" xfId="18262"/>
    <cellStyle name="계산 2 23 10" xfId="18263"/>
    <cellStyle name="계산 2 23 11" xfId="18264"/>
    <cellStyle name="계산 2 23 12" xfId="18265"/>
    <cellStyle name="계산 2 23 13" xfId="18266"/>
    <cellStyle name="계산 2 23 14" xfId="18267"/>
    <cellStyle name="계산 2 23 15" xfId="18268"/>
    <cellStyle name="계산 2 23 16" xfId="18269"/>
    <cellStyle name="계산 2 23 17" xfId="18270"/>
    <cellStyle name="계산 2 23 18" xfId="18271"/>
    <cellStyle name="계산 2 23 19" xfId="18272"/>
    <cellStyle name="계산 2 23 2" xfId="18273"/>
    <cellStyle name="계산 2 23 20" xfId="18274"/>
    <cellStyle name="계산 2 23 21" xfId="18275"/>
    <cellStyle name="계산 2 23 22" xfId="18276"/>
    <cellStyle name="계산 2 23 23" xfId="18277"/>
    <cellStyle name="계산 2 23 24" xfId="18278"/>
    <cellStyle name="계산 2 23 25" xfId="18279"/>
    <cellStyle name="계산 2 23 26" xfId="18280"/>
    <cellStyle name="계산 2 23 27" xfId="18281"/>
    <cellStyle name="계산 2 23 28" xfId="18282"/>
    <cellStyle name="계산 2 23 29" xfId="18283"/>
    <cellStyle name="계산 2 23 3" xfId="18284"/>
    <cellStyle name="계산 2 23 30" xfId="18285"/>
    <cellStyle name="계산 2 23 31" xfId="18286"/>
    <cellStyle name="계산 2 23 32" xfId="18287"/>
    <cellStyle name="계산 2 23 33" xfId="18288"/>
    <cellStyle name="계산 2 23 34" xfId="18289"/>
    <cellStyle name="계산 2 23 35" xfId="18290"/>
    <cellStyle name="계산 2 23 36" xfId="18291"/>
    <cellStyle name="계산 2 23 37" xfId="18292"/>
    <cellStyle name="계산 2 23 38" xfId="18293"/>
    <cellStyle name="계산 2 23 39" xfId="18294"/>
    <cellStyle name="계산 2 23 4" xfId="18295"/>
    <cellStyle name="계산 2 23 40" xfId="18296"/>
    <cellStyle name="계산 2 23 41" xfId="18297"/>
    <cellStyle name="계산 2 23 42" xfId="18298"/>
    <cellStyle name="계산 2 23 43" xfId="18299"/>
    <cellStyle name="계산 2 23 5" xfId="18300"/>
    <cellStyle name="계산 2 23 6" xfId="18301"/>
    <cellStyle name="계산 2 23 7" xfId="18302"/>
    <cellStyle name="계산 2 23 8" xfId="18303"/>
    <cellStyle name="계산 2 23 9" xfId="18304"/>
    <cellStyle name="계산 2 23_분양(100%)" xfId="38910"/>
    <cellStyle name="계산 2 24" xfId="18305"/>
    <cellStyle name="계산 2 24 10" xfId="18306"/>
    <cellStyle name="계산 2 24 11" xfId="18307"/>
    <cellStyle name="계산 2 24 12" xfId="18308"/>
    <cellStyle name="계산 2 24 13" xfId="18309"/>
    <cellStyle name="계산 2 24 14" xfId="18310"/>
    <cellStyle name="계산 2 24 15" xfId="18311"/>
    <cellStyle name="계산 2 24 16" xfId="18312"/>
    <cellStyle name="계산 2 24 17" xfId="18313"/>
    <cellStyle name="계산 2 24 18" xfId="18314"/>
    <cellStyle name="계산 2 24 19" xfId="18315"/>
    <cellStyle name="계산 2 24 2" xfId="18316"/>
    <cellStyle name="계산 2 24 20" xfId="18317"/>
    <cellStyle name="계산 2 24 21" xfId="18318"/>
    <cellStyle name="계산 2 24 22" xfId="18319"/>
    <cellStyle name="계산 2 24 23" xfId="18320"/>
    <cellStyle name="계산 2 24 24" xfId="18321"/>
    <cellStyle name="계산 2 24 25" xfId="18322"/>
    <cellStyle name="계산 2 24 26" xfId="18323"/>
    <cellStyle name="계산 2 24 27" xfId="18324"/>
    <cellStyle name="계산 2 24 28" xfId="18325"/>
    <cellStyle name="계산 2 24 29" xfId="18326"/>
    <cellStyle name="계산 2 24 3" xfId="18327"/>
    <cellStyle name="계산 2 24 30" xfId="18328"/>
    <cellStyle name="계산 2 24 31" xfId="18329"/>
    <cellStyle name="계산 2 24 32" xfId="18330"/>
    <cellStyle name="계산 2 24 33" xfId="18331"/>
    <cellStyle name="계산 2 24 34" xfId="18332"/>
    <cellStyle name="계산 2 24 35" xfId="18333"/>
    <cellStyle name="계산 2 24 36" xfId="18334"/>
    <cellStyle name="계산 2 24 37" xfId="18335"/>
    <cellStyle name="계산 2 24 38" xfId="18336"/>
    <cellStyle name="계산 2 24 39" xfId="18337"/>
    <cellStyle name="계산 2 24 4" xfId="18338"/>
    <cellStyle name="계산 2 24 40" xfId="18339"/>
    <cellStyle name="계산 2 24 41" xfId="18340"/>
    <cellStyle name="계산 2 24 42" xfId="18341"/>
    <cellStyle name="계산 2 24 43" xfId="18342"/>
    <cellStyle name="계산 2 24 5" xfId="18343"/>
    <cellStyle name="계산 2 24 6" xfId="18344"/>
    <cellStyle name="계산 2 24 7" xfId="18345"/>
    <cellStyle name="계산 2 24 8" xfId="18346"/>
    <cellStyle name="계산 2 24 9" xfId="18347"/>
    <cellStyle name="계산 2 24_분양(100%)" xfId="38911"/>
    <cellStyle name="계산 2 25" xfId="18348"/>
    <cellStyle name="계산 2 25 10" xfId="18349"/>
    <cellStyle name="계산 2 25 11" xfId="18350"/>
    <cellStyle name="계산 2 25 12" xfId="18351"/>
    <cellStyle name="계산 2 25 13" xfId="18352"/>
    <cellStyle name="계산 2 25 14" xfId="18353"/>
    <cellStyle name="계산 2 25 15" xfId="18354"/>
    <cellStyle name="계산 2 25 16" xfId="18355"/>
    <cellStyle name="계산 2 25 17" xfId="18356"/>
    <cellStyle name="계산 2 25 18" xfId="18357"/>
    <cellStyle name="계산 2 25 19" xfId="18358"/>
    <cellStyle name="계산 2 25 2" xfId="18359"/>
    <cellStyle name="계산 2 25 20" xfId="18360"/>
    <cellStyle name="계산 2 25 21" xfId="18361"/>
    <cellStyle name="계산 2 25 22" xfId="18362"/>
    <cellStyle name="계산 2 25 23" xfId="18363"/>
    <cellStyle name="계산 2 25 24" xfId="18364"/>
    <cellStyle name="계산 2 25 25" xfId="18365"/>
    <cellStyle name="계산 2 25 26" xfId="18366"/>
    <cellStyle name="계산 2 25 27" xfId="18367"/>
    <cellStyle name="계산 2 25 28" xfId="18368"/>
    <cellStyle name="계산 2 25 29" xfId="18369"/>
    <cellStyle name="계산 2 25 3" xfId="18370"/>
    <cellStyle name="계산 2 25 30" xfId="18371"/>
    <cellStyle name="계산 2 25 31" xfId="18372"/>
    <cellStyle name="계산 2 25 32" xfId="18373"/>
    <cellStyle name="계산 2 25 33" xfId="18374"/>
    <cellStyle name="계산 2 25 34" xfId="18375"/>
    <cellStyle name="계산 2 25 35" xfId="18376"/>
    <cellStyle name="계산 2 25 36" xfId="18377"/>
    <cellStyle name="계산 2 25 37" xfId="18378"/>
    <cellStyle name="계산 2 25 38" xfId="18379"/>
    <cellStyle name="계산 2 25 39" xfId="18380"/>
    <cellStyle name="계산 2 25 4" xfId="18381"/>
    <cellStyle name="계산 2 25 40" xfId="18382"/>
    <cellStyle name="계산 2 25 41" xfId="18383"/>
    <cellStyle name="계산 2 25 42" xfId="18384"/>
    <cellStyle name="계산 2 25 43" xfId="18385"/>
    <cellStyle name="계산 2 25 5" xfId="18386"/>
    <cellStyle name="계산 2 25 6" xfId="18387"/>
    <cellStyle name="계산 2 25 7" xfId="18388"/>
    <cellStyle name="계산 2 25 8" xfId="18389"/>
    <cellStyle name="계산 2 25 9" xfId="18390"/>
    <cellStyle name="계산 2 25_분양(100%)" xfId="38912"/>
    <cellStyle name="계산 2 26" xfId="18391"/>
    <cellStyle name="계산 2 26 10" xfId="18392"/>
    <cellStyle name="계산 2 26 11" xfId="18393"/>
    <cellStyle name="계산 2 26 12" xfId="18394"/>
    <cellStyle name="계산 2 26 13" xfId="18395"/>
    <cellStyle name="계산 2 26 14" xfId="18396"/>
    <cellStyle name="계산 2 26 15" xfId="18397"/>
    <cellStyle name="계산 2 26 16" xfId="18398"/>
    <cellStyle name="계산 2 26 17" xfId="18399"/>
    <cellStyle name="계산 2 26 18" xfId="18400"/>
    <cellStyle name="계산 2 26 19" xfId="18401"/>
    <cellStyle name="계산 2 26 2" xfId="18402"/>
    <cellStyle name="계산 2 26 20" xfId="18403"/>
    <cellStyle name="계산 2 26 21" xfId="18404"/>
    <cellStyle name="계산 2 26 22" xfId="18405"/>
    <cellStyle name="계산 2 26 23" xfId="18406"/>
    <cellStyle name="계산 2 26 24" xfId="18407"/>
    <cellStyle name="계산 2 26 25" xfId="18408"/>
    <cellStyle name="계산 2 26 26" xfId="18409"/>
    <cellStyle name="계산 2 26 27" xfId="18410"/>
    <cellStyle name="계산 2 26 28" xfId="18411"/>
    <cellStyle name="계산 2 26 29" xfId="18412"/>
    <cellStyle name="계산 2 26 3" xfId="18413"/>
    <cellStyle name="계산 2 26 30" xfId="18414"/>
    <cellStyle name="계산 2 26 31" xfId="18415"/>
    <cellStyle name="계산 2 26 32" xfId="18416"/>
    <cellStyle name="계산 2 26 33" xfId="18417"/>
    <cellStyle name="계산 2 26 34" xfId="18418"/>
    <cellStyle name="계산 2 26 35" xfId="18419"/>
    <cellStyle name="계산 2 26 36" xfId="18420"/>
    <cellStyle name="계산 2 26 37" xfId="18421"/>
    <cellStyle name="계산 2 26 38" xfId="18422"/>
    <cellStyle name="계산 2 26 39" xfId="18423"/>
    <cellStyle name="계산 2 26 4" xfId="18424"/>
    <cellStyle name="계산 2 26 40" xfId="18425"/>
    <cellStyle name="계산 2 26 41" xfId="18426"/>
    <cellStyle name="계산 2 26 42" xfId="18427"/>
    <cellStyle name="계산 2 26 43" xfId="18428"/>
    <cellStyle name="계산 2 26 5" xfId="18429"/>
    <cellStyle name="계산 2 26 6" xfId="18430"/>
    <cellStyle name="계산 2 26 7" xfId="18431"/>
    <cellStyle name="계산 2 26 8" xfId="18432"/>
    <cellStyle name="계산 2 26 9" xfId="18433"/>
    <cellStyle name="계산 2 26_분양(100%)" xfId="38913"/>
    <cellStyle name="계산 2 27" xfId="18434"/>
    <cellStyle name="계산 2 27 10" xfId="18435"/>
    <cellStyle name="계산 2 27 11" xfId="18436"/>
    <cellStyle name="계산 2 27 12" xfId="18437"/>
    <cellStyle name="계산 2 27 13" xfId="18438"/>
    <cellStyle name="계산 2 27 14" xfId="18439"/>
    <cellStyle name="계산 2 27 15" xfId="18440"/>
    <cellStyle name="계산 2 27 16" xfId="18441"/>
    <cellStyle name="계산 2 27 17" xfId="18442"/>
    <cellStyle name="계산 2 27 18" xfId="18443"/>
    <cellStyle name="계산 2 27 19" xfId="18444"/>
    <cellStyle name="계산 2 27 2" xfId="18445"/>
    <cellStyle name="계산 2 27 20" xfId="18446"/>
    <cellStyle name="계산 2 27 21" xfId="18447"/>
    <cellStyle name="계산 2 27 22" xfId="18448"/>
    <cellStyle name="계산 2 27 23" xfId="18449"/>
    <cellStyle name="계산 2 27 24" xfId="18450"/>
    <cellStyle name="계산 2 27 25" xfId="18451"/>
    <cellStyle name="계산 2 27 26" xfId="18452"/>
    <cellStyle name="계산 2 27 27" xfId="18453"/>
    <cellStyle name="계산 2 27 28" xfId="18454"/>
    <cellStyle name="계산 2 27 29" xfId="18455"/>
    <cellStyle name="계산 2 27 3" xfId="18456"/>
    <cellStyle name="계산 2 27 30" xfId="18457"/>
    <cellStyle name="계산 2 27 31" xfId="18458"/>
    <cellStyle name="계산 2 27 32" xfId="18459"/>
    <cellStyle name="계산 2 27 33" xfId="18460"/>
    <cellStyle name="계산 2 27 34" xfId="18461"/>
    <cellStyle name="계산 2 27 35" xfId="18462"/>
    <cellStyle name="계산 2 27 36" xfId="18463"/>
    <cellStyle name="계산 2 27 37" xfId="18464"/>
    <cellStyle name="계산 2 27 38" xfId="18465"/>
    <cellStyle name="계산 2 27 39" xfId="18466"/>
    <cellStyle name="계산 2 27 4" xfId="18467"/>
    <cellStyle name="계산 2 27 40" xfId="18468"/>
    <cellStyle name="계산 2 27 41" xfId="18469"/>
    <cellStyle name="계산 2 27 42" xfId="18470"/>
    <cellStyle name="계산 2 27 43" xfId="18471"/>
    <cellStyle name="계산 2 27 5" xfId="18472"/>
    <cellStyle name="계산 2 27 6" xfId="18473"/>
    <cellStyle name="계산 2 27 7" xfId="18474"/>
    <cellStyle name="계산 2 27 8" xfId="18475"/>
    <cellStyle name="계산 2 27 9" xfId="18476"/>
    <cellStyle name="계산 2 27_분양(100%)" xfId="38914"/>
    <cellStyle name="계산 2 28" xfId="18477"/>
    <cellStyle name="계산 2 28 10" xfId="18478"/>
    <cellStyle name="계산 2 28 11" xfId="18479"/>
    <cellStyle name="계산 2 28 12" xfId="18480"/>
    <cellStyle name="계산 2 28 13" xfId="18481"/>
    <cellStyle name="계산 2 28 14" xfId="18482"/>
    <cellStyle name="계산 2 28 15" xfId="18483"/>
    <cellStyle name="계산 2 28 16" xfId="18484"/>
    <cellStyle name="계산 2 28 17" xfId="18485"/>
    <cellStyle name="계산 2 28 18" xfId="18486"/>
    <cellStyle name="계산 2 28 19" xfId="18487"/>
    <cellStyle name="계산 2 28 2" xfId="18488"/>
    <cellStyle name="계산 2 28 20" xfId="18489"/>
    <cellStyle name="계산 2 28 21" xfId="18490"/>
    <cellStyle name="계산 2 28 22" xfId="18491"/>
    <cellStyle name="계산 2 28 23" xfId="18492"/>
    <cellStyle name="계산 2 28 24" xfId="18493"/>
    <cellStyle name="계산 2 28 25" xfId="18494"/>
    <cellStyle name="계산 2 28 26" xfId="18495"/>
    <cellStyle name="계산 2 28 27" xfId="18496"/>
    <cellStyle name="계산 2 28 28" xfId="18497"/>
    <cellStyle name="계산 2 28 29" xfId="18498"/>
    <cellStyle name="계산 2 28 3" xfId="18499"/>
    <cellStyle name="계산 2 28 30" xfId="18500"/>
    <cellStyle name="계산 2 28 31" xfId="18501"/>
    <cellStyle name="계산 2 28 32" xfId="18502"/>
    <cellStyle name="계산 2 28 33" xfId="18503"/>
    <cellStyle name="계산 2 28 34" xfId="18504"/>
    <cellStyle name="계산 2 28 35" xfId="18505"/>
    <cellStyle name="계산 2 28 36" xfId="18506"/>
    <cellStyle name="계산 2 28 37" xfId="18507"/>
    <cellStyle name="계산 2 28 38" xfId="18508"/>
    <cellStyle name="계산 2 28 39" xfId="18509"/>
    <cellStyle name="계산 2 28 4" xfId="18510"/>
    <cellStyle name="계산 2 28 40" xfId="18511"/>
    <cellStyle name="계산 2 28 41" xfId="18512"/>
    <cellStyle name="계산 2 28 42" xfId="18513"/>
    <cellStyle name="계산 2 28 43" xfId="18514"/>
    <cellStyle name="계산 2 28 5" xfId="18515"/>
    <cellStyle name="계산 2 28 6" xfId="18516"/>
    <cellStyle name="계산 2 28 7" xfId="18517"/>
    <cellStyle name="계산 2 28 8" xfId="18518"/>
    <cellStyle name="계산 2 28 9" xfId="18519"/>
    <cellStyle name="계산 2 28_분양(100%)" xfId="38915"/>
    <cellStyle name="계산 2 29" xfId="18520"/>
    <cellStyle name="계산 2 29 10" xfId="18521"/>
    <cellStyle name="계산 2 29 11" xfId="18522"/>
    <cellStyle name="계산 2 29 12" xfId="18523"/>
    <cellStyle name="계산 2 29 13" xfId="18524"/>
    <cellStyle name="계산 2 29 14" xfId="18525"/>
    <cellStyle name="계산 2 29 15" xfId="18526"/>
    <cellStyle name="계산 2 29 16" xfId="18527"/>
    <cellStyle name="계산 2 29 17" xfId="18528"/>
    <cellStyle name="계산 2 29 18" xfId="18529"/>
    <cellStyle name="계산 2 29 19" xfId="18530"/>
    <cellStyle name="계산 2 29 2" xfId="18531"/>
    <cellStyle name="계산 2 29 20" xfId="18532"/>
    <cellStyle name="계산 2 29 21" xfId="18533"/>
    <cellStyle name="계산 2 29 22" xfId="18534"/>
    <cellStyle name="계산 2 29 23" xfId="18535"/>
    <cellStyle name="계산 2 29 24" xfId="18536"/>
    <cellStyle name="계산 2 29 25" xfId="18537"/>
    <cellStyle name="계산 2 29 26" xfId="18538"/>
    <cellStyle name="계산 2 29 27" xfId="18539"/>
    <cellStyle name="계산 2 29 28" xfId="18540"/>
    <cellStyle name="계산 2 29 29" xfId="18541"/>
    <cellStyle name="계산 2 29 3" xfId="18542"/>
    <cellStyle name="계산 2 29 30" xfId="18543"/>
    <cellStyle name="계산 2 29 31" xfId="18544"/>
    <cellStyle name="계산 2 29 32" xfId="18545"/>
    <cellStyle name="계산 2 29 33" xfId="18546"/>
    <cellStyle name="계산 2 29 34" xfId="18547"/>
    <cellStyle name="계산 2 29 35" xfId="18548"/>
    <cellStyle name="계산 2 29 36" xfId="18549"/>
    <cellStyle name="계산 2 29 37" xfId="18550"/>
    <cellStyle name="계산 2 29 38" xfId="18551"/>
    <cellStyle name="계산 2 29 39" xfId="18552"/>
    <cellStyle name="계산 2 29 4" xfId="18553"/>
    <cellStyle name="계산 2 29 40" xfId="18554"/>
    <cellStyle name="계산 2 29 41" xfId="18555"/>
    <cellStyle name="계산 2 29 42" xfId="18556"/>
    <cellStyle name="계산 2 29 43" xfId="18557"/>
    <cellStyle name="계산 2 29 5" xfId="18558"/>
    <cellStyle name="계산 2 29 6" xfId="18559"/>
    <cellStyle name="계산 2 29 7" xfId="18560"/>
    <cellStyle name="계산 2 29 8" xfId="18561"/>
    <cellStyle name="계산 2 29 9" xfId="18562"/>
    <cellStyle name="계산 2 29_분양(100%)" xfId="38916"/>
    <cellStyle name="계산 2 3" xfId="18563"/>
    <cellStyle name="계산 2 3 10" xfId="18564"/>
    <cellStyle name="계산 2 3 11" xfId="18565"/>
    <cellStyle name="계산 2 3 12" xfId="18566"/>
    <cellStyle name="계산 2 3 13" xfId="18567"/>
    <cellStyle name="계산 2 3 14" xfId="18568"/>
    <cellStyle name="계산 2 3 15" xfId="18569"/>
    <cellStyle name="계산 2 3 16" xfId="18570"/>
    <cellStyle name="계산 2 3 17" xfId="18571"/>
    <cellStyle name="계산 2 3 18" xfId="18572"/>
    <cellStyle name="계산 2 3 19" xfId="18573"/>
    <cellStyle name="계산 2 3 2" xfId="18574"/>
    <cellStyle name="계산 2 3 20" xfId="18575"/>
    <cellStyle name="계산 2 3 21" xfId="18576"/>
    <cellStyle name="계산 2 3 22" xfId="18577"/>
    <cellStyle name="계산 2 3 23" xfId="18578"/>
    <cellStyle name="계산 2 3 24" xfId="18579"/>
    <cellStyle name="계산 2 3 25" xfId="18580"/>
    <cellStyle name="계산 2 3 26" xfId="18581"/>
    <cellStyle name="계산 2 3 27" xfId="18582"/>
    <cellStyle name="계산 2 3 28" xfId="18583"/>
    <cellStyle name="계산 2 3 29" xfId="18584"/>
    <cellStyle name="계산 2 3 3" xfId="18585"/>
    <cellStyle name="계산 2 3 30" xfId="18586"/>
    <cellStyle name="계산 2 3 31" xfId="18587"/>
    <cellStyle name="계산 2 3 32" xfId="18588"/>
    <cellStyle name="계산 2 3 33" xfId="18589"/>
    <cellStyle name="계산 2 3 34" xfId="18590"/>
    <cellStyle name="계산 2 3 35" xfId="18591"/>
    <cellStyle name="계산 2 3 36" xfId="18592"/>
    <cellStyle name="계산 2 3 37" xfId="18593"/>
    <cellStyle name="계산 2 3 38" xfId="18594"/>
    <cellStyle name="계산 2 3 39" xfId="18595"/>
    <cellStyle name="계산 2 3 4" xfId="18596"/>
    <cellStyle name="계산 2 3 40" xfId="18597"/>
    <cellStyle name="계산 2 3 41" xfId="18598"/>
    <cellStyle name="계산 2 3 42" xfId="18599"/>
    <cellStyle name="계산 2 3 43" xfId="18600"/>
    <cellStyle name="계산 2 3 5" xfId="18601"/>
    <cellStyle name="계산 2 3 6" xfId="18602"/>
    <cellStyle name="계산 2 3 7" xfId="18603"/>
    <cellStyle name="계산 2 3 8" xfId="18604"/>
    <cellStyle name="계산 2 3 9" xfId="18605"/>
    <cellStyle name="계산 2 3_분양(100%)" xfId="38917"/>
    <cellStyle name="계산 2 30" xfId="18606"/>
    <cellStyle name="계산 2 30 10" xfId="18607"/>
    <cellStyle name="계산 2 30 11" xfId="18608"/>
    <cellStyle name="계산 2 30 12" xfId="18609"/>
    <cellStyle name="계산 2 30 13" xfId="18610"/>
    <cellStyle name="계산 2 30 14" xfId="18611"/>
    <cellStyle name="계산 2 30 15" xfId="18612"/>
    <cellStyle name="계산 2 30 16" xfId="18613"/>
    <cellStyle name="계산 2 30 17" xfId="18614"/>
    <cellStyle name="계산 2 30 18" xfId="18615"/>
    <cellStyle name="계산 2 30 19" xfId="18616"/>
    <cellStyle name="계산 2 30 2" xfId="18617"/>
    <cellStyle name="계산 2 30 20" xfId="18618"/>
    <cellStyle name="계산 2 30 21" xfId="18619"/>
    <cellStyle name="계산 2 30 22" xfId="18620"/>
    <cellStyle name="계산 2 30 23" xfId="18621"/>
    <cellStyle name="계산 2 30 24" xfId="18622"/>
    <cellStyle name="계산 2 30 25" xfId="18623"/>
    <cellStyle name="계산 2 30 26" xfId="18624"/>
    <cellStyle name="계산 2 30 27" xfId="18625"/>
    <cellStyle name="계산 2 30 28" xfId="18626"/>
    <cellStyle name="계산 2 30 29" xfId="18627"/>
    <cellStyle name="계산 2 30 3" xfId="18628"/>
    <cellStyle name="계산 2 30 30" xfId="18629"/>
    <cellStyle name="계산 2 30 31" xfId="18630"/>
    <cellStyle name="계산 2 30 32" xfId="18631"/>
    <cellStyle name="계산 2 30 33" xfId="18632"/>
    <cellStyle name="계산 2 30 34" xfId="18633"/>
    <cellStyle name="계산 2 30 35" xfId="18634"/>
    <cellStyle name="계산 2 30 36" xfId="18635"/>
    <cellStyle name="계산 2 30 37" xfId="18636"/>
    <cellStyle name="계산 2 30 38" xfId="18637"/>
    <cellStyle name="계산 2 30 39" xfId="18638"/>
    <cellStyle name="계산 2 30 4" xfId="18639"/>
    <cellStyle name="계산 2 30 40" xfId="18640"/>
    <cellStyle name="계산 2 30 41" xfId="18641"/>
    <cellStyle name="계산 2 30 42" xfId="18642"/>
    <cellStyle name="계산 2 30 43" xfId="18643"/>
    <cellStyle name="계산 2 30 5" xfId="18644"/>
    <cellStyle name="계산 2 30 6" xfId="18645"/>
    <cellStyle name="계산 2 30 7" xfId="18646"/>
    <cellStyle name="계산 2 30 8" xfId="18647"/>
    <cellStyle name="계산 2 30 9" xfId="18648"/>
    <cellStyle name="계산 2 30_분양(100%)" xfId="38918"/>
    <cellStyle name="계산 2 31" xfId="18649"/>
    <cellStyle name="계산 2 31 10" xfId="18650"/>
    <cellStyle name="계산 2 31 11" xfId="18651"/>
    <cellStyle name="계산 2 31 12" xfId="18652"/>
    <cellStyle name="계산 2 31 13" xfId="18653"/>
    <cellStyle name="계산 2 31 14" xfId="18654"/>
    <cellStyle name="계산 2 31 15" xfId="18655"/>
    <cellStyle name="계산 2 31 16" xfId="18656"/>
    <cellStyle name="계산 2 31 17" xfId="18657"/>
    <cellStyle name="계산 2 31 18" xfId="18658"/>
    <cellStyle name="계산 2 31 19" xfId="18659"/>
    <cellStyle name="계산 2 31 2" xfId="18660"/>
    <cellStyle name="계산 2 31 20" xfId="18661"/>
    <cellStyle name="계산 2 31 21" xfId="18662"/>
    <cellStyle name="계산 2 31 22" xfId="18663"/>
    <cellStyle name="계산 2 31 23" xfId="18664"/>
    <cellStyle name="계산 2 31 24" xfId="18665"/>
    <cellStyle name="계산 2 31 25" xfId="18666"/>
    <cellStyle name="계산 2 31 26" xfId="18667"/>
    <cellStyle name="계산 2 31 27" xfId="18668"/>
    <cellStyle name="계산 2 31 28" xfId="18669"/>
    <cellStyle name="계산 2 31 29" xfId="18670"/>
    <cellStyle name="계산 2 31 3" xfId="18671"/>
    <cellStyle name="계산 2 31 30" xfId="18672"/>
    <cellStyle name="계산 2 31 31" xfId="18673"/>
    <cellStyle name="계산 2 31 32" xfId="18674"/>
    <cellStyle name="계산 2 31 33" xfId="18675"/>
    <cellStyle name="계산 2 31 34" xfId="18676"/>
    <cellStyle name="계산 2 31 35" xfId="18677"/>
    <cellStyle name="계산 2 31 36" xfId="18678"/>
    <cellStyle name="계산 2 31 37" xfId="18679"/>
    <cellStyle name="계산 2 31 38" xfId="18680"/>
    <cellStyle name="계산 2 31 39" xfId="18681"/>
    <cellStyle name="계산 2 31 4" xfId="18682"/>
    <cellStyle name="계산 2 31 40" xfId="18683"/>
    <cellStyle name="계산 2 31 41" xfId="18684"/>
    <cellStyle name="계산 2 31 42" xfId="18685"/>
    <cellStyle name="계산 2 31 43" xfId="18686"/>
    <cellStyle name="계산 2 31 5" xfId="18687"/>
    <cellStyle name="계산 2 31 6" xfId="18688"/>
    <cellStyle name="계산 2 31 7" xfId="18689"/>
    <cellStyle name="계산 2 31 8" xfId="18690"/>
    <cellStyle name="계산 2 31 9" xfId="18691"/>
    <cellStyle name="계산 2 31_분양(100%)" xfId="38919"/>
    <cellStyle name="계산 2 32" xfId="18692"/>
    <cellStyle name="계산 2 32 10" xfId="18693"/>
    <cellStyle name="계산 2 32 11" xfId="18694"/>
    <cellStyle name="계산 2 32 12" xfId="18695"/>
    <cellStyle name="계산 2 32 13" xfId="18696"/>
    <cellStyle name="계산 2 32 14" xfId="18697"/>
    <cellStyle name="계산 2 32 15" xfId="18698"/>
    <cellStyle name="계산 2 32 16" xfId="18699"/>
    <cellStyle name="계산 2 32 17" xfId="18700"/>
    <cellStyle name="계산 2 32 18" xfId="18701"/>
    <cellStyle name="계산 2 32 19" xfId="18702"/>
    <cellStyle name="계산 2 32 2" xfId="18703"/>
    <cellStyle name="계산 2 32 20" xfId="18704"/>
    <cellStyle name="계산 2 32 21" xfId="18705"/>
    <cellStyle name="계산 2 32 22" xfId="18706"/>
    <cellStyle name="계산 2 32 23" xfId="18707"/>
    <cellStyle name="계산 2 32 24" xfId="18708"/>
    <cellStyle name="계산 2 32 25" xfId="18709"/>
    <cellStyle name="계산 2 32 26" xfId="18710"/>
    <cellStyle name="계산 2 32 27" xfId="18711"/>
    <cellStyle name="계산 2 32 28" xfId="18712"/>
    <cellStyle name="계산 2 32 29" xfId="18713"/>
    <cellStyle name="계산 2 32 3" xfId="18714"/>
    <cellStyle name="계산 2 32 30" xfId="18715"/>
    <cellStyle name="계산 2 32 31" xfId="18716"/>
    <cellStyle name="계산 2 32 32" xfId="18717"/>
    <cellStyle name="계산 2 32 33" xfId="18718"/>
    <cellStyle name="계산 2 32 34" xfId="18719"/>
    <cellStyle name="계산 2 32 35" xfId="18720"/>
    <cellStyle name="계산 2 32 36" xfId="18721"/>
    <cellStyle name="계산 2 32 37" xfId="18722"/>
    <cellStyle name="계산 2 32 38" xfId="18723"/>
    <cellStyle name="계산 2 32 39" xfId="18724"/>
    <cellStyle name="계산 2 32 4" xfId="18725"/>
    <cellStyle name="계산 2 32 40" xfId="18726"/>
    <cellStyle name="계산 2 32 41" xfId="18727"/>
    <cellStyle name="계산 2 32 42" xfId="18728"/>
    <cellStyle name="계산 2 32 43" xfId="18729"/>
    <cellStyle name="계산 2 32 5" xfId="18730"/>
    <cellStyle name="계산 2 32 6" xfId="18731"/>
    <cellStyle name="계산 2 32 7" xfId="18732"/>
    <cellStyle name="계산 2 32 8" xfId="18733"/>
    <cellStyle name="계산 2 32 9" xfId="18734"/>
    <cellStyle name="계산 2 32_분양(100%)" xfId="38920"/>
    <cellStyle name="계산 2 33" xfId="18735"/>
    <cellStyle name="계산 2 33 10" xfId="18736"/>
    <cellStyle name="계산 2 33 11" xfId="18737"/>
    <cellStyle name="계산 2 33 12" xfId="18738"/>
    <cellStyle name="계산 2 33 13" xfId="18739"/>
    <cellStyle name="계산 2 33 14" xfId="18740"/>
    <cellStyle name="계산 2 33 15" xfId="18741"/>
    <cellStyle name="계산 2 33 16" xfId="18742"/>
    <cellStyle name="계산 2 33 17" xfId="18743"/>
    <cellStyle name="계산 2 33 18" xfId="18744"/>
    <cellStyle name="계산 2 33 19" xfId="18745"/>
    <cellStyle name="계산 2 33 2" xfId="18746"/>
    <cellStyle name="계산 2 33 20" xfId="18747"/>
    <cellStyle name="계산 2 33 21" xfId="18748"/>
    <cellStyle name="계산 2 33 22" xfId="18749"/>
    <cellStyle name="계산 2 33 23" xfId="18750"/>
    <cellStyle name="계산 2 33 24" xfId="18751"/>
    <cellStyle name="계산 2 33 25" xfId="18752"/>
    <cellStyle name="계산 2 33 26" xfId="18753"/>
    <cellStyle name="계산 2 33 27" xfId="18754"/>
    <cellStyle name="계산 2 33 28" xfId="18755"/>
    <cellStyle name="계산 2 33 29" xfId="18756"/>
    <cellStyle name="계산 2 33 3" xfId="18757"/>
    <cellStyle name="계산 2 33 30" xfId="18758"/>
    <cellStyle name="계산 2 33 31" xfId="18759"/>
    <cellStyle name="계산 2 33 32" xfId="18760"/>
    <cellStyle name="계산 2 33 33" xfId="18761"/>
    <cellStyle name="계산 2 33 34" xfId="18762"/>
    <cellStyle name="계산 2 33 35" xfId="18763"/>
    <cellStyle name="계산 2 33 36" xfId="18764"/>
    <cellStyle name="계산 2 33 37" xfId="18765"/>
    <cellStyle name="계산 2 33 38" xfId="18766"/>
    <cellStyle name="계산 2 33 39" xfId="18767"/>
    <cellStyle name="계산 2 33 4" xfId="18768"/>
    <cellStyle name="계산 2 33 40" xfId="18769"/>
    <cellStyle name="계산 2 33 41" xfId="18770"/>
    <cellStyle name="계산 2 33 42" xfId="18771"/>
    <cellStyle name="계산 2 33 43" xfId="18772"/>
    <cellStyle name="계산 2 33 5" xfId="18773"/>
    <cellStyle name="계산 2 33 6" xfId="18774"/>
    <cellStyle name="계산 2 33 7" xfId="18775"/>
    <cellStyle name="계산 2 33 8" xfId="18776"/>
    <cellStyle name="계산 2 33 9" xfId="18777"/>
    <cellStyle name="계산 2 33_분양(100%)" xfId="38921"/>
    <cellStyle name="계산 2 34" xfId="18778"/>
    <cellStyle name="계산 2 34 10" xfId="18779"/>
    <cellStyle name="계산 2 34 11" xfId="18780"/>
    <cellStyle name="계산 2 34 12" xfId="18781"/>
    <cellStyle name="계산 2 34 13" xfId="18782"/>
    <cellStyle name="계산 2 34 14" xfId="18783"/>
    <cellStyle name="계산 2 34 15" xfId="18784"/>
    <cellStyle name="계산 2 34 16" xfId="18785"/>
    <cellStyle name="계산 2 34 17" xfId="18786"/>
    <cellStyle name="계산 2 34 18" xfId="18787"/>
    <cellStyle name="계산 2 34 19" xfId="18788"/>
    <cellStyle name="계산 2 34 2" xfId="18789"/>
    <cellStyle name="계산 2 34 20" xfId="18790"/>
    <cellStyle name="계산 2 34 21" xfId="18791"/>
    <cellStyle name="계산 2 34 22" xfId="18792"/>
    <cellStyle name="계산 2 34 23" xfId="18793"/>
    <cellStyle name="계산 2 34 24" xfId="18794"/>
    <cellStyle name="계산 2 34 25" xfId="18795"/>
    <cellStyle name="계산 2 34 26" xfId="18796"/>
    <cellStyle name="계산 2 34 27" xfId="18797"/>
    <cellStyle name="계산 2 34 28" xfId="18798"/>
    <cellStyle name="계산 2 34 29" xfId="18799"/>
    <cellStyle name="계산 2 34 3" xfId="18800"/>
    <cellStyle name="계산 2 34 30" xfId="18801"/>
    <cellStyle name="계산 2 34 31" xfId="18802"/>
    <cellStyle name="계산 2 34 32" xfId="18803"/>
    <cellStyle name="계산 2 34 33" xfId="18804"/>
    <cellStyle name="계산 2 34 34" xfId="18805"/>
    <cellStyle name="계산 2 34 35" xfId="18806"/>
    <cellStyle name="계산 2 34 36" xfId="18807"/>
    <cellStyle name="계산 2 34 37" xfId="18808"/>
    <cellStyle name="계산 2 34 38" xfId="18809"/>
    <cellStyle name="계산 2 34 39" xfId="18810"/>
    <cellStyle name="계산 2 34 4" xfId="18811"/>
    <cellStyle name="계산 2 34 40" xfId="18812"/>
    <cellStyle name="계산 2 34 41" xfId="18813"/>
    <cellStyle name="계산 2 34 42" xfId="18814"/>
    <cellStyle name="계산 2 34 43" xfId="18815"/>
    <cellStyle name="계산 2 34 5" xfId="18816"/>
    <cellStyle name="계산 2 34 6" xfId="18817"/>
    <cellStyle name="계산 2 34 7" xfId="18818"/>
    <cellStyle name="계산 2 34 8" xfId="18819"/>
    <cellStyle name="계산 2 34 9" xfId="18820"/>
    <cellStyle name="계산 2 34_분양(100%)" xfId="38922"/>
    <cellStyle name="계산 2 35" xfId="18821"/>
    <cellStyle name="계산 2 35 10" xfId="18822"/>
    <cellStyle name="계산 2 35 11" xfId="18823"/>
    <cellStyle name="계산 2 35 12" xfId="18824"/>
    <cellStyle name="계산 2 35 13" xfId="18825"/>
    <cellStyle name="계산 2 35 14" xfId="18826"/>
    <cellStyle name="계산 2 35 15" xfId="18827"/>
    <cellStyle name="계산 2 35 16" xfId="18828"/>
    <cellStyle name="계산 2 35 17" xfId="18829"/>
    <cellStyle name="계산 2 35 18" xfId="18830"/>
    <cellStyle name="계산 2 35 19" xfId="18831"/>
    <cellStyle name="계산 2 35 2" xfId="18832"/>
    <cellStyle name="계산 2 35 20" xfId="18833"/>
    <cellStyle name="계산 2 35 21" xfId="18834"/>
    <cellStyle name="계산 2 35 22" xfId="18835"/>
    <cellStyle name="계산 2 35 23" xfId="18836"/>
    <cellStyle name="계산 2 35 24" xfId="18837"/>
    <cellStyle name="계산 2 35 25" xfId="18838"/>
    <cellStyle name="계산 2 35 26" xfId="18839"/>
    <cellStyle name="계산 2 35 27" xfId="18840"/>
    <cellStyle name="계산 2 35 28" xfId="18841"/>
    <cellStyle name="계산 2 35 29" xfId="18842"/>
    <cellStyle name="계산 2 35 3" xfId="18843"/>
    <cellStyle name="계산 2 35 30" xfId="18844"/>
    <cellStyle name="계산 2 35 31" xfId="18845"/>
    <cellStyle name="계산 2 35 32" xfId="18846"/>
    <cellStyle name="계산 2 35 33" xfId="18847"/>
    <cellStyle name="계산 2 35 34" xfId="18848"/>
    <cellStyle name="계산 2 35 35" xfId="18849"/>
    <cellStyle name="계산 2 35 36" xfId="18850"/>
    <cellStyle name="계산 2 35 37" xfId="18851"/>
    <cellStyle name="계산 2 35 38" xfId="18852"/>
    <cellStyle name="계산 2 35 39" xfId="18853"/>
    <cellStyle name="계산 2 35 4" xfId="18854"/>
    <cellStyle name="계산 2 35 40" xfId="18855"/>
    <cellStyle name="계산 2 35 41" xfId="18856"/>
    <cellStyle name="계산 2 35 42" xfId="18857"/>
    <cellStyle name="계산 2 35 43" xfId="18858"/>
    <cellStyle name="계산 2 35 5" xfId="18859"/>
    <cellStyle name="계산 2 35 6" xfId="18860"/>
    <cellStyle name="계산 2 35 7" xfId="18861"/>
    <cellStyle name="계산 2 35 8" xfId="18862"/>
    <cellStyle name="계산 2 35 9" xfId="18863"/>
    <cellStyle name="계산 2 35_분양(100%)" xfId="38923"/>
    <cellStyle name="계산 2 36" xfId="18864"/>
    <cellStyle name="계산 2 36 10" xfId="18865"/>
    <cellStyle name="계산 2 36 11" xfId="18866"/>
    <cellStyle name="계산 2 36 12" xfId="18867"/>
    <cellStyle name="계산 2 36 13" xfId="18868"/>
    <cellStyle name="계산 2 36 14" xfId="18869"/>
    <cellStyle name="계산 2 36 15" xfId="18870"/>
    <cellStyle name="계산 2 36 16" xfId="18871"/>
    <cellStyle name="계산 2 36 17" xfId="18872"/>
    <cellStyle name="계산 2 36 18" xfId="18873"/>
    <cellStyle name="계산 2 36 19" xfId="18874"/>
    <cellStyle name="계산 2 36 2" xfId="18875"/>
    <cellStyle name="계산 2 36 20" xfId="18876"/>
    <cellStyle name="계산 2 36 21" xfId="18877"/>
    <cellStyle name="계산 2 36 22" xfId="18878"/>
    <cellStyle name="계산 2 36 23" xfId="18879"/>
    <cellStyle name="계산 2 36 24" xfId="18880"/>
    <cellStyle name="계산 2 36 25" xfId="18881"/>
    <cellStyle name="계산 2 36 26" xfId="18882"/>
    <cellStyle name="계산 2 36 27" xfId="18883"/>
    <cellStyle name="계산 2 36 28" xfId="18884"/>
    <cellStyle name="계산 2 36 29" xfId="18885"/>
    <cellStyle name="계산 2 36 3" xfId="18886"/>
    <cellStyle name="계산 2 36 30" xfId="18887"/>
    <cellStyle name="계산 2 36 31" xfId="18888"/>
    <cellStyle name="계산 2 36 32" xfId="18889"/>
    <cellStyle name="계산 2 36 33" xfId="18890"/>
    <cellStyle name="계산 2 36 34" xfId="18891"/>
    <cellStyle name="계산 2 36 35" xfId="18892"/>
    <cellStyle name="계산 2 36 36" xfId="18893"/>
    <cellStyle name="계산 2 36 37" xfId="18894"/>
    <cellStyle name="계산 2 36 38" xfId="18895"/>
    <cellStyle name="계산 2 36 39" xfId="18896"/>
    <cellStyle name="계산 2 36 4" xfId="18897"/>
    <cellStyle name="계산 2 36 40" xfId="18898"/>
    <cellStyle name="계산 2 36 41" xfId="18899"/>
    <cellStyle name="계산 2 36 42" xfId="18900"/>
    <cellStyle name="계산 2 36 43" xfId="18901"/>
    <cellStyle name="계산 2 36 5" xfId="18902"/>
    <cellStyle name="계산 2 36 6" xfId="18903"/>
    <cellStyle name="계산 2 36 7" xfId="18904"/>
    <cellStyle name="계산 2 36 8" xfId="18905"/>
    <cellStyle name="계산 2 36 9" xfId="18906"/>
    <cellStyle name="계산 2 36_분양(100%)" xfId="38924"/>
    <cellStyle name="계산 2 37" xfId="18907"/>
    <cellStyle name="계산 2 37 10" xfId="18908"/>
    <cellStyle name="계산 2 37 11" xfId="18909"/>
    <cellStyle name="계산 2 37 12" xfId="18910"/>
    <cellStyle name="계산 2 37 13" xfId="18911"/>
    <cellStyle name="계산 2 37 14" xfId="18912"/>
    <cellStyle name="계산 2 37 15" xfId="18913"/>
    <cellStyle name="계산 2 37 16" xfId="18914"/>
    <cellStyle name="계산 2 37 17" xfId="18915"/>
    <cellStyle name="계산 2 37 18" xfId="18916"/>
    <cellStyle name="계산 2 37 19" xfId="18917"/>
    <cellStyle name="계산 2 37 2" xfId="18918"/>
    <cellStyle name="계산 2 37 20" xfId="18919"/>
    <cellStyle name="계산 2 37 21" xfId="18920"/>
    <cellStyle name="계산 2 37 22" xfId="18921"/>
    <cellStyle name="계산 2 37 23" xfId="18922"/>
    <cellStyle name="계산 2 37 24" xfId="18923"/>
    <cellStyle name="계산 2 37 25" xfId="18924"/>
    <cellStyle name="계산 2 37 26" xfId="18925"/>
    <cellStyle name="계산 2 37 27" xfId="18926"/>
    <cellStyle name="계산 2 37 28" xfId="18927"/>
    <cellStyle name="계산 2 37 29" xfId="18928"/>
    <cellStyle name="계산 2 37 3" xfId="18929"/>
    <cellStyle name="계산 2 37 30" xfId="18930"/>
    <cellStyle name="계산 2 37 31" xfId="18931"/>
    <cellStyle name="계산 2 37 32" xfId="18932"/>
    <cellStyle name="계산 2 37 33" xfId="18933"/>
    <cellStyle name="계산 2 37 34" xfId="18934"/>
    <cellStyle name="계산 2 37 35" xfId="18935"/>
    <cellStyle name="계산 2 37 36" xfId="18936"/>
    <cellStyle name="계산 2 37 37" xfId="18937"/>
    <cellStyle name="계산 2 37 38" xfId="18938"/>
    <cellStyle name="계산 2 37 39" xfId="18939"/>
    <cellStyle name="계산 2 37 4" xfId="18940"/>
    <cellStyle name="계산 2 37 40" xfId="18941"/>
    <cellStyle name="계산 2 37 41" xfId="18942"/>
    <cellStyle name="계산 2 37 42" xfId="18943"/>
    <cellStyle name="계산 2 37 43" xfId="18944"/>
    <cellStyle name="계산 2 37 5" xfId="18945"/>
    <cellStyle name="계산 2 37 6" xfId="18946"/>
    <cellStyle name="계산 2 37 7" xfId="18947"/>
    <cellStyle name="계산 2 37 8" xfId="18948"/>
    <cellStyle name="계산 2 37 9" xfId="18949"/>
    <cellStyle name="계산 2 37_분양(100%)" xfId="38925"/>
    <cellStyle name="계산 2 38" xfId="18950"/>
    <cellStyle name="계산 2 38 10" xfId="18951"/>
    <cellStyle name="계산 2 38 11" xfId="18952"/>
    <cellStyle name="계산 2 38 12" xfId="18953"/>
    <cellStyle name="계산 2 38 13" xfId="18954"/>
    <cellStyle name="계산 2 38 14" xfId="18955"/>
    <cellStyle name="계산 2 38 15" xfId="18956"/>
    <cellStyle name="계산 2 38 16" xfId="18957"/>
    <cellStyle name="계산 2 38 17" xfId="18958"/>
    <cellStyle name="계산 2 38 18" xfId="18959"/>
    <cellStyle name="계산 2 38 19" xfId="18960"/>
    <cellStyle name="계산 2 38 2" xfId="18961"/>
    <cellStyle name="계산 2 38 20" xfId="18962"/>
    <cellStyle name="계산 2 38 21" xfId="18963"/>
    <cellStyle name="계산 2 38 22" xfId="18964"/>
    <cellStyle name="계산 2 38 23" xfId="18965"/>
    <cellStyle name="계산 2 38 24" xfId="18966"/>
    <cellStyle name="계산 2 38 25" xfId="18967"/>
    <cellStyle name="계산 2 38 26" xfId="18968"/>
    <cellStyle name="계산 2 38 27" xfId="18969"/>
    <cellStyle name="계산 2 38 28" xfId="18970"/>
    <cellStyle name="계산 2 38 29" xfId="18971"/>
    <cellStyle name="계산 2 38 3" xfId="18972"/>
    <cellStyle name="계산 2 38 30" xfId="18973"/>
    <cellStyle name="계산 2 38 31" xfId="18974"/>
    <cellStyle name="계산 2 38 32" xfId="18975"/>
    <cellStyle name="계산 2 38 33" xfId="18976"/>
    <cellStyle name="계산 2 38 34" xfId="18977"/>
    <cellStyle name="계산 2 38 35" xfId="18978"/>
    <cellStyle name="계산 2 38 36" xfId="18979"/>
    <cellStyle name="계산 2 38 37" xfId="18980"/>
    <cellStyle name="계산 2 38 38" xfId="18981"/>
    <cellStyle name="계산 2 38 39" xfId="18982"/>
    <cellStyle name="계산 2 38 4" xfId="18983"/>
    <cellStyle name="계산 2 38 40" xfId="18984"/>
    <cellStyle name="계산 2 38 41" xfId="18985"/>
    <cellStyle name="계산 2 38 42" xfId="18986"/>
    <cellStyle name="계산 2 38 43" xfId="18987"/>
    <cellStyle name="계산 2 38 5" xfId="18988"/>
    <cellStyle name="계산 2 38 6" xfId="18989"/>
    <cellStyle name="계산 2 38 7" xfId="18990"/>
    <cellStyle name="계산 2 38 8" xfId="18991"/>
    <cellStyle name="계산 2 38 9" xfId="18992"/>
    <cellStyle name="계산 2 38_분양(100%)" xfId="38926"/>
    <cellStyle name="계산 2 39" xfId="18993"/>
    <cellStyle name="계산 2 39 10" xfId="18994"/>
    <cellStyle name="계산 2 39 11" xfId="18995"/>
    <cellStyle name="계산 2 39 12" xfId="18996"/>
    <cellStyle name="계산 2 39 13" xfId="18997"/>
    <cellStyle name="계산 2 39 14" xfId="18998"/>
    <cellStyle name="계산 2 39 15" xfId="18999"/>
    <cellStyle name="계산 2 39 16" xfId="19000"/>
    <cellStyle name="계산 2 39 17" xfId="19001"/>
    <cellStyle name="계산 2 39 18" xfId="19002"/>
    <cellStyle name="계산 2 39 19" xfId="19003"/>
    <cellStyle name="계산 2 39 2" xfId="19004"/>
    <cellStyle name="계산 2 39 20" xfId="19005"/>
    <cellStyle name="계산 2 39 21" xfId="19006"/>
    <cellStyle name="계산 2 39 22" xfId="19007"/>
    <cellStyle name="계산 2 39 23" xfId="19008"/>
    <cellStyle name="계산 2 39 24" xfId="19009"/>
    <cellStyle name="계산 2 39 25" xfId="19010"/>
    <cellStyle name="계산 2 39 26" xfId="19011"/>
    <cellStyle name="계산 2 39 27" xfId="19012"/>
    <cellStyle name="계산 2 39 28" xfId="19013"/>
    <cellStyle name="계산 2 39 29" xfId="19014"/>
    <cellStyle name="계산 2 39 3" xfId="19015"/>
    <cellStyle name="계산 2 39 30" xfId="19016"/>
    <cellStyle name="계산 2 39 31" xfId="19017"/>
    <cellStyle name="계산 2 39 32" xfId="19018"/>
    <cellStyle name="계산 2 39 33" xfId="19019"/>
    <cellStyle name="계산 2 39 34" xfId="19020"/>
    <cellStyle name="계산 2 39 35" xfId="19021"/>
    <cellStyle name="계산 2 39 36" xfId="19022"/>
    <cellStyle name="계산 2 39 37" xfId="19023"/>
    <cellStyle name="계산 2 39 38" xfId="19024"/>
    <cellStyle name="계산 2 39 39" xfId="19025"/>
    <cellStyle name="계산 2 39 4" xfId="19026"/>
    <cellStyle name="계산 2 39 40" xfId="19027"/>
    <cellStyle name="계산 2 39 41" xfId="19028"/>
    <cellStyle name="계산 2 39 42" xfId="19029"/>
    <cellStyle name="계산 2 39 43" xfId="19030"/>
    <cellStyle name="계산 2 39 5" xfId="19031"/>
    <cellStyle name="계산 2 39 6" xfId="19032"/>
    <cellStyle name="계산 2 39 7" xfId="19033"/>
    <cellStyle name="계산 2 39 8" xfId="19034"/>
    <cellStyle name="계산 2 39 9" xfId="19035"/>
    <cellStyle name="계산 2 39_분양(100%)" xfId="38927"/>
    <cellStyle name="계산 2 4" xfId="19036"/>
    <cellStyle name="계산 2 4 10" xfId="19037"/>
    <cellStyle name="계산 2 4 11" xfId="19038"/>
    <cellStyle name="계산 2 4 12" xfId="19039"/>
    <cellStyle name="계산 2 4 13" xfId="19040"/>
    <cellStyle name="계산 2 4 14" xfId="19041"/>
    <cellStyle name="계산 2 4 15" xfId="19042"/>
    <cellStyle name="계산 2 4 16" xfId="19043"/>
    <cellStyle name="계산 2 4 17" xfId="19044"/>
    <cellStyle name="계산 2 4 18" xfId="19045"/>
    <cellStyle name="계산 2 4 19" xfId="19046"/>
    <cellStyle name="계산 2 4 2" xfId="19047"/>
    <cellStyle name="계산 2 4 20" xfId="19048"/>
    <cellStyle name="계산 2 4 21" xfId="19049"/>
    <cellStyle name="계산 2 4 22" xfId="19050"/>
    <cellStyle name="계산 2 4 23" xfId="19051"/>
    <cellStyle name="계산 2 4 24" xfId="19052"/>
    <cellStyle name="계산 2 4 25" xfId="19053"/>
    <cellStyle name="계산 2 4 26" xfId="19054"/>
    <cellStyle name="계산 2 4 27" xfId="19055"/>
    <cellStyle name="계산 2 4 28" xfId="19056"/>
    <cellStyle name="계산 2 4 29" xfId="19057"/>
    <cellStyle name="계산 2 4 3" xfId="19058"/>
    <cellStyle name="계산 2 4 30" xfId="19059"/>
    <cellStyle name="계산 2 4 31" xfId="19060"/>
    <cellStyle name="계산 2 4 32" xfId="19061"/>
    <cellStyle name="계산 2 4 33" xfId="19062"/>
    <cellStyle name="계산 2 4 34" xfId="19063"/>
    <cellStyle name="계산 2 4 35" xfId="19064"/>
    <cellStyle name="계산 2 4 36" xfId="19065"/>
    <cellStyle name="계산 2 4 37" xfId="19066"/>
    <cellStyle name="계산 2 4 38" xfId="19067"/>
    <cellStyle name="계산 2 4 39" xfId="19068"/>
    <cellStyle name="계산 2 4 4" xfId="19069"/>
    <cellStyle name="계산 2 4 40" xfId="19070"/>
    <cellStyle name="계산 2 4 41" xfId="19071"/>
    <cellStyle name="계산 2 4 42" xfId="19072"/>
    <cellStyle name="계산 2 4 43" xfId="19073"/>
    <cellStyle name="계산 2 4 5" xfId="19074"/>
    <cellStyle name="계산 2 4 6" xfId="19075"/>
    <cellStyle name="계산 2 4 7" xfId="19076"/>
    <cellStyle name="계산 2 4 8" xfId="19077"/>
    <cellStyle name="계산 2 4 9" xfId="19078"/>
    <cellStyle name="계산 2 4_분양(100%)" xfId="38928"/>
    <cellStyle name="계산 2 40" xfId="19079"/>
    <cellStyle name="계산 2 40 10" xfId="19080"/>
    <cellStyle name="계산 2 40 11" xfId="19081"/>
    <cellStyle name="계산 2 40 12" xfId="19082"/>
    <cellStyle name="계산 2 40 13" xfId="19083"/>
    <cellStyle name="계산 2 40 14" xfId="19084"/>
    <cellStyle name="계산 2 40 15" xfId="19085"/>
    <cellStyle name="계산 2 40 16" xfId="19086"/>
    <cellStyle name="계산 2 40 17" xfId="19087"/>
    <cellStyle name="계산 2 40 18" xfId="19088"/>
    <cellStyle name="계산 2 40 19" xfId="19089"/>
    <cellStyle name="계산 2 40 2" xfId="19090"/>
    <cellStyle name="계산 2 40 20" xfId="19091"/>
    <cellStyle name="계산 2 40 21" xfId="19092"/>
    <cellStyle name="계산 2 40 22" xfId="19093"/>
    <cellStyle name="계산 2 40 23" xfId="19094"/>
    <cellStyle name="계산 2 40 24" xfId="19095"/>
    <cellStyle name="계산 2 40 25" xfId="19096"/>
    <cellStyle name="계산 2 40 26" xfId="19097"/>
    <cellStyle name="계산 2 40 27" xfId="19098"/>
    <cellStyle name="계산 2 40 28" xfId="19099"/>
    <cellStyle name="계산 2 40 29" xfId="19100"/>
    <cellStyle name="계산 2 40 3" xfId="19101"/>
    <cellStyle name="계산 2 40 30" xfId="19102"/>
    <cellStyle name="계산 2 40 31" xfId="19103"/>
    <cellStyle name="계산 2 40 32" xfId="19104"/>
    <cellStyle name="계산 2 40 33" xfId="19105"/>
    <cellStyle name="계산 2 40 34" xfId="19106"/>
    <cellStyle name="계산 2 40 35" xfId="19107"/>
    <cellStyle name="계산 2 40 36" xfId="19108"/>
    <cellStyle name="계산 2 40 37" xfId="19109"/>
    <cellStyle name="계산 2 40 38" xfId="19110"/>
    <cellStyle name="계산 2 40 39" xfId="19111"/>
    <cellStyle name="계산 2 40 4" xfId="19112"/>
    <cellStyle name="계산 2 40 40" xfId="19113"/>
    <cellStyle name="계산 2 40 41" xfId="19114"/>
    <cellStyle name="계산 2 40 42" xfId="19115"/>
    <cellStyle name="계산 2 40 43" xfId="19116"/>
    <cellStyle name="계산 2 40 5" xfId="19117"/>
    <cellStyle name="계산 2 40 6" xfId="19118"/>
    <cellStyle name="계산 2 40 7" xfId="19119"/>
    <cellStyle name="계산 2 40 8" xfId="19120"/>
    <cellStyle name="계산 2 40 9" xfId="19121"/>
    <cellStyle name="계산 2 40_분양(100%)" xfId="38929"/>
    <cellStyle name="계산 2 41" xfId="19122"/>
    <cellStyle name="계산 2 42" xfId="19123"/>
    <cellStyle name="계산 2 43" xfId="19124"/>
    <cellStyle name="계산 2 44" xfId="19125"/>
    <cellStyle name="계산 2 45" xfId="19126"/>
    <cellStyle name="계산 2 46" xfId="19127"/>
    <cellStyle name="계산 2 47" xfId="19128"/>
    <cellStyle name="계산 2 48" xfId="19129"/>
    <cellStyle name="계산 2 49" xfId="19130"/>
    <cellStyle name="계산 2 5" xfId="19131"/>
    <cellStyle name="계산 2 5 10" xfId="19132"/>
    <cellStyle name="계산 2 5 11" xfId="19133"/>
    <cellStyle name="계산 2 5 12" xfId="19134"/>
    <cellStyle name="계산 2 5 13" xfId="19135"/>
    <cellStyle name="계산 2 5 14" xfId="19136"/>
    <cellStyle name="계산 2 5 15" xfId="19137"/>
    <cellStyle name="계산 2 5 16" xfId="19138"/>
    <cellStyle name="계산 2 5 17" xfId="19139"/>
    <cellStyle name="계산 2 5 18" xfId="19140"/>
    <cellStyle name="계산 2 5 19" xfId="19141"/>
    <cellStyle name="계산 2 5 2" xfId="19142"/>
    <cellStyle name="계산 2 5 20" xfId="19143"/>
    <cellStyle name="계산 2 5 21" xfId="19144"/>
    <cellStyle name="계산 2 5 22" xfId="19145"/>
    <cellStyle name="계산 2 5 23" xfId="19146"/>
    <cellStyle name="계산 2 5 24" xfId="19147"/>
    <cellStyle name="계산 2 5 25" xfId="19148"/>
    <cellStyle name="계산 2 5 26" xfId="19149"/>
    <cellStyle name="계산 2 5 27" xfId="19150"/>
    <cellStyle name="계산 2 5 28" xfId="19151"/>
    <cellStyle name="계산 2 5 29" xfId="19152"/>
    <cellStyle name="계산 2 5 3" xfId="19153"/>
    <cellStyle name="계산 2 5 30" xfId="19154"/>
    <cellStyle name="계산 2 5 31" xfId="19155"/>
    <cellStyle name="계산 2 5 32" xfId="19156"/>
    <cellStyle name="계산 2 5 33" xfId="19157"/>
    <cellStyle name="계산 2 5 34" xfId="19158"/>
    <cellStyle name="계산 2 5 35" xfId="19159"/>
    <cellStyle name="계산 2 5 36" xfId="19160"/>
    <cellStyle name="계산 2 5 37" xfId="19161"/>
    <cellStyle name="계산 2 5 38" xfId="19162"/>
    <cellStyle name="계산 2 5 39" xfId="19163"/>
    <cellStyle name="계산 2 5 4" xfId="19164"/>
    <cellStyle name="계산 2 5 40" xfId="19165"/>
    <cellStyle name="계산 2 5 41" xfId="19166"/>
    <cellStyle name="계산 2 5 42" xfId="19167"/>
    <cellStyle name="계산 2 5 43" xfId="19168"/>
    <cellStyle name="계산 2 5 5" xfId="19169"/>
    <cellStyle name="계산 2 5 6" xfId="19170"/>
    <cellStyle name="계산 2 5 7" xfId="19171"/>
    <cellStyle name="계산 2 5 8" xfId="19172"/>
    <cellStyle name="계산 2 5 9" xfId="19173"/>
    <cellStyle name="계산 2 5_분양(100%)" xfId="38930"/>
    <cellStyle name="계산 2 50" xfId="19174"/>
    <cellStyle name="계산 2 51" xfId="19175"/>
    <cellStyle name="계산 2 52" xfId="19176"/>
    <cellStyle name="계산 2 53" xfId="19177"/>
    <cellStyle name="계산 2 54" xfId="19178"/>
    <cellStyle name="계산 2 55" xfId="19179"/>
    <cellStyle name="계산 2 56" xfId="19180"/>
    <cellStyle name="계산 2 57" xfId="19181"/>
    <cellStyle name="계산 2 58" xfId="19182"/>
    <cellStyle name="계산 2 59" xfId="19183"/>
    <cellStyle name="계산 2 6" xfId="19184"/>
    <cellStyle name="계산 2 6 10" xfId="19185"/>
    <cellStyle name="계산 2 6 11" xfId="19186"/>
    <cellStyle name="계산 2 6 12" xfId="19187"/>
    <cellStyle name="계산 2 6 13" xfId="19188"/>
    <cellStyle name="계산 2 6 14" xfId="19189"/>
    <cellStyle name="계산 2 6 15" xfId="19190"/>
    <cellStyle name="계산 2 6 16" xfId="19191"/>
    <cellStyle name="계산 2 6 17" xfId="19192"/>
    <cellStyle name="계산 2 6 18" xfId="19193"/>
    <cellStyle name="계산 2 6 19" xfId="19194"/>
    <cellStyle name="계산 2 6 2" xfId="19195"/>
    <cellStyle name="계산 2 6 20" xfId="19196"/>
    <cellStyle name="계산 2 6 21" xfId="19197"/>
    <cellStyle name="계산 2 6 22" xfId="19198"/>
    <cellStyle name="계산 2 6 23" xfId="19199"/>
    <cellStyle name="계산 2 6 24" xfId="19200"/>
    <cellStyle name="계산 2 6 25" xfId="19201"/>
    <cellStyle name="계산 2 6 26" xfId="19202"/>
    <cellStyle name="계산 2 6 27" xfId="19203"/>
    <cellStyle name="계산 2 6 28" xfId="19204"/>
    <cellStyle name="계산 2 6 29" xfId="19205"/>
    <cellStyle name="계산 2 6 3" xfId="19206"/>
    <cellStyle name="계산 2 6 30" xfId="19207"/>
    <cellStyle name="계산 2 6 31" xfId="19208"/>
    <cellStyle name="계산 2 6 32" xfId="19209"/>
    <cellStyle name="계산 2 6 33" xfId="19210"/>
    <cellStyle name="계산 2 6 34" xfId="19211"/>
    <cellStyle name="계산 2 6 35" xfId="19212"/>
    <cellStyle name="계산 2 6 36" xfId="19213"/>
    <cellStyle name="계산 2 6 37" xfId="19214"/>
    <cellStyle name="계산 2 6 38" xfId="19215"/>
    <cellStyle name="계산 2 6 39" xfId="19216"/>
    <cellStyle name="계산 2 6 4" xfId="19217"/>
    <cellStyle name="계산 2 6 40" xfId="19218"/>
    <cellStyle name="계산 2 6 41" xfId="19219"/>
    <cellStyle name="계산 2 6 42" xfId="19220"/>
    <cellStyle name="계산 2 6 43" xfId="19221"/>
    <cellStyle name="계산 2 6 5" xfId="19222"/>
    <cellStyle name="계산 2 6 6" xfId="19223"/>
    <cellStyle name="계산 2 6 7" xfId="19224"/>
    <cellStyle name="계산 2 6 8" xfId="19225"/>
    <cellStyle name="계산 2 6 9" xfId="19226"/>
    <cellStyle name="계산 2 6_분양(100%)" xfId="38931"/>
    <cellStyle name="계산 2 60" xfId="19227"/>
    <cellStyle name="계산 2 61" xfId="19228"/>
    <cellStyle name="계산 2 62" xfId="19229"/>
    <cellStyle name="계산 2 63" xfId="19230"/>
    <cellStyle name="계산 2 64" xfId="19231"/>
    <cellStyle name="계산 2 65" xfId="19232"/>
    <cellStyle name="계산 2 66" xfId="19233"/>
    <cellStyle name="계산 2 67" xfId="19234"/>
    <cellStyle name="계산 2 68" xfId="19235"/>
    <cellStyle name="계산 2 69" xfId="19236"/>
    <cellStyle name="계산 2 7" xfId="19237"/>
    <cellStyle name="계산 2 7 10" xfId="19238"/>
    <cellStyle name="계산 2 7 11" xfId="19239"/>
    <cellStyle name="계산 2 7 12" xfId="19240"/>
    <cellStyle name="계산 2 7 13" xfId="19241"/>
    <cellStyle name="계산 2 7 14" xfId="19242"/>
    <cellStyle name="계산 2 7 15" xfId="19243"/>
    <cellStyle name="계산 2 7 16" xfId="19244"/>
    <cellStyle name="계산 2 7 17" xfId="19245"/>
    <cellStyle name="계산 2 7 18" xfId="19246"/>
    <cellStyle name="계산 2 7 19" xfId="19247"/>
    <cellStyle name="계산 2 7 2" xfId="19248"/>
    <cellStyle name="계산 2 7 20" xfId="19249"/>
    <cellStyle name="계산 2 7 21" xfId="19250"/>
    <cellStyle name="계산 2 7 22" xfId="19251"/>
    <cellStyle name="계산 2 7 23" xfId="19252"/>
    <cellStyle name="계산 2 7 24" xfId="19253"/>
    <cellStyle name="계산 2 7 25" xfId="19254"/>
    <cellStyle name="계산 2 7 26" xfId="19255"/>
    <cellStyle name="계산 2 7 27" xfId="19256"/>
    <cellStyle name="계산 2 7 28" xfId="19257"/>
    <cellStyle name="계산 2 7 29" xfId="19258"/>
    <cellStyle name="계산 2 7 3" xfId="19259"/>
    <cellStyle name="계산 2 7 30" xfId="19260"/>
    <cellStyle name="계산 2 7 31" xfId="19261"/>
    <cellStyle name="계산 2 7 32" xfId="19262"/>
    <cellStyle name="계산 2 7 33" xfId="19263"/>
    <cellStyle name="계산 2 7 34" xfId="19264"/>
    <cellStyle name="계산 2 7 35" xfId="19265"/>
    <cellStyle name="계산 2 7 36" xfId="19266"/>
    <cellStyle name="계산 2 7 37" xfId="19267"/>
    <cellStyle name="계산 2 7 38" xfId="19268"/>
    <cellStyle name="계산 2 7 39" xfId="19269"/>
    <cellStyle name="계산 2 7 4" xfId="19270"/>
    <cellStyle name="계산 2 7 40" xfId="19271"/>
    <cellStyle name="계산 2 7 41" xfId="19272"/>
    <cellStyle name="계산 2 7 42" xfId="19273"/>
    <cellStyle name="계산 2 7 43" xfId="19274"/>
    <cellStyle name="계산 2 7 5" xfId="19275"/>
    <cellStyle name="계산 2 7 6" xfId="19276"/>
    <cellStyle name="계산 2 7 7" xfId="19277"/>
    <cellStyle name="계산 2 7 8" xfId="19278"/>
    <cellStyle name="계산 2 7 9" xfId="19279"/>
    <cellStyle name="계산 2 7_분양(100%)" xfId="38932"/>
    <cellStyle name="계산 2 70" xfId="19280"/>
    <cellStyle name="계산 2 71" xfId="19281"/>
    <cellStyle name="계산 2 72" xfId="19282"/>
    <cellStyle name="계산 2 73" xfId="19283"/>
    <cellStyle name="계산 2 74" xfId="19284"/>
    <cellStyle name="계산 2 75" xfId="19285"/>
    <cellStyle name="계산 2 76" xfId="19286"/>
    <cellStyle name="계산 2 77" xfId="19287"/>
    <cellStyle name="계산 2 78" xfId="19288"/>
    <cellStyle name="계산 2 79" xfId="19289"/>
    <cellStyle name="계산 2 8" xfId="19290"/>
    <cellStyle name="계산 2 8 10" xfId="19291"/>
    <cellStyle name="계산 2 8 11" xfId="19292"/>
    <cellStyle name="계산 2 8 12" xfId="19293"/>
    <cellStyle name="계산 2 8 13" xfId="19294"/>
    <cellStyle name="계산 2 8 14" xfId="19295"/>
    <cellStyle name="계산 2 8 15" xfId="19296"/>
    <cellStyle name="계산 2 8 16" xfId="19297"/>
    <cellStyle name="계산 2 8 17" xfId="19298"/>
    <cellStyle name="계산 2 8 18" xfId="19299"/>
    <cellStyle name="계산 2 8 19" xfId="19300"/>
    <cellStyle name="계산 2 8 2" xfId="19301"/>
    <cellStyle name="계산 2 8 20" xfId="19302"/>
    <cellStyle name="계산 2 8 21" xfId="19303"/>
    <cellStyle name="계산 2 8 22" xfId="19304"/>
    <cellStyle name="계산 2 8 23" xfId="19305"/>
    <cellStyle name="계산 2 8 24" xfId="19306"/>
    <cellStyle name="계산 2 8 25" xfId="19307"/>
    <cellStyle name="계산 2 8 26" xfId="19308"/>
    <cellStyle name="계산 2 8 27" xfId="19309"/>
    <cellStyle name="계산 2 8 28" xfId="19310"/>
    <cellStyle name="계산 2 8 29" xfId="19311"/>
    <cellStyle name="계산 2 8 3" xfId="19312"/>
    <cellStyle name="계산 2 8 30" xfId="19313"/>
    <cellStyle name="계산 2 8 31" xfId="19314"/>
    <cellStyle name="계산 2 8 32" xfId="19315"/>
    <cellStyle name="계산 2 8 33" xfId="19316"/>
    <cellStyle name="계산 2 8 34" xfId="19317"/>
    <cellStyle name="계산 2 8 35" xfId="19318"/>
    <cellStyle name="계산 2 8 36" xfId="19319"/>
    <cellStyle name="계산 2 8 37" xfId="19320"/>
    <cellStyle name="계산 2 8 38" xfId="19321"/>
    <cellStyle name="계산 2 8 39" xfId="19322"/>
    <cellStyle name="계산 2 8 4" xfId="19323"/>
    <cellStyle name="계산 2 8 40" xfId="19324"/>
    <cellStyle name="계산 2 8 41" xfId="19325"/>
    <cellStyle name="계산 2 8 42" xfId="19326"/>
    <cellStyle name="계산 2 8 43" xfId="19327"/>
    <cellStyle name="계산 2 8 5" xfId="19328"/>
    <cellStyle name="계산 2 8 6" xfId="19329"/>
    <cellStyle name="계산 2 8 7" xfId="19330"/>
    <cellStyle name="계산 2 8 8" xfId="19331"/>
    <cellStyle name="계산 2 8 9" xfId="19332"/>
    <cellStyle name="계산 2 8_분양(100%)" xfId="38933"/>
    <cellStyle name="계산 2 80" xfId="19333"/>
    <cellStyle name="계산 2 81" xfId="19334"/>
    <cellStyle name="계산 2 82" xfId="19335"/>
    <cellStyle name="계산 2 83" xfId="19336"/>
    <cellStyle name="계산 2 84" xfId="19337"/>
    <cellStyle name="계산 2 9" xfId="19338"/>
    <cellStyle name="계산 2 9 10" xfId="19339"/>
    <cellStyle name="계산 2 9 11" xfId="19340"/>
    <cellStyle name="계산 2 9 12" xfId="19341"/>
    <cellStyle name="계산 2 9 13" xfId="19342"/>
    <cellStyle name="계산 2 9 14" xfId="19343"/>
    <cellStyle name="계산 2 9 15" xfId="19344"/>
    <cellStyle name="계산 2 9 16" xfId="19345"/>
    <cellStyle name="계산 2 9 17" xfId="19346"/>
    <cellStyle name="계산 2 9 18" xfId="19347"/>
    <cellStyle name="계산 2 9 19" xfId="19348"/>
    <cellStyle name="계산 2 9 2" xfId="19349"/>
    <cellStyle name="계산 2 9 20" xfId="19350"/>
    <cellStyle name="계산 2 9 21" xfId="19351"/>
    <cellStyle name="계산 2 9 22" xfId="19352"/>
    <cellStyle name="계산 2 9 23" xfId="19353"/>
    <cellStyle name="계산 2 9 24" xfId="19354"/>
    <cellStyle name="계산 2 9 25" xfId="19355"/>
    <cellStyle name="계산 2 9 26" xfId="19356"/>
    <cellStyle name="계산 2 9 27" xfId="19357"/>
    <cellStyle name="계산 2 9 28" xfId="19358"/>
    <cellStyle name="계산 2 9 29" xfId="19359"/>
    <cellStyle name="계산 2 9 3" xfId="19360"/>
    <cellStyle name="계산 2 9 30" xfId="19361"/>
    <cellStyle name="계산 2 9 31" xfId="19362"/>
    <cellStyle name="계산 2 9 32" xfId="19363"/>
    <cellStyle name="계산 2 9 33" xfId="19364"/>
    <cellStyle name="계산 2 9 34" xfId="19365"/>
    <cellStyle name="계산 2 9 35" xfId="19366"/>
    <cellStyle name="계산 2 9 36" xfId="19367"/>
    <cellStyle name="계산 2 9 37" xfId="19368"/>
    <cellStyle name="계산 2 9 38" xfId="19369"/>
    <cellStyle name="계산 2 9 39" xfId="19370"/>
    <cellStyle name="계산 2 9 4" xfId="19371"/>
    <cellStyle name="계산 2 9 40" xfId="19372"/>
    <cellStyle name="계산 2 9 41" xfId="19373"/>
    <cellStyle name="계산 2 9 42" xfId="19374"/>
    <cellStyle name="계산 2 9 43" xfId="19375"/>
    <cellStyle name="계산 2 9 5" xfId="19376"/>
    <cellStyle name="계산 2 9 6" xfId="19377"/>
    <cellStyle name="계산 2 9 7" xfId="19378"/>
    <cellStyle name="계산 2 9 8" xfId="19379"/>
    <cellStyle name="계산 2 9 9" xfId="19380"/>
    <cellStyle name="계산 2 9_분양(100%)" xfId="38934"/>
    <cellStyle name="계산 2_분양(100%)" xfId="38895"/>
    <cellStyle name="계산 20" xfId="19381"/>
    <cellStyle name="계산 20 10" xfId="19382"/>
    <cellStyle name="계산 20 11" xfId="19383"/>
    <cellStyle name="계산 20 12" xfId="19384"/>
    <cellStyle name="계산 20 13" xfId="19385"/>
    <cellStyle name="계산 20 14" xfId="19386"/>
    <cellStyle name="계산 20 15" xfId="19387"/>
    <cellStyle name="계산 20 16" xfId="19388"/>
    <cellStyle name="계산 20 17" xfId="19389"/>
    <cellStyle name="계산 20 18" xfId="19390"/>
    <cellStyle name="계산 20 19" xfId="19391"/>
    <cellStyle name="계산 20 2" xfId="19392"/>
    <cellStyle name="계산 20 20" xfId="19393"/>
    <cellStyle name="계산 20 21" xfId="19394"/>
    <cellStyle name="계산 20 22" xfId="19395"/>
    <cellStyle name="계산 20 23" xfId="19396"/>
    <cellStyle name="계산 20 24" xfId="19397"/>
    <cellStyle name="계산 20 25" xfId="19398"/>
    <cellStyle name="계산 20 26" xfId="19399"/>
    <cellStyle name="계산 20 27" xfId="19400"/>
    <cellStyle name="계산 20 28" xfId="19401"/>
    <cellStyle name="계산 20 29" xfId="19402"/>
    <cellStyle name="계산 20 3" xfId="19403"/>
    <cellStyle name="계산 20 30" xfId="19404"/>
    <cellStyle name="계산 20 31" xfId="19405"/>
    <cellStyle name="계산 20 32" xfId="19406"/>
    <cellStyle name="계산 20 33" xfId="19407"/>
    <cellStyle name="계산 20 34" xfId="19408"/>
    <cellStyle name="계산 20 35" xfId="19409"/>
    <cellStyle name="계산 20 36" xfId="19410"/>
    <cellStyle name="계산 20 37" xfId="19411"/>
    <cellStyle name="계산 20 38" xfId="19412"/>
    <cellStyle name="계산 20 39" xfId="19413"/>
    <cellStyle name="계산 20 4" xfId="19414"/>
    <cellStyle name="계산 20 40" xfId="19415"/>
    <cellStyle name="계산 20 41" xfId="19416"/>
    <cellStyle name="계산 20 42" xfId="19417"/>
    <cellStyle name="계산 20 43" xfId="19418"/>
    <cellStyle name="계산 20 5" xfId="19419"/>
    <cellStyle name="계산 20 6" xfId="19420"/>
    <cellStyle name="계산 20 7" xfId="19421"/>
    <cellStyle name="계산 20 8" xfId="19422"/>
    <cellStyle name="계산 20 9" xfId="19423"/>
    <cellStyle name="계산 20_분양(100%)" xfId="38935"/>
    <cellStyle name="계산 21" xfId="19424"/>
    <cellStyle name="계산 21 10" xfId="19425"/>
    <cellStyle name="계산 21 11" xfId="19426"/>
    <cellStyle name="계산 21 12" xfId="19427"/>
    <cellStyle name="계산 21 13" xfId="19428"/>
    <cellStyle name="계산 21 14" xfId="19429"/>
    <cellStyle name="계산 21 15" xfId="19430"/>
    <cellStyle name="계산 21 16" xfId="19431"/>
    <cellStyle name="계산 21 17" xfId="19432"/>
    <cellStyle name="계산 21 18" xfId="19433"/>
    <cellStyle name="계산 21 19" xfId="19434"/>
    <cellStyle name="계산 21 2" xfId="19435"/>
    <cellStyle name="계산 21 20" xfId="19436"/>
    <cellStyle name="계산 21 21" xfId="19437"/>
    <cellStyle name="계산 21 22" xfId="19438"/>
    <cellStyle name="계산 21 23" xfId="19439"/>
    <cellStyle name="계산 21 24" xfId="19440"/>
    <cellStyle name="계산 21 25" xfId="19441"/>
    <cellStyle name="계산 21 26" xfId="19442"/>
    <cellStyle name="계산 21 27" xfId="19443"/>
    <cellStyle name="계산 21 28" xfId="19444"/>
    <cellStyle name="계산 21 29" xfId="19445"/>
    <cellStyle name="계산 21 3" xfId="19446"/>
    <cellStyle name="계산 21 30" xfId="19447"/>
    <cellStyle name="계산 21 31" xfId="19448"/>
    <cellStyle name="계산 21 32" xfId="19449"/>
    <cellStyle name="계산 21 33" xfId="19450"/>
    <cellStyle name="계산 21 34" xfId="19451"/>
    <cellStyle name="계산 21 35" xfId="19452"/>
    <cellStyle name="계산 21 36" xfId="19453"/>
    <cellStyle name="계산 21 37" xfId="19454"/>
    <cellStyle name="계산 21 38" xfId="19455"/>
    <cellStyle name="계산 21 39" xfId="19456"/>
    <cellStyle name="계산 21 4" xfId="19457"/>
    <cellStyle name="계산 21 40" xfId="19458"/>
    <cellStyle name="계산 21 41" xfId="19459"/>
    <cellStyle name="계산 21 42" xfId="19460"/>
    <cellStyle name="계산 21 43" xfId="19461"/>
    <cellStyle name="계산 21 5" xfId="19462"/>
    <cellStyle name="계산 21 6" xfId="19463"/>
    <cellStyle name="계산 21 7" xfId="19464"/>
    <cellStyle name="계산 21 8" xfId="19465"/>
    <cellStyle name="계산 21 9" xfId="19466"/>
    <cellStyle name="계산 21_분양(100%)" xfId="38936"/>
    <cellStyle name="계산 22" xfId="19467"/>
    <cellStyle name="계산 22 10" xfId="19468"/>
    <cellStyle name="계산 22 11" xfId="19469"/>
    <cellStyle name="계산 22 12" xfId="19470"/>
    <cellStyle name="계산 22 13" xfId="19471"/>
    <cellStyle name="계산 22 14" xfId="19472"/>
    <cellStyle name="계산 22 15" xfId="19473"/>
    <cellStyle name="계산 22 16" xfId="19474"/>
    <cellStyle name="계산 22 17" xfId="19475"/>
    <cellStyle name="계산 22 18" xfId="19476"/>
    <cellStyle name="계산 22 19" xfId="19477"/>
    <cellStyle name="계산 22 2" xfId="19478"/>
    <cellStyle name="계산 22 20" xfId="19479"/>
    <cellStyle name="계산 22 21" xfId="19480"/>
    <cellStyle name="계산 22 22" xfId="19481"/>
    <cellStyle name="계산 22 23" xfId="19482"/>
    <cellStyle name="계산 22 24" xfId="19483"/>
    <cellStyle name="계산 22 25" xfId="19484"/>
    <cellStyle name="계산 22 26" xfId="19485"/>
    <cellStyle name="계산 22 27" xfId="19486"/>
    <cellStyle name="계산 22 28" xfId="19487"/>
    <cellStyle name="계산 22 29" xfId="19488"/>
    <cellStyle name="계산 22 3" xfId="19489"/>
    <cellStyle name="계산 22 30" xfId="19490"/>
    <cellStyle name="계산 22 31" xfId="19491"/>
    <cellStyle name="계산 22 32" xfId="19492"/>
    <cellStyle name="계산 22 33" xfId="19493"/>
    <cellStyle name="계산 22 34" xfId="19494"/>
    <cellStyle name="계산 22 35" xfId="19495"/>
    <cellStyle name="계산 22 36" xfId="19496"/>
    <cellStyle name="계산 22 37" xfId="19497"/>
    <cellStyle name="계산 22 38" xfId="19498"/>
    <cellStyle name="계산 22 39" xfId="19499"/>
    <cellStyle name="계산 22 4" xfId="19500"/>
    <cellStyle name="계산 22 40" xfId="19501"/>
    <cellStyle name="계산 22 41" xfId="19502"/>
    <cellStyle name="계산 22 42" xfId="19503"/>
    <cellStyle name="계산 22 43" xfId="19504"/>
    <cellStyle name="계산 22 5" xfId="19505"/>
    <cellStyle name="계산 22 6" xfId="19506"/>
    <cellStyle name="계산 22 7" xfId="19507"/>
    <cellStyle name="계산 22 8" xfId="19508"/>
    <cellStyle name="계산 22 9" xfId="19509"/>
    <cellStyle name="계산 22_분양(100%)" xfId="38937"/>
    <cellStyle name="계산 23" xfId="19510"/>
    <cellStyle name="계산 23 10" xfId="19511"/>
    <cellStyle name="계산 23 11" xfId="19512"/>
    <cellStyle name="계산 23 12" xfId="19513"/>
    <cellStyle name="계산 23 13" xfId="19514"/>
    <cellStyle name="계산 23 14" xfId="19515"/>
    <cellStyle name="계산 23 15" xfId="19516"/>
    <cellStyle name="계산 23 16" xfId="19517"/>
    <cellStyle name="계산 23 17" xfId="19518"/>
    <cellStyle name="계산 23 18" xfId="19519"/>
    <cellStyle name="계산 23 19" xfId="19520"/>
    <cellStyle name="계산 23 2" xfId="19521"/>
    <cellStyle name="계산 23 20" xfId="19522"/>
    <cellStyle name="계산 23 21" xfId="19523"/>
    <cellStyle name="계산 23 22" xfId="19524"/>
    <cellStyle name="계산 23 23" xfId="19525"/>
    <cellStyle name="계산 23 24" xfId="19526"/>
    <cellStyle name="계산 23 25" xfId="19527"/>
    <cellStyle name="계산 23 26" xfId="19528"/>
    <cellStyle name="계산 23 27" xfId="19529"/>
    <cellStyle name="계산 23 28" xfId="19530"/>
    <cellStyle name="계산 23 29" xfId="19531"/>
    <cellStyle name="계산 23 3" xfId="19532"/>
    <cellStyle name="계산 23 30" xfId="19533"/>
    <cellStyle name="계산 23 31" xfId="19534"/>
    <cellStyle name="계산 23 32" xfId="19535"/>
    <cellStyle name="계산 23 33" xfId="19536"/>
    <cellStyle name="계산 23 34" xfId="19537"/>
    <cellStyle name="계산 23 35" xfId="19538"/>
    <cellStyle name="계산 23 36" xfId="19539"/>
    <cellStyle name="계산 23 37" xfId="19540"/>
    <cellStyle name="계산 23 38" xfId="19541"/>
    <cellStyle name="계산 23 39" xfId="19542"/>
    <cellStyle name="계산 23 4" xfId="19543"/>
    <cellStyle name="계산 23 40" xfId="19544"/>
    <cellStyle name="계산 23 41" xfId="19545"/>
    <cellStyle name="계산 23 42" xfId="19546"/>
    <cellStyle name="계산 23 43" xfId="19547"/>
    <cellStyle name="계산 23 5" xfId="19548"/>
    <cellStyle name="계산 23 6" xfId="19549"/>
    <cellStyle name="계산 23 7" xfId="19550"/>
    <cellStyle name="계산 23 8" xfId="19551"/>
    <cellStyle name="계산 23 9" xfId="19552"/>
    <cellStyle name="계산 23_분양(100%)" xfId="38938"/>
    <cellStyle name="계산 24" xfId="19553"/>
    <cellStyle name="계산 24 10" xfId="19554"/>
    <cellStyle name="계산 24 11" xfId="19555"/>
    <cellStyle name="계산 24 12" xfId="19556"/>
    <cellStyle name="계산 24 13" xfId="19557"/>
    <cellStyle name="계산 24 14" xfId="19558"/>
    <cellStyle name="계산 24 15" xfId="19559"/>
    <cellStyle name="계산 24 16" xfId="19560"/>
    <cellStyle name="계산 24 17" xfId="19561"/>
    <cellStyle name="계산 24 18" xfId="19562"/>
    <cellStyle name="계산 24 19" xfId="19563"/>
    <cellStyle name="계산 24 2" xfId="19564"/>
    <cellStyle name="계산 24 20" xfId="19565"/>
    <cellStyle name="계산 24 21" xfId="19566"/>
    <cellStyle name="계산 24 22" xfId="19567"/>
    <cellStyle name="계산 24 23" xfId="19568"/>
    <cellStyle name="계산 24 24" xfId="19569"/>
    <cellStyle name="계산 24 25" xfId="19570"/>
    <cellStyle name="계산 24 26" xfId="19571"/>
    <cellStyle name="계산 24 27" xfId="19572"/>
    <cellStyle name="계산 24 28" xfId="19573"/>
    <cellStyle name="계산 24 29" xfId="19574"/>
    <cellStyle name="계산 24 3" xfId="19575"/>
    <cellStyle name="계산 24 30" xfId="19576"/>
    <cellStyle name="계산 24 31" xfId="19577"/>
    <cellStyle name="계산 24 32" xfId="19578"/>
    <cellStyle name="계산 24 33" xfId="19579"/>
    <cellStyle name="계산 24 34" xfId="19580"/>
    <cellStyle name="계산 24 35" xfId="19581"/>
    <cellStyle name="계산 24 36" xfId="19582"/>
    <cellStyle name="계산 24 37" xfId="19583"/>
    <cellStyle name="계산 24 38" xfId="19584"/>
    <cellStyle name="계산 24 39" xfId="19585"/>
    <cellStyle name="계산 24 4" xfId="19586"/>
    <cellStyle name="계산 24 40" xfId="19587"/>
    <cellStyle name="계산 24 41" xfId="19588"/>
    <cellStyle name="계산 24 42" xfId="19589"/>
    <cellStyle name="계산 24 43" xfId="19590"/>
    <cellStyle name="계산 24 5" xfId="19591"/>
    <cellStyle name="계산 24 6" xfId="19592"/>
    <cellStyle name="계산 24 7" xfId="19593"/>
    <cellStyle name="계산 24 8" xfId="19594"/>
    <cellStyle name="계산 24 9" xfId="19595"/>
    <cellStyle name="계산 24_분양(100%)" xfId="38939"/>
    <cellStyle name="계산 25" xfId="19596"/>
    <cellStyle name="계산 25 10" xfId="19597"/>
    <cellStyle name="계산 25 11" xfId="19598"/>
    <cellStyle name="계산 25 12" xfId="19599"/>
    <cellStyle name="계산 25 13" xfId="19600"/>
    <cellStyle name="계산 25 14" xfId="19601"/>
    <cellStyle name="계산 25 15" xfId="19602"/>
    <cellStyle name="계산 25 16" xfId="19603"/>
    <cellStyle name="계산 25 17" xfId="19604"/>
    <cellStyle name="계산 25 18" xfId="19605"/>
    <cellStyle name="계산 25 19" xfId="19606"/>
    <cellStyle name="계산 25 2" xfId="19607"/>
    <cellStyle name="계산 25 20" xfId="19608"/>
    <cellStyle name="계산 25 21" xfId="19609"/>
    <cellStyle name="계산 25 22" xfId="19610"/>
    <cellStyle name="계산 25 23" xfId="19611"/>
    <cellStyle name="계산 25 24" xfId="19612"/>
    <cellStyle name="계산 25 25" xfId="19613"/>
    <cellStyle name="계산 25 26" xfId="19614"/>
    <cellStyle name="계산 25 27" xfId="19615"/>
    <cellStyle name="계산 25 28" xfId="19616"/>
    <cellStyle name="계산 25 29" xfId="19617"/>
    <cellStyle name="계산 25 3" xfId="19618"/>
    <cellStyle name="계산 25 30" xfId="19619"/>
    <cellStyle name="계산 25 31" xfId="19620"/>
    <cellStyle name="계산 25 32" xfId="19621"/>
    <cellStyle name="계산 25 33" xfId="19622"/>
    <cellStyle name="계산 25 34" xfId="19623"/>
    <cellStyle name="계산 25 35" xfId="19624"/>
    <cellStyle name="계산 25 36" xfId="19625"/>
    <cellStyle name="계산 25 37" xfId="19626"/>
    <cellStyle name="계산 25 38" xfId="19627"/>
    <cellStyle name="계산 25 39" xfId="19628"/>
    <cellStyle name="계산 25 4" xfId="19629"/>
    <cellStyle name="계산 25 40" xfId="19630"/>
    <cellStyle name="계산 25 41" xfId="19631"/>
    <cellStyle name="계산 25 42" xfId="19632"/>
    <cellStyle name="계산 25 43" xfId="19633"/>
    <cellStyle name="계산 25 5" xfId="19634"/>
    <cellStyle name="계산 25 6" xfId="19635"/>
    <cellStyle name="계산 25 7" xfId="19636"/>
    <cellStyle name="계산 25 8" xfId="19637"/>
    <cellStyle name="계산 25 9" xfId="19638"/>
    <cellStyle name="계산 25_분양(100%)" xfId="38940"/>
    <cellStyle name="계산 26" xfId="19639"/>
    <cellStyle name="계산 26 10" xfId="19640"/>
    <cellStyle name="계산 26 11" xfId="19641"/>
    <cellStyle name="계산 26 12" xfId="19642"/>
    <cellStyle name="계산 26 13" xfId="19643"/>
    <cellStyle name="계산 26 14" xfId="19644"/>
    <cellStyle name="계산 26 15" xfId="19645"/>
    <cellStyle name="계산 26 16" xfId="19646"/>
    <cellStyle name="계산 26 17" xfId="19647"/>
    <cellStyle name="계산 26 18" xfId="19648"/>
    <cellStyle name="계산 26 19" xfId="19649"/>
    <cellStyle name="계산 26 2" xfId="19650"/>
    <cellStyle name="계산 26 20" xfId="19651"/>
    <cellStyle name="계산 26 21" xfId="19652"/>
    <cellStyle name="계산 26 22" xfId="19653"/>
    <cellStyle name="계산 26 23" xfId="19654"/>
    <cellStyle name="계산 26 24" xfId="19655"/>
    <cellStyle name="계산 26 25" xfId="19656"/>
    <cellStyle name="계산 26 26" xfId="19657"/>
    <cellStyle name="계산 26 27" xfId="19658"/>
    <cellStyle name="계산 26 28" xfId="19659"/>
    <cellStyle name="계산 26 29" xfId="19660"/>
    <cellStyle name="계산 26 3" xfId="19661"/>
    <cellStyle name="계산 26 30" xfId="19662"/>
    <cellStyle name="계산 26 31" xfId="19663"/>
    <cellStyle name="계산 26 32" xfId="19664"/>
    <cellStyle name="계산 26 33" xfId="19665"/>
    <cellStyle name="계산 26 34" xfId="19666"/>
    <cellStyle name="계산 26 35" xfId="19667"/>
    <cellStyle name="계산 26 36" xfId="19668"/>
    <cellStyle name="계산 26 37" xfId="19669"/>
    <cellStyle name="계산 26 38" xfId="19670"/>
    <cellStyle name="계산 26 39" xfId="19671"/>
    <cellStyle name="계산 26 4" xfId="19672"/>
    <cellStyle name="계산 26 40" xfId="19673"/>
    <cellStyle name="계산 26 41" xfId="19674"/>
    <cellStyle name="계산 26 42" xfId="19675"/>
    <cellStyle name="계산 26 43" xfId="19676"/>
    <cellStyle name="계산 26 5" xfId="19677"/>
    <cellStyle name="계산 26 6" xfId="19678"/>
    <cellStyle name="계산 26 7" xfId="19679"/>
    <cellStyle name="계산 26 8" xfId="19680"/>
    <cellStyle name="계산 26 9" xfId="19681"/>
    <cellStyle name="계산 26_분양(100%)" xfId="38941"/>
    <cellStyle name="계산 27" xfId="19682"/>
    <cellStyle name="계산 27 10" xfId="19683"/>
    <cellStyle name="계산 27 11" xfId="19684"/>
    <cellStyle name="계산 27 12" xfId="19685"/>
    <cellStyle name="계산 27 13" xfId="19686"/>
    <cellStyle name="계산 27 14" xfId="19687"/>
    <cellStyle name="계산 27 15" xfId="19688"/>
    <cellStyle name="계산 27 16" xfId="19689"/>
    <cellStyle name="계산 27 17" xfId="19690"/>
    <cellStyle name="계산 27 18" xfId="19691"/>
    <cellStyle name="계산 27 19" xfId="19692"/>
    <cellStyle name="계산 27 2" xfId="19693"/>
    <cellStyle name="계산 27 20" xfId="19694"/>
    <cellStyle name="계산 27 21" xfId="19695"/>
    <cellStyle name="계산 27 22" xfId="19696"/>
    <cellStyle name="계산 27 23" xfId="19697"/>
    <cellStyle name="계산 27 24" xfId="19698"/>
    <cellStyle name="계산 27 25" xfId="19699"/>
    <cellStyle name="계산 27 26" xfId="19700"/>
    <cellStyle name="계산 27 27" xfId="19701"/>
    <cellStyle name="계산 27 28" xfId="19702"/>
    <cellStyle name="계산 27 29" xfId="19703"/>
    <cellStyle name="계산 27 3" xfId="19704"/>
    <cellStyle name="계산 27 30" xfId="19705"/>
    <cellStyle name="계산 27 31" xfId="19706"/>
    <cellStyle name="계산 27 32" xfId="19707"/>
    <cellStyle name="계산 27 33" xfId="19708"/>
    <cellStyle name="계산 27 34" xfId="19709"/>
    <cellStyle name="계산 27 35" xfId="19710"/>
    <cellStyle name="계산 27 36" xfId="19711"/>
    <cellStyle name="계산 27 37" xfId="19712"/>
    <cellStyle name="계산 27 38" xfId="19713"/>
    <cellStyle name="계산 27 39" xfId="19714"/>
    <cellStyle name="계산 27 4" xfId="19715"/>
    <cellStyle name="계산 27 40" xfId="19716"/>
    <cellStyle name="계산 27 41" xfId="19717"/>
    <cellStyle name="계산 27 42" xfId="19718"/>
    <cellStyle name="계산 27 43" xfId="19719"/>
    <cellStyle name="계산 27 5" xfId="19720"/>
    <cellStyle name="계산 27 6" xfId="19721"/>
    <cellStyle name="계산 27 7" xfId="19722"/>
    <cellStyle name="계산 27 8" xfId="19723"/>
    <cellStyle name="계산 27 9" xfId="19724"/>
    <cellStyle name="계산 27_분양(100%)" xfId="38942"/>
    <cellStyle name="계산 28" xfId="19725"/>
    <cellStyle name="계산 28 10" xfId="19726"/>
    <cellStyle name="계산 28 11" xfId="19727"/>
    <cellStyle name="계산 28 12" xfId="19728"/>
    <cellStyle name="계산 28 13" xfId="19729"/>
    <cellStyle name="계산 28 14" xfId="19730"/>
    <cellStyle name="계산 28 15" xfId="19731"/>
    <cellStyle name="계산 28 16" xfId="19732"/>
    <cellStyle name="계산 28 17" xfId="19733"/>
    <cellStyle name="계산 28 18" xfId="19734"/>
    <cellStyle name="계산 28 19" xfId="19735"/>
    <cellStyle name="계산 28 2" xfId="19736"/>
    <cellStyle name="계산 28 20" xfId="19737"/>
    <cellStyle name="계산 28 21" xfId="19738"/>
    <cellStyle name="계산 28 22" xfId="19739"/>
    <cellStyle name="계산 28 23" xfId="19740"/>
    <cellStyle name="계산 28 24" xfId="19741"/>
    <cellStyle name="계산 28 25" xfId="19742"/>
    <cellStyle name="계산 28 26" xfId="19743"/>
    <cellStyle name="계산 28 27" xfId="19744"/>
    <cellStyle name="계산 28 28" xfId="19745"/>
    <cellStyle name="계산 28 29" xfId="19746"/>
    <cellStyle name="계산 28 3" xfId="19747"/>
    <cellStyle name="계산 28 30" xfId="19748"/>
    <cellStyle name="계산 28 31" xfId="19749"/>
    <cellStyle name="계산 28 32" xfId="19750"/>
    <cellStyle name="계산 28 33" xfId="19751"/>
    <cellStyle name="계산 28 34" xfId="19752"/>
    <cellStyle name="계산 28 35" xfId="19753"/>
    <cellStyle name="계산 28 36" xfId="19754"/>
    <cellStyle name="계산 28 37" xfId="19755"/>
    <cellStyle name="계산 28 38" xfId="19756"/>
    <cellStyle name="계산 28 39" xfId="19757"/>
    <cellStyle name="계산 28 4" xfId="19758"/>
    <cellStyle name="계산 28 40" xfId="19759"/>
    <cellStyle name="계산 28 41" xfId="19760"/>
    <cellStyle name="계산 28 42" xfId="19761"/>
    <cellStyle name="계산 28 43" xfId="19762"/>
    <cellStyle name="계산 28 5" xfId="19763"/>
    <cellStyle name="계산 28 6" xfId="19764"/>
    <cellStyle name="계산 28 7" xfId="19765"/>
    <cellStyle name="계산 28 8" xfId="19766"/>
    <cellStyle name="계산 28 9" xfId="19767"/>
    <cellStyle name="계산 28_분양(100%)" xfId="38943"/>
    <cellStyle name="계산 29" xfId="19768"/>
    <cellStyle name="계산 29 10" xfId="19769"/>
    <cellStyle name="계산 29 11" xfId="19770"/>
    <cellStyle name="계산 29 12" xfId="19771"/>
    <cellStyle name="계산 29 13" xfId="19772"/>
    <cellStyle name="계산 29 14" xfId="19773"/>
    <cellStyle name="계산 29 15" xfId="19774"/>
    <cellStyle name="계산 29 16" xfId="19775"/>
    <cellStyle name="계산 29 17" xfId="19776"/>
    <cellStyle name="계산 29 18" xfId="19777"/>
    <cellStyle name="계산 29 19" xfId="19778"/>
    <cellStyle name="계산 29 2" xfId="19779"/>
    <cellStyle name="계산 29 20" xfId="19780"/>
    <cellStyle name="계산 29 21" xfId="19781"/>
    <cellStyle name="계산 29 22" xfId="19782"/>
    <cellStyle name="계산 29 23" xfId="19783"/>
    <cellStyle name="계산 29 24" xfId="19784"/>
    <cellStyle name="계산 29 25" xfId="19785"/>
    <cellStyle name="계산 29 26" xfId="19786"/>
    <cellStyle name="계산 29 27" xfId="19787"/>
    <cellStyle name="계산 29 28" xfId="19788"/>
    <cellStyle name="계산 29 29" xfId="19789"/>
    <cellStyle name="계산 29 3" xfId="19790"/>
    <cellStyle name="계산 29 30" xfId="19791"/>
    <cellStyle name="계산 29 31" xfId="19792"/>
    <cellStyle name="계산 29 32" xfId="19793"/>
    <cellStyle name="계산 29 33" xfId="19794"/>
    <cellStyle name="계산 29 34" xfId="19795"/>
    <cellStyle name="계산 29 35" xfId="19796"/>
    <cellStyle name="계산 29 36" xfId="19797"/>
    <cellStyle name="계산 29 37" xfId="19798"/>
    <cellStyle name="계산 29 38" xfId="19799"/>
    <cellStyle name="계산 29 39" xfId="19800"/>
    <cellStyle name="계산 29 4" xfId="19801"/>
    <cellStyle name="계산 29 40" xfId="19802"/>
    <cellStyle name="계산 29 41" xfId="19803"/>
    <cellStyle name="계산 29 42" xfId="19804"/>
    <cellStyle name="계산 29 43" xfId="19805"/>
    <cellStyle name="계산 29 5" xfId="19806"/>
    <cellStyle name="계산 29 6" xfId="19807"/>
    <cellStyle name="계산 29 7" xfId="19808"/>
    <cellStyle name="계산 29 8" xfId="19809"/>
    <cellStyle name="계산 29 9" xfId="19810"/>
    <cellStyle name="계산 29_분양(100%)" xfId="38944"/>
    <cellStyle name="계산 3" xfId="19811"/>
    <cellStyle name="계산 3 10" xfId="19812"/>
    <cellStyle name="계산 3 11" xfId="19813"/>
    <cellStyle name="계산 3 12" xfId="19814"/>
    <cellStyle name="계산 3 13" xfId="19815"/>
    <cellStyle name="계산 3 14" xfId="19816"/>
    <cellStyle name="계산 3 15" xfId="19817"/>
    <cellStyle name="계산 3 16" xfId="19818"/>
    <cellStyle name="계산 3 17" xfId="19819"/>
    <cellStyle name="계산 3 18" xfId="19820"/>
    <cellStyle name="계산 3 19" xfId="19821"/>
    <cellStyle name="계산 3 2" xfId="19822"/>
    <cellStyle name="계산 3 20" xfId="19823"/>
    <cellStyle name="계산 3 21" xfId="19824"/>
    <cellStyle name="계산 3 22" xfId="19825"/>
    <cellStyle name="계산 3 23" xfId="19826"/>
    <cellStyle name="계산 3 24" xfId="19827"/>
    <cellStyle name="계산 3 25" xfId="19828"/>
    <cellStyle name="계산 3 26" xfId="19829"/>
    <cellStyle name="계산 3 27" xfId="19830"/>
    <cellStyle name="계산 3 28" xfId="19831"/>
    <cellStyle name="계산 3 29" xfId="19832"/>
    <cellStyle name="계산 3 3" xfId="19833"/>
    <cellStyle name="계산 3 30" xfId="19834"/>
    <cellStyle name="계산 3 31" xfId="19835"/>
    <cellStyle name="계산 3 32" xfId="19836"/>
    <cellStyle name="계산 3 33" xfId="19837"/>
    <cellStyle name="계산 3 34" xfId="19838"/>
    <cellStyle name="계산 3 35" xfId="19839"/>
    <cellStyle name="계산 3 36" xfId="19840"/>
    <cellStyle name="계산 3 37" xfId="19841"/>
    <cellStyle name="계산 3 38" xfId="19842"/>
    <cellStyle name="계산 3 39" xfId="19843"/>
    <cellStyle name="계산 3 4" xfId="19844"/>
    <cellStyle name="계산 3 40" xfId="19845"/>
    <cellStyle name="계산 3 41" xfId="19846"/>
    <cellStyle name="계산 3 42" xfId="19847"/>
    <cellStyle name="계산 3 43" xfId="19848"/>
    <cellStyle name="계산 3 5" xfId="19849"/>
    <cellStyle name="계산 3 6" xfId="19850"/>
    <cellStyle name="계산 3 7" xfId="19851"/>
    <cellStyle name="계산 3 8" xfId="19852"/>
    <cellStyle name="계산 3 9" xfId="19853"/>
    <cellStyle name="계산 3_분양(100%)" xfId="38945"/>
    <cellStyle name="계산 30" xfId="19854"/>
    <cellStyle name="계산 30 10" xfId="19855"/>
    <cellStyle name="계산 30 11" xfId="19856"/>
    <cellStyle name="계산 30 12" xfId="19857"/>
    <cellStyle name="계산 30 13" xfId="19858"/>
    <cellStyle name="계산 30 14" xfId="19859"/>
    <cellStyle name="계산 30 15" xfId="19860"/>
    <cellStyle name="계산 30 16" xfId="19861"/>
    <cellStyle name="계산 30 17" xfId="19862"/>
    <cellStyle name="계산 30 18" xfId="19863"/>
    <cellStyle name="계산 30 19" xfId="19864"/>
    <cellStyle name="계산 30 2" xfId="19865"/>
    <cellStyle name="계산 30 20" xfId="19866"/>
    <cellStyle name="계산 30 21" xfId="19867"/>
    <cellStyle name="계산 30 22" xfId="19868"/>
    <cellStyle name="계산 30 23" xfId="19869"/>
    <cellStyle name="계산 30 24" xfId="19870"/>
    <cellStyle name="계산 30 25" xfId="19871"/>
    <cellStyle name="계산 30 26" xfId="19872"/>
    <cellStyle name="계산 30 27" xfId="19873"/>
    <cellStyle name="계산 30 28" xfId="19874"/>
    <cellStyle name="계산 30 29" xfId="19875"/>
    <cellStyle name="계산 30 3" xfId="19876"/>
    <cellStyle name="계산 30 30" xfId="19877"/>
    <cellStyle name="계산 30 31" xfId="19878"/>
    <cellStyle name="계산 30 32" xfId="19879"/>
    <cellStyle name="계산 30 33" xfId="19880"/>
    <cellStyle name="계산 30 34" xfId="19881"/>
    <cellStyle name="계산 30 35" xfId="19882"/>
    <cellStyle name="계산 30 36" xfId="19883"/>
    <cellStyle name="계산 30 37" xfId="19884"/>
    <cellStyle name="계산 30 38" xfId="19885"/>
    <cellStyle name="계산 30 39" xfId="19886"/>
    <cellStyle name="계산 30 4" xfId="19887"/>
    <cellStyle name="계산 30 40" xfId="19888"/>
    <cellStyle name="계산 30 41" xfId="19889"/>
    <cellStyle name="계산 30 42" xfId="19890"/>
    <cellStyle name="계산 30 43" xfId="19891"/>
    <cellStyle name="계산 30 5" xfId="19892"/>
    <cellStyle name="계산 30 6" xfId="19893"/>
    <cellStyle name="계산 30 7" xfId="19894"/>
    <cellStyle name="계산 30 8" xfId="19895"/>
    <cellStyle name="계산 30 9" xfId="19896"/>
    <cellStyle name="계산 30_분양(100%)" xfId="38946"/>
    <cellStyle name="계산 31" xfId="19897"/>
    <cellStyle name="계산 31 10" xfId="19898"/>
    <cellStyle name="계산 31 11" xfId="19899"/>
    <cellStyle name="계산 31 12" xfId="19900"/>
    <cellStyle name="계산 31 13" xfId="19901"/>
    <cellStyle name="계산 31 14" xfId="19902"/>
    <cellStyle name="계산 31 15" xfId="19903"/>
    <cellStyle name="계산 31 16" xfId="19904"/>
    <cellStyle name="계산 31 17" xfId="19905"/>
    <cellStyle name="계산 31 18" xfId="19906"/>
    <cellStyle name="계산 31 19" xfId="19907"/>
    <cellStyle name="계산 31 2" xfId="19908"/>
    <cellStyle name="계산 31 20" xfId="19909"/>
    <cellStyle name="계산 31 21" xfId="19910"/>
    <cellStyle name="계산 31 22" xfId="19911"/>
    <cellStyle name="계산 31 23" xfId="19912"/>
    <cellStyle name="계산 31 24" xfId="19913"/>
    <cellStyle name="계산 31 25" xfId="19914"/>
    <cellStyle name="계산 31 26" xfId="19915"/>
    <cellStyle name="계산 31 27" xfId="19916"/>
    <cellStyle name="계산 31 28" xfId="19917"/>
    <cellStyle name="계산 31 29" xfId="19918"/>
    <cellStyle name="계산 31 3" xfId="19919"/>
    <cellStyle name="계산 31 30" xfId="19920"/>
    <cellStyle name="계산 31 31" xfId="19921"/>
    <cellStyle name="계산 31 32" xfId="19922"/>
    <cellStyle name="계산 31 33" xfId="19923"/>
    <cellStyle name="계산 31 34" xfId="19924"/>
    <cellStyle name="계산 31 35" xfId="19925"/>
    <cellStyle name="계산 31 36" xfId="19926"/>
    <cellStyle name="계산 31 37" xfId="19927"/>
    <cellStyle name="계산 31 38" xfId="19928"/>
    <cellStyle name="계산 31 39" xfId="19929"/>
    <cellStyle name="계산 31 4" xfId="19930"/>
    <cellStyle name="계산 31 40" xfId="19931"/>
    <cellStyle name="계산 31 41" xfId="19932"/>
    <cellStyle name="계산 31 42" xfId="19933"/>
    <cellStyle name="계산 31 43" xfId="19934"/>
    <cellStyle name="계산 31 5" xfId="19935"/>
    <cellStyle name="계산 31 6" xfId="19936"/>
    <cellStyle name="계산 31 7" xfId="19937"/>
    <cellStyle name="계산 31 8" xfId="19938"/>
    <cellStyle name="계산 31 9" xfId="19939"/>
    <cellStyle name="계산 31_분양(100%)" xfId="38947"/>
    <cellStyle name="계산 32" xfId="19940"/>
    <cellStyle name="계산 32 10" xfId="19941"/>
    <cellStyle name="계산 32 11" xfId="19942"/>
    <cellStyle name="계산 32 12" xfId="19943"/>
    <cellStyle name="계산 32 13" xfId="19944"/>
    <cellStyle name="계산 32 14" xfId="19945"/>
    <cellStyle name="계산 32 15" xfId="19946"/>
    <cellStyle name="계산 32 16" xfId="19947"/>
    <cellStyle name="계산 32 17" xfId="19948"/>
    <cellStyle name="계산 32 18" xfId="19949"/>
    <cellStyle name="계산 32 19" xfId="19950"/>
    <cellStyle name="계산 32 2" xfId="19951"/>
    <cellStyle name="계산 32 20" xfId="19952"/>
    <cellStyle name="계산 32 21" xfId="19953"/>
    <cellStyle name="계산 32 22" xfId="19954"/>
    <cellStyle name="계산 32 23" xfId="19955"/>
    <cellStyle name="계산 32 24" xfId="19956"/>
    <cellStyle name="계산 32 25" xfId="19957"/>
    <cellStyle name="계산 32 26" xfId="19958"/>
    <cellStyle name="계산 32 27" xfId="19959"/>
    <cellStyle name="계산 32 28" xfId="19960"/>
    <cellStyle name="계산 32 29" xfId="19961"/>
    <cellStyle name="계산 32 3" xfId="19962"/>
    <cellStyle name="계산 32 30" xfId="19963"/>
    <cellStyle name="계산 32 31" xfId="19964"/>
    <cellStyle name="계산 32 32" xfId="19965"/>
    <cellStyle name="계산 32 33" xfId="19966"/>
    <cellStyle name="계산 32 34" xfId="19967"/>
    <cellStyle name="계산 32 35" xfId="19968"/>
    <cellStyle name="계산 32 36" xfId="19969"/>
    <cellStyle name="계산 32 37" xfId="19970"/>
    <cellStyle name="계산 32 38" xfId="19971"/>
    <cellStyle name="계산 32 39" xfId="19972"/>
    <cellStyle name="계산 32 4" xfId="19973"/>
    <cellStyle name="계산 32 40" xfId="19974"/>
    <cellStyle name="계산 32 41" xfId="19975"/>
    <cellStyle name="계산 32 42" xfId="19976"/>
    <cellStyle name="계산 32 43" xfId="19977"/>
    <cellStyle name="계산 32 5" xfId="19978"/>
    <cellStyle name="계산 32 6" xfId="19979"/>
    <cellStyle name="계산 32 7" xfId="19980"/>
    <cellStyle name="계산 32 8" xfId="19981"/>
    <cellStyle name="계산 32 9" xfId="19982"/>
    <cellStyle name="계산 32_분양(100%)" xfId="38948"/>
    <cellStyle name="계산 33" xfId="19983"/>
    <cellStyle name="계산 33 10" xfId="19984"/>
    <cellStyle name="계산 33 11" xfId="19985"/>
    <cellStyle name="계산 33 12" xfId="19986"/>
    <cellStyle name="계산 33 13" xfId="19987"/>
    <cellStyle name="계산 33 14" xfId="19988"/>
    <cellStyle name="계산 33 15" xfId="19989"/>
    <cellStyle name="계산 33 16" xfId="19990"/>
    <cellStyle name="계산 33 17" xfId="19991"/>
    <cellStyle name="계산 33 18" xfId="19992"/>
    <cellStyle name="계산 33 19" xfId="19993"/>
    <cellStyle name="계산 33 2" xfId="19994"/>
    <cellStyle name="계산 33 20" xfId="19995"/>
    <cellStyle name="계산 33 21" xfId="19996"/>
    <cellStyle name="계산 33 22" xfId="19997"/>
    <cellStyle name="계산 33 23" xfId="19998"/>
    <cellStyle name="계산 33 24" xfId="19999"/>
    <cellStyle name="계산 33 25" xfId="20000"/>
    <cellStyle name="계산 33 26" xfId="20001"/>
    <cellStyle name="계산 33 27" xfId="20002"/>
    <cellStyle name="계산 33 28" xfId="20003"/>
    <cellStyle name="계산 33 29" xfId="20004"/>
    <cellStyle name="계산 33 3" xfId="20005"/>
    <cellStyle name="계산 33 30" xfId="20006"/>
    <cellStyle name="계산 33 31" xfId="20007"/>
    <cellStyle name="계산 33 32" xfId="20008"/>
    <cellStyle name="계산 33 33" xfId="20009"/>
    <cellStyle name="계산 33 34" xfId="20010"/>
    <cellStyle name="계산 33 35" xfId="20011"/>
    <cellStyle name="계산 33 36" xfId="20012"/>
    <cellStyle name="계산 33 37" xfId="20013"/>
    <cellStyle name="계산 33 38" xfId="20014"/>
    <cellStyle name="계산 33 39" xfId="20015"/>
    <cellStyle name="계산 33 4" xfId="20016"/>
    <cellStyle name="계산 33 40" xfId="20017"/>
    <cellStyle name="계산 33 41" xfId="20018"/>
    <cellStyle name="계산 33 42" xfId="20019"/>
    <cellStyle name="계산 33 43" xfId="20020"/>
    <cellStyle name="계산 33 5" xfId="20021"/>
    <cellStyle name="계산 33 6" xfId="20022"/>
    <cellStyle name="계산 33 7" xfId="20023"/>
    <cellStyle name="계산 33 8" xfId="20024"/>
    <cellStyle name="계산 33 9" xfId="20025"/>
    <cellStyle name="계산 33_분양(100%)" xfId="38949"/>
    <cellStyle name="계산 34" xfId="20026"/>
    <cellStyle name="계산 34 10" xfId="20027"/>
    <cellStyle name="계산 34 11" xfId="20028"/>
    <cellStyle name="계산 34 12" xfId="20029"/>
    <cellStyle name="계산 34 13" xfId="20030"/>
    <cellStyle name="계산 34 14" xfId="20031"/>
    <cellStyle name="계산 34 15" xfId="20032"/>
    <cellStyle name="계산 34 16" xfId="20033"/>
    <cellStyle name="계산 34 17" xfId="20034"/>
    <cellStyle name="계산 34 18" xfId="20035"/>
    <cellStyle name="계산 34 19" xfId="20036"/>
    <cellStyle name="계산 34 2" xfId="20037"/>
    <cellStyle name="계산 34 20" xfId="20038"/>
    <cellStyle name="계산 34 21" xfId="20039"/>
    <cellStyle name="계산 34 22" xfId="20040"/>
    <cellStyle name="계산 34 23" xfId="20041"/>
    <cellStyle name="계산 34 24" xfId="20042"/>
    <cellStyle name="계산 34 25" xfId="20043"/>
    <cellStyle name="계산 34 26" xfId="20044"/>
    <cellStyle name="계산 34 27" xfId="20045"/>
    <cellStyle name="계산 34 28" xfId="20046"/>
    <cellStyle name="계산 34 29" xfId="20047"/>
    <cellStyle name="계산 34 3" xfId="20048"/>
    <cellStyle name="계산 34 30" xfId="20049"/>
    <cellStyle name="계산 34 31" xfId="20050"/>
    <cellStyle name="계산 34 32" xfId="20051"/>
    <cellStyle name="계산 34 33" xfId="20052"/>
    <cellStyle name="계산 34 34" xfId="20053"/>
    <cellStyle name="계산 34 35" xfId="20054"/>
    <cellStyle name="계산 34 36" xfId="20055"/>
    <cellStyle name="계산 34 37" xfId="20056"/>
    <cellStyle name="계산 34 38" xfId="20057"/>
    <cellStyle name="계산 34 39" xfId="20058"/>
    <cellStyle name="계산 34 4" xfId="20059"/>
    <cellStyle name="계산 34 40" xfId="20060"/>
    <cellStyle name="계산 34 41" xfId="20061"/>
    <cellStyle name="계산 34 42" xfId="20062"/>
    <cellStyle name="계산 34 43" xfId="20063"/>
    <cellStyle name="계산 34 5" xfId="20064"/>
    <cellStyle name="계산 34 6" xfId="20065"/>
    <cellStyle name="계산 34 7" xfId="20066"/>
    <cellStyle name="계산 34 8" xfId="20067"/>
    <cellStyle name="계산 34 9" xfId="20068"/>
    <cellStyle name="계산 34_분양(100%)" xfId="38950"/>
    <cellStyle name="계산 35" xfId="20069"/>
    <cellStyle name="계산 35 10" xfId="20070"/>
    <cellStyle name="계산 35 11" xfId="20071"/>
    <cellStyle name="계산 35 12" xfId="20072"/>
    <cellStyle name="계산 35 13" xfId="20073"/>
    <cellStyle name="계산 35 14" xfId="20074"/>
    <cellStyle name="계산 35 15" xfId="20075"/>
    <cellStyle name="계산 35 16" xfId="20076"/>
    <cellStyle name="계산 35 17" xfId="20077"/>
    <cellStyle name="계산 35 18" xfId="20078"/>
    <cellStyle name="계산 35 19" xfId="20079"/>
    <cellStyle name="계산 35 2" xfId="20080"/>
    <cellStyle name="계산 35 20" xfId="20081"/>
    <cellStyle name="계산 35 21" xfId="20082"/>
    <cellStyle name="계산 35 22" xfId="20083"/>
    <cellStyle name="계산 35 23" xfId="20084"/>
    <cellStyle name="계산 35 24" xfId="20085"/>
    <cellStyle name="계산 35 25" xfId="20086"/>
    <cellStyle name="계산 35 26" xfId="20087"/>
    <cellStyle name="계산 35 27" xfId="20088"/>
    <cellStyle name="계산 35 28" xfId="20089"/>
    <cellStyle name="계산 35 29" xfId="20090"/>
    <cellStyle name="계산 35 3" xfId="20091"/>
    <cellStyle name="계산 35 30" xfId="20092"/>
    <cellStyle name="계산 35 31" xfId="20093"/>
    <cellStyle name="계산 35 32" xfId="20094"/>
    <cellStyle name="계산 35 33" xfId="20095"/>
    <cellStyle name="계산 35 34" xfId="20096"/>
    <cellStyle name="계산 35 35" xfId="20097"/>
    <cellStyle name="계산 35 36" xfId="20098"/>
    <cellStyle name="계산 35 37" xfId="20099"/>
    <cellStyle name="계산 35 38" xfId="20100"/>
    <cellStyle name="계산 35 39" xfId="20101"/>
    <cellStyle name="계산 35 4" xfId="20102"/>
    <cellStyle name="계산 35 40" xfId="20103"/>
    <cellStyle name="계산 35 41" xfId="20104"/>
    <cellStyle name="계산 35 42" xfId="20105"/>
    <cellStyle name="계산 35 43" xfId="20106"/>
    <cellStyle name="계산 35 5" xfId="20107"/>
    <cellStyle name="계산 35 6" xfId="20108"/>
    <cellStyle name="계산 35 7" xfId="20109"/>
    <cellStyle name="계산 35 8" xfId="20110"/>
    <cellStyle name="계산 35 9" xfId="20111"/>
    <cellStyle name="계산 35_분양(100%)" xfId="38951"/>
    <cellStyle name="계산 36" xfId="20112"/>
    <cellStyle name="계산 36 10" xfId="20113"/>
    <cellStyle name="계산 36 11" xfId="20114"/>
    <cellStyle name="계산 36 12" xfId="20115"/>
    <cellStyle name="계산 36 13" xfId="20116"/>
    <cellStyle name="계산 36 14" xfId="20117"/>
    <cellStyle name="계산 36 15" xfId="20118"/>
    <cellStyle name="계산 36 16" xfId="20119"/>
    <cellStyle name="계산 36 17" xfId="20120"/>
    <cellStyle name="계산 36 18" xfId="20121"/>
    <cellStyle name="계산 36 19" xfId="20122"/>
    <cellStyle name="계산 36 2" xfId="20123"/>
    <cellStyle name="계산 36 20" xfId="20124"/>
    <cellStyle name="계산 36 21" xfId="20125"/>
    <cellStyle name="계산 36 22" xfId="20126"/>
    <cellStyle name="계산 36 23" xfId="20127"/>
    <cellStyle name="계산 36 24" xfId="20128"/>
    <cellStyle name="계산 36 25" xfId="20129"/>
    <cellStyle name="계산 36 26" xfId="20130"/>
    <cellStyle name="계산 36 27" xfId="20131"/>
    <cellStyle name="계산 36 28" xfId="20132"/>
    <cellStyle name="계산 36 29" xfId="20133"/>
    <cellStyle name="계산 36 3" xfId="20134"/>
    <cellStyle name="계산 36 30" xfId="20135"/>
    <cellStyle name="계산 36 31" xfId="20136"/>
    <cellStyle name="계산 36 32" xfId="20137"/>
    <cellStyle name="계산 36 33" xfId="20138"/>
    <cellStyle name="계산 36 34" xfId="20139"/>
    <cellStyle name="계산 36 35" xfId="20140"/>
    <cellStyle name="계산 36 36" xfId="20141"/>
    <cellStyle name="계산 36 37" xfId="20142"/>
    <cellStyle name="계산 36 38" xfId="20143"/>
    <cellStyle name="계산 36 39" xfId="20144"/>
    <cellStyle name="계산 36 4" xfId="20145"/>
    <cellStyle name="계산 36 40" xfId="20146"/>
    <cellStyle name="계산 36 41" xfId="20147"/>
    <cellStyle name="계산 36 42" xfId="20148"/>
    <cellStyle name="계산 36 43" xfId="20149"/>
    <cellStyle name="계산 36 5" xfId="20150"/>
    <cellStyle name="계산 36 6" xfId="20151"/>
    <cellStyle name="계산 36 7" xfId="20152"/>
    <cellStyle name="계산 36 8" xfId="20153"/>
    <cellStyle name="계산 36 9" xfId="20154"/>
    <cellStyle name="계산 36_분양(100%)" xfId="38952"/>
    <cellStyle name="계산 37" xfId="20155"/>
    <cellStyle name="계산 37 10" xfId="20156"/>
    <cellStyle name="계산 37 11" xfId="20157"/>
    <cellStyle name="계산 37 12" xfId="20158"/>
    <cellStyle name="계산 37 13" xfId="20159"/>
    <cellStyle name="계산 37 14" xfId="20160"/>
    <cellStyle name="계산 37 15" xfId="20161"/>
    <cellStyle name="계산 37 16" xfId="20162"/>
    <cellStyle name="계산 37 17" xfId="20163"/>
    <cellStyle name="계산 37 18" xfId="20164"/>
    <cellStyle name="계산 37 19" xfId="20165"/>
    <cellStyle name="계산 37 2" xfId="20166"/>
    <cellStyle name="계산 37 20" xfId="20167"/>
    <cellStyle name="계산 37 21" xfId="20168"/>
    <cellStyle name="계산 37 22" xfId="20169"/>
    <cellStyle name="계산 37 23" xfId="20170"/>
    <cellStyle name="계산 37 24" xfId="20171"/>
    <cellStyle name="계산 37 25" xfId="20172"/>
    <cellStyle name="계산 37 26" xfId="20173"/>
    <cellStyle name="계산 37 27" xfId="20174"/>
    <cellStyle name="계산 37 28" xfId="20175"/>
    <cellStyle name="계산 37 29" xfId="20176"/>
    <cellStyle name="계산 37 3" xfId="20177"/>
    <cellStyle name="계산 37 30" xfId="20178"/>
    <cellStyle name="계산 37 31" xfId="20179"/>
    <cellStyle name="계산 37 32" xfId="20180"/>
    <cellStyle name="계산 37 33" xfId="20181"/>
    <cellStyle name="계산 37 34" xfId="20182"/>
    <cellStyle name="계산 37 35" xfId="20183"/>
    <cellStyle name="계산 37 36" xfId="20184"/>
    <cellStyle name="계산 37 37" xfId="20185"/>
    <cellStyle name="계산 37 38" xfId="20186"/>
    <cellStyle name="계산 37 39" xfId="20187"/>
    <cellStyle name="계산 37 4" xfId="20188"/>
    <cellStyle name="계산 37 40" xfId="20189"/>
    <cellStyle name="계산 37 41" xfId="20190"/>
    <cellStyle name="계산 37 42" xfId="20191"/>
    <cellStyle name="계산 37 43" xfId="20192"/>
    <cellStyle name="계산 37 5" xfId="20193"/>
    <cellStyle name="계산 37 6" xfId="20194"/>
    <cellStyle name="계산 37 7" xfId="20195"/>
    <cellStyle name="계산 37 8" xfId="20196"/>
    <cellStyle name="계산 37 9" xfId="20197"/>
    <cellStyle name="계산 37_분양(100%)" xfId="38953"/>
    <cellStyle name="계산 38" xfId="20198"/>
    <cellStyle name="계산 38 10" xfId="20199"/>
    <cellStyle name="계산 38 11" xfId="20200"/>
    <cellStyle name="계산 38 12" xfId="20201"/>
    <cellStyle name="계산 38 13" xfId="20202"/>
    <cellStyle name="계산 38 14" xfId="20203"/>
    <cellStyle name="계산 38 15" xfId="20204"/>
    <cellStyle name="계산 38 16" xfId="20205"/>
    <cellStyle name="계산 38 17" xfId="20206"/>
    <cellStyle name="계산 38 18" xfId="20207"/>
    <cellStyle name="계산 38 19" xfId="20208"/>
    <cellStyle name="계산 38 2" xfId="20209"/>
    <cellStyle name="계산 38 20" xfId="20210"/>
    <cellStyle name="계산 38 21" xfId="20211"/>
    <cellStyle name="계산 38 22" xfId="20212"/>
    <cellStyle name="계산 38 23" xfId="20213"/>
    <cellStyle name="계산 38 24" xfId="20214"/>
    <cellStyle name="계산 38 25" xfId="20215"/>
    <cellStyle name="계산 38 26" xfId="20216"/>
    <cellStyle name="계산 38 27" xfId="20217"/>
    <cellStyle name="계산 38 28" xfId="20218"/>
    <cellStyle name="계산 38 29" xfId="20219"/>
    <cellStyle name="계산 38 3" xfId="20220"/>
    <cellStyle name="계산 38 30" xfId="20221"/>
    <cellStyle name="계산 38 31" xfId="20222"/>
    <cellStyle name="계산 38 32" xfId="20223"/>
    <cellStyle name="계산 38 33" xfId="20224"/>
    <cellStyle name="계산 38 34" xfId="20225"/>
    <cellStyle name="계산 38 35" xfId="20226"/>
    <cellStyle name="계산 38 36" xfId="20227"/>
    <cellStyle name="계산 38 37" xfId="20228"/>
    <cellStyle name="계산 38 38" xfId="20229"/>
    <cellStyle name="계산 38 39" xfId="20230"/>
    <cellStyle name="계산 38 4" xfId="20231"/>
    <cellStyle name="계산 38 40" xfId="20232"/>
    <cellStyle name="계산 38 41" xfId="20233"/>
    <cellStyle name="계산 38 42" xfId="20234"/>
    <cellStyle name="계산 38 43" xfId="20235"/>
    <cellStyle name="계산 38 5" xfId="20236"/>
    <cellStyle name="계산 38 6" xfId="20237"/>
    <cellStyle name="계산 38 7" xfId="20238"/>
    <cellStyle name="계산 38 8" xfId="20239"/>
    <cellStyle name="계산 38 9" xfId="20240"/>
    <cellStyle name="계산 38_분양(100%)" xfId="38954"/>
    <cellStyle name="계산 39" xfId="20241"/>
    <cellStyle name="계산 39 10" xfId="20242"/>
    <cellStyle name="계산 39 11" xfId="20243"/>
    <cellStyle name="계산 39 12" xfId="20244"/>
    <cellStyle name="계산 39 13" xfId="20245"/>
    <cellStyle name="계산 39 14" xfId="20246"/>
    <cellStyle name="계산 39 15" xfId="20247"/>
    <cellStyle name="계산 39 16" xfId="20248"/>
    <cellStyle name="계산 39 17" xfId="20249"/>
    <cellStyle name="계산 39 18" xfId="20250"/>
    <cellStyle name="계산 39 19" xfId="20251"/>
    <cellStyle name="계산 39 2" xfId="20252"/>
    <cellStyle name="계산 39 20" xfId="20253"/>
    <cellStyle name="계산 39 21" xfId="20254"/>
    <cellStyle name="계산 39 22" xfId="20255"/>
    <cellStyle name="계산 39 23" xfId="20256"/>
    <cellStyle name="계산 39 24" xfId="20257"/>
    <cellStyle name="계산 39 25" xfId="20258"/>
    <cellStyle name="계산 39 26" xfId="20259"/>
    <cellStyle name="계산 39 27" xfId="20260"/>
    <cellStyle name="계산 39 28" xfId="20261"/>
    <cellStyle name="계산 39 29" xfId="20262"/>
    <cellStyle name="계산 39 3" xfId="20263"/>
    <cellStyle name="계산 39 30" xfId="20264"/>
    <cellStyle name="계산 39 31" xfId="20265"/>
    <cellStyle name="계산 39 32" xfId="20266"/>
    <cellStyle name="계산 39 33" xfId="20267"/>
    <cellStyle name="계산 39 34" xfId="20268"/>
    <cellStyle name="계산 39 35" xfId="20269"/>
    <cellStyle name="계산 39 36" xfId="20270"/>
    <cellStyle name="계산 39 37" xfId="20271"/>
    <cellStyle name="계산 39 38" xfId="20272"/>
    <cellStyle name="계산 39 39" xfId="20273"/>
    <cellStyle name="계산 39 4" xfId="20274"/>
    <cellStyle name="계산 39 40" xfId="20275"/>
    <cellStyle name="계산 39 41" xfId="20276"/>
    <cellStyle name="계산 39 42" xfId="20277"/>
    <cellStyle name="계산 39 43" xfId="20278"/>
    <cellStyle name="계산 39 5" xfId="20279"/>
    <cellStyle name="계산 39 6" xfId="20280"/>
    <cellStyle name="계산 39 7" xfId="20281"/>
    <cellStyle name="계산 39 8" xfId="20282"/>
    <cellStyle name="계산 39 9" xfId="20283"/>
    <cellStyle name="계산 39_분양(100%)" xfId="38955"/>
    <cellStyle name="계산 4" xfId="20284"/>
    <cellStyle name="계산 4 10" xfId="20285"/>
    <cellStyle name="계산 4 11" xfId="20286"/>
    <cellStyle name="계산 4 12" xfId="20287"/>
    <cellStyle name="계산 4 13" xfId="20288"/>
    <cellStyle name="계산 4 14" xfId="20289"/>
    <cellStyle name="계산 4 15" xfId="20290"/>
    <cellStyle name="계산 4 16" xfId="20291"/>
    <cellStyle name="계산 4 17" xfId="20292"/>
    <cellStyle name="계산 4 18" xfId="20293"/>
    <cellStyle name="계산 4 19" xfId="20294"/>
    <cellStyle name="계산 4 2" xfId="20295"/>
    <cellStyle name="계산 4 20" xfId="20296"/>
    <cellStyle name="계산 4 21" xfId="20297"/>
    <cellStyle name="계산 4 22" xfId="20298"/>
    <cellStyle name="계산 4 23" xfId="20299"/>
    <cellStyle name="계산 4 24" xfId="20300"/>
    <cellStyle name="계산 4 25" xfId="20301"/>
    <cellStyle name="계산 4 26" xfId="20302"/>
    <cellStyle name="계산 4 27" xfId="20303"/>
    <cellStyle name="계산 4 28" xfId="20304"/>
    <cellStyle name="계산 4 29" xfId="20305"/>
    <cellStyle name="계산 4 3" xfId="20306"/>
    <cellStyle name="계산 4 30" xfId="20307"/>
    <cellStyle name="계산 4 31" xfId="20308"/>
    <cellStyle name="계산 4 32" xfId="20309"/>
    <cellStyle name="계산 4 33" xfId="20310"/>
    <cellStyle name="계산 4 34" xfId="20311"/>
    <cellStyle name="계산 4 35" xfId="20312"/>
    <cellStyle name="계산 4 36" xfId="20313"/>
    <cellStyle name="계산 4 37" xfId="20314"/>
    <cellStyle name="계산 4 38" xfId="20315"/>
    <cellStyle name="계산 4 39" xfId="20316"/>
    <cellStyle name="계산 4 4" xfId="20317"/>
    <cellStyle name="계산 4 40" xfId="20318"/>
    <cellStyle name="계산 4 41" xfId="20319"/>
    <cellStyle name="계산 4 42" xfId="20320"/>
    <cellStyle name="계산 4 43" xfId="20321"/>
    <cellStyle name="계산 4 5" xfId="20322"/>
    <cellStyle name="계산 4 6" xfId="20323"/>
    <cellStyle name="계산 4 7" xfId="20324"/>
    <cellStyle name="계산 4 8" xfId="20325"/>
    <cellStyle name="계산 4 9" xfId="20326"/>
    <cellStyle name="계산 4_분양(100%)" xfId="38956"/>
    <cellStyle name="계산 40" xfId="20327"/>
    <cellStyle name="계산 40 10" xfId="20328"/>
    <cellStyle name="계산 40 11" xfId="20329"/>
    <cellStyle name="계산 40 12" xfId="20330"/>
    <cellStyle name="계산 40 13" xfId="20331"/>
    <cellStyle name="계산 40 14" xfId="20332"/>
    <cellStyle name="계산 40 15" xfId="20333"/>
    <cellStyle name="계산 40 16" xfId="20334"/>
    <cellStyle name="계산 40 17" xfId="20335"/>
    <cellStyle name="계산 40 18" xfId="20336"/>
    <cellStyle name="계산 40 19" xfId="20337"/>
    <cellStyle name="계산 40 2" xfId="20338"/>
    <cellStyle name="계산 40 20" xfId="20339"/>
    <cellStyle name="계산 40 21" xfId="20340"/>
    <cellStyle name="계산 40 22" xfId="20341"/>
    <cellStyle name="계산 40 23" xfId="20342"/>
    <cellStyle name="계산 40 24" xfId="20343"/>
    <cellStyle name="계산 40 25" xfId="20344"/>
    <cellStyle name="계산 40 26" xfId="20345"/>
    <cellStyle name="계산 40 27" xfId="20346"/>
    <cellStyle name="계산 40 28" xfId="20347"/>
    <cellStyle name="계산 40 29" xfId="20348"/>
    <cellStyle name="계산 40 3" xfId="20349"/>
    <cellStyle name="계산 40 30" xfId="20350"/>
    <cellStyle name="계산 40 31" xfId="20351"/>
    <cellStyle name="계산 40 32" xfId="20352"/>
    <cellStyle name="계산 40 33" xfId="20353"/>
    <cellStyle name="계산 40 34" xfId="20354"/>
    <cellStyle name="계산 40 35" xfId="20355"/>
    <cellStyle name="계산 40 36" xfId="20356"/>
    <cellStyle name="계산 40 37" xfId="20357"/>
    <cellStyle name="계산 40 38" xfId="20358"/>
    <cellStyle name="계산 40 39" xfId="20359"/>
    <cellStyle name="계산 40 4" xfId="20360"/>
    <cellStyle name="계산 40 40" xfId="20361"/>
    <cellStyle name="계산 40 41" xfId="20362"/>
    <cellStyle name="계산 40 42" xfId="20363"/>
    <cellStyle name="계산 40 43" xfId="20364"/>
    <cellStyle name="계산 40 5" xfId="20365"/>
    <cellStyle name="계산 40 6" xfId="20366"/>
    <cellStyle name="계산 40 7" xfId="20367"/>
    <cellStyle name="계산 40 8" xfId="20368"/>
    <cellStyle name="계산 40 9" xfId="20369"/>
    <cellStyle name="계산 40_분양(100%)" xfId="38957"/>
    <cellStyle name="계산 41" xfId="20370"/>
    <cellStyle name="계산 41 10" xfId="20371"/>
    <cellStyle name="계산 41 11" xfId="20372"/>
    <cellStyle name="계산 41 12" xfId="20373"/>
    <cellStyle name="계산 41 13" xfId="20374"/>
    <cellStyle name="계산 41 14" xfId="20375"/>
    <cellStyle name="계산 41 15" xfId="20376"/>
    <cellStyle name="계산 41 16" xfId="20377"/>
    <cellStyle name="계산 41 17" xfId="20378"/>
    <cellStyle name="계산 41 18" xfId="20379"/>
    <cellStyle name="계산 41 19" xfId="20380"/>
    <cellStyle name="계산 41 2" xfId="20381"/>
    <cellStyle name="계산 41 20" xfId="20382"/>
    <cellStyle name="계산 41 21" xfId="20383"/>
    <cellStyle name="계산 41 22" xfId="20384"/>
    <cellStyle name="계산 41 23" xfId="20385"/>
    <cellStyle name="계산 41 24" xfId="20386"/>
    <cellStyle name="계산 41 25" xfId="20387"/>
    <cellStyle name="계산 41 26" xfId="20388"/>
    <cellStyle name="계산 41 27" xfId="20389"/>
    <cellStyle name="계산 41 28" xfId="20390"/>
    <cellStyle name="계산 41 29" xfId="20391"/>
    <cellStyle name="계산 41 3" xfId="20392"/>
    <cellStyle name="계산 41 30" xfId="20393"/>
    <cellStyle name="계산 41 31" xfId="20394"/>
    <cellStyle name="계산 41 32" xfId="20395"/>
    <cellStyle name="계산 41 33" xfId="20396"/>
    <cellStyle name="계산 41 34" xfId="20397"/>
    <cellStyle name="계산 41 35" xfId="20398"/>
    <cellStyle name="계산 41 36" xfId="20399"/>
    <cellStyle name="계산 41 37" xfId="20400"/>
    <cellStyle name="계산 41 38" xfId="20401"/>
    <cellStyle name="계산 41 39" xfId="20402"/>
    <cellStyle name="계산 41 4" xfId="20403"/>
    <cellStyle name="계산 41 40" xfId="20404"/>
    <cellStyle name="계산 41 41" xfId="20405"/>
    <cellStyle name="계산 41 42" xfId="20406"/>
    <cellStyle name="계산 41 43" xfId="20407"/>
    <cellStyle name="계산 41 5" xfId="20408"/>
    <cellStyle name="계산 41 6" xfId="20409"/>
    <cellStyle name="계산 41 7" xfId="20410"/>
    <cellStyle name="계산 41 8" xfId="20411"/>
    <cellStyle name="계산 41 9" xfId="20412"/>
    <cellStyle name="계산 41_분양(100%)" xfId="38958"/>
    <cellStyle name="계산 42" xfId="20413"/>
    <cellStyle name="계산 42 10" xfId="20414"/>
    <cellStyle name="계산 42 11" xfId="20415"/>
    <cellStyle name="계산 42 12" xfId="20416"/>
    <cellStyle name="계산 42 13" xfId="20417"/>
    <cellStyle name="계산 42 14" xfId="20418"/>
    <cellStyle name="계산 42 15" xfId="20419"/>
    <cellStyle name="계산 42 16" xfId="20420"/>
    <cellStyle name="계산 42 17" xfId="20421"/>
    <cellStyle name="계산 42 18" xfId="20422"/>
    <cellStyle name="계산 42 19" xfId="20423"/>
    <cellStyle name="계산 42 2" xfId="20424"/>
    <cellStyle name="계산 42 20" xfId="20425"/>
    <cellStyle name="계산 42 21" xfId="20426"/>
    <cellStyle name="계산 42 22" xfId="20427"/>
    <cellStyle name="계산 42 23" xfId="20428"/>
    <cellStyle name="계산 42 24" xfId="20429"/>
    <cellStyle name="계산 42 25" xfId="20430"/>
    <cellStyle name="계산 42 26" xfId="20431"/>
    <cellStyle name="계산 42 27" xfId="20432"/>
    <cellStyle name="계산 42 28" xfId="20433"/>
    <cellStyle name="계산 42 29" xfId="20434"/>
    <cellStyle name="계산 42 3" xfId="20435"/>
    <cellStyle name="계산 42 30" xfId="20436"/>
    <cellStyle name="계산 42 31" xfId="20437"/>
    <cellStyle name="계산 42 32" xfId="20438"/>
    <cellStyle name="계산 42 33" xfId="20439"/>
    <cellStyle name="계산 42 34" xfId="20440"/>
    <cellStyle name="계산 42 35" xfId="20441"/>
    <cellStyle name="계산 42 36" xfId="20442"/>
    <cellStyle name="계산 42 37" xfId="20443"/>
    <cellStyle name="계산 42 38" xfId="20444"/>
    <cellStyle name="계산 42 39" xfId="20445"/>
    <cellStyle name="계산 42 4" xfId="20446"/>
    <cellStyle name="계산 42 40" xfId="20447"/>
    <cellStyle name="계산 42 41" xfId="20448"/>
    <cellStyle name="계산 42 42" xfId="20449"/>
    <cellStyle name="계산 42 43" xfId="20450"/>
    <cellStyle name="계산 42 5" xfId="20451"/>
    <cellStyle name="계산 42 6" xfId="20452"/>
    <cellStyle name="계산 42 7" xfId="20453"/>
    <cellStyle name="계산 42 8" xfId="20454"/>
    <cellStyle name="계산 42 9" xfId="20455"/>
    <cellStyle name="계산 42_분양(100%)" xfId="38959"/>
    <cellStyle name="계산 43" xfId="20456"/>
    <cellStyle name="계산 44" xfId="20457"/>
    <cellStyle name="계산 45" xfId="20458"/>
    <cellStyle name="계산 46" xfId="20459"/>
    <cellStyle name="계산 47" xfId="20460"/>
    <cellStyle name="계산 48" xfId="20461"/>
    <cellStyle name="계산 49" xfId="20462"/>
    <cellStyle name="계산 5" xfId="20463"/>
    <cellStyle name="계산 5 10" xfId="20464"/>
    <cellStyle name="계산 5 11" xfId="20465"/>
    <cellStyle name="계산 5 12" xfId="20466"/>
    <cellStyle name="계산 5 13" xfId="20467"/>
    <cellStyle name="계산 5 14" xfId="20468"/>
    <cellStyle name="계산 5 15" xfId="20469"/>
    <cellStyle name="계산 5 16" xfId="20470"/>
    <cellStyle name="계산 5 17" xfId="20471"/>
    <cellStyle name="계산 5 18" xfId="20472"/>
    <cellStyle name="계산 5 19" xfId="20473"/>
    <cellStyle name="계산 5 2" xfId="20474"/>
    <cellStyle name="계산 5 20" xfId="20475"/>
    <cellStyle name="계산 5 21" xfId="20476"/>
    <cellStyle name="계산 5 22" xfId="20477"/>
    <cellStyle name="계산 5 23" xfId="20478"/>
    <cellStyle name="계산 5 24" xfId="20479"/>
    <cellStyle name="계산 5 25" xfId="20480"/>
    <cellStyle name="계산 5 26" xfId="20481"/>
    <cellStyle name="계산 5 27" xfId="20482"/>
    <cellStyle name="계산 5 28" xfId="20483"/>
    <cellStyle name="계산 5 29" xfId="20484"/>
    <cellStyle name="계산 5 3" xfId="20485"/>
    <cellStyle name="계산 5 30" xfId="20486"/>
    <cellStyle name="계산 5 31" xfId="20487"/>
    <cellStyle name="계산 5 32" xfId="20488"/>
    <cellStyle name="계산 5 33" xfId="20489"/>
    <cellStyle name="계산 5 34" xfId="20490"/>
    <cellStyle name="계산 5 35" xfId="20491"/>
    <cellStyle name="계산 5 36" xfId="20492"/>
    <cellStyle name="계산 5 37" xfId="20493"/>
    <cellStyle name="계산 5 38" xfId="20494"/>
    <cellStyle name="계산 5 39" xfId="20495"/>
    <cellStyle name="계산 5 4" xfId="20496"/>
    <cellStyle name="계산 5 40" xfId="20497"/>
    <cellStyle name="계산 5 41" xfId="20498"/>
    <cellStyle name="계산 5 42" xfId="20499"/>
    <cellStyle name="계산 5 43" xfId="20500"/>
    <cellStyle name="계산 5 5" xfId="20501"/>
    <cellStyle name="계산 5 6" xfId="20502"/>
    <cellStyle name="계산 5 7" xfId="20503"/>
    <cellStyle name="계산 5 8" xfId="20504"/>
    <cellStyle name="계산 5 9" xfId="20505"/>
    <cellStyle name="계산 5_분양(100%)" xfId="38960"/>
    <cellStyle name="계산 50" xfId="20506"/>
    <cellStyle name="계산 51" xfId="20507"/>
    <cellStyle name="계산 52" xfId="20508"/>
    <cellStyle name="계산 53" xfId="20509"/>
    <cellStyle name="계산 54" xfId="20510"/>
    <cellStyle name="계산 55" xfId="20511"/>
    <cellStyle name="계산 56" xfId="20512"/>
    <cellStyle name="계산 57" xfId="20513"/>
    <cellStyle name="계산 58" xfId="20514"/>
    <cellStyle name="계산 59" xfId="20515"/>
    <cellStyle name="계산 6" xfId="20516"/>
    <cellStyle name="계산 6 10" xfId="20517"/>
    <cellStyle name="계산 6 11" xfId="20518"/>
    <cellStyle name="계산 6 12" xfId="20519"/>
    <cellStyle name="계산 6 13" xfId="20520"/>
    <cellStyle name="계산 6 14" xfId="20521"/>
    <cellStyle name="계산 6 15" xfId="20522"/>
    <cellStyle name="계산 6 16" xfId="20523"/>
    <cellStyle name="계산 6 17" xfId="20524"/>
    <cellStyle name="계산 6 18" xfId="20525"/>
    <cellStyle name="계산 6 19" xfId="20526"/>
    <cellStyle name="계산 6 2" xfId="20527"/>
    <cellStyle name="계산 6 20" xfId="20528"/>
    <cellStyle name="계산 6 21" xfId="20529"/>
    <cellStyle name="계산 6 22" xfId="20530"/>
    <cellStyle name="계산 6 23" xfId="20531"/>
    <cellStyle name="계산 6 24" xfId="20532"/>
    <cellStyle name="계산 6 25" xfId="20533"/>
    <cellStyle name="계산 6 26" xfId="20534"/>
    <cellStyle name="계산 6 27" xfId="20535"/>
    <cellStyle name="계산 6 28" xfId="20536"/>
    <cellStyle name="계산 6 29" xfId="20537"/>
    <cellStyle name="계산 6 3" xfId="20538"/>
    <cellStyle name="계산 6 30" xfId="20539"/>
    <cellStyle name="계산 6 31" xfId="20540"/>
    <cellStyle name="계산 6 32" xfId="20541"/>
    <cellStyle name="계산 6 33" xfId="20542"/>
    <cellStyle name="계산 6 34" xfId="20543"/>
    <cellStyle name="계산 6 35" xfId="20544"/>
    <cellStyle name="계산 6 36" xfId="20545"/>
    <cellStyle name="계산 6 37" xfId="20546"/>
    <cellStyle name="계산 6 38" xfId="20547"/>
    <cellStyle name="계산 6 39" xfId="20548"/>
    <cellStyle name="계산 6 4" xfId="20549"/>
    <cellStyle name="계산 6 40" xfId="20550"/>
    <cellStyle name="계산 6 41" xfId="20551"/>
    <cellStyle name="계산 6 42" xfId="20552"/>
    <cellStyle name="계산 6 43" xfId="20553"/>
    <cellStyle name="계산 6 5" xfId="20554"/>
    <cellStyle name="계산 6 6" xfId="20555"/>
    <cellStyle name="계산 6 7" xfId="20556"/>
    <cellStyle name="계산 6 8" xfId="20557"/>
    <cellStyle name="계산 6 9" xfId="20558"/>
    <cellStyle name="계산 6_분양(100%)" xfId="38961"/>
    <cellStyle name="계산 60" xfId="20559"/>
    <cellStyle name="계산 61" xfId="20560"/>
    <cellStyle name="계산 62" xfId="20561"/>
    <cellStyle name="계산 63" xfId="20562"/>
    <cellStyle name="계산 64" xfId="20563"/>
    <cellStyle name="계산 65" xfId="20564"/>
    <cellStyle name="계산 66" xfId="20565"/>
    <cellStyle name="계산 67" xfId="20566"/>
    <cellStyle name="계산 68" xfId="20567"/>
    <cellStyle name="계산 69" xfId="20568"/>
    <cellStyle name="계산 7" xfId="20569"/>
    <cellStyle name="계산 7 10" xfId="20570"/>
    <cellStyle name="계산 7 11" xfId="20571"/>
    <cellStyle name="계산 7 12" xfId="20572"/>
    <cellStyle name="계산 7 13" xfId="20573"/>
    <cellStyle name="계산 7 14" xfId="20574"/>
    <cellStyle name="계산 7 15" xfId="20575"/>
    <cellStyle name="계산 7 16" xfId="20576"/>
    <cellStyle name="계산 7 17" xfId="20577"/>
    <cellStyle name="계산 7 18" xfId="20578"/>
    <cellStyle name="계산 7 19" xfId="20579"/>
    <cellStyle name="계산 7 2" xfId="20580"/>
    <cellStyle name="계산 7 20" xfId="20581"/>
    <cellStyle name="계산 7 21" xfId="20582"/>
    <cellStyle name="계산 7 22" xfId="20583"/>
    <cellStyle name="계산 7 23" xfId="20584"/>
    <cellStyle name="계산 7 24" xfId="20585"/>
    <cellStyle name="계산 7 25" xfId="20586"/>
    <cellStyle name="계산 7 26" xfId="20587"/>
    <cellStyle name="계산 7 27" xfId="20588"/>
    <cellStyle name="계산 7 28" xfId="20589"/>
    <cellStyle name="계산 7 29" xfId="20590"/>
    <cellStyle name="계산 7 3" xfId="20591"/>
    <cellStyle name="계산 7 30" xfId="20592"/>
    <cellStyle name="계산 7 31" xfId="20593"/>
    <cellStyle name="계산 7 32" xfId="20594"/>
    <cellStyle name="계산 7 33" xfId="20595"/>
    <cellStyle name="계산 7 34" xfId="20596"/>
    <cellStyle name="계산 7 35" xfId="20597"/>
    <cellStyle name="계산 7 36" xfId="20598"/>
    <cellStyle name="계산 7 37" xfId="20599"/>
    <cellStyle name="계산 7 38" xfId="20600"/>
    <cellStyle name="계산 7 39" xfId="20601"/>
    <cellStyle name="계산 7 4" xfId="20602"/>
    <cellStyle name="계산 7 40" xfId="20603"/>
    <cellStyle name="계산 7 41" xfId="20604"/>
    <cellStyle name="계산 7 42" xfId="20605"/>
    <cellStyle name="계산 7 43" xfId="20606"/>
    <cellStyle name="계산 7 5" xfId="20607"/>
    <cellStyle name="계산 7 6" xfId="20608"/>
    <cellStyle name="계산 7 7" xfId="20609"/>
    <cellStyle name="계산 7 8" xfId="20610"/>
    <cellStyle name="계산 7 9" xfId="20611"/>
    <cellStyle name="계산 7_분양(100%)" xfId="38962"/>
    <cellStyle name="계산 70" xfId="20612"/>
    <cellStyle name="계산 71" xfId="20613"/>
    <cellStyle name="계산 72" xfId="20614"/>
    <cellStyle name="계산 73" xfId="20615"/>
    <cellStyle name="계산 74" xfId="20616"/>
    <cellStyle name="계산 75" xfId="20617"/>
    <cellStyle name="계산 76" xfId="20618"/>
    <cellStyle name="계산 77" xfId="20619"/>
    <cellStyle name="계산 78" xfId="20620"/>
    <cellStyle name="계산 79" xfId="20621"/>
    <cellStyle name="계산 8" xfId="20622"/>
    <cellStyle name="계산 8 10" xfId="20623"/>
    <cellStyle name="계산 8 11" xfId="20624"/>
    <cellStyle name="계산 8 12" xfId="20625"/>
    <cellStyle name="계산 8 13" xfId="20626"/>
    <cellStyle name="계산 8 14" xfId="20627"/>
    <cellStyle name="계산 8 15" xfId="20628"/>
    <cellStyle name="계산 8 16" xfId="20629"/>
    <cellStyle name="계산 8 17" xfId="20630"/>
    <cellStyle name="계산 8 18" xfId="20631"/>
    <cellStyle name="계산 8 19" xfId="20632"/>
    <cellStyle name="계산 8 2" xfId="20633"/>
    <cellStyle name="계산 8 20" xfId="20634"/>
    <cellStyle name="계산 8 21" xfId="20635"/>
    <cellStyle name="계산 8 22" xfId="20636"/>
    <cellStyle name="계산 8 23" xfId="20637"/>
    <cellStyle name="계산 8 24" xfId="20638"/>
    <cellStyle name="계산 8 25" xfId="20639"/>
    <cellStyle name="계산 8 26" xfId="20640"/>
    <cellStyle name="계산 8 27" xfId="20641"/>
    <cellStyle name="계산 8 28" xfId="20642"/>
    <cellStyle name="계산 8 29" xfId="20643"/>
    <cellStyle name="계산 8 3" xfId="20644"/>
    <cellStyle name="계산 8 30" xfId="20645"/>
    <cellStyle name="계산 8 31" xfId="20646"/>
    <cellStyle name="계산 8 32" xfId="20647"/>
    <cellStyle name="계산 8 33" xfId="20648"/>
    <cellStyle name="계산 8 34" xfId="20649"/>
    <cellStyle name="계산 8 35" xfId="20650"/>
    <cellStyle name="계산 8 36" xfId="20651"/>
    <cellStyle name="계산 8 37" xfId="20652"/>
    <cellStyle name="계산 8 38" xfId="20653"/>
    <cellStyle name="계산 8 39" xfId="20654"/>
    <cellStyle name="계산 8 4" xfId="20655"/>
    <cellStyle name="계산 8 40" xfId="20656"/>
    <cellStyle name="계산 8 41" xfId="20657"/>
    <cellStyle name="계산 8 42" xfId="20658"/>
    <cellStyle name="계산 8 43" xfId="20659"/>
    <cellStyle name="계산 8 5" xfId="20660"/>
    <cellStyle name="계산 8 6" xfId="20661"/>
    <cellStyle name="계산 8 7" xfId="20662"/>
    <cellStyle name="계산 8 8" xfId="20663"/>
    <cellStyle name="계산 8 9" xfId="20664"/>
    <cellStyle name="계산 8_분양(100%)" xfId="38963"/>
    <cellStyle name="계산 80" xfId="20665"/>
    <cellStyle name="계산 81" xfId="20666"/>
    <cellStyle name="계산 82" xfId="20667"/>
    <cellStyle name="계산 83" xfId="20668"/>
    <cellStyle name="계산 84" xfId="20669"/>
    <cellStyle name="계산 85" xfId="20670"/>
    <cellStyle name="계산 86" xfId="20671"/>
    <cellStyle name="계산 87" xfId="20672"/>
    <cellStyle name="계산 88" xfId="20673"/>
    <cellStyle name="계산 9" xfId="20674"/>
    <cellStyle name="계산 9 10" xfId="20675"/>
    <cellStyle name="계산 9 11" xfId="20676"/>
    <cellStyle name="계산 9 12" xfId="20677"/>
    <cellStyle name="계산 9 13" xfId="20678"/>
    <cellStyle name="계산 9 14" xfId="20679"/>
    <cellStyle name="계산 9 15" xfId="20680"/>
    <cellStyle name="계산 9 16" xfId="20681"/>
    <cellStyle name="계산 9 17" xfId="20682"/>
    <cellStyle name="계산 9 18" xfId="20683"/>
    <cellStyle name="계산 9 19" xfId="20684"/>
    <cellStyle name="계산 9 2" xfId="20685"/>
    <cellStyle name="계산 9 20" xfId="20686"/>
    <cellStyle name="계산 9 21" xfId="20687"/>
    <cellStyle name="계산 9 22" xfId="20688"/>
    <cellStyle name="계산 9 23" xfId="20689"/>
    <cellStyle name="계산 9 24" xfId="20690"/>
    <cellStyle name="계산 9 25" xfId="20691"/>
    <cellStyle name="계산 9 26" xfId="20692"/>
    <cellStyle name="계산 9 27" xfId="20693"/>
    <cellStyle name="계산 9 28" xfId="20694"/>
    <cellStyle name="계산 9 29" xfId="20695"/>
    <cellStyle name="계산 9 3" xfId="20696"/>
    <cellStyle name="계산 9 30" xfId="20697"/>
    <cellStyle name="계산 9 31" xfId="20698"/>
    <cellStyle name="계산 9 32" xfId="20699"/>
    <cellStyle name="계산 9 33" xfId="20700"/>
    <cellStyle name="계산 9 34" xfId="20701"/>
    <cellStyle name="계산 9 35" xfId="20702"/>
    <cellStyle name="계산 9 36" xfId="20703"/>
    <cellStyle name="계산 9 37" xfId="20704"/>
    <cellStyle name="계산 9 38" xfId="20705"/>
    <cellStyle name="계산 9 39" xfId="20706"/>
    <cellStyle name="계산 9 4" xfId="20707"/>
    <cellStyle name="계산 9 40" xfId="20708"/>
    <cellStyle name="계산 9 41" xfId="20709"/>
    <cellStyle name="계산 9 42" xfId="20710"/>
    <cellStyle name="계산 9 43" xfId="20711"/>
    <cellStyle name="계산 9 5" xfId="20712"/>
    <cellStyle name="계산 9 6" xfId="20713"/>
    <cellStyle name="계산 9 7" xfId="20714"/>
    <cellStyle name="계산 9 8" xfId="20715"/>
    <cellStyle name="계산 9 9" xfId="20716"/>
    <cellStyle name="계산 9_분양(100%)" xfId="38964"/>
    <cellStyle name="계정과목" xfId="20717"/>
    <cellStyle name="고정소숫점" xfId="236"/>
    <cellStyle name="고정소숫점 2" xfId="676"/>
    <cellStyle name="고정소숫점 3" xfId="20718"/>
    <cellStyle name="고정소숫점_분양(100%)" xfId="38965"/>
    <cellStyle name="고정출력1" xfId="237"/>
    <cellStyle name="고정출력1 2" xfId="677"/>
    <cellStyle name="고정출력1 3" xfId="20719"/>
    <cellStyle name="고정출력1_분양(100%)" xfId="38966"/>
    <cellStyle name="고정출력2" xfId="238"/>
    <cellStyle name="고정출력2 2" xfId="678"/>
    <cellStyle name="고정출력2 3" xfId="20720"/>
    <cellStyle name="고정출력2_분양(100%)" xfId="38967"/>
    <cellStyle name="공사원가계산서(조경)" xfId="20721"/>
    <cellStyle name="공종" xfId="20722"/>
    <cellStyle name="괄호금액" xfId="20723"/>
    <cellStyle name="괘선" xfId="20724"/>
    <cellStyle name="괘선1" xfId="20725"/>
    <cellStyle name="咬訌裝?INCOM1" xfId="20726"/>
    <cellStyle name="咬訌裝?INCOM10" xfId="20727"/>
    <cellStyle name="咬訌裝?INCOM2" xfId="20728"/>
    <cellStyle name="咬訌裝?INCOM3" xfId="20729"/>
    <cellStyle name="咬訌裝?INCOM4" xfId="20730"/>
    <cellStyle name="咬訌裝?INCOM5" xfId="20731"/>
    <cellStyle name="咬訌裝?INCOM6" xfId="20732"/>
    <cellStyle name="咬訌裝?INCOM7" xfId="20733"/>
    <cellStyle name="咬訌裝?INCOM8" xfId="20734"/>
    <cellStyle name="咬訌裝?INCOM9" xfId="20735"/>
    <cellStyle name="咬訌裝?PRIB11" xfId="20736"/>
    <cellStyle name="咬訌裝?report-2 " xfId="20737"/>
    <cellStyle name="굴림10" xfId="20738"/>
    <cellStyle name="궩" xfId="20739"/>
    <cellStyle name="궩_분양(100%)" xfId="38968"/>
    <cellStyle name="글꼴" xfId="4354"/>
    <cellStyle name="금액" xfId="239"/>
    <cellStyle name="금액 10" xfId="20740"/>
    <cellStyle name="금액 10 10" xfId="20741"/>
    <cellStyle name="금액 10 11" xfId="20742"/>
    <cellStyle name="금액 10 12" xfId="20743"/>
    <cellStyle name="금액 10 13" xfId="20744"/>
    <cellStyle name="금액 10 14" xfId="20745"/>
    <cellStyle name="금액 10 15" xfId="20746"/>
    <cellStyle name="금액 10 16" xfId="20747"/>
    <cellStyle name="금액 10 17" xfId="20748"/>
    <cellStyle name="금액 10 18" xfId="20749"/>
    <cellStyle name="금액 10 19" xfId="20750"/>
    <cellStyle name="금액 10 2" xfId="20751"/>
    <cellStyle name="금액 10 20" xfId="20752"/>
    <cellStyle name="금액 10 21" xfId="20753"/>
    <cellStyle name="금액 10 22" xfId="20754"/>
    <cellStyle name="금액 10 23" xfId="20755"/>
    <cellStyle name="금액 10 24" xfId="20756"/>
    <cellStyle name="금액 10 25" xfId="20757"/>
    <cellStyle name="금액 10 26" xfId="20758"/>
    <cellStyle name="금액 10 27" xfId="20759"/>
    <cellStyle name="금액 10 28" xfId="20760"/>
    <cellStyle name="금액 10 29" xfId="20761"/>
    <cellStyle name="금액 10 3" xfId="20762"/>
    <cellStyle name="금액 10 30" xfId="20763"/>
    <cellStyle name="금액 10 31" xfId="20764"/>
    <cellStyle name="금액 10 32" xfId="20765"/>
    <cellStyle name="금액 10 33" xfId="20766"/>
    <cellStyle name="금액 10 34" xfId="20767"/>
    <cellStyle name="금액 10 35" xfId="20768"/>
    <cellStyle name="금액 10 36" xfId="20769"/>
    <cellStyle name="금액 10 37" xfId="20770"/>
    <cellStyle name="금액 10 38" xfId="20771"/>
    <cellStyle name="금액 10 39" xfId="20772"/>
    <cellStyle name="금액 10 4" xfId="20773"/>
    <cellStyle name="금액 10 40" xfId="20774"/>
    <cellStyle name="금액 10 41" xfId="20775"/>
    <cellStyle name="금액 10 42" xfId="20776"/>
    <cellStyle name="금액 10 43" xfId="20777"/>
    <cellStyle name="금액 10 44" xfId="20778"/>
    <cellStyle name="금액 10 45" xfId="20779"/>
    <cellStyle name="금액 10 46" xfId="20780"/>
    <cellStyle name="금액 10 47" xfId="20781"/>
    <cellStyle name="금액 10 48" xfId="20782"/>
    <cellStyle name="금액 10 5" xfId="20783"/>
    <cellStyle name="금액 10 6" xfId="20784"/>
    <cellStyle name="금액 10 7" xfId="20785"/>
    <cellStyle name="금액 10 8" xfId="20786"/>
    <cellStyle name="금액 10 9" xfId="20787"/>
    <cellStyle name="금액 10_분양(100%)" xfId="38970"/>
    <cellStyle name="금액 11" xfId="20788"/>
    <cellStyle name="금액 11 10" xfId="20789"/>
    <cellStyle name="금액 11 11" xfId="20790"/>
    <cellStyle name="금액 11 12" xfId="20791"/>
    <cellStyle name="금액 11 13" xfId="20792"/>
    <cellStyle name="금액 11 14" xfId="20793"/>
    <cellStyle name="금액 11 15" xfId="20794"/>
    <cellStyle name="금액 11 16" xfId="20795"/>
    <cellStyle name="금액 11 17" xfId="20796"/>
    <cellStyle name="금액 11 18" xfId="20797"/>
    <cellStyle name="금액 11 19" xfId="20798"/>
    <cellStyle name="금액 11 2" xfId="20799"/>
    <cellStyle name="금액 11 20" xfId="20800"/>
    <cellStyle name="금액 11 21" xfId="20801"/>
    <cellStyle name="금액 11 22" xfId="20802"/>
    <cellStyle name="금액 11 23" xfId="20803"/>
    <cellStyle name="금액 11 24" xfId="20804"/>
    <cellStyle name="금액 11 25" xfId="20805"/>
    <cellStyle name="금액 11 26" xfId="20806"/>
    <cellStyle name="금액 11 27" xfId="20807"/>
    <cellStyle name="금액 11 28" xfId="20808"/>
    <cellStyle name="금액 11 29" xfId="20809"/>
    <cellStyle name="금액 11 3" xfId="20810"/>
    <cellStyle name="금액 11 30" xfId="20811"/>
    <cellStyle name="금액 11 31" xfId="20812"/>
    <cellStyle name="금액 11 32" xfId="20813"/>
    <cellStyle name="금액 11 33" xfId="20814"/>
    <cellStyle name="금액 11 34" xfId="20815"/>
    <cellStyle name="금액 11 35" xfId="20816"/>
    <cellStyle name="금액 11 36" xfId="20817"/>
    <cellStyle name="금액 11 37" xfId="20818"/>
    <cellStyle name="금액 11 38" xfId="20819"/>
    <cellStyle name="금액 11 39" xfId="20820"/>
    <cellStyle name="금액 11 4" xfId="20821"/>
    <cellStyle name="금액 11 40" xfId="20822"/>
    <cellStyle name="금액 11 41" xfId="20823"/>
    <cellStyle name="금액 11 42" xfId="20824"/>
    <cellStyle name="금액 11 43" xfId="20825"/>
    <cellStyle name="금액 11 44" xfId="20826"/>
    <cellStyle name="금액 11 45" xfId="20827"/>
    <cellStyle name="금액 11 46" xfId="20828"/>
    <cellStyle name="금액 11 47" xfId="20829"/>
    <cellStyle name="금액 11 48" xfId="20830"/>
    <cellStyle name="금액 11 5" xfId="20831"/>
    <cellStyle name="금액 11 6" xfId="20832"/>
    <cellStyle name="금액 11 7" xfId="20833"/>
    <cellStyle name="금액 11 8" xfId="20834"/>
    <cellStyle name="금액 11 9" xfId="20835"/>
    <cellStyle name="금액 11_분양(100%)" xfId="38971"/>
    <cellStyle name="금액 12" xfId="20836"/>
    <cellStyle name="금액 12 10" xfId="20837"/>
    <cellStyle name="금액 12 11" xfId="20838"/>
    <cellStyle name="금액 12 12" xfId="20839"/>
    <cellStyle name="금액 12 13" xfId="20840"/>
    <cellStyle name="금액 12 14" xfId="20841"/>
    <cellStyle name="금액 12 15" xfId="20842"/>
    <cellStyle name="금액 12 16" xfId="20843"/>
    <cellStyle name="금액 12 17" xfId="20844"/>
    <cellStyle name="금액 12 18" xfId="20845"/>
    <cellStyle name="금액 12 19" xfId="20846"/>
    <cellStyle name="금액 12 2" xfId="20847"/>
    <cellStyle name="금액 12 20" xfId="20848"/>
    <cellStyle name="금액 12 21" xfId="20849"/>
    <cellStyle name="금액 12 22" xfId="20850"/>
    <cellStyle name="금액 12 23" xfId="20851"/>
    <cellStyle name="금액 12 24" xfId="20852"/>
    <cellStyle name="금액 12 25" xfId="20853"/>
    <cellStyle name="금액 12 26" xfId="20854"/>
    <cellStyle name="금액 12 27" xfId="20855"/>
    <cellStyle name="금액 12 28" xfId="20856"/>
    <cellStyle name="금액 12 29" xfId="20857"/>
    <cellStyle name="금액 12 3" xfId="20858"/>
    <cellStyle name="금액 12 30" xfId="20859"/>
    <cellStyle name="금액 12 31" xfId="20860"/>
    <cellStyle name="금액 12 32" xfId="20861"/>
    <cellStyle name="금액 12 33" xfId="20862"/>
    <cellStyle name="금액 12 34" xfId="20863"/>
    <cellStyle name="금액 12 35" xfId="20864"/>
    <cellStyle name="금액 12 36" xfId="20865"/>
    <cellStyle name="금액 12 37" xfId="20866"/>
    <cellStyle name="금액 12 38" xfId="20867"/>
    <cellStyle name="금액 12 39" xfId="20868"/>
    <cellStyle name="금액 12 4" xfId="20869"/>
    <cellStyle name="금액 12 40" xfId="20870"/>
    <cellStyle name="금액 12 41" xfId="20871"/>
    <cellStyle name="금액 12 42" xfId="20872"/>
    <cellStyle name="금액 12 43" xfId="20873"/>
    <cellStyle name="금액 12 44" xfId="20874"/>
    <cellStyle name="금액 12 45" xfId="20875"/>
    <cellStyle name="금액 12 46" xfId="20876"/>
    <cellStyle name="금액 12 47" xfId="20877"/>
    <cellStyle name="금액 12 48" xfId="20878"/>
    <cellStyle name="금액 12 5" xfId="20879"/>
    <cellStyle name="금액 12 6" xfId="20880"/>
    <cellStyle name="금액 12 7" xfId="20881"/>
    <cellStyle name="금액 12 8" xfId="20882"/>
    <cellStyle name="금액 12 9" xfId="20883"/>
    <cellStyle name="금액 12_분양(100%)" xfId="38972"/>
    <cellStyle name="금액 13" xfId="20884"/>
    <cellStyle name="금액 13 10" xfId="20885"/>
    <cellStyle name="금액 13 11" xfId="20886"/>
    <cellStyle name="금액 13 12" xfId="20887"/>
    <cellStyle name="금액 13 13" xfId="20888"/>
    <cellStyle name="금액 13 14" xfId="20889"/>
    <cellStyle name="금액 13 15" xfId="20890"/>
    <cellStyle name="금액 13 16" xfId="20891"/>
    <cellStyle name="금액 13 17" xfId="20892"/>
    <cellStyle name="금액 13 18" xfId="20893"/>
    <cellStyle name="금액 13 19" xfId="20894"/>
    <cellStyle name="금액 13 2" xfId="20895"/>
    <cellStyle name="금액 13 20" xfId="20896"/>
    <cellStyle name="금액 13 21" xfId="20897"/>
    <cellStyle name="금액 13 22" xfId="20898"/>
    <cellStyle name="금액 13 23" xfId="20899"/>
    <cellStyle name="금액 13 24" xfId="20900"/>
    <cellStyle name="금액 13 25" xfId="20901"/>
    <cellStyle name="금액 13 26" xfId="20902"/>
    <cellStyle name="금액 13 27" xfId="20903"/>
    <cellStyle name="금액 13 28" xfId="20904"/>
    <cellStyle name="금액 13 29" xfId="20905"/>
    <cellStyle name="금액 13 3" xfId="20906"/>
    <cellStyle name="금액 13 30" xfId="20907"/>
    <cellStyle name="금액 13 31" xfId="20908"/>
    <cellStyle name="금액 13 32" xfId="20909"/>
    <cellStyle name="금액 13 33" xfId="20910"/>
    <cellStyle name="금액 13 34" xfId="20911"/>
    <cellStyle name="금액 13 35" xfId="20912"/>
    <cellStyle name="금액 13 36" xfId="20913"/>
    <cellStyle name="금액 13 37" xfId="20914"/>
    <cellStyle name="금액 13 38" xfId="20915"/>
    <cellStyle name="금액 13 39" xfId="20916"/>
    <cellStyle name="금액 13 4" xfId="20917"/>
    <cellStyle name="금액 13 40" xfId="20918"/>
    <cellStyle name="금액 13 41" xfId="20919"/>
    <cellStyle name="금액 13 42" xfId="20920"/>
    <cellStyle name="금액 13 43" xfId="20921"/>
    <cellStyle name="금액 13 44" xfId="20922"/>
    <cellStyle name="금액 13 45" xfId="20923"/>
    <cellStyle name="금액 13 46" xfId="20924"/>
    <cellStyle name="금액 13 47" xfId="20925"/>
    <cellStyle name="금액 13 48" xfId="20926"/>
    <cellStyle name="금액 13 5" xfId="20927"/>
    <cellStyle name="금액 13 6" xfId="20928"/>
    <cellStyle name="금액 13 7" xfId="20929"/>
    <cellStyle name="금액 13 8" xfId="20930"/>
    <cellStyle name="금액 13 9" xfId="20931"/>
    <cellStyle name="금액 13_분양(100%)" xfId="38973"/>
    <cellStyle name="금액 14" xfId="20932"/>
    <cellStyle name="금액 14 10" xfId="20933"/>
    <cellStyle name="금액 14 11" xfId="20934"/>
    <cellStyle name="금액 14 12" xfId="20935"/>
    <cellStyle name="금액 14 13" xfId="20936"/>
    <cellStyle name="금액 14 14" xfId="20937"/>
    <cellStyle name="금액 14 15" xfId="20938"/>
    <cellStyle name="금액 14 16" xfId="20939"/>
    <cellStyle name="금액 14 17" xfId="20940"/>
    <cellStyle name="금액 14 18" xfId="20941"/>
    <cellStyle name="금액 14 19" xfId="20942"/>
    <cellStyle name="금액 14 2" xfId="20943"/>
    <cellStyle name="금액 14 20" xfId="20944"/>
    <cellStyle name="금액 14 21" xfId="20945"/>
    <cellStyle name="금액 14 22" xfId="20946"/>
    <cellStyle name="금액 14 23" xfId="20947"/>
    <cellStyle name="금액 14 24" xfId="20948"/>
    <cellStyle name="금액 14 25" xfId="20949"/>
    <cellStyle name="금액 14 26" xfId="20950"/>
    <cellStyle name="금액 14 27" xfId="20951"/>
    <cellStyle name="금액 14 28" xfId="20952"/>
    <cellStyle name="금액 14 29" xfId="20953"/>
    <cellStyle name="금액 14 3" xfId="20954"/>
    <cellStyle name="금액 14 30" xfId="20955"/>
    <cellStyle name="금액 14 31" xfId="20956"/>
    <cellStyle name="금액 14 32" xfId="20957"/>
    <cellStyle name="금액 14 33" xfId="20958"/>
    <cellStyle name="금액 14 34" xfId="20959"/>
    <cellStyle name="금액 14 35" xfId="20960"/>
    <cellStyle name="금액 14 36" xfId="20961"/>
    <cellStyle name="금액 14 37" xfId="20962"/>
    <cellStyle name="금액 14 38" xfId="20963"/>
    <cellStyle name="금액 14 39" xfId="20964"/>
    <cellStyle name="금액 14 4" xfId="20965"/>
    <cellStyle name="금액 14 40" xfId="20966"/>
    <cellStyle name="금액 14 41" xfId="20967"/>
    <cellStyle name="금액 14 42" xfId="20968"/>
    <cellStyle name="금액 14 43" xfId="20969"/>
    <cellStyle name="금액 14 44" xfId="20970"/>
    <cellStyle name="금액 14 45" xfId="20971"/>
    <cellStyle name="금액 14 46" xfId="20972"/>
    <cellStyle name="금액 14 47" xfId="20973"/>
    <cellStyle name="금액 14 48" xfId="20974"/>
    <cellStyle name="금액 14 5" xfId="20975"/>
    <cellStyle name="금액 14 6" xfId="20976"/>
    <cellStyle name="금액 14 7" xfId="20977"/>
    <cellStyle name="금액 14 8" xfId="20978"/>
    <cellStyle name="금액 14 9" xfId="20979"/>
    <cellStyle name="금액 14_분양(100%)" xfId="38974"/>
    <cellStyle name="금액 15" xfId="20980"/>
    <cellStyle name="금액 15 10" xfId="20981"/>
    <cellStyle name="금액 15 11" xfId="20982"/>
    <cellStyle name="금액 15 12" xfId="20983"/>
    <cellStyle name="금액 15 13" xfId="20984"/>
    <cellStyle name="금액 15 14" xfId="20985"/>
    <cellStyle name="금액 15 15" xfId="20986"/>
    <cellStyle name="금액 15 16" xfId="20987"/>
    <cellStyle name="금액 15 17" xfId="20988"/>
    <cellStyle name="금액 15 18" xfId="20989"/>
    <cellStyle name="금액 15 19" xfId="20990"/>
    <cellStyle name="금액 15 2" xfId="20991"/>
    <cellStyle name="금액 15 20" xfId="20992"/>
    <cellStyle name="금액 15 21" xfId="20993"/>
    <cellStyle name="금액 15 22" xfId="20994"/>
    <cellStyle name="금액 15 23" xfId="20995"/>
    <cellStyle name="금액 15 24" xfId="20996"/>
    <cellStyle name="금액 15 25" xfId="20997"/>
    <cellStyle name="금액 15 26" xfId="20998"/>
    <cellStyle name="금액 15 27" xfId="20999"/>
    <cellStyle name="금액 15 28" xfId="21000"/>
    <cellStyle name="금액 15 29" xfId="21001"/>
    <cellStyle name="금액 15 3" xfId="21002"/>
    <cellStyle name="금액 15 30" xfId="21003"/>
    <cellStyle name="금액 15 31" xfId="21004"/>
    <cellStyle name="금액 15 32" xfId="21005"/>
    <cellStyle name="금액 15 33" xfId="21006"/>
    <cellStyle name="금액 15 34" xfId="21007"/>
    <cellStyle name="금액 15 35" xfId="21008"/>
    <cellStyle name="금액 15 36" xfId="21009"/>
    <cellStyle name="금액 15 37" xfId="21010"/>
    <cellStyle name="금액 15 38" xfId="21011"/>
    <cellStyle name="금액 15 39" xfId="21012"/>
    <cellStyle name="금액 15 4" xfId="21013"/>
    <cellStyle name="금액 15 40" xfId="21014"/>
    <cellStyle name="금액 15 41" xfId="21015"/>
    <cellStyle name="금액 15 42" xfId="21016"/>
    <cellStyle name="금액 15 43" xfId="21017"/>
    <cellStyle name="금액 15 44" xfId="21018"/>
    <cellStyle name="금액 15 45" xfId="21019"/>
    <cellStyle name="금액 15 46" xfId="21020"/>
    <cellStyle name="금액 15 47" xfId="21021"/>
    <cellStyle name="금액 15 48" xfId="21022"/>
    <cellStyle name="금액 15 5" xfId="21023"/>
    <cellStyle name="금액 15 6" xfId="21024"/>
    <cellStyle name="금액 15 7" xfId="21025"/>
    <cellStyle name="금액 15 8" xfId="21026"/>
    <cellStyle name="금액 15 9" xfId="21027"/>
    <cellStyle name="금액 15_분양(100%)" xfId="38975"/>
    <cellStyle name="금액 16" xfId="21028"/>
    <cellStyle name="금액 16 10" xfId="21029"/>
    <cellStyle name="금액 16 11" xfId="21030"/>
    <cellStyle name="금액 16 12" xfId="21031"/>
    <cellStyle name="금액 16 13" xfId="21032"/>
    <cellStyle name="금액 16 14" xfId="21033"/>
    <cellStyle name="금액 16 15" xfId="21034"/>
    <cellStyle name="금액 16 16" xfId="21035"/>
    <cellStyle name="금액 16 17" xfId="21036"/>
    <cellStyle name="금액 16 18" xfId="21037"/>
    <cellStyle name="금액 16 19" xfId="21038"/>
    <cellStyle name="금액 16 2" xfId="21039"/>
    <cellStyle name="금액 16 20" xfId="21040"/>
    <cellStyle name="금액 16 21" xfId="21041"/>
    <cellStyle name="금액 16 22" xfId="21042"/>
    <cellStyle name="금액 16 23" xfId="21043"/>
    <cellStyle name="금액 16 24" xfId="21044"/>
    <cellStyle name="금액 16 25" xfId="21045"/>
    <cellStyle name="금액 16 26" xfId="21046"/>
    <cellStyle name="금액 16 27" xfId="21047"/>
    <cellStyle name="금액 16 28" xfId="21048"/>
    <cellStyle name="금액 16 29" xfId="21049"/>
    <cellStyle name="금액 16 3" xfId="21050"/>
    <cellStyle name="금액 16 30" xfId="21051"/>
    <cellStyle name="금액 16 31" xfId="21052"/>
    <cellStyle name="금액 16 32" xfId="21053"/>
    <cellStyle name="금액 16 33" xfId="21054"/>
    <cellStyle name="금액 16 34" xfId="21055"/>
    <cellStyle name="금액 16 35" xfId="21056"/>
    <cellStyle name="금액 16 36" xfId="21057"/>
    <cellStyle name="금액 16 37" xfId="21058"/>
    <cellStyle name="금액 16 38" xfId="21059"/>
    <cellStyle name="금액 16 39" xfId="21060"/>
    <cellStyle name="금액 16 4" xfId="21061"/>
    <cellStyle name="금액 16 40" xfId="21062"/>
    <cellStyle name="금액 16 41" xfId="21063"/>
    <cellStyle name="금액 16 42" xfId="21064"/>
    <cellStyle name="금액 16 43" xfId="21065"/>
    <cellStyle name="금액 16 44" xfId="21066"/>
    <cellStyle name="금액 16 45" xfId="21067"/>
    <cellStyle name="금액 16 46" xfId="21068"/>
    <cellStyle name="금액 16 47" xfId="21069"/>
    <cellStyle name="금액 16 48" xfId="21070"/>
    <cellStyle name="금액 16 5" xfId="21071"/>
    <cellStyle name="금액 16 6" xfId="21072"/>
    <cellStyle name="금액 16 7" xfId="21073"/>
    <cellStyle name="금액 16 8" xfId="21074"/>
    <cellStyle name="금액 16 9" xfId="21075"/>
    <cellStyle name="금액 16_분양(100%)" xfId="38976"/>
    <cellStyle name="금액 17" xfId="21076"/>
    <cellStyle name="금액 17 10" xfId="21077"/>
    <cellStyle name="금액 17 11" xfId="21078"/>
    <cellStyle name="금액 17 12" xfId="21079"/>
    <cellStyle name="금액 17 13" xfId="21080"/>
    <cellStyle name="금액 17 14" xfId="21081"/>
    <cellStyle name="금액 17 15" xfId="21082"/>
    <cellStyle name="금액 17 16" xfId="21083"/>
    <cellStyle name="금액 17 17" xfId="21084"/>
    <cellStyle name="금액 17 18" xfId="21085"/>
    <cellStyle name="금액 17 19" xfId="21086"/>
    <cellStyle name="금액 17 2" xfId="21087"/>
    <cellStyle name="금액 17 20" xfId="21088"/>
    <cellStyle name="금액 17 21" xfId="21089"/>
    <cellStyle name="금액 17 22" xfId="21090"/>
    <cellStyle name="금액 17 23" xfId="21091"/>
    <cellStyle name="금액 17 24" xfId="21092"/>
    <cellStyle name="금액 17 25" xfId="21093"/>
    <cellStyle name="금액 17 26" xfId="21094"/>
    <cellStyle name="금액 17 27" xfId="21095"/>
    <cellStyle name="금액 17 28" xfId="21096"/>
    <cellStyle name="금액 17 29" xfId="21097"/>
    <cellStyle name="금액 17 3" xfId="21098"/>
    <cellStyle name="금액 17 30" xfId="21099"/>
    <cellStyle name="금액 17 31" xfId="21100"/>
    <cellStyle name="금액 17 32" xfId="21101"/>
    <cellStyle name="금액 17 33" xfId="21102"/>
    <cellStyle name="금액 17 34" xfId="21103"/>
    <cellStyle name="금액 17 35" xfId="21104"/>
    <cellStyle name="금액 17 36" xfId="21105"/>
    <cellStyle name="금액 17 37" xfId="21106"/>
    <cellStyle name="금액 17 38" xfId="21107"/>
    <cellStyle name="금액 17 39" xfId="21108"/>
    <cellStyle name="금액 17 4" xfId="21109"/>
    <cellStyle name="금액 17 40" xfId="21110"/>
    <cellStyle name="금액 17 41" xfId="21111"/>
    <cellStyle name="금액 17 42" xfId="21112"/>
    <cellStyle name="금액 17 43" xfId="21113"/>
    <cellStyle name="금액 17 44" xfId="21114"/>
    <cellStyle name="금액 17 45" xfId="21115"/>
    <cellStyle name="금액 17 46" xfId="21116"/>
    <cellStyle name="금액 17 47" xfId="21117"/>
    <cellStyle name="금액 17 48" xfId="21118"/>
    <cellStyle name="금액 17 5" xfId="21119"/>
    <cellStyle name="금액 17 6" xfId="21120"/>
    <cellStyle name="금액 17 7" xfId="21121"/>
    <cellStyle name="금액 17 8" xfId="21122"/>
    <cellStyle name="금액 17 9" xfId="21123"/>
    <cellStyle name="금액 17_분양(100%)" xfId="38977"/>
    <cellStyle name="금액 18" xfId="21124"/>
    <cellStyle name="금액 18 10" xfId="21125"/>
    <cellStyle name="금액 18 11" xfId="21126"/>
    <cellStyle name="금액 18 12" xfId="21127"/>
    <cellStyle name="금액 18 13" xfId="21128"/>
    <cellStyle name="금액 18 14" xfId="21129"/>
    <cellStyle name="금액 18 15" xfId="21130"/>
    <cellStyle name="금액 18 16" xfId="21131"/>
    <cellStyle name="금액 18 17" xfId="21132"/>
    <cellStyle name="금액 18 18" xfId="21133"/>
    <cellStyle name="금액 18 19" xfId="21134"/>
    <cellStyle name="금액 18 2" xfId="21135"/>
    <cellStyle name="금액 18 20" xfId="21136"/>
    <cellStyle name="금액 18 21" xfId="21137"/>
    <cellStyle name="금액 18 22" xfId="21138"/>
    <cellStyle name="금액 18 23" xfId="21139"/>
    <cellStyle name="금액 18 24" xfId="21140"/>
    <cellStyle name="금액 18 25" xfId="21141"/>
    <cellStyle name="금액 18 26" xfId="21142"/>
    <cellStyle name="금액 18 27" xfId="21143"/>
    <cellStyle name="금액 18 28" xfId="21144"/>
    <cellStyle name="금액 18 29" xfId="21145"/>
    <cellStyle name="금액 18 3" xfId="21146"/>
    <cellStyle name="금액 18 30" xfId="21147"/>
    <cellStyle name="금액 18 31" xfId="21148"/>
    <cellStyle name="금액 18 32" xfId="21149"/>
    <cellStyle name="금액 18 33" xfId="21150"/>
    <cellStyle name="금액 18 34" xfId="21151"/>
    <cellStyle name="금액 18 35" xfId="21152"/>
    <cellStyle name="금액 18 36" xfId="21153"/>
    <cellStyle name="금액 18 37" xfId="21154"/>
    <cellStyle name="금액 18 38" xfId="21155"/>
    <cellStyle name="금액 18 39" xfId="21156"/>
    <cellStyle name="금액 18 4" xfId="21157"/>
    <cellStyle name="금액 18 40" xfId="21158"/>
    <cellStyle name="금액 18 41" xfId="21159"/>
    <cellStyle name="금액 18 42" xfId="21160"/>
    <cellStyle name="금액 18 43" xfId="21161"/>
    <cellStyle name="금액 18 44" xfId="21162"/>
    <cellStyle name="금액 18 45" xfId="21163"/>
    <cellStyle name="금액 18 46" xfId="21164"/>
    <cellStyle name="금액 18 47" xfId="21165"/>
    <cellStyle name="금액 18 48" xfId="21166"/>
    <cellStyle name="금액 18 5" xfId="21167"/>
    <cellStyle name="금액 18 6" xfId="21168"/>
    <cellStyle name="금액 18 7" xfId="21169"/>
    <cellStyle name="금액 18 8" xfId="21170"/>
    <cellStyle name="금액 18 9" xfId="21171"/>
    <cellStyle name="금액 18_분양(100%)" xfId="38978"/>
    <cellStyle name="금액 19" xfId="21172"/>
    <cellStyle name="금액 19 10" xfId="21173"/>
    <cellStyle name="금액 19 11" xfId="21174"/>
    <cellStyle name="금액 19 12" xfId="21175"/>
    <cellStyle name="금액 19 13" xfId="21176"/>
    <cellStyle name="금액 19 14" xfId="21177"/>
    <cellStyle name="금액 19 15" xfId="21178"/>
    <cellStyle name="금액 19 16" xfId="21179"/>
    <cellStyle name="금액 19 17" xfId="21180"/>
    <cellStyle name="금액 19 18" xfId="21181"/>
    <cellStyle name="금액 19 19" xfId="21182"/>
    <cellStyle name="금액 19 2" xfId="21183"/>
    <cellStyle name="금액 19 20" xfId="21184"/>
    <cellStyle name="금액 19 21" xfId="21185"/>
    <cellStyle name="금액 19 22" xfId="21186"/>
    <cellStyle name="금액 19 23" xfId="21187"/>
    <cellStyle name="금액 19 24" xfId="21188"/>
    <cellStyle name="금액 19 25" xfId="21189"/>
    <cellStyle name="금액 19 26" xfId="21190"/>
    <cellStyle name="금액 19 27" xfId="21191"/>
    <cellStyle name="금액 19 28" xfId="21192"/>
    <cellStyle name="금액 19 29" xfId="21193"/>
    <cellStyle name="금액 19 3" xfId="21194"/>
    <cellStyle name="금액 19 30" xfId="21195"/>
    <cellStyle name="금액 19 31" xfId="21196"/>
    <cellStyle name="금액 19 32" xfId="21197"/>
    <cellStyle name="금액 19 33" xfId="21198"/>
    <cellStyle name="금액 19 34" xfId="21199"/>
    <cellStyle name="금액 19 35" xfId="21200"/>
    <cellStyle name="금액 19 36" xfId="21201"/>
    <cellStyle name="금액 19 37" xfId="21202"/>
    <cellStyle name="금액 19 38" xfId="21203"/>
    <cellStyle name="금액 19 39" xfId="21204"/>
    <cellStyle name="금액 19 4" xfId="21205"/>
    <cellStyle name="금액 19 40" xfId="21206"/>
    <cellStyle name="금액 19 41" xfId="21207"/>
    <cellStyle name="금액 19 42" xfId="21208"/>
    <cellStyle name="금액 19 43" xfId="21209"/>
    <cellStyle name="금액 19 44" xfId="21210"/>
    <cellStyle name="금액 19 45" xfId="21211"/>
    <cellStyle name="금액 19 46" xfId="21212"/>
    <cellStyle name="금액 19 47" xfId="21213"/>
    <cellStyle name="금액 19 48" xfId="21214"/>
    <cellStyle name="금액 19 5" xfId="21215"/>
    <cellStyle name="금액 19 6" xfId="21216"/>
    <cellStyle name="금액 19 7" xfId="21217"/>
    <cellStyle name="금액 19 8" xfId="21218"/>
    <cellStyle name="금액 19 9" xfId="21219"/>
    <cellStyle name="금액 19_분양(100%)" xfId="38979"/>
    <cellStyle name="금액 2" xfId="561"/>
    <cellStyle name="금액 2 10" xfId="21220"/>
    <cellStyle name="금액 2 11" xfId="21221"/>
    <cellStyle name="금액 2 12" xfId="21222"/>
    <cellStyle name="금액 2 13" xfId="21223"/>
    <cellStyle name="금액 2 14" xfId="21224"/>
    <cellStyle name="금액 2 15" xfId="21225"/>
    <cellStyle name="금액 2 16" xfId="21226"/>
    <cellStyle name="금액 2 17" xfId="21227"/>
    <cellStyle name="금액 2 18" xfId="21228"/>
    <cellStyle name="금액 2 19" xfId="21229"/>
    <cellStyle name="금액 2 2" xfId="3159"/>
    <cellStyle name="금액 2 2 2" xfId="3798"/>
    <cellStyle name="금액 2 2 2 2" xfId="4867"/>
    <cellStyle name="금액 2 2 2 3" xfId="5221"/>
    <cellStyle name="금액 2 2 3" xfId="3799"/>
    <cellStyle name="금액 2 2 3 2" xfId="4868"/>
    <cellStyle name="금액 2 2 3 3" xfId="5222"/>
    <cellStyle name="금액 2 2 4" xfId="3800"/>
    <cellStyle name="금액 2 2 4 2" xfId="4869"/>
    <cellStyle name="금액 2 2 4 3" xfId="5223"/>
    <cellStyle name="금액 2 2 5" xfId="4574"/>
    <cellStyle name="금액 2 2 6" xfId="4476"/>
    <cellStyle name="금액 2 2_분양(100%)" xfId="38981"/>
    <cellStyle name="금액 2 20" xfId="21230"/>
    <cellStyle name="금액 2 21" xfId="21231"/>
    <cellStyle name="금액 2 22" xfId="21232"/>
    <cellStyle name="금액 2 23" xfId="21233"/>
    <cellStyle name="금액 2 24" xfId="21234"/>
    <cellStyle name="금액 2 25" xfId="21235"/>
    <cellStyle name="금액 2 26" xfId="21236"/>
    <cellStyle name="금액 2 27" xfId="21237"/>
    <cellStyle name="금액 2 28" xfId="21238"/>
    <cellStyle name="금액 2 29" xfId="21239"/>
    <cellStyle name="금액 2 3" xfId="3801"/>
    <cellStyle name="금액 2 3 2" xfId="4870"/>
    <cellStyle name="금액 2 3 3" xfId="5224"/>
    <cellStyle name="금액 2 3_분양(100%)" xfId="38982"/>
    <cellStyle name="금액 2 30" xfId="21240"/>
    <cellStyle name="금액 2 31" xfId="21241"/>
    <cellStyle name="금액 2 32" xfId="21242"/>
    <cellStyle name="금액 2 33" xfId="21243"/>
    <cellStyle name="금액 2 34" xfId="21244"/>
    <cellStyle name="금액 2 35" xfId="21245"/>
    <cellStyle name="금액 2 36" xfId="21246"/>
    <cellStyle name="금액 2 37" xfId="21247"/>
    <cellStyle name="금액 2 38" xfId="21248"/>
    <cellStyle name="금액 2 39" xfId="21249"/>
    <cellStyle name="금액 2 4" xfId="3802"/>
    <cellStyle name="금액 2 4 2" xfId="4871"/>
    <cellStyle name="금액 2 4 3" xfId="5225"/>
    <cellStyle name="금액 2 4_분양(100%)" xfId="38983"/>
    <cellStyle name="금액 2 40" xfId="21250"/>
    <cellStyle name="금액 2 41" xfId="21251"/>
    <cellStyle name="금액 2 42" xfId="21252"/>
    <cellStyle name="금액 2 43" xfId="21253"/>
    <cellStyle name="금액 2 44" xfId="21254"/>
    <cellStyle name="금액 2 45" xfId="21255"/>
    <cellStyle name="금액 2 5" xfId="3803"/>
    <cellStyle name="금액 2 5 2" xfId="4872"/>
    <cellStyle name="금액 2 5 3" xfId="5226"/>
    <cellStyle name="금액 2 5_분양(100%)" xfId="38984"/>
    <cellStyle name="금액 2 6" xfId="21256"/>
    <cellStyle name="금액 2 7" xfId="21257"/>
    <cellStyle name="금액 2 8" xfId="21258"/>
    <cellStyle name="금액 2 9" xfId="21259"/>
    <cellStyle name="금액 2_분양(100%)" xfId="38980"/>
    <cellStyle name="금액 20" xfId="21260"/>
    <cellStyle name="금액 20 10" xfId="21261"/>
    <cellStyle name="금액 20 11" xfId="21262"/>
    <cellStyle name="금액 20 12" xfId="21263"/>
    <cellStyle name="금액 20 13" xfId="21264"/>
    <cellStyle name="금액 20 14" xfId="21265"/>
    <cellStyle name="금액 20 15" xfId="21266"/>
    <cellStyle name="금액 20 16" xfId="21267"/>
    <cellStyle name="금액 20 17" xfId="21268"/>
    <cellStyle name="금액 20 18" xfId="21269"/>
    <cellStyle name="금액 20 19" xfId="21270"/>
    <cellStyle name="금액 20 2" xfId="21271"/>
    <cellStyle name="금액 20 20" xfId="21272"/>
    <cellStyle name="금액 20 21" xfId="21273"/>
    <cellStyle name="금액 20 22" xfId="21274"/>
    <cellStyle name="금액 20 23" xfId="21275"/>
    <cellStyle name="금액 20 24" xfId="21276"/>
    <cellStyle name="금액 20 25" xfId="21277"/>
    <cellStyle name="금액 20 26" xfId="21278"/>
    <cellStyle name="금액 20 27" xfId="21279"/>
    <cellStyle name="금액 20 28" xfId="21280"/>
    <cellStyle name="금액 20 29" xfId="21281"/>
    <cellStyle name="금액 20 3" xfId="21282"/>
    <cellStyle name="금액 20 30" xfId="21283"/>
    <cellStyle name="금액 20 31" xfId="21284"/>
    <cellStyle name="금액 20 32" xfId="21285"/>
    <cellStyle name="금액 20 33" xfId="21286"/>
    <cellStyle name="금액 20 34" xfId="21287"/>
    <cellStyle name="금액 20 35" xfId="21288"/>
    <cellStyle name="금액 20 36" xfId="21289"/>
    <cellStyle name="금액 20 37" xfId="21290"/>
    <cellStyle name="금액 20 38" xfId="21291"/>
    <cellStyle name="금액 20 39" xfId="21292"/>
    <cellStyle name="금액 20 4" xfId="21293"/>
    <cellStyle name="금액 20 40" xfId="21294"/>
    <cellStyle name="금액 20 41" xfId="21295"/>
    <cellStyle name="금액 20 42" xfId="21296"/>
    <cellStyle name="금액 20 43" xfId="21297"/>
    <cellStyle name="금액 20 44" xfId="21298"/>
    <cellStyle name="금액 20 45" xfId="21299"/>
    <cellStyle name="금액 20 46" xfId="21300"/>
    <cellStyle name="금액 20 47" xfId="21301"/>
    <cellStyle name="금액 20 48" xfId="21302"/>
    <cellStyle name="금액 20 5" xfId="21303"/>
    <cellStyle name="금액 20 6" xfId="21304"/>
    <cellStyle name="금액 20 7" xfId="21305"/>
    <cellStyle name="금액 20 8" xfId="21306"/>
    <cellStyle name="금액 20 9" xfId="21307"/>
    <cellStyle name="금액 20_분양(100%)" xfId="38985"/>
    <cellStyle name="금액 21" xfId="21308"/>
    <cellStyle name="금액 21 10" xfId="21309"/>
    <cellStyle name="금액 21 11" xfId="21310"/>
    <cellStyle name="금액 21 12" xfId="21311"/>
    <cellStyle name="금액 21 13" xfId="21312"/>
    <cellStyle name="금액 21 14" xfId="21313"/>
    <cellStyle name="금액 21 15" xfId="21314"/>
    <cellStyle name="금액 21 16" xfId="21315"/>
    <cellStyle name="금액 21 17" xfId="21316"/>
    <cellStyle name="금액 21 18" xfId="21317"/>
    <cellStyle name="금액 21 19" xfId="21318"/>
    <cellStyle name="금액 21 2" xfId="21319"/>
    <cellStyle name="금액 21 20" xfId="21320"/>
    <cellStyle name="금액 21 21" xfId="21321"/>
    <cellStyle name="금액 21 22" xfId="21322"/>
    <cellStyle name="금액 21 23" xfId="21323"/>
    <cellStyle name="금액 21 24" xfId="21324"/>
    <cellStyle name="금액 21 25" xfId="21325"/>
    <cellStyle name="금액 21 26" xfId="21326"/>
    <cellStyle name="금액 21 27" xfId="21327"/>
    <cellStyle name="금액 21 28" xfId="21328"/>
    <cellStyle name="금액 21 29" xfId="21329"/>
    <cellStyle name="금액 21 3" xfId="21330"/>
    <cellStyle name="금액 21 30" xfId="21331"/>
    <cellStyle name="금액 21 31" xfId="21332"/>
    <cellStyle name="금액 21 32" xfId="21333"/>
    <cellStyle name="금액 21 33" xfId="21334"/>
    <cellStyle name="금액 21 34" xfId="21335"/>
    <cellStyle name="금액 21 35" xfId="21336"/>
    <cellStyle name="금액 21 36" xfId="21337"/>
    <cellStyle name="금액 21 37" xfId="21338"/>
    <cellStyle name="금액 21 38" xfId="21339"/>
    <cellStyle name="금액 21 39" xfId="21340"/>
    <cellStyle name="금액 21 4" xfId="21341"/>
    <cellStyle name="금액 21 40" xfId="21342"/>
    <cellStyle name="금액 21 41" xfId="21343"/>
    <cellStyle name="금액 21 42" xfId="21344"/>
    <cellStyle name="금액 21 43" xfId="21345"/>
    <cellStyle name="금액 21 44" xfId="21346"/>
    <cellStyle name="금액 21 45" xfId="21347"/>
    <cellStyle name="금액 21 46" xfId="21348"/>
    <cellStyle name="금액 21 47" xfId="21349"/>
    <cellStyle name="금액 21 48" xfId="21350"/>
    <cellStyle name="금액 21 5" xfId="21351"/>
    <cellStyle name="금액 21 6" xfId="21352"/>
    <cellStyle name="금액 21 7" xfId="21353"/>
    <cellStyle name="금액 21 8" xfId="21354"/>
    <cellStyle name="금액 21 9" xfId="21355"/>
    <cellStyle name="금액 21_분양(100%)" xfId="38986"/>
    <cellStyle name="금액 22" xfId="21356"/>
    <cellStyle name="금액 22 10" xfId="21357"/>
    <cellStyle name="금액 22 11" xfId="21358"/>
    <cellStyle name="금액 22 12" xfId="21359"/>
    <cellStyle name="금액 22 13" xfId="21360"/>
    <cellStyle name="금액 22 14" xfId="21361"/>
    <cellStyle name="금액 22 15" xfId="21362"/>
    <cellStyle name="금액 22 16" xfId="21363"/>
    <cellStyle name="금액 22 17" xfId="21364"/>
    <cellStyle name="금액 22 18" xfId="21365"/>
    <cellStyle name="금액 22 19" xfId="21366"/>
    <cellStyle name="금액 22 2" xfId="21367"/>
    <cellStyle name="금액 22 20" xfId="21368"/>
    <cellStyle name="금액 22 21" xfId="21369"/>
    <cellStyle name="금액 22 22" xfId="21370"/>
    <cellStyle name="금액 22 23" xfId="21371"/>
    <cellStyle name="금액 22 24" xfId="21372"/>
    <cellStyle name="금액 22 25" xfId="21373"/>
    <cellStyle name="금액 22 26" xfId="21374"/>
    <cellStyle name="금액 22 27" xfId="21375"/>
    <cellStyle name="금액 22 28" xfId="21376"/>
    <cellStyle name="금액 22 29" xfId="21377"/>
    <cellStyle name="금액 22 3" xfId="21378"/>
    <cellStyle name="금액 22 30" xfId="21379"/>
    <cellStyle name="금액 22 31" xfId="21380"/>
    <cellStyle name="금액 22 32" xfId="21381"/>
    <cellStyle name="금액 22 33" xfId="21382"/>
    <cellStyle name="금액 22 34" xfId="21383"/>
    <cellStyle name="금액 22 35" xfId="21384"/>
    <cellStyle name="금액 22 36" xfId="21385"/>
    <cellStyle name="금액 22 37" xfId="21386"/>
    <cellStyle name="금액 22 38" xfId="21387"/>
    <cellStyle name="금액 22 39" xfId="21388"/>
    <cellStyle name="금액 22 4" xfId="21389"/>
    <cellStyle name="금액 22 40" xfId="21390"/>
    <cellStyle name="금액 22 41" xfId="21391"/>
    <cellStyle name="금액 22 42" xfId="21392"/>
    <cellStyle name="금액 22 43" xfId="21393"/>
    <cellStyle name="금액 22 44" xfId="21394"/>
    <cellStyle name="금액 22 45" xfId="21395"/>
    <cellStyle name="금액 22 46" xfId="21396"/>
    <cellStyle name="금액 22 47" xfId="21397"/>
    <cellStyle name="금액 22 48" xfId="21398"/>
    <cellStyle name="금액 22 5" xfId="21399"/>
    <cellStyle name="금액 22 6" xfId="21400"/>
    <cellStyle name="금액 22 7" xfId="21401"/>
    <cellStyle name="금액 22 8" xfId="21402"/>
    <cellStyle name="금액 22 9" xfId="21403"/>
    <cellStyle name="금액 22_분양(100%)" xfId="38987"/>
    <cellStyle name="금액 23" xfId="21404"/>
    <cellStyle name="금액 23 10" xfId="21405"/>
    <cellStyle name="금액 23 11" xfId="21406"/>
    <cellStyle name="금액 23 12" xfId="21407"/>
    <cellStyle name="금액 23 13" xfId="21408"/>
    <cellStyle name="금액 23 14" xfId="21409"/>
    <cellStyle name="금액 23 15" xfId="21410"/>
    <cellStyle name="금액 23 16" xfId="21411"/>
    <cellStyle name="금액 23 17" xfId="21412"/>
    <cellStyle name="금액 23 18" xfId="21413"/>
    <cellStyle name="금액 23 19" xfId="21414"/>
    <cellStyle name="금액 23 2" xfId="21415"/>
    <cellStyle name="금액 23 20" xfId="21416"/>
    <cellStyle name="금액 23 21" xfId="21417"/>
    <cellStyle name="금액 23 22" xfId="21418"/>
    <cellStyle name="금액 23 23" xfId="21419"/>
    <cellStyle name="금액 23 24" xfId="21420"/>
    <cellStyle name="금액 23 25" xfId="21421"/>
    <cellStyle name="금액 23 26" xfId="21422"/>
    <cellStyle name="금액 23 27" xfId="21423"/>
    <cellStyle name="금액 23 28" xfId="21424"/>
    <cellStyle name="금액 23 29" xfId="21425"/>
    <cellStyle name="금액 23 3" xfId="21426"/>
    <cellStyle name="금액 23 30" xfId="21427"/>
    <cellStyle name="금액 23 31" xfId="21428"/>
    <cellStyle name="금액 23 32" xfId="21429"/>
    <cellStyle name="금액 23 33" xfId="21430"/>
    <cellStyle name="금액 23 34" xfId="21431"/>
    <cellStyle name="금액 23 35" xfId="21432"/>
    <cellStyle name="금액 23 36" xfId="21433"/>
    <cellStyle name="금액 23 37" xfId="21434"/>
    <cellStyle name="금액 23 38" xfId="21435"/>
    <cellStyle name="금액 23 39" xfId="21436"/>
    <cellStyle name="금액 23 4" xfId="21437"/>
    <cellStyle name="금액 23 40" xfId="21438"/>
    <cellStyle name="금액 23 41" xfId="21439"/>
    <cellStyle name="금액 23 42" xfId="21440"/>
    <cellStyle name="금액 23 43" xfId="21441"/>
    <cellStyle name="금액 23 44" xfId="21442"/>
    <cellStyle name="금액 23 45" xfId="21443"/>
    <cellStyle name="금액 23 46" xfId="21444"/>
    <cellStyle name="금액 23 47" xfId="21445"/>
    <cellStyle name="금액 23 48" xfId="21446"/>
    <cellStyle name="금액 23 5" xfId="21447"/>
    <cellStyle name="금액 23 6" xfId="21448"/>
    <cellStyle name="금액 23 7" xfId="21449"/>
    <cellStyle name="금액 23 8" xfId="21450"/>
    <cellStyle name="금액 23 9" xfId="21451"/>
    <cellStyle name="금액 23_분양(100%)" xfId="38988"/>
    <cellStyle name="금액 24" xfId="21452"/>
    <cellStyle name="금액 24 10" xfId="21453"/>
    <cellStyle name="금액 24 11" xfId="21454"/>
    <cellStyle name="금액 24 12" xfId="21455"/>
    <cellStyle name="금액 24 13" xfId="21456"/>
    <cellStyle name="금액 24 14" xfId="21457"/>
    <cellStyle name="금액 24 15" xfId="21458"/>
    <cellStyle name="금액 24 16" xfId="21459"/>
    <cellStyle name="금액 24 17" xfId="21460"/>
    <cellStyle name="금액 24 18" xfId="21461"/>
    <cellStyle name="금액 24 19" xfId="21462"/>
    <cellStyle name="금액 24 2" xfId="21463"/>
    <cellStyle name="금액 24 20" xfId="21464"/>
    <cellStyle name="금액 24 21" xfId="21465"/>
    <cellStyle name="금액 24 22" xfId="21466"/>
    <cellStyle name="금액 24 23" xfId="21467"/>
    <cellStyle name="금액 24 24" xfId="21468"/>
    <cellStyle name="금액 24 25" xfId="21469"/>
    <cellStyle name="금액 24 26" xfId="21470"/>
    <cellStyle name="금액 24 27" xfId="21471"/>
    <cellStyle name="금액 24 28" xfId="21472"/>
    <cellStyle name="금액 24 29" xfId="21473"/>
    <cellStyle name="금액 24 3" xfId="21474"/>
    <cellStyle name="금액 24 30" xfId="21475"/>
    <cellStyle name="금액 24 31" xfId="21476"/>
    <cellStyle name="금액 24 32" xfId="21477"/>
    <cellStyle name="금액 24 33" xfId="21478"/>
    <cellStyle name="금액 24 34" xfId="21479"/>
    <cellStyle name="금액 24 35" xfId="21480"/>
    <cellStyle name="금액 24 36" xfId="21481"/>
    <cellStyle name="금액 24 37" xfId="21482"/>
    <cellStyle name="금액 24 38" xfId="21483"/>
    <cellStyle name="금액 24 39" xfId="21484"/>
    <cellStyle name="금액 24 4" xfId="21485"/>
    <cellStyle name="금액 24 40" xfId="21486"/>
    <cellStyle name="금액 24 41" xfId="21487"/>
    <cellStyle name="금액 24 42" xfId="21488"/>
    <cellStyle name="금액 24 43" xfId="21489"/>
    <cellStyle name="금액 24 44" xfId="21490"/>
    <cellStyle name="금액 24 45" xfId="21491"/>
    <cellStyle name="금액 24 46" xfId="21492"/>
    <cellStyle name="금액 24 47" xfId="21493"/>
    <cellStyle name="금액 24 48" xfId="21494"/>
    <cellStyle name="금액 24 5" xfId="21495"/>
    <cellStyle name="금액 24 6" xfId="21496"/>
    <cellStyle name="금액 24 7" xfId="21497"/>
    <cellStyle name="금액 24 8" xfId="21498"/>
    <cellStyle name="금액 24 9" xfId="21499"/>
    <cellStyle name="금액 24_분양(100%)" xfId="38989"/>
    <cellStyle name="금액 25" xfId="21500"/>
    <cellStyle name="금액 25 10" xfId="21501"/>
    <cellStyle name="금액 25 11" xfId="21502"/>
    <cellStyle name="금액 25 12" xfId="21503"/>
    <cellStyle name="금액 25 13" xfId="21504"/>
    <cellStyle name="금액 25 14" xfId="21505"/>
    <cellStyle name="금액 25 15" xfId="21506"/>
    <cellStyle name="금액 25 16" xfId="21507"/>
    <cellStyle name="금액 25 17" xfId="21508"/>
    <cellStyle name="금액 25 18" xfId="21509"/>
    <cellStyle name="금액 25 19" xfId="21510"/>
    <cellStyle name="금액 25 2" xfId="21511"/>
    <cellStyle name="금액 25 20" xfId="21512"/>
    <cellStyle name="금액 25 21" xfId="21513"/>
    <cellStyle name="금액 25 22" xfId="21514"/>
    <cellStyle name="금액 25 23" xfId="21515"/>
    <cellStyle name="금액 25 24" xfId="21516"/>
    <cellStyle name="금액 25 25" xfId="21517"/>
    <cellStyle name="금액 25 26" xfId="21518"/>
    <cellStyle name="금액 25 27" xfId="21519"/>
    <cellStyle name="금액 25 28" xfId="21520"/>
    <cellStyle name="금액 25 29" xfId="21521"/>
    <cellStyle name="금액 25 3" xfId="21522"/>
    <cellStyle name="금액 25 30" xfId="21523"/>
    <cellStyle name="금액 25 31" xfId="21524"/>
    <cellStyle name="금액 25 32" xfId="21525"/>
    <cellStyle name="금액 25 33" xfId="21526"/>
    <cellStyle name="금액 25 34" xfId="21527"/>
    <cellStyle name="금액 25 35" xfId="21528"/>
    <cellStyle name="금액 25 36" xfId="21529"/>
    <cellStyle name="금액 25 37" xfId="21530"/>
    <cellStyle name="금액 25 38" xfId="21531"/>
    <cellStyle name="금액 25 39" xfId="21532"/>
    <cellStyle name="금액 25 4" xfId="21533"/>
    <cellStyle name="금액 25 40" xfId="21534"/>
    <cellStyle name="금액 25 41" xfId="21535"/>
    <cellStyle name="금액 25 42" xfId="21536"/>
    <cellStyle name="금액 25 43" xfId="21537"/>
    <cellStyle name="금액 25 44" xfId="21538"/>
    <cellStyle name="금액 25 45" xfId="21539"/>
    <cellStyle name="금액 25 46" xfId="21540"/>
    <cellStyle name="금액 25 47" xfId="21541"/>
    <cellStyle name="금액 25 48" xfId="21542"/>
    <cellStyle name="금액 25 5" xfId="21543"/>
    <cellStyle name="금액 25 6" xfId="21544"/>
    <cellStyle name="금액 25 7" xfId="21545"/>
    <cellStyle name="금액 25 8" xfId="21546"/>
    <cellStyle name="금액 25 9" xfId="21547"/>
    <cellStyle name="금액 25_분양(100%)" xfId="38990"/>
    <cellStyle name="금액 26" xfId="21548"/>
    <cellStyle name="금액 26 10" xfId="21549"/>
    <cellStyle name="금액 26 11" xfId="21550"/>
    <cellStyle name="금액 26 12" xfId="21551"/>
    <cellStyle name="금액 26 13" xfId="21552"/>
    <cellStyle name="금액 26 14" xfId="21553"/>
    <cellStyle name="금액 26 15" xfId="21554"/>
    <cellStyle name="금액 26 16" xfId="21555"/>
    <cellStyle name="금액 26 17" xfId="21556"/>
    <cellStyle name="금액 26 18" xfId="21557"/>
    <cellStyle name="금액 26 19" xfId="21558"/>
    <cellStyle name="금액 26 2" xfId="21559"/>
    <cellStyle name="금액 26 20" xfId="21560"/>
    <cellStyle name="금액 26 21" xfId="21561"/>
    <cellStyle name="금액 26 22" xfId="21562"/>
    <cellStyle name="금액 26 23" xfId="21563"/>
    <cellStyle name="금액 26 24" xfId="21564"/>
    <cellStyle name="금액 26 25" xfId="21565"/>
    <cellStyle name="금액 26 26" xfId="21566"/>
    <cellStyle name="금액 26 27" xfId="21567"/>
    <cellStyle name="금액 26 28" xfId="21568"/>
    <cellStyle name="금액 26 29" xfId="21569"/>
    <cellStyle name="금액 26 3" xfId="21570"/>
    <cellStyle name="금액 26 30" xfId="21571"/>
    <cellStyle name="금액 26 31" xfId="21572"/>
    <cellStyle name="금액 26 32" xfId="21573"/>
    <cellStyle name="금액 26 33" xfId="21574"/>
    <cellStyle name="금액 26 34" xfId="21575"/>
    <cellStyle name="금액 26 35" xfId="21576"/>
    <cellStyle name="금액 26 36" xfId="21577"/>
    <cellStyle name="금액 26 37" xfId="21578"/>
    <cellStyle name="금액 26 38" xfId="21579"/>
    <cellStyle name="금액 26 39" xfId="21580"/>
    <cellStyle name="금액 26 4" xfId="21581"/>
    <cellStyle name="금액 26 40" xfId="21582"/>
    <cellStyle name="금액 26 41" xfId="21583"/>
    <cellStyle name="금액 26 42" xfId="21584"/>
    <cellStyle name="금액 26 43" xfId="21585"/>
    <cellStyle name="금액 26 44" xfId="21586"/>
    <cellStyle name="금액 26 45" xfId="21587"/>
    <cellStyle name="금액 26 46" xfId="21588"/>
    <cellStyle name="금액 26 47" xfId="21589"/>
    <cellStyle name="금액 26 48" xfId="21590"/>
    <cellStyle name="금액 26 5" xfId="21591"/>
    <cellStyle name="금액 26 6" xfId="21592"/>
    <cellStyle name="금액 26 7" xfId="21593"/>
    <cellStyle name="금액 26 8" xfId="21594"/>
    <cellStyle name="금액 26 9" xfId="21595"/>
    <cellStyle name="금액 26_분양(100%)" xfId="38991"/>
    <cellStyle name="금액 27" xfId="21596"/>
    <cellStyle name="금액 27 10" xfId="21597"/>
    <cellStyle name="금액 27 11" xfId="21598"/>
    <cellStyle name="금액 27 12" xfId="21599"/>
    <cellStyle name="금액 27 13" xfId="21600"/>
    <cellStyle name="금액 27 14" xfId="21601"/>
    <cellStyle name="금액 27 15" xfId="21602"/>
    <cellStyle name="금액 27 16" xfId="21603"/>
    <cellStyle name="금액 27 17" xfId="21604"/>
    <cellStyle name="금액 27 18" xfId="21605"/>
    <cellStyle name="금액 27 19" xfId="21606"/>
    <cellStyle name="금액 27 2" xfId="21607"/>
    <cellStyle name="금액 27 20" xfId="21608"/>
    <cellStyle name="금액 27 21" xfId="21609"/>
    <cellStyle name="금액 27 22" xfId="21610"/>
    <cellStyle name="금액 27 23" xfId="21611"/>
    <cellStyle name="금액 27 24" xfId="21612"/>
    <cellStyle name="금액 27 25" xfId="21613"/>
    <cellStyle name="금액 27 26" xfId="21614"/>
    <cellStyle name="금액 27 27" xfId="21615"/>
    <cellStyle name="금액 27 28" xfId="21616"/>
    <cellStyle name="금액 27 29" xfId="21617"/>
    <cellStyle name="금액 27 3" xfId="21618"/>
    <cellStyle name="금액 27 30" xfId="21619"/>
    <cellStyle name="금액 27 31" xfId="21620"/>
    <cellStyle name="금액 27 32" xfId="21621"/>
    <cellStyle name="금액 27 33" xfId="21622"/>
    <cellStyle name="금액 27 34" xfId="21623"/>
    <cellStyle name="금액 27 35" xfId="21624"/>
    <cellStyle name="금액 27 36" xfId="21625"/>
    <cellStyle name="금액 27 37" xfId="21626"/>
    <cellStyle name="금액 27 38" xfId="21627"/>
    <cellStyle name="금액 27 39" xfId="21628"/>
    <cellStyle name="금액 27 4" xfId="21629"/>
    <cellStyle name="금액 27 40" xfId="21630"/>
    <cellStyle name="금액 27 41" xfId="21631"/>
    <cellStyle name="금액 27 42" xfId="21632"/>
    <cellStyle name="금액 27 43" xfId="21633"/>
    <cellStyle name="금액 27 44" xfId="21634"/>
    <cellStyle name="금액 27 45" xfId="21635"/>
    <cellStyle name="금액 27 46" xfId="21636"/>
    <cellStyle name="금액 27 47" xfId="21637"/>
    <cellStyle name="금액 27 48" xfId="21638"/>
    <cellStyle name="금액 27 5" xfId="21639"/>
    <cellStyle name="금액 27 6" xfId="21640"/>
    <cellStyle name="금액 27 7" xfId="21641"/>
    <cellStyle name="금액 27 8" xfId="21642"/>
    <cellStyle name="금액 27 9" xfId="21643"/>
    <cellStyle name="금액 27_분양(100%)" xfId="38992"/>
    <cellStyle name="금액 28" xfId="21644"/>
    <cellStyle name="금액 28 10" xfId="21645"/>
    <cellStyle name="금액 28 11" xfId="21646"/>
    <cellStyle name="금액 28 12" xfId="21647"/>
    <cellStyle name="금액 28 13" xfId="21648"/>
    <cellStyle name="금액 28 14" xfId="21649"/>
    <cellStyle name="금액 28 15" xfId="21650"/>
    <cellStyle name="금액 28 16" xfId="21651"/>
    <cellStyle name="금액 28 17" xfId="21652"/>
    <cellStyle name="금액 28 18" xfId="21653"/>
    <cellStyle name="금액 28 19" xfId="21654"/>
    <cellStyle name="금액 28 2" xfId="21655"/>
    <cellStyle name="금액 28 20" xfId="21656"/>
    <cellStyle name="금액 28 21" xfId="21657"/>
    <cellStyle name="금액 28 22" xfId="21658"/>
    <cellStyle name="금액 28 23" xfId="21659"/>
    <cellStyle name="금액 28 24" xfId="21660"/>
    <cellStyle name="금액 28 25" xfId="21661"/>
    <cellStyle name="금액 28 26" xfId="21662"/>
    <cellStyle name="금액 28 27" xfId="21663"/>
    <cellStyle name="금액 28 28" xfId="21664"/>
    <cellStyle name="금액 28 29" xfId="21665"/>
    <cellStyle name="금액 28 3" xfId="21666"/>
    <cellStyle name="금액 28 30" xfId="21667"/>
    <cellStyle name="금액 28 31" xfId="21668"/>
    <cellStyle name="금액 28 32" xfId="21669"/>
    <cellStyle name="금액 28 33" xfId="21670"/>
    <cellStyle name="금액 28 34" xfId="21671"/>
    <cellStyle name="금액 28 35" xfId="21672"/>
    <cellStyle name="금액 28 36" xfId="21673"/>
    <cellStyle name="금액 28 37" xfId="21674"/>
    <cellStyle name="금액 28 38" xfId="21675"/>
    <cellStyle name="금액 28 39" xfId="21676"/>
    <cellStyle name="금액 28 4" xfId="21677"/>
    <cellStyle name="금액 28 40" xfId="21678"/>
    <cellStyle name="금액 28 41" xfId="21679"/>
    <cellStyle name="금액 28 42" xfId="21680"/>
    <cellStyle name="금액 28 43" xfId="21681"/>
    <cellStyle name="금액 28 44" xfId="21682"/>
    <cellStyle name="금액 28 45" xfId="21683"/>
    <cellStyle name="금액 28 46" xfId="21684"/>
    <cellStyle name="금액 28 47" xfId="21685"/>
    <cellStyle name="금액 28 48" xfId="21686"/>
    <cellStyle name="금액 28 5" xfId="21687"/>
    <cellStyle name="금액 28 6" xfId="21688"/>
    <cellStyle name="금액 28 7" xfId="21689"/>
    <cellStyle name="금액 28 8" xfId="21690"/>
    <cellStyle name="금액 28 9" xfId="21691"/>
    <cellStyle name="금액 28_분양(100%)" xfId="38993"/>
    <cellStyle name="금액 29" xfId="21692"/>
    <cellStyle name="금액 29 10" xfId="21693"/>
    <cellStyle name="금액 29 11" xfId="21694"/>
    <cellStyle name="금액 29 12" xfId="21695"/>
    <cellStyle name="금액 29 13" xfId="21696"/>
    <cellStyle name="금액 29 14" xfId="21697"/>
    <cellStyle name="금액 29 15" xfId="21698"/>
    <cellStyle name="금액 29 16" xfId="21699"/>
    <cellStyle name="금액 29 17" xfId="21700"/>
    <cellStyle name="금액 29 18" xfId="21701"/>
    <cellStyle name="금액 29 19" xfId="21702"/>
    <cellStyle name="금액 29 2" xfId="21703"/>
    <cellStyle name="금액 29 20" xfId="21704"/>
    <cellStyle name="금액 29 21" xfId="21705"/>
    <cellStyle name="금액 29 22" xfId="21706"/>
    <cellStyle name="금액 29 23" xfId="21707"/>
    <cellStyle name="금액 29 24" xfId="21708"/>
    <cellStyle name="금액 29 25" xfId="21709"/>
    <cellStyle name="금액 29 26" xfId="21710"/>
    <cellStyle name="금액 29 27" xfId="21711"/>
    <cellStyle name="금액 29 28" xfId="21712"/>
    <cellStyle name="금액 29 29" xfId="21713"/>
    <cellStyle name="금액 29 3" xfId="21714"/>
    <cellStyle name="금액 29 30" xfId="21715"/>
    <cellStyle name="금액 29 31" xfId="21716"/>
    <cellStyle name="금액 29 32" xfId="21717"/>
    <cellStyle name="금액 29 33" xfId="21718"/>
    <cellStyle name="금액 29 34" xfId="21719"/>
    <cellStyle name="금액 29 35" xfId="21720"/>
    <cellStyle name="금액 29 36" xfId="21721"/>
    <cellStyle name="금액 29 37" xfId="21722"/>
    <cellStyle name="금액 29 38" xfId="21723"/>
    <cellStyle name="금액 29 39" xfId="21724"/>
    <cellStyle name="금액 29 4" xfId="21725"/>
    <cellStyle name="금액 29 40" xfId="21726"/>
    <cellStyle name="금액 29 41" xfId="21727"/>
    <cellStyle name="금액 29 42" xfId="21728"/>
    <cellStyle name="금액 29 43" xfId="21729"/>
    <cellStyle name="금액 29 44" xfId="21730"/>
    <cellStyle name="금액 29 45" xfId="21731"/>
    <cellStyle name="금액 29 46" xfId="21732"/>
    <cellStyle name="금액 29 47" xfId="21733"/>
    <cellStyle name="금액 29 48" xfId="21734"/>
    <cellStyle name="금액 29 5" xfId="21735"/>
    <cellStyle name="금액 29 6" xfId="21736"/>
    <cellStyle name="금액 29 7" xfId="21737"/>
    <cellStyle name="금액 29 8" xfId="21738"/>
    <cellStyle name="금액 29 9" xfId="21739"/>
    <cellStyle name="금액 29_분양(100%)" xfId="38994"/>
    <cellStyle name="금액 3" xfId="564"/>
    <cellStyle name="금액 3 10" xfId="21740"/>
    <cellStyle name="금액 3 11" xfId="21741"/>
    <cellStyle name="금액 3 12" xfId="21742"/>
    <cellStyle name="금액 3 13" xfId="21743"/>
    <cellStyle name="금액 3 14" xfId="21744"/>
    <cellStyle name="금액 3 15" xfId="21745"/>
    <cellStyle name="금액 3 16" xfId="21746"/>
    <cellStyle name="금액 3 17" xfId="21747"/>
    <cellStyle name="금액 3 18" xfId="21748"/>
    <cellStyle name="금액 3 19" xfId="21749"/>
    <cellStyle name="금액 3 2" xfId="3162"/>
    <cellStyle name="금액 3 2 2" xfId="3804"/>
    <cellStyle name="금액 3 2 2 2" xfId="4873"/>
    <cellStyle name="금액 3 2 2 3" xfId="5227"/>
    <cellStyle name="금액 3 2 3" xfId="3805"/>
    <cellStyle name="금액 3 2 3 2" xfId="4874"/>
    <cellStyle name="금액 3 2 3 3" xfId="5228"/>
    <cellStyle name="금액 3 2 4" xfId="3806"/>
    <cellStyle name="금액 3 2 4 2" xfId="4875"/>
    <cellStyle name="금액 3 2 4 3" xfId="5229"/>
    <cellStyle name="금액 3 2 5" xfId="4577"/>
    <cellStyle name="금액 3 2 6" xfId="4507"/>
    <cellStyle name="금액 3 2_분양(100%)" xfId="38996"/>
    <cellStyle name="금액 3 20" xfId="21750"/>
    <cellStyle name="금액 3 21" xfId="21751"/>
    <cellStyle name="금액 3 22" xfId="21752"/>
    <cellStyle name="금액 3 23" xfId="21753"/>
    <cellStyle name="금액 3 24" xfId="21754"/>
    <cellStyle name="금액 3 25" xfId="21755"/>
    <cellStyle name="금액 3 26" xfId="21756"/>
    <cellStyle name="금액 3 27" xfId="21757"/>
    <cellStyle name="금액 3 28" xfId="21758"/>
    <cellStyle name="금액 3 29" xfId="21759"/>
    <cellStyle name="금액 3 3" xfId="3807"/>
    <cellStyle name="금액 3 3 2" xfId="4876"/>
    <cellStyle name="금액 3 3 3" xfId="5230"/>
    <cellStyle name="금액 3 3_분양(100%)" xfId="38997"/>
    <cellStyle name="금액 3 30" xfId="21760"/>
    <cellStyle name="금액 3 31" xfId="21761"/>
    <cellStyle name="금액 3 32" xfId="21762"/>
    <cellStyle name="금액 3 33" xfId="21763"/>
    <cellStyle name="금액 3 34" xfId="21764"/>
    <cellStyle name="금액 3 35" xfId="21765"/>
    <cellStyle name="금액 3 36" xfId="21766"/>
    <cellStyle name="금액 3 37" xfId="21767"/>
    <cellStyle name="금액 3 38" xfId="21768"/>
    <cellStyle name="금액 3 39" xfId="21769"/>
    <cellStyle name="금액 3 4" xfId="3808"/>
    <cellStyle name="금액 3 4 2" xfId="4877"/>
    <cellStyle name="금액 3 4 3" xfId="5231"/>
    <cellStyle name="금액 3 4_분양(100%)" xfId="38998"/>
    <cellStyle name="금액 3 40" xfId="21770"/>
    <cellStyle name="금액 3 41" xfId="21771"/>
    <cellStyle name="금액 3 42" xfId="21772"/>
    <cellStyle name="금액 3 43" xfId="21773"/>
    <cellStyle name="금액 3 44" xfId="21774"/>
    <cellStyle name="금액 3 45" xfId="21775"/>
    <cellStyle name="금액 3 46" xfId="21776"/>
    <cellStyle name="금액 3 47" xfId="21777"/>
    <cellStyle name="금액 3 48" xfId="21778"/>
    <cellStyle name="금액 3 49" xfId="21779"/>
    <cellStyle name="금액 3 5" xfId="3809"/>
    <cellStyle name="금액 3 5 2" xfId="4878"/>
    <cellStyle name="금액 3 5 3" xfId="5232"/>
    <cellStyle name="금액 3 5_분양(100%)" xfId="38999"/>
    <cellStyle name="금액 3 6" xfId="21780"/>
    <cellStyle name="금액 3 7" xfId="21781"/>
    <cellStyle name="금액 3 8" xfId="21782"/>
    <cellStyle name="금액 3 9" xfId="21783"/>
    <cellStyle name="금액 3_분양(100%)" xfId="38995"/>
    <cellStyle name="금액 30" xfId="21784"/>
    <cellStyle name="금액 30 10" xfId="21785"/>
    <cellStyle name="금액 30 11" xfId="21786"/>
    <cellStyle name="금액 30 12" xfId="21787"/>
    <cellStyle name="금액 30 13" xfId="21788"/>
    <cellStyle name="금액 30 14" xfId="21789"/>
    <cellStyle name="금액 30 15" xfId="21790"/>
    <cellStyle name="금액 30 16" xfId="21791"/>
    <cellStyle name="금액 30 17" xfId="21792"/>
    <cellStyle name="금액 30 18" xfId="21793"/>
    <cellStyle name="금액 30 19" xfId="21794"/>
    <cellStyle name="금액 30 2" xfId="21795"/>
    <cellStyle name="금액 30 20" xfId="21796"/>
    <cellStyle name="금액 30 21" xfId="21797"/>
    <cellStyle name="금액 30 22" xfId="21798"/>
    <cellStyle name="금액 30 23" xfId="21799"/>
    <cellStyle name="금액 30 24" xfId="21800"/>
    <cellStyle name="금액 30 25" xfId="21801"/>
    <cellStyle name="금액 30 26" xfId="21802"/>
    <cellStyle name="금액 30 27" xfId="21803"/>
    <cellStyle name="금액 30 28" xfId="21804"/>
    <cellStyle name="금액 30 29" xfId="21805"/>
    <cellStyle name="금액 30 3" xfId="21806"/>
    <cellStyle name="금액 30 30" xfId="21807"/>
    <cellStyle name="금액 30 31" xfId="21808"/>
    <cellStyle name="금액 30 32" xfId="21809"/>
    <cellStyle name="금액 30 33" xfId="21810"/>
    <cellStyle name="금액 30 34" xfId="21811"/>
    <cellStyle name="금액 30 35" xfId="21812"/>
    <cellStyle name="금액 30 36" xfId="21813"/>
    <cellStyle name="금액 30 37" xfId="21814"/>
    <cellStyle name="금액 30 38" xfId="21815"/>
    <cellStyle name="금액 30 39" xfId="21816"/>
    <cellStyle name="금액 30 4" xfId="21817"/>
    <cellStyle name="금액 30 40" xfId="21818"/>
    <cellStyle name="금액 30 41" xfId="21819"/>
    <cellStyle name="금액 30 42" xfId="21820"/>
    <cellStyle name="금액 30 43" xfId="21821"/>
    <cellStyle name="금액 30 44" xfId="21822"/>
    <cellStyle name="금액 30 45" xfId="21823"/>
    <cellStyle name="금액 30 46" xfId="21824"/>
    <cellStyle name="금액 30 47" xfId="21825"/>
    <cellStyle name="금액 30 48" xfId="21826"/>
    <cellStyle name="금액 30 5" xfId="21827"/>
    <cellStyle name="금액 30 6" xfId="21828"/>
    <cellStyle name="금액 30 7" xfId="21829"/>
    <cellStyle name="금액 30 8" xfId="21830"/>
    <cellStyle name="금액 30 9" xfId="21831"/>
    <cellStyle name="금액 30_분양(100%)" xfId="39000"/>
    <cellStyle name="금액 31" xfId="21832"/>
    <cellStyle name="금액 31 10" xfId="21833"/>
    <cellStyle name="금액 31 11" xfId="21834"/>
    <cellStyle name="금액 31 12" xfId="21835"/>
    <cellStyle name="금액 31 13" xfId="21836"/>
    <cellStyle name="금액 31 14" xfId="21837"/>
    <cellStyle name="금액 31 15" xfId="21838"/>
    <cellStyle name="금액 31 16" xfId="21839"/>
    <cellStyle name="금액 31 17" xfId="21840"/>
    <cellStyle name="금액 31 18" xfId="21841"/>
    <cellStyle name="금액 31 19" xfId="21842"/>
    <cellStyle name="금액 31 2" xfId="21843"/>
    <cellStyle name="금액 31 20" xfId="21844"/>
    <cellStyle name="금액 31 21" xfId="21845"/>
    <cellStyle name="금액 31 22" xfId="21846"/>
    <cellStyle name="금액 31 23" xfId="21847"/>
    <cellStyle name="금액 31 24" xfId="21848"/>
    <cellStyle name="금액 31 25" xfId="21849"/>
    <cellStyle name="금액 31 26" xfId="21850"/>
    <cellStyle name="금액 31 27" xfId="21851"/>
    <cellStyle name="금액 31 28" xfId="21852"/>
    <cellStyle name="금액 31 29" xfId="21853"/>
    <cellStyle name="금액 31 3" xfId="21854"/>
    <cellStyle name="금액 31 30" xfId="21855"/>
    <cellStyle name="금액 31 31" xfId="21856"/>
    <cellStyle name="금액 31 32" xfId="21857"/>
    <cellStyle name="금액 31 33" xfId="21858"/>
    <cellStyle name="금액 31 34" xfId="21859"/>
    <cellStyle name="금액 31 35" xfId="21860"/>
    <cellStyle name="금액 31 36" xfId="21861"/>
    <cellStyle name="금액 31 37" xfId="21862"/>
    <cellStyle name="금액 31 38" xfId="21863"/>
    <cellStyle name="금액 31 39" xfId="21864"/>
    <cellStyle name="금액 31 4" xfId="21865"/>
    <cellStyle name="금액 31 40" xfId="21866"/>
    <cellStyle name="금액 31 41" xfId="21867"/>
    <cellStyle name="금액 31 42" xfId="21868"/>
    <cellStyle name="금액 31 43" xfId="21869"/>
    <cellStyle name="금액 31 44" xfId="21870"/>
    <cellStyle name="금액 31 45" xfId="21871"/>
    <cellStyle name="금액 31 46" xfId="21872"/>
    <cellStyle name="금액 31 47" xfId="21873"/>
    <cellStyle name="금액 31 48" xfId="21874"/>
    <cellStyle name="금액 31 5" xfId="21875"/>
    <cellStyle name="금액 31 6" xfId="21876"/>
    <cellStyle name="금액 31 7" xfId="21877"/>
    <cellStyle name="금액 31 8" xfId="21878"/>
    <cellStyle name="금액 31 9" xfId="21879"/>
    <cellStyle name="금액 31_분양(100%)" xfId="39001"/>
    <cellStyle name="금액 32" xfId="21880"/>
    <cellStyle name="금액 32 10" xfId="21881"/>
    <cellStyle name="금액 32 11" xfId="21882"/>
    <cellStyle name="금액 32 12" xfId="21883"/>
    <cellStyle name="금액 32 13" xfId="21884"/>
    <cellStyle name="금액 32 14" xfId="21885"/>
    <cellStyle name="금액 32 15" xfId="21886"/>
    <cellStyle name="금액 32 16" xfId="21887"/>
    <cellStyle name="금액 32 17" xfId="21888"/>
    <cellStyle name="금액 32 18" xfId="21889"/>
    <cellStyle name="금액 32 19" xfId="21890"/>
    <cellStyle name="금액 32 2" xfId="21891"/>
    <cellStyle name="금액 32 20" xfId="21892"/>
    <cellStyle name="금액 32 21" xfId="21893"/>
    <cellStyle name="금액 32 22" xfId="21894"/>
    <cellStyle name="금액 32 23" xfId="21895"/>
    <cellStyle name="금액 32 24" xfId="21896"/>
    <cellStyle name="금액 32 25" xfId="21897"/>
    <cellStyle name="금액 32 26" xfId="21898"/>
    <cellStyle name="금액 32 27" xfId="21899"/>
    <cellStyle name="금액 32 28" xfId="21900"/>
    <cellStyle name="금액 32 29" xfId="21901"/>
    <cellStyle name="금액 32 3" xfId="21902"/>
    <cellStyle name="금액 32 30" xfId="21903"/>
    <cellStyle name="금액 32 31" xfId="21904"/>
    <cellStyle name="금액 32 32" xfId="21905"/>
    <cellStyle name="금액 32 33" xfId="21906"/>
    <cellStyle name="금액 32 34" xfId="21907"/>
    <cellStyle name="금액 32 35" xfId="21908"/>
    <cellStyle name="금액 32 36" xfId="21909"/>
    <cellStyle name="금액 32 37" xfId="21910"/>
    <cellStyle name="금액 32 38" xfId="21911"/>
    <cellStyle name="금액 32 39" xfId="21912"/>
    <cellStyle name="금액 32 4" xfId="21913"/>
    <cellStyle name="금액 32 40" xfId="21914"/>
    <cellStyle name="금액 32 41" xfId="21915"/>
    <cellStyle name="금액 32 42" xfId="21916"/>
    <cellStyle name="금액 32 43" xfId="21917"/>
    <cellStyle name="금액 32 44" xfId="21918"/>
    <cellStyle name="금액 32 45" xfId="21919"/>
    <cellStyle name="금액 32 46" xfId="21920"/>
    <cellStyle name="금액 32 47" xfId="21921"/>
    <cellStyle name="금액 32 48" xfId="21922"/>
    <cellStyle name="금액 32 5" xfId="21923"/>
    <cellStyle name="금액 32 6" xfId="21924"/>
    <cellStyle name="금액 32 7" xfId="21925"/>
    <cellStyle name="금액 32 8" xfId="21926"/>
    <cellStyle name="금액 32 9" xfId="21927"/>
    <cellStyle name="금액 32_분양(100%)" xfId="39002"/>
    <cellStyle name="금액 33" xfId="21928"/>
    <cellStyle name="금액 33 10" xfId="21929"/>
    <cellStyle name="금액 33 11" xfId="21930"/>
    <cellStyle name="금액 33 12" xfId="21931"/>
    <cellStyle name="금액 33 13" xfId="21932"/>
    <cellStyle name="금액 33 14" xfId="21933"/>
    <cellStyle name="금액 33 15" xfId="21934"/>
    <cellStyle name="금액 33 16" xfId="21935"/>
    <cellStyle name="금액 33 17" xfId="21936"/>
    <cellStyle name="금액 33 18" xfId="21937"/>
    <cellStyle name="금액 33 19" xfId="21938"/>
    <cellStyle name="금액 33 2" xfId="21939"/>
    <cellStyle name="금액 33 20" xfId="21940"/>
    <cellStyle name="금액 33 21" xfId="21941"/>
    <cellStyle name="금액 33 22" xfId="21942"/>
    <cellStyle name="금액 33 23" xfId="21943"/>
    <cellStyle name="금액 33 24" xfId="21944"/>
    <cellStyle name="금액 33 25" xfId="21945"/>
    <cellStyle name="금액 33 26" xfId="21946"/>
    <cellStyle name="금액 33 27" xfId="21947"/>
    <cellStyle name="금액 33 28" xfId="21948"/>
    <cellStyle name="금액 33 29" xfId="21949"/>
    <cellStyle name="금액 33 3" xfId="21950"/>
    <cellStyle name="금액 33 30" xfId="21951"/>
    <cellStyle name="금액 33 31" xfId="21952"/>
    <cellStyle name="금액 33 32" xfId="21953"/>
    <cellStyle name="금액 33 33" xfId="21954"/>
    <cellStyle name="금액 33 34" xfId="21955"/>
    <cellStyle name="금액 33 35" xfId="21956"/>
    <cellStyle name="금액 33 36" xfId="21957"/>
    <cellStyle name="금액 33 37" xfId="21958"/>
    <cellStyle name="금액 33 38" xfId="21959"/>
    <cellStyle name="금액 33 39" xfId="21960"/>
    <cellStyle name="금액 33 4" xfId="21961"/>
    <cellStyle name="금액 33 40" xfId="21962"/>
    <cellStyle name="금액 33 41" xfId="21963"/>
    <cellStyle name="금액 33 42" xfId="21964"/>
    <cellStyle name="금액 33 43" xfId="21965"/>
    <cellStyle name="금액 33 44" xfId="21966"/>
    <cellStyle name="금액 33 45" xfId="21967"/>
    <cellStyle name="금액 33 46" xfId="21968"/>
    <cellStyle name="금액 33 47" xfId="21969"/>
    <cellStyle name="금액 33 48" xfId="21970"/>
    <cellStyle name="금액 33 5" xfId="21971"/>
    <cellStyle name="금액 33 6" xfId="21972"/>
    <cellStyle name="금액 33 7" xfId="21973"/>
    <cellStyle name="금액 33 8" xfId="21974"/>
    <cellStyle name="금액 33 9" xfId="21975"/>
    <cellStyle name="금액 33_분양(100%)" xfId="39003"/>
    <cellStyle name="금액 34" xfId="21976"/>
    <cellStyle name="금액 34 10" xfId="21977"/>
    <cellStyle name="금액 34 11" xfId="21978"/>
    <cellStyle name="금액 34 12" xfId="21979"/>
    <cellStyle name="금액 34 13" xfId="21980"/>
    <cellStyle name="금액 34 14" xfId="21981"/>
    <cellStyle name="금액 34 15" xfId="21982"/>
    <cellStyle name="금액 34 16" xfId="21983"/>
    <cellStyle name="금액 34 17" xfId="21984"/>
    <cellStyle name="금액 34 18" xfId="21985"/>
    <cellStyle name="금액 34 19" xfId="21986"/>
    <cellStyle name="금액 34 2" xfId="21987"/>
    <cellStyle name="금액 34 20" xfId="21988"/>
    <cellStyle name="금액 34 21" xfId="21989"/>
    <cellStyle name="금액 34 22" xfId="21990"/>
    <cellStyle name="금액 34 23" xfId="21991"/>
    <cellStyle name="금액 34 24" xfId="21992"/>
    <cellStyle name="금액 34 25" xfId="21993"/>
    <cellStyle name="금액 34 26" xfId="21994"/>
    <cellStyle name="금액 34 27" xfId="21995"/>
    <cellStyle name="금액 34 28" xfId="21996"/>
    <cellStyle name="금액 34 29" xfId="21997"/>
    <cellStyle name="금액 34 3" xfId="21998"/>
    <cellStyle name="금액 34 30" xfId="21999"/>
    <cellStyle name="금액 34 31" xfId="22000"/>
    <cellStyle name="금액 34 32" xfId="22001"/>
    <cellStyle name="금액 34 33" xfId="22002"/>
    <cellStyle name="금액 34 34" xfId="22003"/>
    <cellStyle name="금액 34 35" xfId="22004"/>
    <cellStyle name="금액 34 36" xfId="22005"/>
    <cellStyle name="금액 34 37" xfId="22006"/>
    <cellStyle name="금액 34 38" xfId="22007"/>
    <cellStyle name="금액 34 39" xfId="22008"/>
    <cellStyle name="금액 34 4" xfId="22009"/>
    <cellStyle name="금액 34 40" xfId="22010"/>
    <cellStyle name="금액 34 41" xfId="22011"/>
    <cellStyle name="금액 34 42" xfId="22012"/>
    <cellStyle name="금액 34 43" xfId="22013"/>
    <cellStyle name="금액 34 44" xfId="22014"/>
    <cellStyle name="금액 34 45" xfId="22015"/>
    <cellStyle name="금액 34 46" xfId="22016"/>
    <cellStyle name="금액 34 47" xfId="22017"/>
    <cellStyle name="금액 34 48" xfId="22018"/>
    <cellStyle name="금액 34 5" xfId="22019"/>
    <cellStyle name="금액 34 6" xfId="22020"/>
    <cellStyle name="금액 34 7" xfId="22021"/>
    <cellStyle name="금액 34 8" xfId="22022"/>
    <cellStyle name="금액 34 9" xfId="22023"/>
    <cellStyle name="금액 34_분양(100%)" xfId="39004"/>
    <cellStyle name="금액 35" xfId="22024"/>
    <cellStyle name="금액 35 10" xfId="22025"/>
    <cellStyle name="금액 35 11" xfId="22026"/>
    <cellStyle name="금액 35 12" xfId="22027"/>
    <cellStyle name="금액 35 13" xfId="22028"/>
    <cellStyle name="금액 35 14" xfId="22029"/>
    <cellStyle name="금액 35 15" xfId="22030"/>
    <cellStyle name="금액 35 16" xfId="22031"/>
    <cellStyle name="금액 35 17" xfId="22032"/>
    <cellStyle name="금액 35 18" xfId="22033"/>
    <cellStyle name="금액 35 19" xfId="22034"/>
    <cellStyle name="금액 35 2" xfId="22035"/>
    <cellStyle name="금액 35 20" xfId="22036"/>
    <cellStyle name="금액 35 21" xfId="22037"/>
    <cellStyle name="금액 35 22" xfId="22038"/>
    <cellStyle name="금액 35 23" xfId="22039"/>
    <cellStyle name="금액 35 24" xfId="22040"/>
    <cellStyle name="금액 35 25" xfId="22041"/>
    <cellStyle name="금액 35 26" xfId="22042"/>
    <cellStyle name="금액 35 27" xfId="22043"/>
    <cellStyle name="금액 35 28" xfId="22044"/>
    <cellStyle name="금액 35 29" xfId="22045"/>
    <cellStyle name="금액 35 3" xfId="22046"/>
    <cellStyle name="금액 35 30" xfId="22047"/>
    <cellStyle name="금액 35 31" xfId="22048"/>
    <cellStyle name="금액 35 32" xfId="22049"/>
    <cellStyle name="금액 35 33" xfId="22050"/>
    <cellStyle name="금액 35 34" xfId="22051"/>
    <cellStyle name="금액 35 35" xfId="22052"/>
    <cellStyle name="금액 35 36" xfId="22053"/>
    <cellStyle name="금액 35 37" xfId="22054"/>
    <cellStyle name="금액 35 38" xfId="22055"/>
    <cellStyle name="금액 35 39" xfId="22056"/>
    <cellStyle name="금액 35 4" xfId="22057"/>
    <cellStyle name="금액 35 40" xfId="22058"/>
    <cellStyle name="금액 35 41" xfId="22059"/>
    <cellStyle name="금액 35 42" xfId="22060"/>
    <cellStyle name="금액 35 43" xfId="22061"/>
    <cellStyle name="금액 35 44" xfId="22062"/>
    <cellStyle name="금액 35 45" xfId="22063"/>
    <cellStyle name="금액 35 46" xfId="22064"/>
    <cellStyle name="금액 35 47" xfId="22065"/>
    <cellStyle name="금액 35 48" xfId="22066"/>
    <cellStyle name="금액 35 5" xfId="22067"/>
    <cellStyle name="금액 35 6" xfId="22068"/>
    <cellStyle name="금액 35 7" xfId="22069"/>
    <cellStyle name="금액 35 8" xfId="22070"/>
    <cellStyle name="금액 35 9" xfId="22071"/>
    <cellStyle name="금액 35_분양(100%)" xfId="39005"/>
    <cellStyle name="금액 36" xfId="22072"/>
    <cellStyle name="금액 36 10" xfId="22073"/>
    <cellStyle name="금액 36 11" xfId="22074"/>
    <cellStyle name="금액 36 12" xfId="22075"/>
    <cellStyle name="금액 36 13" xfId="22076"/>
    <cellStyle name="금액 36 14" xfId="22077"/>
    <cellStyle name="금액 36 15" xfId="22078"/>
    <cellStyle name="금액 36 16" xfId="22079"/>
    <cellStyle name="금액 36 17" xfId="22080"/>
    <cellStyle name="금액 36 18" xfId="22081"/>
    <cellStyle name="금액 36 19" xfId="22082"/>
    <cellStyle name="금액 36 2" xfId="22083"/>
    <cellStyle name="금액 36 20" xfId="22084"/>
    <cellStyle name="금액 36 21" xfId="22085"/>
    <cellStyle name="금액 36 22" xfId="22086"/>
    <cellStyle name="금액 36 23" xfId="22087"/>
    <cellStyle name="금액 36 24" xfId="22088"/>
    <cellStyle name="금액 36 25" xfId="22089"/>
    <cellStyle name="금액 36 26" xfId="22090"/>
    <cellStyle name="금액 36 27" xfId="22091"/>
    <cellStyle name="금액 36 28" xfId="22092"/>
    <cellStyle name="금액 36 29" xfId="22093"/>
    <cellStyle name="금액 36 3" xfId="22094"/>
    <cellStyle name="금액 36 30" xfId="22095"/>
    <cellStyle name="금액 36 31" xfId="22096"/>
    <cellStyle name="금액 36 32" xfId="22097"/>
    <cellStyle name="금액 36 33" xfId="22098"/>
    <cellStyle name="금액 36 34" xfId="22099"/>
    <cellStyle name="금액 36 35" xfId="22100"/>
    <cellStyle name="금액 36 36" xfId="22101"/>
    <cellStyle name="금액 36 37" xfId="22102"/>
    <cellStyle name="금액 36 38" xfId="22103"/>
    <cellStyle name="금액 36 39" xfId="22104"/>
    <cellStyle name="금액 36 4" xfId="22105"/>
    <cellStyle name="금액 36 40" xfId="22106"/>
    <cellStyle name="금액 36 41" xfId="22107"/>
    <cellStyle name="금액 36 42" xfId="22108"/>
    <cellStyle name="금액 36 43" xfId="22109"/>
    <cellStyle name="금액 36 44" xfId="22110"/>
    <cellStyle name="금액 36 45" xfId="22111"/>
    <cellStyle name="금액 36 46" xfId="22112"/>
    <cellStyle name="금액 36 47" xfId="22113"/>
    <cellStyle name="금액 36 48" xfId="22114"/>
    <cellStyle name="금액 36 5" xfId="22115"/>
    <cellStyle name="금액 36 6" xfId="22116"/>
    <cellStyle name="금액 36 7" xfId="22117"/>
    <cellStyle name="금액 36 8" xfId="22118"/>
    <cellStyle name="금액 36 9" xfId="22119"/>
    <cellStyle name="금액 36_분양(100%)" xfId="39006"/>
    <cellStyle name="금액 37" xfId="22120"/>
    <cellStyle name="금액 37 10" xfId="22121"/>
    <cellStyle name="금액 37 11" xfId="22122"/>
    <cellStyle name="금액 37 12" xfId="22123"/>
    <cellStyle name="금액 37 13" xfId="22124"/>
    <cellStyle name="금액 37 14" xfId="22125"/>
    <cellStyle name="금액 37 15" xfId="22126"/>
    <cellStyle name="금액 37 16" xfId="22127"/>
    <cellStyle name="금액 37 17" xfId="22128"/>
    <cellStyle name="금액 37 18" xfId="22129"/>
    <cellStyle name="금액 37 19" xfId="22130"/>
    <cellStyle name="금액 37 2" xfId="22131"/>
    <cellStyle name="금액 37 20" xfId="22132"/>
    <cellStyle name="금액 37 21" xfId="22133"/>
    <cellStyle name="금액 37 22" xfId="22134"/>
    <cellStyle name="금액 37 23" xfId="22135"/>
    <cellStyle name="금액 37 24" xfId="22136"/>
    <cellStyle name="금액 37 25" xfId="22137"/>
    <cellStyle name="금액 37 26" xfId="22138"/>
    <cellStyle name="금액 37 27" xfId="22139"/>
    <cellStyle name="금액 37 28" xfId="22140"/>
    <cellStyle name="금액 37 29" xfId="22141"/>
    <cellStyle name="금액 37 3" xfId="22142"/>
    <cellStyle name="금액 37 30" xfId="22143"/>
    <cellStyle name="금액 37 31" xfId="22144"/>
    <cellStyle name="금액 37 32" xfId="22145"/>
    <cellStyle name="금액 37 33" xfId="22146"/>
    <cellStyle name="금액 37 34" xfId="22147"/>
    <cellStyle name="금액 37 35" xfId="22148"/>
    <cellStyle name="금액 37 36" xfId="22149"/>
    <cellStyle name="금액 37 37" xfId="22150"/>
    <cellStyle name="금액 37 38" xfId="22151"/>
    <cellStyle name="금액 37 39" xfId="22152"/>
    <cellStyle name="금액 37 4" xfId="22153"/>
    <cellStyle name="금액 37 40" xfId="22154"/>
    <cellStyle name="금액 37 41" xfId="22155"/>
    <cellStyle name="금액 37 42" xfId="22156"/>
    <cellStyle name="금액 37 43" xfId="22157"/>
    <cellStyle name="금액 37 44" xfId="22158"/>
    <cellStyle name="금액 37 45" xfId="22159"/>
    <cellStyle name="금액 37 46" xfId="22160"/>
    <cellStyle name="금액 37 47" xfId="22161"/>
    <cellStyle name="금액 37 48" xfId="22162"/>
    <cellStyle name="금액 37 5" xfId="22163"/>
    <cellStyle name="금액 37 6" xfId="22164"/>
    <cellStyle name="금액 37 7" xfId="22165"/>
    <cellStyle name="금액 37 8" xfId="22166"/>
    <cellStyle name="금액 37 9" xfId="22167"/>
    <cellStyle name="금액 37_분양(100%)" xfId="39007"/>
    <cellStyle name="금액 38" xfId="22168"/>
    <cellStyle name="금액 38 10" xfId="22169"/>
    <cellStyle name="금액 38 11" xfId="22170"/>
    <cellStyle name="금액 38 12" xfId="22171"/>
    <cellStyle name="금액 38 13" xfId="22172"/>
    <cellStyle name="금액 38 14" xfId="22173"/>
    <cellStyle name="금액 38 15" xfId="22174"/>
    <cellStyle name="금액 38 16" xfId="22175"/>
    <cellStyle name="금액 38 17" xfId="22176"/>
    <cellStyle name="금액 38 18" xfId="22177"/>
    <cellStyle name="금액 38 19" xfId="22178"/>
    <cellStyle name="금액 38 2" xfId="22179"/>
    <cellStyle name="금액 38 20" xfId="22180"/>
    <cellStyle name="금액 38 21" xfId="22181"/>
    <cellStyle name="금액 38 22" xfId="22182"/>
    <cellStyle name="금액 38 23" xfId="22183"/>
    <cellStyle name="금액 38 24" xfId="22184"/>
    <cellStyle name="금액 38 25" xfId="22185"/>
    <cellStyle name="금액 38 26" xfId="22186"/>
    <cellStyle name="금액 38 27" xfId="22187"/>
    <cellStyle name="금액 38 28" xfId="22188"/>
    <cellStyle name="금액 38 29" xfId="22189"/>
    <cellStyle name="금액 38 3" xfId="22190"/>
    <cellStyle name="금액 38 30" xfId="22191"/>
    <cellStyle name="금액 38 31" xfId="22192"/>
    <cellStyle name="금액 38 32" xfId="22193"/>
    <cellStyle name="금액 38 33" xfId="22194"/>
    <cellStyle name="금액 38 34" xfId="22195"/>
    <cellStyle name="금액 38 35" xfId="22196"/>
    <cellStyle name="금액 38 36" xfId="22197"/>
    <cellStyle name="금액 38 37" xfId="22198"/>
    <cellStyle name="금액 38 38" xfId="22199"/>
    <cellStyle name="금액 38 39" xfId="22200"/>
    <cellStyle name="금액 38 4" xfId="22201"/>
    <cellStyle name="금액 38 40" xfId="22202"/>
    <cellStyle name="금액 38 41" xfId="22203"/>
    <cellStyle name="금액 38 42" xfId="22204"/>
    <cellStyle name="금액 38 43" xfId="22205"/>
    <cellStyle name="금액 38 44" xfId="22206"/>
    <cellStyle name="금액 38 45" xfId="22207"/>
    <cellStyle name="금액 38 46" xfId="22208"/>
    <cellStyle name="금액 38 47" xfId="22209"/>
    <cellStyle name="금액 38 48" xfId="22210"/>
    <cellStyle name="금액 38 5" xfId="22211"/>
    <cellStyle name="금액 38 6" xfId="22212"/>
    <cellStyle name="금액 38 7" xfId="22213"/>
    <cellStyle name="금액 38 8" xfId="22214"/>
    <cellStyle name="금액 38 9" xfId="22215"/>
    <cellStyle name="금액 38_분양(100%)" xfId="39008"/>
    <cellStyle name="금액 39" xfId="22216"/>
    <cellStyle name="금액 39 10" xfId="22217"/>
    <cellStyle name="금액 39 11" xfId="22218"/>
    <cellStyle name="금액 39 12" xfId="22219"/>
    <cellStyle name="금액 39 13" xfId="22220"/>
    <cellStyle name="금액 39 14" xfId="22221"/>
    <cellStyle name="금액 39 15" xfId="22222"/>
    <cellStyle name="금액 39 16" xfId="22223"/>
    <cellStyle name="금액 39 17" xfId="22224"/>
    <cellStyle name="금액 39 18" xfId="22225"/>
    <cellStyle name="금액 39 19" xfId="22226"/>
    <cellStyle name="금액 39 2" xfId="22227"/>
    <cellStyle name="금액 39 20" xfId="22228"/>
    <cellStyle name="금액 39 21" xfId="22229"/>
    <cellStyle name="금액 39 22" xfId="22230"/>
    <cellStyle name="금액 39 23" xfId="22231"/>
    <cellStyle name="금액 39 24" xfId="22232"/>
    <cellStyle name="금액 39 25" xfId="22233"/>
    <cellStyle name="금액 39 26" xfId="22234"/>
    <cellStyle name="금액 39 27" xfId="22235"/>
    <cellStyle name="금액 39 28" xfId="22236"/>
    <cellStyle name="금액 39 29" xfId="22237"/>
    <cellStyle name="금액 39 3" xfId="22238"/>
    <cellStyle name="금액 39 30" xfId="22239"/>
    <cellStyle name="금액 39 31" xfId="22240"/>
    <cellStyle name="금액 39 32" xfId="22241"/>
    <cellStyle name="금액 39 33" xfId="22242"/>
    <cellStyle name="금액 39 34" xfId="22243"/>
    <cellStyle name="금액 39 35" xfId="22244"/>
    <cellStyle name="금액 39 36" xfId="22245"/>
    <cellStyle name="금액 39 37" xfId="22246"/>
    <cellStyle name="금액 39 38" xfId="22247"/>
    <cellStyle name="금액 39 39" xfId="22248"/>
    <cellStyle name="금액 39 4" xfId="22249"/>
    <cellStyle name="금액 39 40" xfId="22250"/>
    <cellStyle name="금액 39 41" xfId="22251"/>
    <cellStyle name="금액 39 42" xfId="22252"/>
    <cellStyle name="금액 39 43" xfId="22253"/>
    <cellStyle name="금액 39 44" xfId="22254"/>
    <cellStyle name="금액 39 45" xfId="22255"/>
    <cellStyle name="금액 39 46" xfId="22256"/>
    <cellStyle name="금액 39 47" xfId="22257"/>
    <cellStyle name="금액 39 48" xfId="22258"/>
    <cellStyle name="금액 39 5" xfId="22259"/>
    <cellStyle name="금액 39 6" xfId="22260"/>
    <cellStyle name="금액 39 7" xfId="22261"/>
    <cellStyle name="금액 39 8" xfId="22262"/>
    <cellStyle name="금액 39 9" xfId="22263"/>
    <cellStyle name="금액 39_분양(100%)" xfId="39009"/>
    <cellStyle name="금액 4" xfId="554"/>
    <cellStyle name="금액 4 10" xfId="22264"/>
    <cellStyle name="금액 4 11" xfId="22265"/>
    <cellStyle name="금액 4 12" xfId="22266"/>
    <cellStyle name="금액 4 13" xfId="22267"/>
    <cellStyle name="금액 4 14" xfId="22268"/>
    <cellStyle name="금액 4 15" xfId="22269"/>
    <cellStyle name="금액 4 16" xfId="22270"/>
    <cellStyle name="금액 4 17" xfId="22271"/>
    <cellStyle name="금액 4 18" xfId="22272"/>
    <cellStyle name="금액 4 19" xfId="22273"/>
    <cellStyle name="금액 4 2" xfId="3152"/>
    <cellStyle name="금액 4 2 2" xfId="3810"/>
    <cellStyle name="금액 4 2 2 2" xfId="4879"/>
    <cellStyle name="금액 4 2 2 3" xfId="5233"/>
    <cellStyle name="금액 4 2 3" xfId="3811"/>
    <cellStyle name="금액 4 2 3 2" xfId="4880"/>
    <cellStyle name="금액 4 2 3 3" xfId="5234"/>
    <cellStyle name="금액 4 2 4" xfId="3812"/>
    <cellStyle name="금액 4 2 4 2" xfId="4881"/>
    <cellStyle name="금액 4 2 4 3" xfId="5235"/>
    <cellStyle name="금액 4 2 5" xfId="4567"/>
    <cellStyle name="금액 4 2 6" xfId="4483"/>
    <cellStyle name="금액 4 2_분양(100%)" xfId="39011"/>
    <cellStyle name="금액 4 20" xfId="22274"/>
    <cellStyle name="금액 4 21" xfId="22275"/>
    <cellStyle name="금액 4 22" xfId="22276"/>
    <cellStyle name="금액 4 23" xfId="22277"/>
    <cellStyle name="금액 4 24" xfId="22278"/>
    <cellStyle name="금액 4 25" xfId="22279"/>
    <cellStyle name="금액 4 26" xfId="22280"/>
    <cellStyle name="금액 4 27" xfId="22281"/>
    <cellStyle name="금액 4 28" xfId="22282"/>
    <cellStyle name="금액 4 29" xfId="22283"/>
    <cellStyle name="금액 4 3" xfId="3813"/>
    <cellStyle name="금액 4 3 2" xfId="4882"/>
    <cellStyle name="금액 4 3 3" xfId="5236"/>
    <cellStyle name="금액 4 3_분양(100%)" xfId="39012"/>
    <cellStyle name="금액 4 30" xfId="22284"/>
    <cellStyle name="금액 4 31" xfId="22285"/>
    <cellStyle name="금액 4 32" xfId="22286"/>
    <cellStyle name="금액 4 33" xfId="22287"/>
    <cellStyle name="금액 4 34" xfId="22288"/>
    <cellStyle name="금액 4 35" xfId="22289"/>
    <cellStyle name="금액 4 36" xfId="22290"/>
    <cellStyle name="금액 4 37" xfId="22291"/>
    <cellStyle name="금액 4 38" xfId="22292"/>
    <cellStyle name="금액 4 39" xfId="22293"/>
    <cellStyle name="금액 4 4" xfId="3814"/>
    <cellStyle name="금액 4 4 2" xfId="4883"/>
    <cellStyle name="금액 4 4 3" xfId="5237"/>
    <cellStyle name="금액 4 4_분양(100%)" xfId="39013"/>
    <cellStyle name="금액 4 40" xfId="22294"/>
    <cellStyle name="금액 4 41" xfId="22295"/>
    <cellStyle name="금액 4 42" xfId="22296"/>
    <cellStyle name="금액 4 43" xfId="22297"/>
    <cellStyle name="금액 4 44" xfId="22298"/>
    <cellStyle name="금액 4 45" xfId="22299"/>
    <cellStyle name="금액 4 46" xfId="22300"/>
    <cellStyle name="금액 4 47" xfId="22301"/>
    <cellStyle name="금액 4 48" xfId="22302"/>
    <cellStyle name="금액 4 5" xfId="3815"/>
    <cellStyle name="금액 4 5 2" xfId="4884"/>
    <cellStyle name="금액 4 5 3" xfId="5238"/>
    <cellStyle name="금액 4 5_분양(100%)" xfId="39014"/>
    <cellStyle name="금액 4 6" xfId="22303"/>
    <cellStyle name="금액 4 7" xfId="22304"/>
    <cellStyle name="금액 4 8" xfId="22305"/>
    <cellStyle name="금액 4 9" xfId="22306"/>
    <cellStyle name="금액 4_분양(100%)" xfId="39010"/>
    <cellStyle name="금액 40" xfId="22307"/>
    <cellStyle name="금액 40 10" xfId="22308"/>
    <cellStyle name="금액 40 11" xfId="22309"/>
    <cellStyle name="금액 40 12" xfId="22310"/>
    <cellStyle name="금액 40 13" xfId="22311"/>
    <cellStyle name="금액 40 14" xfId="22312"/>
    <cellStyle name="금액 40 15" xfId="22313"/>
    <cellStyle name="금액 40 16" xfId="22314"/>
    <cellStyle name="금액 40 17" xfId="22315"/>
    <cellStyle name="금액 40 18" xfId="22316"/>
    <cellStyle name="금액 40 19" xfId="22317"/>
    <cellStyle name="금액 40 2" xfId="22318"/>
    <cellStyle name="금액 40 20" xfId="22319"/>
    <cellStyle name="금액 40 21" xfId="22320"/>
    <cellStyle name="금액 40 22" xfId="22321"/>
    <cellStyle name="금액 40 23" xfId="22322"/>
    <cellStyle name="금액 40 24" xfId="22323"/>
    <cellStyle name="금액 40 25" xfId="22324"/>
    <cellStyle name="금액 40 26" xfId="22325"/>
    <cellStyle name="금액 40 27" xfId="22326"/>
    <cellStyle name="금액 40 28" xfId="22327"/>
    <cellStyle name="금액 40 29" xfId="22328"/>
    <cellStyle name="금액 40 3" xfId="22329"/>
    <cellStyle name="금액 40 30" xfId="22330"/>
    <cellStyle name="금액 40 31" xfId="22331"/>
    <cellStyle name="금액 40 32" xfId="22332"/>
    <cellStyle name="금액 40 33" xfId="22333"/>
    <cellStyle name="금액 40 34" xfId="22334"/>
    <cellStyle name="금액 40 35" xfId="22335"/>
    <cellStyle name="금액 40 36" xfId="22336"/>
    <cellStyle name="금액 40 37" xfId="22337"/>
    <cellStyle name="금액 40 38" xfId="22338"/>
    <cellStyle name="금액 40 39" xfId="22339"/>
    <cellStyle name="금액 40 4" xfId="22340"/>
    <cellStyle name="금액 40 40" xfId="22341"/>
    <cellStyle name="금액 40 41" xfId="22342"/>
    <cellStyle name="금액 40 42" xfId="22343"/>
    <cellStyle name="금액 40 43" xfId="22344"/>
    <cellStyle name="금액 40 44" xfId="22345"/>
    <cellStyle name="금액 40 45" xfId="22346"/>
    <cellStyle name="금액 40 46" xfId="22347"/>
    <cellStyle name="금액 40 47" xfId="22348"/>
    <cellStyle name="금액 40 48" xfId="22349"/>
    <cellStyle name="금액 40 5" xfId="22350"/>
    <cellStyle name="금액 40 6" xfId="22351"/>
    <cellStyle name="금액 40 7" xfId="22352"/>
    <cellStyle name="금액 40 8" xfId="22353"/>
    <cellStyle name="금액 40 9" xfId="22354"/>
    <cellStyle name="금액 40_분양(100%)" xfId="39015"/>
    <cellStyle name="금액 41" xfId="22355"/>
    <cellStyle name="금액 42" xfId="22356"/>
    <cellStyle name="금액 43" xfId="22357"/>
    <cellStyle name="금액 44" xfId="22358"/>
    <cellStyle name="금액 45" xfId="22359"/>
    <cellStyle name="금액 5" xfId="3121"/>
    <cellStyle name="금액 5 10" xfId="22360"/>
    <cellStyle name="금액 5 11" xfId="22361"/>
    <cellStyle name="금액 5 12" xfId="22362"/>
    <cellStyle name="금액 5 13" xfId="22363"/>
    <cellStyle name="금액 5 14" xfId="22364"/>
    <cellStyle name="금액 5 15" xfId="22365"/>
    <cellStyle name="금액 5 16" xfId="22366"/>
    <cellStyle name="금액 5 17" xfId="22367"/>
    <cellStyle name="금액 5 18" xfId="22368"/>
    <cellStyle name="금액 5 19" xfId="22369"/>
    <cellStyle name="금액 5 2" xfId="3816"/>
    <cellStyle name="금액 5 2 2" xfId="4885"/>
    <cellStyle name="금액 5 2 3" xfId="5239"/>
    <cellStyle name="금액 5 2_분양(100%)" xfId="39017"/>
    <cellStyle name="금액 5 20" xfId="22370"/>
    <cellStyle name="금액 5 21" xfId="22371"/>
    <cellStyle name="금액 5 22" xfId="22372"/>
    <cellStyle name="금액 5 23" xfId="22373"/>
    <cellStyle name="금액 5 24" xfId="22374"/>
    <cellStyle name="금액 5 25" xfId="22375"/>
    <cellStyle name="금액 5 26" xfId="22376"/>
    <cellStyle name="금액 5 27" xfId="22377"/>
    <cellStyle name="금액 5 28" xfId="22378"/>
    <cellStyle name="금액 5 29" xfId="22379"/>
    <cellStyle name="금액 5 3" xfId="3817"/>
    <cellStyle name="금액 5 3 2" xfId="4886"/>
    <cellStyle name="금액 5 3 3" xfId="5240"/>
    <cellStyle name="금액 5 3_분양(100%)" xfId="39018"/>
    <cellStyle name="금액 5 30" xfId="22380"/>
    <cellStyle name="금액 5 31" xfId="22381"/>
    <cellStyle name="금액 5 32" xfId="22382"/>
    <cellStyle name="금액 5 33" xfId="22383"/>
    <cellStyle name="금액 5 34" xfId="22384"/>
    <cellStyle name="금액 5 35" xfId="22385"/>
    <cellStyle name="금액 5 36" xfId="22386"/>
    <cellStyle name="금액 5 37" xfId="22387"/>
    <cellStyle name="금액 5 38" xfId="22388"/>
    <cellStyle name="금액 5 39" xfId="22389"/>
    <cellStyle name="금액 5 4" xfId="3818"/>
    <cellStyle name="금액 5 4 2" xfId="4887"/>
    <cellStyle name="금액 5 4 3" xfId="5241"/>
    <cellStyle name="금액 5 4_분양(100%)" xfId="39019"/>
    <cellStyle name="금액 5 40" xfId="22390"/>
    <cellStyle name="금액 5 41" xfId="22391"/>
    <cellStyle name="금액 5 42" xfId="22392"/>
    <cellStyle name="금액 5 43" xfId="22393"/>
    <cellStyle name="금액 5 44" xfId="22394"/>
    <cellStyle name="금액 5 45" xfId="22395"/>
    <cellStyle name="금액 5 46" xfId="22396"/>
    <cellStyle name="금액 5 47" xfId="22397"/>
    <cellStyle name="금액 5 48" xfId="22398"/>
    <cellStyle name="금액 5 5" xfId="4536"/>
    <cellStyle name="금액 5 6" xfId="4495"/>
    <cellStyle name="금액 5 7" xfId="22399"/>
    <cellStyle name="금액 5 8" xfId="22400"/>
    <cellStyle name="금액 5 9" xfId="22401"/>
    <cellStyle name="금액 5_분양(100%)" xfId="39016"/>
    <cellStyle name="금액 6" xfId="3819"/>
    <cellStyle name="금액 6 10" xfId="22402"/>
    <cellStyle name="금액 6 11" xfId="22403"/>
    <cellStyle name="금액 6 12" xfId="22404"/>
    <cellStyle name="금액 6 13" xfId="22405"/>
    <cellStyle name="금액 6 14" xfId="22406"/>
    <cellStyle name="금액 6 15" xfId="22407"/>
    <cellStyle name="금액 6 16" xfId="22408"/>
    <cellStyle name="금액 6 17" xfId="22409"/>
    <cellStyle name="금액 6 18" xfId="22410"/>
    <cellStyle name="금액 6 19" xfId="22411"/>
    <cellStyle name="금액 6 2" xfId="4888"/>
    <cellStyle name="금액 6 20" xfId="22412"/>
    <cellStyle name="금액 6 21" xfId="22413"/>
    <cellStyle name="금액 6 22" xfId="22414"/>
    <cellStyle name="금액 6 23" xfId="22415"/>
    <cellStyle name="금액 6 24" xfId="22416"/>
    <cellStyle name="금액 6 25" xfId="22417"/>
    <cellStyle name="금액 6 26" xfId="22418"/>
    <cellStyle name="금액 6 27" xfId="22419"/>
    <cellStyle name="금액 6 28" xfId="22420"/>
    <cellStyle name="금액 6 29" xfId="22421"/>
    <cellStyle name="금액 6 3" xfId="5242"/>
    <cellStyle name="금액 6 30" xfId="22422"/>
    <cellStyle name="금액 6 31" xfId="22423"/>
    <cellStyle name="금액 6 32" xfId="22424"/>
    <cellStyle name="금액 6 33" xfId="22425"/>
    <cellStyle name="금액 6 34" xfId="22426"/>
    <cellStyle name="금액 6 35" xfId="22427"/>
    <cellStyle name="금액 6 36" xfId="22428"/>
    <cellStyle name="금액 6 37" xfId="22429"/>
    <cellStyle name="금액 6 38" xfId="22430"/>
    <cellStyle name="금액 6 39" xfId="22431"/>
    <cellStyle name="금액 6 4" xfId="22432"/>
    <cellStyle name="금액 6 40" xfId="22433"/>
    <cellStyle name="금액 6 41" xfId="22434"/>
    <cellStyle name="금액 6 42" xfId="22435"/>
    <cellStyle name="금액 6 43" xfId="22436"/>
    <cellStyle name="금액 6 44" xfId="22437"/>
    <cellStyle name="금액 6 45" xfId="22438"/>
    <cellStyle name="금액 6 46" xfId="22439"/>
    <cellStyle name="금액 6 47" xfId="22440"/>
    <cellStyle name="금액 6 48" xfId="22441"/>
    <cellStyle name="금액 6 5" xfId="22442"/>
    <cellStyle name="금액 6 6" xfId="22443"/>
    <cellStyle name="금액 6 7" xfId="22444"/>
    <cellStyle name="금액 6 8" xfId="22445"/>
    <cellStyle name="금액 6 9" xfId="22446"/>
    <cellStyle name="금액 6_분양(100%)" xfId="39020"/>
    <cellStyle name="금액 7" xfId="3820"/>
    <cellStyle name="금액 7 10" xfId="22447"/>
    <cellStyle name="금액 7 11" xfId="22448"/>
    <cellStyle name="금액 7 12" xfId="22449"/>
    <cellStyle name="금액 7 13" xfId="22450"/>
    <cellStyle name="금액 7 14" xfId="22451"/>
    <cellStyle name="금액 7 15" xfId="22452"/>
    <cellStyle name="금액 7 16" xfId="22453"/>
    <cellStyle name="금액 7 17" xfId="22454"/>
    <cellStyle name="금액 7 18" xfId="22455"/>
    <cellStyle name="금액 7 19" xfId="22456"/>
    <cellStyle name="금액 7 2" xfId="4889"/>
    <cellStyle name="금액 7 20" xfId="22457"/>
    <cellStyle name="금액 7 21" xfId="22458"/>
    <cellStyle name="금액 7 22" xfId="22459"/>
    <cellStyle name="금액 7 23" xfId="22460"/>
    <cellStyle name="금액 7 24" xfId="22461"/>
    <cellStyle name="금액 7 25" xfId="22462"/>
    <cellStyle name="금액 7 26" xfId="22463"/>
    <cellStyle name="금액 7 27" xfId="22464"/>
    <cellStyle name="금액 7 28" xfId="22465"/>
    <cellStyle name="금액 7 29" xfId="22466"/>
    <cellStyle name="금액 7 3" xfId="5243"/>
    <cellStyle name="금액 7 30" xfId="22467"/>
    <cellStyle name="금액 7 31" xfId="22468"/>
    <cellStyle name="금액 7 32" xfId="22469"/>
    <cellStyle name="금액 7 33" xfId="22470"/>
    <cellStyle name="금액 7 34" xfId="22471"/>
    <cellStyle name="금액 7 35" xfId="22472"/>
    <cellStyle name="금액 7 36" xfId="22473"/>
    <cellStyle name="금액 7 37" xfId="22474"/>
    <cellStyle name="금액 7 38" xfId="22475"/>
    <cellStyle name="금액 7 39" xfId="22476"/>
    <cellStyle name="금액 7 4" xfId="22477"/>
    <cellStyle name="금액 7 40" xfId="22478"/>
    <cellStyle name="금액 7 41" xfId="22479"/>
    <cellStyle name="금액 7 42" xfId="22480"/>
    <cellStyle name="금액 7 43" xfId="22481"/>
    <cellStyle name="금액 7 44" xfId="22482"/>
    <cellStyle name="금액 7 45" xfId="22483"/>
    <cellStyle name="금액 7 46" xfId="22484"/>
    <cellStyle name="금액 7 47" xfId="22485"/>
    <cellStyle name="금액 7 48" xfId="22486"/>
    <cellStyle name="금액 7 5" xfId="22487"/>
    <cellStyle name="금액 7 6" xfId="22488"/>
    <cellStyle name="금액 7 7" xfId="22489"/>
    <cellStyle name="금액 7 8" xfId="22490"/>
    <cellStyle name="금액 7 9" xfId="22491"/>
    <cellStyle name="금액 7_분양(100%)" xfId="39021"/>
    <cellStyle name="금액 8" xfId="3821"/>
    <cellStyle name="금액 8 10" xfId="22492"/>
    <cellStyle name="금액 8 11" xfId="22493"/>
    <cellStyle name="금액 8 12" xfId="22494"/>
    <cellStyle name="금액 8 13" xfId="22495"/>
    <cellStyle name="금액 8 14" xfId="22496"/>
    <cellStyle name="금액 8 15" xfId="22497"/>
    <cellStyle name="금액 8 16" xfId="22498"/>
    <cellStyle name="금액 8 17" xfId="22499"/>
    <cellStyle name="금액 8 18" xfId="22500"/>
    <cellStyle name="금액 8 19" xfId="22501"/>
    <cellStyle name="금액 8 2" xfId="4890"/>
    <cellStyle name="금액 8 20" xfId="22502"/>
    <cellStyle name="금액 8 21" xfId="22503"/>
    <cellStyle name="금액 8 22" xfId="22504"/>
    <cellStyle name="금액 8 23" xfId="22505"/>
    <cellStyle name="금액 8 24" xfId="22506"/>
    <cellStyle name="금액 8 25" xfId="22507"/>
    <cellStyle name="금액 8 26" xfId="22508"/>
    <cellStyle name="금액 8 27" xfId="22509"/>
    <cellStyle name="금액 8 28" xfId="22510"/>
    <cellStyle name="금액 8 29" xfId="22511"/>
    <cellStyle name="금액 8 3" xfId="5244"/>
    <cellStyle name="금액 8 30" xfId="22512"/>
    <cellStyle name="금액 8 31" xfId="22513"/>
    <cellStyle name="금액 8 32" xfId="22514"/>
    <cellStyle name="금액 8 33" xfId="22515"/>
    <cellStyle name="금액 8 34" xfId="22516"/>
    <cellStyle name="금액 8 35" xfId="22517"/>
    <cellStyle name="금액 8 36" xfId="22518"/>
    <cellStyle name="금액 8 37" xfId="22519"/>
    <cellStyle name="금액 8 38" xfId="22520"/>
    <cellStyle name="금액 8 39" xfId="22521"/>
    <cellStyle name="금액 8 4" xfId="22522"/>
    <cellStyle name="금액 8 40" xfId="22523"/>
    <cellStyle name="금액 8 41" xfId="22524"/>
    <cellStyle name="금액 8 42" xfId="22525"/>
    <cellStyle name="금액 8 43" xfId="22526"/>
    <cellStyle name="금액 8 44" xfId="22527"/>
    <cellStyle name="금액 8 45" xfId="22528"/>
    <cellStyle name="금액 8 46" xfId="22529"/>
    <cellStyle name="금액 8 47" xfId="22530"/>
    <cellStyle name="금액 8 48" xfId="22531"/>
    <cellStyle name="금액 8 5" xfId="22532"/>
    <cellStyle name="금액 8 6" xfId="22533"/>
    <cellStyle name="금액 8 7" xfId="22534"/>
    <cellStyle name="금액 8 8" xfId="22535"/>
    <cellStyle name="금액 8 9" xfId="22536"/>
    <cellStyle name="금액 8_분양(100%)" xfId="39022"/>
    <cellStyle name="금액 9" xfId="22537"/>
    <cellStyle name="금액 9 10" xfId="22538"/>
    <cellStyle name="금액 9 11" xfId="22539"/>
    <cellStyle name="금액 9 12" xfId="22540"/>
    <cellStyle name="금액 9 13" xfId="22541"/>
    <cellStyle name="금액 9 14" xfId="22542"/>
    <cellStyle name="금액 9 15" xfId="22543"/>
    <cellStyle name="금액 9 16" xfId="22544"/>
    <cellStyle name="금액 9 17" xfId="22545"/>
    <cellStyle name="금액 9 18" xfId="22546"/>
    <cellStyle name="금액 9 19" xfId="22547"/>
    <cellStyle name="금액 9 2" xfId="22548"/>
    <cellStyle name="금액 9 20" xfId="22549"/>
    <cellStyle name="금액 9 21" xfId="22550"/>
    <cellStyle name="금액 9 22" xfId="22551"/>
    <cellStyle name="금액 9 23" xfId="22552"/>
    <cellStyle name="금액 9 24" xfId="22553"/>
    <cellStyle name="금액 9 25" xfId="22554"/>
    <cellStyle name="금액 9 26" xfId="22555"/>
    <cellStyle name="금액 9 27" xfId="22556"/>
    <cellStyle name="금액 9 28" xfId="22557"/>
    <cellStyle name="금액 9 29" xfId="22558"/>
    <cellStyle name="금액 9 3" xfId="22559"/>
    <cellStyle name="금액 9 30" xfId="22560"/>
    <cellStyle name="금액 9 31" xfId="22561"/>
    <cellStyle name="금액 9 32" xfId="22562"/>
    <cellStyle name="금액 9 33" xfId="22563"/>
    <cellStyle name="금액 9 34" xfId="22564"/>
    <cellStyle name="금액 9 35" xfId="22565"/>
    <cellStyle name="금액 9 36" xfId="22566"/>
    <cellStyle name="금액 9 37" xfId="22567"/>
    <cellStyle name="금액 9 38" xfId="22568"/>
    <cellStyle name="금액 9 39" xfId="22569"/>
    <cellStyle name="금액 9 4" xfId="22570"/>
    <cellStyle name="금액 9 40" xfId="22571"/>
    <cellStyle name="금액 9 41" xfId="22572"/>
    <cellStyle name="금액 9 42" xfId="22573"/>
    <cellStyle name="금액 9 43" xfId="22574"/>
    <cellStyle name="금액 9 44" xfId="22575"/>
    <cellStyle name="금액 9 45" xfId="22576"/>
    <cellStyle name="금액 9 46" xfId="22577"/>
    <cellStyle name="금액 9 47" xfId="22578"/>
    <cellStyle name="금액 9 48" xfId="22579"/>
    <cellStyle name="금액 9 5" xfId="22580"/>
    <cellStyle name="금액 9 6" xfId="22581"/>
    <cellStyle name="금액 9 7" xfId="22582"/>
    <cellStyle name="금액 9 8" xfId="22583"/>
    <cellStyle name="금액 9 9" xfId="22584"/>
    <cellStyle name="금액 9_분양(100%)" xfId="39023"/>
    <cellStyle name="금액_분양(100%)" xfId="38969"/>
    <cellStyle name="긪귽긬?깏깛긏" xfId="4355"/>
    <cellStyle name="기계" xfId="679"/>
    <cellStyle name="껵_x0003_" xfId="22585"/>
    <cellStyle name="끼_x0001_?" xfId="2763"/>
    <cellStyle name="나쁨 2" xfId="4356"/>
    <cellStyle name="나쁨 2 2" xfId="22586"/>
    <cellStyle name="나쁨 2_분양(100%)" xfId="39024"/>
    <cellStyle name="나쁨 3" xfId="22587"/>
    <cellStyle name="나쁨 4" xfId="22588"/>
    <cellStyle name="나쁨 5" xfId="22589"/>
    <cellStyle name="나쁨 6" xfId="22590"/>
    <cellStyle name="나열번호" xfId="22591"/>
    <cellStyle name="날짜" xfId="240"/>
    <cellStyle name="날짜 2" xfId="4357"/>
    <cellStyle name="날짜 3" xfId="22592"/>
    <cellStyle name="날짜 4" xfId="22593"/>
    <cellStyle name="날짜(네자리)" xfId="22594"/>
    <cellStyle name="날짜(두자리)" xfId="22595"/>
    <cellStyle name="날짜_070913-통합차입금현황" xfId="22596"/>
    <cellStyle name="내역서" xfId="680"/>
    <cellStyle name="네모제목" xfId="22597"/>
    <cellStyle name="년도" xfId="241"/>
    <cellStyle name="년도 2" xfId="562"/>
    <cellStyle name="년도 2 2" xfId="3160"/>
    <cellStyle name="년도 2 2 2" xfId="3822"/>
    <cellStyle name="년도 2 2 2 2" xfId="4891"/>
    <cellStyle name="년도 2 2 2 3" xfId="5245"/>
    <cellStyle name="년도 2 2 3" xfId="3823"/>
    <cellStyle name="년도 2 2 3 2" xfId="4892"/>
    <cellStyle name="년도 2 2 3 3" xfId="5246"/>
    <cellStyle name="년도 2 2 4" xfId="3824"/>
    <cellStyle name="년도 2 2 4 2" xfId="4893"/>
    <cellStyle name="년도 2 2 4 3" xfId="5247"/>
    <cellStyle name="년도 2 2 5" xfId="4575"/>
    <cellStyle name="년도 2 2 6" xfId="4475"/>
    <cellStyle name="년도 2 3" xfId="3825"/>
    <cellStyle name="년도 2 3 2" xfId="4894"/>
    <cellStyle name="년도 2 3 3" xfId="5248"/>
    <cellStyle name="년도 2 4" xfId="3826"/>
    <cellStyle name="년도 2 4 2" xfId="4895"/>
    <cellStyle name="년도 2 4 3" xfId="5249"/>
    <cellStyle name="년도 2 5" xfId="3827"/>
    <cellStyle name="년도 2 5 2" xfId="4896"/>
    <cellStyle name="년도 2 5 3" xfId="5250"/>
    <cellStyle name="년도 3" xfId="563"/>
    <cellStyle name="년도 3 2" xfId="3161"/>
    <cellStyle name="년도 3 2 2" xfId="3828"/>
    <cellStyle name="년도 3 2 2 2" xfId="4897"/>
    <cellStyle name="년도 3 2 2 3" xfId="5251"/>
    <cellStyle name="년도 3 2 3" xfId="3829"/>
    <cellStyle name="년도 3 2 3 2" xfId="4898"/>
    <cellStyle name="년도 3 2 3 3" xfId="5252"/>
    <cellStyle name="년도 3 2 4" xfId="3830"/>
    <cellStyle name="년도 3 2 4 2" xfId="4899"/>
    <cellStyle name="년도 3 2 4 3" xfId="5253"/>
    <cellStyle name="년도 3 2 5" xfId="4576"/>
    <cellStyle name="년도 3 2 6" xfId="4474"/>
    <cellStyle name="년도 3 3" xfId="3831"/>
    <cellStyle name="년도 3 3 2" xfId="4900"/>
    <cellStyle name="년도 3 3 3" xfId="5254"/>
    <cellStyle name="년도 3 4" xfId="3832"/>
    <cellStyle name="년도 3 4 2" xfId="4901"/>
    <cellStyle name="년도 3 4 3" xfId="5255"/>
    <cellStyle name="년도 3 5" xfId="3833"/>
    <cellStyle name="년도 3 5 2" xfId="4902"/>
    <cellStyle name="년도 3 5 3" xfId="5256"/>
    <cellStyle name="년도 4" xfId="557"/>
    <cellStyle name="년도 4 2" xfId="3155"/>
    <cellStyle name="년도 4 2 2" xfId="3834"/>
    <cellStyle name="년도 4 2 2 2" xfId="4903"/>
    <cellStyle name="년도 4 2 2 3" xfId="5257"/>
    <cellStyle name="년도 4 2 3" xfId="3835"/>
    <cellStyle name="년도 4 2 3 2" xfId="4904"/>
    <cellStyle name="년도 4 2 3 3" xfId="5258"/>
    <cellStyle name="년도 4 2 4" xfId="3836"/>
    <cellStyle name="년도 4 2 4 2" xfId="4905"/>
    <cellStyle name="년도 4 2 4 3" xfId="5259"/>
    <cellStyle name="년도 4 2 5" xfId="4570"/>
    <cellStyle name="년도 4 2 6" xfId="4480"/>
    <cellStyle name="년도 4 3" xfId="3837"/>
    <cellStyle name="년도 4 3 2" xfId="4906"/>
    <cellStyle name="년도 4 3 3" xfId="5260"/>
    <cellStyle name="년도 4 4" xfId="3838"/>
    <cellStyle name="년도 4 4 2" xfId="4907"/>
    <cellStyle name="년도 4 4 3" xfId="5261"/>
    <cellStyle name="년도 4 5" xfId="3839"/>
    <cellStyle name="년도 4 5 2" xfId="4908"/>
    <cellStyle name="년도 4 5 3" xfId="5262"/>
    <cellStyle name="년도 5" xfId="3122"/>
    <cellStyle name="년도 5 2" xfId="3840"/>
    <cellStyle name="년도 5 2 2" xfId="4909"/>
    <cellStyle name="년도 5 2 3" xfId="5263"/>
    <cellStyle name="년도 5 3" xfId="3841"/>
    <cellStyle name="년도 5 3 2" xfId="4910"/>
    <cellStyle name="년도 5 3 3" xfId="5264"/>
    <cellStyle name="년도 5 4" xfId="3842"/>
    <cellStyle name="년도 5 4 2" xfId="4911"/>
    <cellStyle name="년도 5 4 3" xfId="5265"/>
    <cellStyle name="년도 5 5" xfId="4537"/>
    <cellStyle name="년도 5 6" xfId="4494"/>
    <cellStyle name="년도 6" xfId="3843"/>
    <cellStyle name="년도 6 2" xfId="4912"/>
    <cellStyle name="년도 6 3" xfId="5266"/>
    <cellStyle name="년도 7" xfId="3844"/>
    <cellStyle name="년도 7 2" xfId="4913"/>
    <cellStyle name="년도 7 3" xfId="5267"/>
    <cellStyle name="년도 8" xfId="3845"/>
    <cellStyle name="년도 8 2" xfId="4914"/>
    <cellStyle name="년도 8 3" xfId="5268"/>
    <cellStyle name="년도_분양(100%)" xfId="39025"/>
    <cellStyle name="단위 : 천원" xfId="4358"/>
    <cellStyle name="달러" xfId="242"/>
    <cellStyle name="달러 2" xfId="22598"/>
    <cellStyle name="달러 3" xfId="22599"/>
    <cellStyle name="달러_분양(100%)" xfId="39026"/>
    <cellStyle name="뒤에 오는 하이퍼링크" xfId="2764"/>
    <cellStyle name="똿떓죶Ø괻 [0.00]_PRODUCT DETAIL Q1" xfId="22600"/>
    <cellStyle name="똿떓죶Ø괻_PRODUCT DETAIL Q1" xfId="22601"/>
    <cellStyle name="똿뗦먛귟 [0.00]_9703JPY" xfId="4359"/>
    <cellStyle name="똿뗦먛귟_9703JPY" xfId="4360"/>
    <cellStyle name="마이너스키" xfId="22602"/>
    <cellStyle name="마ㅊ춤" xfId="22603"/>
    <cellStyle name="맞춤" xfId="22604"/>
    <cellStyle name="매" xfId="22605"/>
    <cellStyle name="매_02-포장-1" xfId="22606"/>
    <cellStyle name="매_02-포장-1_분양(100%)" xfId="39028"/>
    <cellStyle name="매_분양(100%)" xfId="39027"/>
    <cellStyle name="메모" xfId="604" builtinId="10"/>
    <cellStyle name="메모 10" xfId="22607"/>
    <cellStyle name="메모 10 10" xfId="22608"/>
    <cellStyle name="메모 10 11" xfId="22609"/>
    <cellStyle name="메모 10 12" xfId="22610"/>
    <cellStyle name="메모 10 13" xfId="22611"/>
    <cellStyle name="메모 10 14" xfId="22612"/>
    <cellStyle name="메모 10 15" xfId="22613"/>
    <cellStyle name="메모 10 16" xfId="22614"/>
    <cellStyle name="메모 10 17" xfId="22615"/>
    <cellStyle name="메모 10 18" xfId="22616"/>
    <cellStyle name="메모 10 19" xfId="22617"/>
    <cellStyle name="메모 10 2" xfId="22618"/>
    <cellStyle name="메모 10 20" xfId="22619"/>
    <cellStyle name="메모 10 21" xfId="22620"/>
    <cellStyle name="메모 10 22" xfId="22621"/>
    <cellStyle name="메모 10 23" xfId="22622"/>
    <cellStyle name="메모 10 24" xfId="22623"/>
    <cellStyle name="메모 10 25" xfId="22624"/>
    <cellStyle name="메모 10 26" xfId="22625"/>
    <cellStyle name="메모 10 27" xfId="22626"/>
    <cellStyle name="메모 10 28" xfId="22627"/>
    <cellStyle name="메모 10 29" xfId="22628"/>
    <cellStyle name="메모 10 3" xfId="22629"/>
    <cellStyle name="메모 10 30" xfId="22630"/>
    <cellStyle name="메모 10 31" xfId="22631"/>
    <cellStyle name="메모 10 32" xfId="22632"/>
    <cellStyle name="메모 10 33" xfId="22633"/>
    <cellStyle name="메모 10 34" xfId="22634"/>
    <cellStyle name="메모 10 35" xfId="22635"/>
    <cellStyle name="메모 10 36" xfId="22636"/>
    <cellStyle name="메모 10 37" xfId="22637"/>
    <cellStyle name="메모 10 38" xfId="22638"/>
    <cellStyle name="메모 10 39" xfId="22639"/>
    <cellStyle name="메모 10 4" xfId="22640"/>
    <cellStyle name="메모 10 5" xfId="22641"/>
    <cellStyle name="메모 10 6" xfId="22642"/>
    <cellStyle name="메모 10 7" xfId="22643"/>
    <cellStyle name="메모 10 8" xfId="22644"/>
    <cellStyle name="메모 10 9" xfId="22645"/>
    <cellStyle name="메모 10_분양(100%)" xfId="39029"/>
    <cellStyle name="메모 11" xfId="22646"/>
    <cellStyle name="메모 11 10" xfId="22647"/>
    <cellStyle name="메모 11 11" xfId="22648"/>
    <cellStyle name="메모 11 12" xfId="22649"/>
    <cellStyle name="메모 11 13" xfId="22650"/>
    <cellStyle name="메모 11 14" xfId="22651"/>
    <cellStyle name="메모 11 15" xfId="22652"/>
    <cellStyle name="메모 11 16" xfId="22653"/>
    <cellStyle name="메모 11 17" xfId="22654"/>
    <cellStyle name="메모 11 18" xfId="22655"/>
    <cellStyle name="메모 11 19" xfId="22656"/>
    <cellStyle name="메모 11 2" xfId="22657"/>
    <cellStyle name="메모 11 20" xfId="22658"/>
    <cellStyle name="메모 11 21" xfId="22659"/>
    <cellStyle name="메모 11 22" xfId="22660"/>
    <cellStyle name="메모 11 23" xfId="22661"/>
    <cellStyle name="메모 11 24" xfId="22662"/>
    <cellStyle name="메모 11 25" xfId="22663"/>
    <cellStyle name="메모 11 26" xfId="22664"/>
    <cellStyle name="메모 11 27" xfId="22665"/>
    <cellStyle name="메모 11 28" xfId="22666"/>
    <cellStyle name="메모 11 29" xfId="22667"/>
    <cellStyle name="메모 11 3" xfId="22668"/>
    <cellStyle name="메모 11 30" xfId="22669"/>
    <cellStyle name="메모 11 31" xfId="22670"/>
    <cellStyle name="메모 11 32" xfId="22671"/>
    <cellStyle name="메모 11 33" xfId="22672"/>
    <cellStyle name="메모 11 34" xfId="22673"/>
    <cellStyle name="메모 11 35" xfId="22674"/>
    <cellStyle name="메모 11 36" xfId="22675"/>
    <cellStyle name="메모 11 37" xfId="22676"/>
    <cellStyle name="메모 11 38" xfId="22677"/>
    <cellStyle name="메모 11 39" xfId="22678"/>
    <cellStyle name="메모 11 4" xfId="22679"/>
    <cellStyle name="메모 11 5" xfId="22680"/>
    <cellStyle name="메모 11 6" xfId="22681"/>
    <cellStyle name="메모 11 7" xfId="22682"/>
    <cellStyle name="메모 11 8" xfId="22683"/>
    <cellStyle name="메모 11 9" xfId="22684"/>
    <cellStyle name="메모 11_분양(100%)" xfId="39030"/>
    <cellStyle name="메모 12" xfId="22685"/>
    <cellStyle name="메모 12 10" xfId="22686"/>
    <cellStyle name="메모 12 11" xfId="22687"/>
    <cellStyle name="메모 12 12" xfId="22688"/>
    <cellStyle name="메모 12 13" xfId="22689"/>
    <cellStyle name="메모 12 14" xfId="22690"/>
    <cellStyle name="메모 12 15" xfId="22691"/>
    <cellStyle name="메모 12 16" xfId="22692"/>
    <cellStyle name="메모 12 17" xfId="22693"/>
    <cellStyle name="메모 12 18" xfId="22694"/>
    <cellStyle name="메모 12 19" xfId="22695"/>
    <cellStyle name="메모 12 2" xfId="22696"/>
    <cellStyle name="메모 12 20" xfId="22697"/>
    <cellStyle name="메모 12 21" xfId="22698"/>
    <cellStyle name="메모 12 22" xfId="22699"/>
    <cellStyle name="메모 12 23" xfId="22700"/>
    <cellStyle name="메모 12 24" xfId="22701"/>
    <cellStyle name="메모 12 25" xfId="22702"/>
    <cellStyle name="메모 12 26" xfId="22703"/>
    <cellStyle name="메모 12 27" xfId="22704"/>
    <cellStyle name="메모 12 28" xfId="22705"/>
    <cellStyle name="메모 12 29" xfId="22706"/>
    <cellStyle name="메모 12 3" xfId="22707"/>
    <cellStyle name="메모 12 30" xfId="22708"/>
    <cellStyle name="메모 12 31" xfId="22709"/>
    <cellStyle name="메모 12 32" xfId="22710"/>
    <cellStyle name="메모 12 33" xfId="22711"/>
    <cellStyle name="메모 12 34" xfId="22712"/>
    <cellStyle name="메모 12 35" xfId="22713"/>
    <cellStyle name="메모 12 36" xfId="22714"/>
    <cellStyle name="메모 12 37" xfId="22715"/>
    <cellStyle name="메모 12 38" xfId="22716"/>
    <cellStyle name="메모 12 39" xfId="22717"/>
    <cellStyle name="메모 12 4" xfId="22718"/>
    <cellStyle name="메모 12 5" xfId="22719"/>
    <cellStyle name="메모 12 6" xfId="22720"/>
    <cellStyle name="메모 12 7" xfId="22721"/>
    <cellStyle name="메모 12 8" xfId="22722"/>
    <cellStyle name="메모 12 9" xfId="22723"/>
    <cellStyle name="메모 12_분양(100%)" xfId="39031"/>
    <cellStyle name="메모 13" xfId="22724"/>
    <cellStyle name="메모 13 10" xfId="22725"/>
    <cellStyle name="메모 13 11" xfId="22726"/>
    <cellStyle name="메모 13 12" xfId="22727"/>
    <cellStyle name="메모 13 13" xfId="22728"/>
    <cellStyle name="메모 13 14" xfId="22729"/>
    <cellStyle name="메모 13 15" xfId="22730"/>
    <cellStyle name="메모 13 16" xfId="22731"/>
    <cellStyle name="메모 13 17" xfId="22732"/>
    <cellStyle name="메모 13 18" xfId="22733"/>
    <cellStyle name="메모 13 19" xfId="22734"/>
    <cellStyle name="메모 13 2" xfId="22735"/>
    <cellStyle name="메모 13 20" xfId="22736"/>
    <cellStyle name="메모 13 21" xfId="22737"/>
    <cellStyle name="메모 13 22" xfId="22738"/>
    <cellStyle name="메모 13 23" xfId="22739"/>
    <cellStyle name="메모 13 24" xfId="22740"/>
    <cellStyle name="메모 13 25" xfId="22741"/>
    <cellStyle name="메모 13 26" xfId="22742"/>
    <cellStyle name="메모 13 27" xfId="22743"/>
    <cellStyle name="메모 13 28" xfId="22744"/>
    <cellStyle name="메모 13 29" xfId="22745"/>
    <cellStyle name="메모 13 3" xfId="22746"/>
    <cellStyle name="메모 13 30" xfId="22747"/>
    <cellStyle name="메모 13 31" xfId="22748"/>
    <cellStyle name="메모 13 32" xfId="22749"/>
    <cellStyle name="메모 13 33" xfId="22750"/>
    <cellStyle name="메모 13 34" xfId="22751"/>
    <cellStyle name="메모 13 35" xfId="22752"/>
    <cellStyle name="메모 13 36" xfId="22753"/>
    <cellStyle name="메모 13 37" xfId="22754"/>
    <cellStyle name="메모 13 38" xfId="22755"/>
    <cellStyle name="메모 13 39" xfId="22756"/>
    <cellStyle name="메모 13 4" xfId="22757"/>
    <cellStyle name="메모 13 5" xfId="22758"/>
    <cellStyle name="메모 13 6" xfId="22759"/>
    <cellStyle name="메모 13 7" xfId="22760"/>
    <cellStyle name="메모 13 8" xfId="22761"/>
    <cellStyle name="메모 13 9" xfId="22762"/>
    <cellStyle name="메모 13_분양(100%)" xfId="39032"/>
    <cellStyle name="메모 14" xfId="22763"/>
    <cellStyle name="메모 14 10" xfId="22764"/>
    <cellStyle name="메모 14 11" xfId="22765"/>
    <cellStyle name="메모 14 12" xfId="22766"/>
    <cellStyle name="메모 14 13" xfId="22767"/>
    <cellStyle name="메모 14 14" xfId="22768"/>
    <cellStyle name="메모 14 15" xfId="22769"/>
    <cellStyle name="메모 14 16" xfId="22770"/>
    <cellStyle name="메모 14 17" xfId="22771"/>
    <cellStyle name="메모 14 18" xfId="22772"/>
    <cellStyle name="메모 14 19" xfId="22773"/>
    <cellStyle name="메모 14 2" xfId="22774"/>
    <cellStyle name="메모 14 20" xfId="22775"/>
    <cellStyle name="메모 14 21" xfId="22776"/>
    <cellStyle name="메모 14 22" xfId="22777"/>
    <cellStyle name="메모 14 23" xfId="22778"/>
    <cellStyle name="메모 14 24" xfId="22779"/>
    <cellStyle name="메모 14 25" xfId="22780"/>
    <cellStyle name="메모 14 26" xfId="22781"/>
    <cellStyle name="메모 14 27" xfId="22782"/>
    <cellStyle name="메모 14 28" xfId="22783"/>
    <cellStyle name="메모 14 29" xfId="22784"/>
    <cellStyle name="메모 14 3" xfId="22785"/>
    <cellStyle name="메모 14 30" xfId="22786"/>
    <cellStyle name="메모 14 31" xfId="22787"/>
    <cellStyle name="메모 14 32" xfId="22788"/>
    <cellStyle name="메모 14 33" xfId="22789"/>
    <cellStyle name="메모 14 34" xfId="22790"/>
    <cellStyle name="메모 14 35" xfId="22791"/>
    <cellStyle name="메모 14 36" xfId="22792"/>
    <cellStyle name="메모 14 37" xfId="22793"/>
    <cellStyle name="메모 14 38" xfId="22794"/>
    <cellStyle name="메모 14 39" xfId="22795"/>
    <cellStyle name="메모 14 4" xfId="22796"/>
    <cellStyle name="메모 14 5" xfId="22797"/>
    <cellStyle name="메모 14 6" xfId="22798"/>
    <cellStyle name="메모 14 7" xfId="22799"/>
    <cellStyle name="메모 14 8" xfId="22800"/>
    <cellStyle name="메모 14 9" xfId="22801"/>
    <cellStyle name="메모 14_분양(100%)" xfId="39033"/>
    <cellStyle name="메모 15" xfId="22802"/>
    <cellStyle name="메모 15 10" xfId="22803"/>
    <cellStyle name="메모 15 11" xfId="22804"/>
    <cellStyle name="메모 15 12" xfId="22805"/>
    <cellStyle name="메모 15 13" xfId="22806"/>
    <cellStyle name="메모 15 14" xfId="22807"/>
    <cellStyle name="메모 15 15" xfId="22808"/>
    <cellStyle name="메모 15 16" xfId="22809"/>
    <cellStyle name="메모 15 17" xfId="22810"/>
    <cellStyle name="메모 15 18" xfId="22811"/>
    <cellStyle name="메모 15 19" xfId="22812"/>
    <cellStyle name="메모 15 2" xfId="22813"/>
    <cellStyle name="메모 15 20" xfId="22814"/>
    <cellStyle name="메모 15 21" xfId="22815"/>
    <cellStyle name="메모 15 22" xfId="22816"/>
    <cellStyle name="메모 15 23" xfId="22817"/>
    <cellStyle name="메모 15 24" xfId="22818"/>
    <cellStyle name="메모 15 25" xfId="22819"/>
    <cellStyle name="메모 15 26" xfId="22820"/>
    <cellStyle name="메모 15 27" xfId="22821"/>
    <cellStyle name="메모 15 28" xfId="22822"/>
    <cellStyle name="메모 15 29" xfId="22823"/>
    <cellStyle name="메모 15 3" xfId="22824"/>
    <cellStyle name="메모 15 30" xfId="22825"/>
    <cellStyle name="메모 15 31" xfId="22826"/>
    <cellStyle name="메모 15 32" xfId="22827"/>
    <cellStyle name="메모 15 33" xfId="22828"/>
    <cellStyle name="메모 15 34" xfId="22829"/>
    <cellStyle name="메모 15 35" xfId="22830"/>
    <cellStyle name="메모 15 36" xfId="22831"/>
    <cellStyle name="메모 15 37" xfId="22832"/>
    <cellStyle name="메모 15 38" xfId="22833"/>
    <cellStyle name="메모 15 39" xfId="22834"/>
    <cellStyle name="메모 15 4" xfId="22835"/>
    <cellStyle name="메모 15 5" xfId="22836"/>
    <cellStyle name="메모 15 6" xfId="22837"/>
    <cellStyle name="메모 15 7" xfId="22838"/>
    <cellStyle name="메모 15 8" xfId="22839"/>
    <cellStyle name="메모 15 9" xfId="22840"/>
    <cellStyle name="메모 15_분양(100%)" xfId="39034"/>
    <cellStyle name="메모 16" xfId="22841"/>
    <cellStyle name="메모 16 10" xfId="22842"/>
    <cellStyle name="메모 16 11" xfId="22843"/>
    <cellStyle name="메모 16 12" xfId="22844"/>
    <cellStyle name="메모 16 13" xfId="22845"/>
    <cellStyle name="메모 16 14" xfId="22846"/>
    <cellStyle name="메모 16 15" xfId="22847"/>
    <cellStyle name="메모 16 16" xfId="22848"/>
    <cellStyle name="메모 16 17" xfId="22849"/>
    <cellStyle name="메모 16 18" xfId="22850"/>
    <cellStyle name="메모 16 19" xfId="22851"/>
    <cellStyle name="메모 16 2" xfId="22852"/>
    <cellStyle name="메모 16 20" xfId="22853"/>
    <cellStyle name="메모 16 21" xfId="22854"/>
    <cellStyle name="메모 16 22" xfId="22855"/>
    <cellStyle name="메모 16 23" xfId="22856"/>
    <cellStyle name="메모 16 24" xfId="22857"/>
    <cellStyle name="메모 16 25" xfId="22858"/>
    <cellStyle name="메모 16 26" xfId="22859"/>
    <cellStyle name="메모 16 27" xfId="22860"/>
    <cellStyle name="메모 16 28" xfId="22861"/>
    <cellStyle name="메모 16 29" xfId="22862"/>
    <cellStyle name="메모 16 3" xfId="22863"/>
    <cellStyle name="메모 16 30" xfId="22864"/>
    <cellStyle name="메모 16 31" xfId="22865"/>
    <cellStyle name="메모 16 32" xfId="22866"/>
    <cellStyle name="메모 16 33" xfId="22867"/>
    <cellStyle name="메모 16 34" xfId="22868"/>
    <cellStyle name="메모 16 35" xfId="22869"/>
    <cellStyle name="메모 16 36" xfId="22870"/>
    <cellStyle name="메모 16 37" xfId="22871"/>
    <cellStyle name="메모 16 38" xfId="22872"/>
    <cellStyle name="메모 16 39" xfId="22873"/>
    <cellStyle name="메모 16 4" xfId="22874"/>
    <cellStyle name="메모 16 5" xfId="22875"/>
    <cellStyle name="메모 16 6" xfId="22876"/>
    <cellStyle name="메모 16 7" xfId="22877"/>
    <cellStyle name="메모 16 8" xfId="22878"/>
    <cellStyle name="메모 16 9" xfId="22879"/>
    <cellStyle name="메모 16_분양(100%)" xfId="39035"/>
    <cellStyle name="메모 17" xfId="22880"/>
    <cellStyle name="메모 17 10" xfId="22881"/>
    <cellStyle name="메모 17 11" xfId="22882"/>
    <cellStyle name="메모 17 12" xfId="22883"/>
    <cellStyle name="메모 17 13" xfId="22884"/>
    <cellStyle name="메모 17 14" xfId="22885"/>
    <cellStyle name="메모 17 15" xfId="22886"/>
    <cellStyle name="메모 17 16" xfId="22887"/>
    <cellStyle name="메모 17 17" xfId="22888"/>
    <cellStyle name="메모 17 18" xfId="22889"/>
    <cellStyle name="메모 17 19" xfId="22890"/>
    <cellStyle name="메모 17 2" xfId="22891"/>
    <cellStyle name="메모 17 20" xfId="22892"/>
    <cellStyle name="메모 17 21" xfId="22893"/>
    <cellStyle name="메모 17 22" xfId="22894"/>
    <cellStyle name="메모 17 23" xfId="22895"/>
    <cellStyle name="메모 17 24" xfId="22896"/>
    <cellStyle name="메모 17 25" xfId="22897"/>
    <cellStyle name="메모 17 26" xfId="22898"/>
    <cellStyle name="메모 17 27" xfId="22899"/>
    <cellStyle name="메모 17 28" xfId="22900"/>
    <cellStyle name="메모 17 29" xfId="22901"/>
    <cellStyle name="메모 17 3" xfId="22902"/>
    <cellStyle name="메모 17 30" xfId="22903"/>
    <cellStyle name="메모 17 31" xfId="22904"/>
    <cellStyle name="메모 17 32" xfId="22905"/>
    <cellStyle name="메모 17 33" xfId="22906"/>
    <cellStyle name="메모 17 34" xfId="22907"/>
    <cellStyle name="메모 17 35" xfId="22908"/>
    <cellStyle name="메모 17 36" xfId="22909"/>
    <cellStyle name="메모 17 37" xfId="22910"/>
    <cellStyle name="메모 17 38" xfId="22911"/>
    <cellStyle name="메모 17 39" xfId="22912"/>
    <cellStyle name="메모 17 4" xfId="22913"/>
    <cellStyle name="메모 17 5" xfId="22914"/>
    <cellStyle name="메모 17 6" xfId="22915"/>
    <cellStyle name="메모 17 7" xfId="22916"/>
    <cellStyle name="메모 17 8" xfId="22917"/>
    <cellStyle name="메모 17 9" xfId="22918"/>
    <cellStyle name="메모 17_분양(100%)" xfId="39036"/>
    <cellStyle name="메모 18" xfId="22919"/>
    <cellStyle name="메모 18 10" xfId="22920"/>
    <cellStyle name="메모 18 11" xfId="22921"/>
    <cellStyle name="메모 18 12" xfId="22922"/>
    <cellStyle name="메모 18 13" xfId="22923"/>
    <cellStyle name="메모 18 14" xfId="22924"/>
    <cellStyle name="메모 18 15" xfId="22925"/>
    <cellStyle name="메모 18 16" xfId="22926"/>
    <cellStyle name="메모 18 17" xfId="22927"/>
    <cellStyle name="메모 18 18" xfId="22928"/>
    <cellStyle name="메모 18 19" xfId="22929"/>
    <cellStyle name="메모 18 2" xfId="22930"/>
    <cellStyle name="메모 18 20" xfId="22931"/>
    <cellStyle name="메모 18 21" xfId="22932"/>
    <cellStyle name="메모 18 22" xfId="22933"/>
    <cellStyle name="메모 18 23" xfId="22934"/>
    <cellStyle name="메모 18 24" xfId="22935"/>
    <cellStyle name="메모 18 25" xfId="22936"/>
    <cellStyle name="메모 18 26" xfId="22937"/>
    <cellStyle name="메모 18 27" xfId="22938"/>
    <cellStyle name="메모 18 28" xfId="22939"/>
    <cellStyle name="메모 18 29" xfId="22940"/>
    <cellStyle name="메모 18 3" xfId="22941"/>
    <cellStyle name="메모 18 30" xfId="22942"/>
    <cellStyle name="메모 18 31" xfId="22943"/>
    <cellStyle name="메모 18 32" xfId="22944"/>
    <cellStyle name="메모 18 33" xfId="22945"/>
    <cellStyle name="메모 18 34" xfId="22946"/>
    <cellStyle name="메모 18 35" xfId="22947"/>
    <cellStyle name="메모 18 36" xfId="22948"/>
    <cellStyle name="메모 18 37" xfId="22949"/>
    <cellStyle name="메모 18 38" xfId="22950"/>
    <cellStyle name="메모 18 39" xfId="22951"/>
    <cellStyle name="메모 18 4" xfId="22952"/>
    <cellStyle name="메모 18 5" xfId="22953"/>
    <cellStyle name="메모 18 6" xfId="22954"/>
    <cellStyle name="메모 18 7" xfId="22955"/>
    <cellStyle name="메모 18 8" xfId="22956"/>
    <cellStyle name="메모 18 9" xfId="22957"/>
    <cellStyle name="메모 18_분양(100%)" xfId="39037"/>
    <cellStyle name="메모 19" xfId="22958"/>
    <cellStyle name="메모 19 10" xfId="22959"/>
    <cellStyle name="메모 19 11" xfId="22960"/>
    <cellStyle name="메모 19 12" xfId="22961"/>
    <cellStyle name="메모 19 13" xfId="22962"/>
    <cellStyle name="메모 19 14" xfId="22963"/>
    <cellStyle name="메모 19 15" xfId="22964"/>
    <cellStyle name="메모 19 16" xfId="22965"/>
    <cellStyle name="메모 19 17" xfId="22966"/>
    <cellStyle name="메모 19 18" xfId="22967"/>
    <cellStyle name="메모 19 19" xfId="22968"/>
    <cellStyle name="메모 19 2" xfId="22969"/>
    <cellStyle name="메모 19 20" xfId="22970"/>
    <cellStyle name="메모 19 21" xfId="22971"/>
    <cellStyle name="메모 19 22" xfId="22972"/>
    <cellStyle name="메모 19 23" xfId="22973"/>
    <cellStyle name="메모 19 24" xfId="22974"/>
    <cellStyle name="메모 19 25" xfId="22975"/>
    <cellStyle name="메모 19 26" xfId="22976"/>
    <cellStyle name="메모 19 27" xfId="22977"/>
    <cellStyle name="메모 19 28" xfId="22978"/>
    <cellStyle name="메모 19 29" xfId="22979"/>
    <cellStyle name="메모 19 3" xfId="22980"/>
    <cellStyle name="메모 19 30" xfId="22981"/>
    <cellStyle name="메모 19 31" xfId="22982"/>
    <cellStyle name="메모 19 32" xfId="22983"/>
    <cellStyle name="메모 19 33" xfId="22984"/>
    <cellStyle name="메모 19 34" xfId="22985"/>
    <cellStyle name="메모 19 35" xfId="22986"/>
    <cellStyle name="메모 19 36" xfId="22987"/>
    <cellStyle name="메모 19 37" xfId="22988"/>
    <cellStyle name="메모 19 38" xfId="22989"/>
    <cellStyle name="메모 19 39" xfId="22990"/>
    <cellStyle name="메모 19 4" xfId="22991"/>
    <cellStyle name="메모 19 5" xfId="22992"/>
    <cellStyle name="메모 19 6" xfId="22993"/>
    <cellStyle name="메모 19 7" xfId="22994"/>
    <cellStyle name="메모 19 8" xfId="22995"/>
    <cellStyle name="메모 19 9" xfId="22996"/>
    <cellStyle name="메모 19_분양(100%)" xfId="39038"/>
    <cellStyle name="메모 2" xfId="2765"/>
    <cellStyle name="메모 2 10" xfId="22997"/>
    <cellStyle name="메모 2 10 10" xfId="22998"/>
    <cellStyle name="메모 2 10 11" xfId="22999"/>
    <cellStyle name="메모 2 10 12" xfId="23000"/>
    <cellStyle name="메모 2 10 13" xfId="23001"/>
    <cellStyle name="메모 2 10 14" xfId="23002"/>
    <cellStyle name="메모 2 10 15" xfId="23003"/>
    <cellStyle name="메모 2 10 16" xfId="23004"/>
    <cellStyle name="메모 2 10 17" xfId="23005"/>
    <cellStyle name="메모 2 10 18" xfId="23006"/>
    <cellStyle name="메모 2 10 19" xfId="23007"/>
    <cellStyle name="메모 2 10 2" xfId="23008"/>
    <cellStyle name="메모 2 10 20" xfId="23009"/>
    <cellStyle name="메모 2 10 21" xfId="23010"/>
    <cellStyle name="메모 2 10 22" xfId="23011"/>
    <cellStyle name="메모 2 10 23" xfId="23012"/>
    <cellStyle name="메모 2 10 24" xfId="23013"/>
    <cellStyle name="메모 2 10 25" xfId="23014"/>
    <cellStyle name="메모 2 10 26" xfId="23015"/>
    <cellStyle name="메모 2 10 27" xfId="23016"/>
    <cellStyle name="메모 2 10 28" xfId="23017"/>
    <cellStyle name="메모 2 10 29" xfId="23018"/>
    <cellStyle name="메모 2 10 3" xfId="23019"/>
    <cellStyle name="메모 2 10 30" xfId="23020"/>
    <cellStyle name="메모 2 10 31" xfId="23021"/>
    <cellStyle name="메모 2 10 32" xfId="23022"/>
    <cellStyle name="메모 2 10 33" xfId="23023"/>
    <cellStyle name="메모 2 10 34" xfId="23024"/>
    <cellStyle name="메모 2 10 35" xfId="23025"/>
    <cellStyle name="메모 2 10 36" xfId="23026"/>
    <cellStyle name="메모 2 10 37" xfId="23027"/>
    <cellStyle name="메모 2 10 38" xfId="23028"/>
    <cellStyle name="메모 2 10 39" xfId="23029"/>
    <cellStyle name="메모 2 10 4" xfId="23030"/>
    <cellStyle name="메모 2 10 5" xfId="23031"/>
    <cellStyle name="메모 2 10 6" xfId="23032"/>
    <cellStyle name="메모 2 10 7" xfId="23033"/>
    <cellStyle name="메모 2 10 8" xfId="23034"/>
    <cellStyle name="메모 2 10 9" xfId="23035"/>
    <cellStyle name="메모 2 10_분양(100%)" xfId="39040"/>
    <cellStyle name="메모 2 11" xfId="23036"/>
    <cellStyle name="메모 2 11 10" xfId="23037"/>
    <cellStyle name="메모 2 11 11" xfId="23038"/>
    <cellStyle name="메모 2 11 12" xfId="23039"/>
    <cellStyle name="메모 2 11 13" xfId="23040"/>
    <cellStyle name="메모 2 11 14" xfId="23041"/>
    <cellStyle name="메모 2 11 15" xfId="23042"/>
    <cellStyle name="메모 2 11 16" xfId="23043"/>
    <cellStyle name="메모 2 11 17" xfId="23044"/>
    <cellStyle name="메모 2 11 18" xfId="23045"/>
    <cellStyle name="메모 2 11 19" xfId="23046"/>
    <cellStyle name="메모 2 11 2" xfId="23047"/>
    <cellStyle name="메모 2 11 20" xfId="23048"/>
    <cellStyle name="메모 2 11 21" xfId="23049"/>
    <cellStyle name="메모 2 11 22" xfId="23050"/>
    <cellStyle name="메모 2 11 23" xfId="23051"/>
    <cellStyle name="메모 2 11 24" xfId="23052"/>
    <cellStyle name="메모 2 11 25" xfId="23053"/>
    <cellStyle name="메모 2 11 26" xfId="23054"/>
    <cellStyle name="메모 2 11 27" xfId="23055"/>
    <cellStyle name="메모 2 11 28" xfId="23056"/>
    <cellStyle name="메모 2 11 29" xfId="23057"/>
    <cellStyle name="메모 2 11 3" xfId="23058"/>
    <cellStyle name="메모 2 11 30" xfId="23059"/>
    <cellStyle name="메모 2 11 31" xfId="23060"/>
    <cellStyle name="메모 2 11 32" xfId="23061"/>
    <cellStyle name="메모 2 11 33" xfId="23062"/>
    <cellStyle name="메모 2 11 34" xfId="23063"/>
    <cellStyle name="메모 2 11 35" xfId="23064"/>
    <cellStyle name="메모 2 11 36" xfId="23065"/>
    <cellStyle name="메모 2 11 37" xfId="23066"/>
    <cellStyle name="메모 2 11 38" xfId="23067"/>
    <cellStyle name="메모 2 11 39" xfId="23068"/>
    <cellStyle name="메모 2 11 4" xfId="23069"/>
    <cellStyle name="메모 2 11 5" xfId="23070"/>
    <cellStyle name="메모 2 11 6" xfId="23071"/>
    <cellStyle name="메모 2 11 7" xfId="23072"/>
    <cellStyle name="메모 2 11 8" xfId="23073"/>
    <cellStyle name="메모 2 11 9" xfId="23074"/>
    <cellStyle name="메모 2 11_분양(100%)" xfId="39041"/>
    <cellStyle name="메모 2 12" xfId="23075"/>
    <cellStyle name="메모 2 12 10" xfId="23076"/>
    <cellStyle name="메모 2 12 11" xfId="23077"/>
    <cellStyle name="메모 2 12 12" xfId="23078"/>
    <cellStyle name="메모 2 12 13" xfId="23079"/>
    <cellStyle name="메모 2 12 14" xfId="23080"/>
    <cellStyle name="메모 2 12 15" xfId="23081"/>
    <cellStyle name="메모 2 12 16" xfId="23082"/>
    <cellStyle name="메모 2 12 17" xfId="23083"/>
    <cellStyle name="메모 2 12 18" xfId="23084"/>
    <cellStyle name="메모 2 12 19" xfId="23085"/>
    <cellStyle name="메모 2 12 2" xfId="23086"/>
    <cellStyle name="메모 2 12 20" xfId="23087"/>
    <cellStyle name="메모 2 12 21" xfId="23088"/>
    <cellStyle name="메모 2 12 22" xfId="23089"/>
    <cellStyle name="메모 2 12 23" xfId="23090"/>
    <cellStyle name="메모 2 12 24" xfId="23091"/>
    <cellStyle name="메모 2 12 25" xfId="23092"/>
    <cellStyle name="메모 2 12 26" xfId="23093"/>
    <cellStyle name="메모 2 12 27" xfId="23094"/>
    <cellStyle name="메모 2 12 28" xfId="23095"/>
    <cellStyle name="메모 2 12 29" xfId="23096"/>
    <cellStyle name="메모 2 12 3" xfId="23097"/>
    <cellStyle name="메모 2 12 30" xfId="23098"/>
    <cellStyle name="메모 2 12 31" xfId="23099"/>
    <cellStyle name="메모 2 12 32" xfId="23100"/>
    <cellStyle name="메모 2 12 33" xfId="23101"/>
    <cellStyle name="메모 2 12 34" xfId="23102"/>
    <cellStyle name="메모 2 12 35" xfId="23103"/>
    <cellStyle name="메모 2 12 36" xfId="23104"/>
    <cellStyle name="메모 2 12 37" xfId="23105"/>
    <cellStyle name="메모 2 12 38" xfId="23106"/>
    <cellStyle name="메모 2 12 39" xfId="23107"/>
    <cellStyle name="메모 2 12 4" xfId="23108"/>
    <cellStyle name="메모 2 12 5" xfId="23109"/>
    <cellStyle name="메모 2 12 6" xfId="23110"/>
    <cellStyle name="메모 2 12 7" xfId="23111"/>
    <cellStyle name="메모 2 12 8" xfId="23112"/>
    <cellStyle name="메모 2 12 9" xfId="23113"/>
    <cellStyle name="메모 2 12_분양(100%)" xfId="39042"/>
    <cellStyle name="메모 2 13" xfId="23114"/>
    <cellStyle name="메모 2 13 10" xfId="23115"/>
    <cellStyle name="메모 2 13 11" xfId="23116"/>
    <cellStyle name="메모 2 13 12" xfId="23117"/>
    <cellStyle name="메모 2 13 13" xfId="23118"/>
    <cellStyle name="메모 2 13 14" xfId="23119"/>
    <cellStyle name="메모 2 13 15" xfId="23120"/>
    <cellStyle name="메모 2 13 16" xfId="23121"/>
    <cellStyle name="메모 2 13 17" xfId="23122"/>
    <cellStyle name="메모 2 13 18" xfId="23123"/>
    <cellStyle name="메모 2 13 19" xfId="23124"/>
    <cellStyle name="메모 2 13 2" xfId="23125"/>
    <cellStyle name="메모 2 13 20" xfId="23126"/>
    <cellStyle name="메모 2 13 21" xfId="23127"/>
    <cellStyle name="메모 2 13 22" xfId="23128"/>
    <cellStyle name="메모 2 13 23" xfId="23129"/>
    <cellStyle name="메모 2 13 24" xfId="23130"/>
    <cellStyle name="메모 2 13 25" xfId="23131"/>
    <cellStyle name="메모 2 13 26" xfId="23132"/>
    <cellStyle name="메모 2 13 27" xfId="23133"/>
    <cellStyle name="메모 2 13 28" xfId="23134"/>
    <cellStyle name="메모 2 13 29" xfId="23135"/>
    <cellStyle name="메모 2 13 3" xfId="23136"/>
    <cellStyle name="메모 2 13 30" xfId="23137"/>
    <cellStyle name="메모 2 13 31" xfId="23138"/>
    <cellStyle name="메모 2 13 32" xfId="23139"/>
    <cellStyle name="메모 2 13 33" xfId="23140"/>
    <cellStyle name="메모 2 13 34" xfId="23141"/>
    <cellStyle name="메모 2 13 35" xfId="23142"/>
    <cellStyle name="메모 2 13 36" xfId="23143"/>
    <cellStyle name="메모 2 13 37" xfId="23144"/>
    <cellStyle name="메모 2 13 38" xfId="23145"/>
    <cellStyle name="메모 2 13 39" xfId="23146"/>
    <cellStyle name="메모 2 13 4" xfId="23147"/>
    <cellStyle name="메모 2 13 5" xfId="23148"/>
    <cellStyle name="메모 2 13 6" xfId="23149"/>
    <cellStyle name="메모 2 13 7" xfId="23150"/>
    <cellStyle name="메모 2 13 8" xfId="23151"/>
    <cellStyle name="메모 2 13 9" xfId="23152"/>
    <cellStyle name="메모 2 13_분양(100%)" xfId="39043"/>
    <cellStyle name="메모 2 14" xfId="23153"/>
    <cellStyle name="메모 2 14 10" xfId="23154"/>
    <cellStyle name="메모 2 14 11" xfId="23155"/>
    <cellStyle name="메모 2 14 12" xfId="23156"/>
    <cellStyle name="메모 2 14 13" xfId="23157"/>
    <cellStyle name="메모 2 14 14" xfId="23158"/>
    <cellStyle name="메모 2 14 15" xfId="23159"/>
    <cellStyle name="메모 2 14 16" xfId="23160"/>
    <cellStyle name="메모 2 14 17" xfId="23161"/>
    <cellStyle name="메모 2 14 18" xfId="23162"/>
    <cellStyle name="메모 2 14 19" xfId="23163"/>
    <cellStyle name="메모 2 14 2" xfId="23164"/>
    <cellStyle name="메모 2 14 20" xfId="23165"/>
    <cellStyle name="메모 2 14 21" xfId="23166"/>
    <cellStyle name="메모 2 14 22" xfId="23167"/>
    <cellStyle name="메모 2 14 23" xfId="23168"/>
    <cellStyle name="메모 2 14 24" xfId="23169"/>
    <cellStyle name="메모 2 14 25" xfId="23170"/>
    <cellStyle name="메모 2 14 26" xfId="23171"/>
    <cellStyle name="메모 2 14 27" xfId="23172"/>
    <cellStyle name="메모 2 14 28" xfId="23173"/>
    <cellStyle name="메모 2 14 29" xfId="23174"/>
    <cellStyle name="메모 2 14 3" xfId="23175"/>
    <cellStyle name="메모 2 14 30" xfId="23176"/>
    <cellStyle name="메모 2 14 31" xfId="23177"/>
    <cellStyle name="메모 2 14 32" xfId="23178"/>
    <cellStyle name="메모 2 14 33" xfId="23179"/>
    <cellStyle name="메모 2 14 34" xfId="23180"/>
    <cellStyle name="메모 2 14 35" xfId="23181"/>
    <cellStyle name="메모 2 14 36" xfId="23182"/>
    <cellStyle name="메모 2 14 37" xfId="23183"/>
    <cellStyle name="메모 2 14 38" xfId="23184"/>
    <cellStyle name="메모 2 14 39" xfId="23185"/>
    <cellStyle name="메모 2 14 4" xfId="23186"/>
    <cellStyle name="메모 2 14 5" xfId="23187"/>
    <cellStyle name="메모 2 14 6" xfId="23188"/>
    <cellStyle name="메모 2 14 7" xfId="23189"/>
    <cellStyle name="메모 2 14 8" xfId="23190"/>
    <cellStyle name="메모 2 14 9" xfId="23191"/>
    <cellStyle name="메모 2 14_분양(100%)" xfId="39044"/>
    <cellStyle name="메모 2 15" xfId="23192"/>
    <cellStyle name="메모 2 15 10" xfId="23193"/>
    <cellStyle name="메모 2 15 11" xfId="23194"/>
    <cellStyle name="메모 2 15 12" xfId="23195"/>
    <cellStyle name="메모 2 15 13" xfId="23196"/>
    <cellStyle name="메모 2 15 14" xfId="23197"/>
    <cellStyle name="메모 2 15 15" xfId="23198"/>
    <cellStyle name="메모 2 15 16" xfId="23199"/>
    <cellStyle name="메모 2 15 17" xfId="23200"/>
    <cellStyle name="메모 2 15 18" xfId="23201"/>
    <cellStyle name="메모 2 15 19" xfId="23202"/>
    <cellStyle name="메모 2 15 2" xfId="23203"/>
    <cellStyle name="메모 2 15 20" xfId="23204"/>
    <cellStyle name="메모 2 15 21" xfId="23205"/>
    <cellStyle name="메모 2 15 22" xfId="23206"/>
    <cellStyle name="메모 2 15 23" xfId="23207"/>
    <cellStyle name="메모 2 15 24" xfId="23208"/>
    <cellStyle name="메모 2 15 25" xfId="23209"/>
    <cellStyle name="메모 2 15 26" xfId="23210"/>
    <cellStyle name="메모 2 15 27" xfId="23211"/>
    <cellStyle name="메모 2 15 28" xfId="23212"/>
    <cellStyle name="메모 2 15 29" xfId="23213"/>
    <cellStyle name="메모 2 15 3" xfId="23214"/>
    <cellStyle name="메모 2 15 30" xfId="23215"/>
    <cellStyle name="메모 2 15 31" xfId="23216"/>
    <cellStyle name="메모 2 15 32" xfId="23217"/>
    <cellStyle name="메모 2 15 33" xfId="23218"/>
    <cellStyle name="메모 2 15 34" xfId="23219"/>
    <cellStyle name="메모 2 15 35" xfId="23220"/>
    <cellStyle name="메모 2 15 36" xfId="23221"/>
    <cellStyle name="메모 2 15 37" xfId="23222"/>
    <cellStyle name="메모 2 15 38" xfId="23223"/>
    <cellStyle name="메모 2 15 39" xfId="23224"/>
    <cellStyle name="메모 2 15 4" xfId="23225"/>
    <cellStyle name="메모 2 15 5" xfId="23226"/>
    <cellStyle name="메모 2 15 6" xfId="23227"/>
    <cellStyle name="메모 2 15 7" xfId="23228"/>
    <cellStyle name="메모 2 15 8" xfId="23229"/>
    <cellStyle name="메모 2 15 9" xfId="23230"/>
    <cellStyle name="메모 2 15_분양(100%)" xfId="39045"/>
    <cellStyle name="메모 2 16" xfId="23231"/>
    <cellStyle name="메모 2 16 10" xfId="23232"/>
    <cellStyle name="메모 2 16 11" xfId="23233"/>
    <cellStyle name="메모 2 16 12" xfId="23234"/>
    <cellStyle name="메모 2 16 13" xfId="23235"/>
    <cellStyle name="메모 2 16 14" xfId="23236"/>
    <cellStyle name="메모 2 16 15" xfId="23237"/>
    <cellStyle name="메모 2 16 16" xfId="23238"/>
    <cellStyle name="메모 2 16 17" xfId="23239"/>
    <cellStyle name="메모 2 16 18" xfId="23240"/>
    <cellStyle name="메모 2 16 19" xfId="23241"/>
    <cellStyle name="메모 2 16 2" xfId="23242"/>
    <cellStyle name="메모 2 16 20" xfId="23243"/>
    <cellStyle name="메모 2 16 21" xfId="23244"/>
    <cellStyle name="메모 2 16 22" xfId="23245"/>
    <cellStyle name="메모 2 16 23" xfId="23246"/>
    <cellStyle name="메모 2 16 24" xfId="23247"/>
    <cellStyle name="메모 2 16 25" xfId="23248"/>
    <cellStyle name="메모 2 16 26" xfId="23249"/>
    <cellStyle name="메모 2 16 27" xfId="23250"/>
    <cellStyle name="메모 2 16 28" xfId="23251"/>
    <cellStyle name="메모 2 16 29" xfId="23252"/>
    <cellStyle name="메모 2 16 3" xfId="23253"/>
    <cellStyle name="메모 2 16 30" xfId="23254"/>
    <cellStyle name="메모 2 16 31" xfId="23255"/>
    <cellStyle name="메모 2 16 32" xfId="23256"/>
    <cellStyle name="메모 2 16 33" xfId="23257"/>
    <cellStyle name="메모 2 16 34" xfId="23258"/>
    <cellStyle name="메모 2 16 35" xfId="23259"/>
    <cellStyle name="메모 2 16 36" xfId="23260"/>
    <cellStyle name="메모 2 16 37" xfId="23261"/>
    <cellStyle name="메모 2 16 38" xfId="23262"/>
    <cellStyle name="메모 2 16 39" xfId="23263"/>
    <cellStyle name="메모 2 16 4" xfId="23264"/>
    <cellStyle name="메모 2 16 5" xfId="23265"/>
    <cellStyle name="메모 2 16 6" xfId="23266"/>
    <cellStyle name="메모 2 16 7" xfId="23267"/>
    <cellStyle name="메모 2 16 8" xfId="23268"/>
    <cellStyle name="메모 2 16 9" xfId="23269"/>
    <cellStyle name="메모 2 16_분양(100%)" xfId="39046"/>
    <cellStyle name="메모 2 17" xfId="23270"/>
    <cellStyle name="메모 2 17 10" xfId="23271"/>
    <cellStyle name="메모 2 17 11" xfId="23272"/>
    <cellStyle name="메모 2 17 12" xfId="23273"/>
    <cellStyle name="메모 2 17 13" xfId="23274"/>
    <cellStyle name="메모 2 17 14" xfId="23275"/>
    <cellStyle name="메모 2 17 15" xfId="23276"/>
    <cellStyle name="메모 2 17 16" xfId="23277"/>
    <cellStyle name="메모 2 17 17" xfId="23278"/>
    <cellStyle name="메모 2 17 18" xfId="23279"/>
    <cellStyle name="메모 2 17 19" xfId="23280"/>
    <cellStyle name="메모 2 17 2" xfId="23281"/>
    <cellStyle name="메모 2 17 20" xfId="23282"/>
    <cellStyle name="메모 2 17 21" xfId="23283"/>
    <cellStyle name="메모 2 17 22" xfId="23284"/>
    <cellStyle name="메모 2 17 23" xfId="23285"/>
    <cellStyle name="메모 2 17 24" xfId="23286"/>
    <cellStyle name="메모 2 17 25" xfId="23287"/>
    <cellStyle name="메모 2 17 26" xfId="23288"/>
    <cellStyle name="메모 2 17 27" xfId="23289"/>
    <cellStyle name="메모 2 17 28" xfId="23290"/>
    <cellStyle name="메모 2 17 29" xfId="23291"/>
    <cellStyle name="메모 2 17 3" xfId="23292"/>
    <cellStyle name="메모 2 17 30" xfId="23293"/>
    <cellStyle name="메모 2 17 31" xfId="23294"/>
    <cellStyle name="메모 2 17 32" xfId="23295"/>
    <cellStyle name="메모 2 17 33" xfId="23296"/>
    <cellStyle name="메모 2 17 34" xfId="23297"/>
    <cellStyle name="메모 2 17 35" xfId="23298"/>
    <cellStyle name="메모 2 17 36" xfId="23299"/>
    <cellStyle name="메모 2 17 37" xfId="23300"/>
    <cellStyle name="메모 2 17 38" xfId="23301"/>
    <cellStyle name="메모 2 17 39" xfId="23302"/>
    <cellStyle name="메모 2 17 4" xfId="23303"/>
    <cellStyle name="메모 2 17 5" xfId="23304"/>
    <cellStyle name="메모 2 17 6" xfId="23305"/>
    <cellStyle name="메모 2 17 7" xfId="23306"/>
    <cellStyle name="메모 2 17 8" xfId="23307"/>
    <cellStyle name="메모 2 17 9" xfId="23308"/>
    <cellStyle name="메모 2 17_분양(100%)" xfId="39047"/>
    <cellStyle name="메모 2 18" xfId="23309"/>
    <cellStyle name="메모 2 18 10" xfId="23310"/>
    <cellStyle name="메모 2 18 11" xfId="23311"/>
    <cellStyle name="메모 2 18 12" xfId="23312"/>
    <cellStyle name="메모 2 18 13" xfId="23313"/>
    <cellStyle name="메모 2 18 14" xfId="23314"/>
    <cellStyle name="메모 2 18 15" xfId="23315"/>
    <cellStyle name="메모 2 18 16" xfId="23316"/>
    <cellStyle name="메모 2 18 17" xfId="23317"/>
    <cellStyle name="메모 2 18 18" xfId="23318"/>
    <cellStyle name="메모 2 18 19" xfId="23319"/>
    <cellStyle name="메모 2 18 2" xfId="23320"/>
    <cellStyle name="메모 2 18 20" xfId="23321"/>
    <cellStyle name="메모 2 18 21" xfId="23322"/>
    <cellStyle name="메모 2 18 22" xfId="23323"/>
    <cellStyle name="메모 2 18 23" xfId="23324"/>
    <cellStyle name="메모 2 18 24" xfId="23325"/>
    <cellStyle name="메모 2 18 25" xfId="23326"/>
    <cellStyle name="메모 2 18 26" xfId="23327"/>
    <cellStyle name="메모 2 18 27" xfId="23328"/>
    <cellStyle name="메모 2 18 28" xfId="23329"/>
    <cellStyle name="메모 2 18 29" xfId="23330"/>
    <cellStyle name="메모 2 18 3" xfId="23331"/>
    <cellStyle name="메모 2 18 30" xfId="23332"/>
    <cellStyle name="메모 2 18 31" xfId="23333"/>
    <cellStyle name="메모 2 18 32" xfId="23334"/>
    <cellStyle name="메모 2 18 33" xfId="23335"/>
    <cellStyle name="메모 2 18 34" xfId="23336"/>
    <cellStyle name="메모 2 18 35" xfId="23337"/>
    <cellStyle name="메모 2 18 36" xfId="23338"/>
    <cellStyle name="메모 2 18 37" xfId="23339"/>
    <cellStyle name="메모 2 18 38" xfId="23340"/>
    <cellStyle name="메모 2 18 39" xfId="23341"/>
    <cellStyle name="메모 2 18 4" xfId="23342"/>
    <cellStyle name="메모 2 18 5" xfId="23343"/>
    <cellStyle name="메모 2 18 6" xfId="23344"/>
    <cellStyle name="메모 2 18 7" xfId="23345"/>
    <cellStyle name="메모 2 18 8" xfId="23346"/>
    <cellStyle name="메모 2 18 9" xfId="23347"/>
    <cellStyle name="메모 2 18_분양(100%)" xfId="39048"/>
    <cellStyle name="메모 2 19" xfId="23348"/>
    <cellStyle name="메모 2 19 10" xfId="23349"/>
    <cellStyle name="메모 2 19 11" xfId="23350"/>
    <cellStyle name="메모 2 19 12" xfId="23351"/>
    <cellStyle name="메모 2 19 13" xfId="23352"/>
    <cellStyle name="메모 2 19 14" xfId="23353"/>
    <cellStyle name="메모 2 19 15" xfId="23354"/>
    <cellStyle name="메모 2 19 16" xfId="23355"/>
    <cellStyle name="메모 2 19 17" xfId="23356"/>
    <cellStyle name="메모 2 19 18" xfId="23357"/>
    <cellStyle name="메모 2 19 19" xfId="23358"/>
    <cellStyle name="메모 2 19 2" xfId="23359"/>
    <cellStyle name="메모 2 19 20" xfId="23360"/>
    <cellStyle name="메모 2 19 21" xfId="23361"/>
    <cellStyle name="메모 2 19 22" xfId="23362"/>
    <cellStyle name="메모 2 19 23" xfId="23363"/>
    <cellStyle name="메모 2 19 24" xfId="23364"/>
    <cellStyle name="메모 2 19 25" xfId="23365"/>
    <cellStyle name="메모 2 19 26" xfId="23366"/>
    <cellStyle name="메모 2 19 27" xfId="23367"/>
    <cellStyle name="메모 2 19 28" xfId="23368"/>
    <cellStyle name="메모 2 19 29" xfId="23369"/>
    <cellStyle name="메모 2 19 3" xfId="23370"/>
    <cellStyle name="메모 2 19 30" xfId="23371"/>
    <cellStyle name="메모 2 19 31" xfId="23372"/>
    <cellStyle name="메모 2 19 32" xfId="23373"/>
    <cellStyle name="메모 2 19 33" xfId="23374"/>
    <cellStyle name="메모 2 19 34" xfId="23375"/>
    <cellStyle name="메모 2 19 35" xfId="23376"/>
    <cellStyle name="메모 2 19 36" xfId="23377"/>
    <cellStyle name="메모 2 19 37" xfId="23378"/>
    <cellStyle name="메모 2 19 38" xfId="23379"/>
    <cellStyle name="메모 2 19 39" xfId="23380"/>
    <cellStyle name="메모 2 19 4" xfId="23381"/>
    <cellStyle name="메모 2 19 5" xfId="23382"/>
    <cellStyle name="메모 2 19 6" xfId="23383"/>
    <cellStyle name="메모 2 19 7" xfId="23384"/>
    <cellStyle name="메모 2 19 8" xfId="23385"/>
    <cellStyle name="메모 2 19 9" xfId="23386"/>
    <cellStyle name="메모 2 19_분양(100%)" xfId="39049"/>
    <cellStyle name="메모 2 2" xfId="23387"/>
    <cellStyle name="메모 2 2 10" xfId="23388"/>
    <cellStyle name="메모 2 2 11" xfId="23389"/>
    <cellStyle name="메모 2 2 12" xfId="23390"/>
    <cellStyle name="메모 2 2 13" xfId="23391"/>
    <cellStyle name="메모 2 2 14" xfId="23392"/>
    <cellStyle name="메모 2 2 15" xfId="23393"/>
    <cellStyle name="메모 2 2 16" xfId="23394"/>
    <cellStyle name="메모 2 2 17" xfId="23395"/>
    <cellStyle name="메모 2 2 18" xfId="23396"/>
    <cellStyle name="메모 2 2 19" xfId="23397"/>
    <cellStyle name="메모 2 2 2" xfId="23398"/>
    <cellStyle name="메모 2 2 20" xfId="23399"/>
    <cellStyle name="메모 2 2 21" xfId="23400"/>
    <cellStyle name="메모 2 2 22" xfId="23401"/>
    <cellStyle name="메모 2 2 23" xfId="23402"/>
    <cellStyle name="메모 2 2 24" xfId="23403"/>
    <cellStyle name="메모 2 2 25" xfId="23404"/>
    <cellStyle name="메모 2 2 26" xfId="23405"/>
    <cellStyle name="메모 2 2 27" xfId="23406"/>
    <cellStyle name="메모 2 2 28" xfId="23407"/>
    <cellStyle name="메모 2 2 29" xfId="23408"/>
    <cellStyle name="메모 2 2 3" xfId="23409"/>
    <cellStyle name="메모 2 2 30" xfId="23410"/>
    <cellStyle name="메모 2 2 31" xfId="23411"/>
    <cellStyle name="메모 2 2 32" xfId="23412"/>
    <cellStyle name="메모 2 2 33" xfId="23413"/>
    <cellStyle name="메모 2 2 34" xfId="23414"/>
    <cellStyle name="메모 2 2 35" xfId="23415"/>
    <cellStyle name="메모 2 2 36" xfId="23416"/>
    <cellStyle name="메모 2 2 37" xfId="23417"/>
    <cellStyle name="메모 2 2 38" xfId="23418"/>
    <cellStyle name="메모 2 2 39" xfId="23419"/>
    <cellStyle name="메모 2 2 4" xfId="23420"/>
    <cellStyle name="메모 2 2 5" xfId="23421"/>
    <cellStyle name="메모 2 2 6" xfId="23422"/>
    <cellStyle name="메모 2 2 7" xfId="23423"/>
    <cellStyle name="메모 2 2 8" xfId="23424"/>
    <cellStyle name="메모 2 2 9" xfId="23425"/>
    <cellStyle name="메모 2 2_분양(100%)" xfId="39050"/>
    <cellStyle name="메모 2 20" xfId="23426"/>
    <cellStyle name="메모 2 20 10" xfId="23427"/>
    <cellStyle name="메모 2 20 11" xfId="23428"/>
    <cellStyle name="메모 2 20 12" xfId="23429"/>
    <cellStyle name="메모 2 20 13" xfId="23430"/>
    <cellStyle name="메모 2 20 14" xfId="23431"/>
    <cellStyle name="메모 2 20 15" xfId="23432"/>
    <cellStyle name="메모 2 20 16" xfId="23433"/>
    <cellStyle name="메모 2 20 17" xfId="23434"/>
    <cellStyle name="메모 2 20 18" xfId="23435"/>
    <cellStyle name="메모 2 20 19" xfId="23436"/>
    <cellStyle name="메모 2 20 2" xfId="23437"/>
    <cellStyle name="메모 2 20 20" xfId="23438"/>
    <cellStyle name="메모 2 20 21" xfId="23439"/>
    <cellStyle name="메모 2 20 22" xfId="23440"/>
    <cellStyle name="메모 2 20 23" xfId="23441"/>
    <cellStyle name="메모 2 20 24" xfId="23442"/>
    <cellStyle name="메모 2 20 25" xfId="23443"/>
    <cellStyle name="메모 2 20 26" xfId="23444"/>
    <cellStyle name="메모 2 20 27" xfId="23445"/>
    <cellStyle name="메모 2 20 28" xfId="23446"/>
    <cellStyle name="메모 2 20 29" xfId="23447"/>
    <cellStyle name="메모 2 20 3" xfId="23448"/>
    <cellStyle name="메모 2 20 30" xfId="23449"/>
    <cellStyle name="메모 2 20 31" xfId="23450"/>
    <cellStyle name="메모 2 20 32" xfId="23451"/>
    <cellStyle name="메모 2 20 33" xfId="23452"/>
    <cellStyle name="메모 2 20 34" xfId="23453"/>
    <cellStyle name="메모 2 20 35" xfId="23454"/>
    <cellStyle name="메모 2 20 36" xfId="23455"/>
    <cellStyle name="메모 2 20 37" xfId="23456"/>
    <cellStyle name="메모 2 20 38" xfId="23457"/>
    <cellStyle name="메모 2 20 39" xfId="23458"/>
    <cellStyle name="메모 2 20 4" xfId="23459"/>
    <cellStyle name="메모 2 20 5" xfId="23460"/>
    <cellStyle name="메모 2 20 6" xfId="23461"/>
    <cellStyle name="메모 2 20 7" xfId="23462"/>
    <cellStyle name="메모 2 20 8" xfId="23463"/>
    <cellStyle name="메모 2 20 9" xfId="23464"/>
    <cellStyle name="메모 2 20_분양(100%)" xfId="39051"/>
    <cellStyle name="메모 2 21" xfId="23465"/>
    <cellStyle name="메모 2 21 10" xfId="23466"/>
    <cellStyle name="메모 2 21 11" xfId="23467"/>
    <cellStyle name="메모 2 21 12" xfId="23468"/>
    <cellStyle name="메모 2 21 13" xfId="23469"/>
    <cellStyle name="메모 2 21 14" xfId="23470"/>
    <cellStyle name="메모 2 21 15" xfId="23471"/>
    <cellStyle name="메모 2 21 16" xfId="23472"/>
    <cellStyle name="메모 2 21 17" xfId="23473"/>
    <cellStyle name="메모 2 21 18" xfId="23474"/>
    <cellStyle name="메모 2 21 19" xfId="23475"/>
    <cellStyle name="메모 2 21 2" xfId="23476"/>
    <cellStyle name="메모 2 21 20" xfId="23477"/>
    <cellStyle name="메모 2 21 21" xfId="23478"/>
    <cellStyle name="메모 2 21 22" xfId="23479"/>
    <cellStyle name="메모 2 21 23" xfId="23480"/>
    <cellStyle name="메모 2 21 24" xfId="23481"/>
    <cellStyle name="메모 2 21 25" xfId="23482"/>
    <cellStyle name="메모 2 21 26" xfId="23483"/>
    <cellStyle name="메모 2 21 27" xfId="23484"/>
    <cellStyle name="메모 2 21 28" xfId="23485"/>
    <cellStyle name="메모 2 21 29" xfId="23486"/>
    <cellStyle name="메모 2 21 3" xfId="23487"/>
    <cellStyle name="메모 2 21 30" xfId="23488"/>
    <cellStyle name="메모 2 21 31" xfId="23489"/>
    <cellStyle name="메모 2 21 32" xfId="23490"/>
    <cellStyle name="메모 2 21 33" xfId="23491"/>
    <cellStyle name="메모 2 21 34" xfId="23492"/>
    <cellStyle name="메모 2 21 35" xfId="23493"/>
    <cellStyle name="메모 2 21 36" xfId="23494"/>
    <cellStyle name="메모 2 21 37" xfId="23495"/>
    <cellStyle name="메모 2 21 38" xfId="23496"/>
    <cellStyle name="메모 2 21 39" xfId="23497"/>
    <cellStyle name="메모 2 21 4" xfId="23498"/>
    <cellStyle name="메모 2 21 5" xfId="23499"/>
    <cellStyle name="메모 2 21 6" xfId="23500"/>
    <cellStyle name="메모 2 21 7" xfId="23501"/>
    <cellStyle name="메모 2 21 8" xfId="23502"/>
    <cellStyle name="메모 2 21 9" xfId="23503"/>
    <cellStyle name="메모 2 21_분양(100%)" xfId="39052"/>
    <cellStyle name="메모 2 22" xfId="23504"/>
    <cellStyle name="메모 2 22 10" xfId="23505"/>
    <cellStyle name="메모 2 22 11" xfId="23506"/>
    <cellStyle name="메모 2 22 12" xfId="23507"/>
    <cellStyle name="메모 2 22 13" xfId="23508"/>
    <cellStyle name="메모 2 22 14" xfId="23509"/>
    <cellStyle name="메모 2 22 15" xfId="23510"/>
    <cellStyle name="메모 2 22 16" xfId="23511"/>
    <cellStyle name="메모 2 22 17" xfId="23512"/>
    <cellStyle name="메모 2 22 18" xfId="23513"/>
    <cellStyle name="메모 2 22 19" xfId="23514"/>
    <cellStyle name="메모 2 22 2" xfId="23515"/>
    <cellStyle name="메모 2 22 20" xfId="23516"/>
    <cellStyle name="메모 2 22 21" xfId="23517"/>
    <cellStyle name="메모 2 22 22" xfId="23518"/>
    <cellStyle name="메모 2 22 23" xfId="23519"/>
    <cellStyle name="메모 2 22 24" xfId="23520"/>
    <cellStyle name="메모 2 22 25" xfId="23521"/>
    <cellStyle name="메모 2 22 26" xfId="23522"/>
    <cellStyle name="메모 2 22 27" xfId="23523"/>
    <cellStyle name="메모 2 22 28" xfId="23524"/>
    <cellStyle name="메모 2 22 29" xfId="23525"/>
    <cellStyle name="메모 2 22 3" xfId="23526"/>
    <cellStyle name="메모 2 22 30" xfId="23527"/>
    <cellStyle name="메모 2 22 31" xfId="23528"/>
    <cellStyle name="메모 2 22 32" xfId="23529"/>
    <cellStyle name="메모 2 22 33" xfId="23530"/>
    <cellStyle name="메모 2 22 34" xfId="23531"/>
    <cellStyle name="메모 2 22 35" xfId="23532"/>
    <cellStyle name="메모 2 22 36" xfId="23533"/>
    <cellStyle name="메모 2 22 37" xfId="23534"/>
    <cellStyle name="메모 2 22 38" xfId="23535"/>
    <cellStyle name="메모 2 22 39" xfId="23536"/>
    <cellStyle name="메모 2 22 4" xfId="23537"/>
    <cellStyle name="메모 2 22 5" xfId="23538"/>
    <cellStyle name="메모 2 22 6" xfId="23539"/>
    <cellStyle name="메모 2 22 7" xfId="23540"/>
    <cellStyle name="메모 2 22 8" xfId="23541"/>
    <cellStyle name="메모 2 22 9" xfId="23542"/>
    <cellStyle name="메모 2 22_분양(100%)" xfId="39053"/>
    <cellStyle name="메모 2 23" xfId="23543"/>
    <cellStyle name="메모 2 23 10" xfId="23544"/>
    <cellStyle name="메모 2 23 11" xfId="23545"/>
    <cellStyle name="메모 2 23 12" xfId="23546"/>
    <cellStyle name="메모 2 23 13" xfId="23547"/>
    <cellStyle name="메모 2 23 14" xfId="23548"/>
    <cellStyle name="메모 2 23 15" xfId="23549"/>
    <cellStyle name="메모 2 23 16" xfId="23550"/>
    <cellStyle name="메모 2 23 17" xfId="23551"/>
    <cellStyle name="메모 2 23 18" xfId="23552"/>
    <cellStyle name="메모 2 23 19" xfId="23553"/>
    <cellStyle name="메모 2 23 2" xfId="23554"/>
    <cellStyle name="메모 2 23 20" xfId="23555"/>
    <cellStyle name="메모 2 23 21" xfId="23556"/>
    <cellStyle name="메모 2 23 22" xfId="23557"/>
    <cellStyle name="메모 2 23 23" xfId="23558"/>
    <cellStyle name="메모 2 23 24" xfId="23559"/>
    <cellStyle name="메모 2 23 25" xfId="23560"/>
    <cellStyle name="메모 2 23 26" xfId="23561"/>
    <cellStyle name="메모 2 23 27" xfId="23562"/>
    <cellStyle name="메모 2 23 28" xfId="23563"/>
    <cellStyle name="메모 2 23 29" xfId="23564"/>
    <cellStyle name="메모 2 23 3" xfId="23565"/>
    <cellStyle name="메모 2 23 30" xfId="23566"/>
    <cellStyle name="메모 2 23 31" xfId="23567"/>
    <cellStyle name="메모 2 23 32" xfId="23568"/>
    <cellStyle name="메모 2 23 33" xfId="23569"/>
    <cellStyle name="메모 2 23 34" xfId="23570"/>
    <cellStyle name="메모 2 23 35" xfId="23571"/>
    <cellStyle name="메모 2 23 36" xfId="23572"/>
    <cellStyle name="메모 2 23 37" xfId="23573"/>
    <cellStyle name="메모 2 23 38" xfId="23574"/>
    <cellStyle name="메모 2 23 39" xfId="23575"/>
    <cellStyle name="메모 2 23 4" xfId="23576"/>
    <cellStyle name="메모 2 23 5" xfId="23577"/>
    <cellStyle name="메모 2 23 6" xfId="23578"/>
    <cellStyle name="메모 2 23 7" xfId="23579"/>
    <cellStyle name="메모 2 23 8" xfId="23580"/>
    <cellStyle name="메모 2 23 9" xfId="23581"/>
    <cellStyle name="메모 2 23_분양(100%)" xfId="39054"/>
    <cellStyle name="메모 2 24" xfId="23582"/>
    <cellStyle name="메모 2 24 10" xfId="23583"/>
    <cellStyle name="메모 2 24 11" xfId="23584"/>
    <cellStyle name="메모 2 24 12" xfId="23585"/>
    <cellStyle name="메모 2 24 13" xfId="23586"/>
    <cellStyle name="메모 2 24 14" xfId="23587"/>
    <cellStyle name="메모 2 24 15" xfId="23588"/>
    <cellStyle name="메모 2 24 16" xfId="23589"/>
    <cellStyle name="메모 2 24 17" xfId="23590"/>
    <cellStyle name="메모 2 24 18" xfId="23591"/>
    <cellStyle name="메모 2 24 19" xfId="23592"/>
    <cellStyle name="메모 2 24 2" xfId="23593"/>
    <cellStyle name="메모 2 24 20" xfId="23594"/>
    <cellStyle name="메모 2 24 21" xfId="23595"/>
    <cellStyle name="메모 2 24 22" xfId="23596"/>
    <cellStyle name="메모 2 24 23" xfId="23597"/>
    <cellStyle name="메모 2 24 24" xfId="23598"/>
    <cellStyle name="메모 2 24 25" xfId="23599"/>
    <cellStyle name="메모 2 24 26" xfId="23600"/>
    <cellStyle name="메모 2 24 27" xfId="23601"/>
    <cellStyle name="메모 2 24 28" xfId="23602"/>
    <cellStyle name="메모 2 24 29" xfId="23603"/>
    <cellStyle name="메모 2 24 3" xfId="23604"/>
    <cellStyle name="메모 2 24 30" xfId="23605"/>
    <cellStyle name="메모 2 24 31" xfId="23606"/>
    <cellStyle name="메모 2 24 32" xfId="23607"/>
    <cellStyle name="메모 2 24 33" xfId="23608"/>
    <cellStyle name="메모 2 24 34" xfId="23609"/>
    <cellStyle name="메모 2 24 35" xfId="23610"/>
    <cellStyle name="메모 2 24 36" xfId="23611"/>
    <cellStyle name="메모 2 24 37" xfId="23612"/>
    <cellStyle name="메모 2 24 38" xfId="23613"/>
    <cellStyle name="메모 2 24 39" xfId="23614"/>
    <cellStyle name="메모 2 24 4" xfId="23615"/>
    <cellStyle name="메모 2 24 5" xfId="23616"/>
    <cellStyle name="메모 2 24 6" xfId="23617"/>
    <cellStyle name="메모 2 24 7" xfId="23618"/>
    <cellStyle name="메모 2 24 8" xfId="23619"/>
    <cellStyle name="메모 2 24 9" xfId="23620"/>
    <cellStyle name="메모 2 24_분양(100%)" xfId="39055"/>
    <cellStyle name="메모 2 25" xfId="23621"/>
    <cellStyle name="메모 2 25 10" xfId="23622"/>
    <cellStyle name="메모 2 25 11" xfId="23623"/>
    <cellStyle name="메모 2 25 12" xfId="23624"/>
    <cellStyle name="메모 2 25 13" xfId="23625"/>
    <cellStyle name="메모 2 25 14" xfId="23626"/>
    <cellStyle name="메모 2 25 15" xfId="23627"/>
    <cellStyle name="메모 2 25 16" xfId="23628"/>
    <cellStyle name="메모 2 25 17" xfId="23629"/>
    <cellStyle name="메모 2 25 18" xfId="23630"/>
    <cellStyle name="메모 2 25 19" xfId="23631"/>
    <cellStyle name="메모 2 25 2" xfId="23632"/>
    <cellStyle name="메모 2 25 20" xfId="23633"/>
    <cellStyle name="메모 2 25 21" xfId="23634"/>
    <cellStyle name="메모 2 25 22" xfId="23635"/>
    <cellStyle name="메모 2 25 23" xfId="23636"/>
    <cellStyle name="메모 2 25 24" xfId="23637"/>
    <cellStyle name="메모 2 25 25" xfId="23638"/>
    <cellStyle name="메모 2 25 26" xfId="23639"/>
    <cellStyle name="메모 2 25 27" xfId="23640"/>
    <cellStyle name="메모 2 25 28" xfId="23641"/>
    <cellStyle name="메모 2 25 29" xfId="23642"/>
    <cellStyle name="메모 2 25 3" xfId="23643"/>
    <cellStyle name="메모 2 25 30" xfId="23644"/>
    <cellStyle name="메모 2 25 31" xfId="23645"/>
    <cellStyle name="메모 2 25 32" xfId="23646"/>
    <cellStyle name="메모 2 25 33" xfId="23647"/>
    <cellStyle name="메모 2 25 34" xfId="23648"/>
    <cellStyle name="메모 2 25 35" xfId="23649"/>
    <cellStyle name="메모 2 25 36" xfId="23650"/>
    <cellStyle name="메모 2 25 37" xfId="23651"/>
    <cellStyle name="메모 2 25 38" xfId="23652"/>
    <cellStyle name="메모 2 25 39" xfId="23653"/>
    <cellStyle name="메모 2 25 4" xfId="23654"/>
    <cellStyle name="메모 2 25 5" xfId="23655"/>
    <cellStyle name="메모 2 25 6" xfId="23656"/>
    <cellStyle name="메모 2 25 7" xfId="23657"/>
    <cellStyle name="메모 2 25 8" xfId="23658"/>
    <cellStyle name="메모 2 25 9" xfId="23659"/>
    <cellStyle name="메모 2 25_분양(100%)" xfId="39056"/>
    <cellStyle name="메모 2 26" xfId="23660"/>
    <cellStyle name="메모 2 26 10" xfId="23661"/>
    <cellStyle name="메모 2 26 11" xfId="23662"/>
    <cellStyle name="메모 2 26 12" xfId="23663"/>
    <cellStyle name="메모 2 26 13" xfId="23664"/>
    <cellStyle name="메모 2 26 14" xfId="23665"/>
    <cellStyle name="메모 2 26 15" xfId="23666"/>
    <cellStyle name="메모 2 26 16" xfId="23667"/>
    <cellStyle name="메모 2 26 17" xfId="23668"/>
    <cellStyle name="메모 2 26 18" xfId="23669"/>
    <cellStyle name="메모 2 26 19" xfId="23670"/>
    <cellStyle name="메모 2 26 2" xfId="23671"/>
    <cellStyle name="메모 2 26 20" xfId="23672"/>
    <cellStyle name="메모 2 26 21" xfId="23673"/>
    <cellStyle name="메모 2 26 22" xfId="23674"/>
    <cellStyle name="메모 2 26 23" xfId="23675"/>
    <cellStyle name="메모 2 26 24" xfId="23676"/>
    <cellStyle name="메모 2 26 25" xfId="23677"/>
    <cellStyle name="메모 2 26 26" xfId="23678"/>
    <cellStyle name="메모 2 26 27" xfId="23679"/>
    <cellStyle name="메모 2 26 28" xfId="23680"/>
    <cellStyle name="메모 2 26 29" xfId="23681"/>
    <cellStyle name="메모 2 26 3" xfId="23682"/>
    <cellStyle name="메모 2 26 30" xfId="23683"/>
    <cellStyle name="메모 2 26 31" xfId="23684"/>
    <cellStyle name="메모 2 26 32" xfId="23685"/>
    <cellStyle name="메모 2 26 33" xfId="23686"/>
    <cellStyle name="메모 2 26 34" xfId="23687"/>
    <cellStyle name="메모 2 26 35" xfId="23688"/>
    <cellStyle name="메모 2 26 36" xfId="23689"/>
    <cellStyle name="메모 2 26 37" xfId="23690"/>
    <cellStyle name="메모 2 26 38" xfId="23691"/>
    <cellStyle name="메모 2 26 39" xfId="23692"/>
    <cellStyle name="메모 2 26 4" xfId="23693"/>
    <cellStyle name="메모 2 26 5" xfId="23694"/>
    <cellStyle name="메모 2 26 6" xfId="23695"/>
    <cellStyle name="메모 2 26 7" xfId="23696"/>
    <cellStyle name="메모 2 26 8" xfId="23697"/>
    <cellStyle name="메모 2 26 9" xfId="23698"/>
    <cellStyle name="메모 2 26_분양(100%)" xfId="39057"/>
    <cellStyle name="메모 2 27" xfId="23699"/>
    <cellStyle name="메모 2 27 10" xfId="23700"/>
    <cellStyle name="메모 2 27 11" xfId="23701"/>
    <cellStyle name="메모 2 27 12" xfId="23702"/>
    <cellStyle name="메모 2 27 13" xfId="23703"/>
    <cellStyle name="메모 2 27 14" xfId="23704"/>
    <cellStyle name="메모 2 27 15" xfId="23705"/>
    <cellStyle name="메모 2 27 16" xfId="23706"/>
    <cellStyle name="메모 2 27 17" xfId="23707"/>
    <cellStyle name="메모 2 27 18" xfId="23708"/>
    <cellStyle name="메모 2 27 19" xfId="23709"/>
    <cellStyle name="메모 2 27 2" xfId="23710"/>
    <cellStyle name="메모 2 27 20" xfId="23711"/>
    <cellStyle name="메모 2 27 21" xfId="23712"/>
    <cellStyle name="메모 2 27 22" xfId="23713"/>
    <cellStyle name="메모 2 27 23" xfId="23714"/>
    <cellStyle name="메모 2 27 24" xfId="23715"/>
    <cellStyle name="메모 2 27 25" xfId="23716"/>
    <cellStyle name="메모 2 27 26" xfId="23717"/>
    <cellStyle name="메모 2 27 27" xfId="23718"/>
    <cellStyle name="메모 2 27 28" xfId="23719"/>
    <cellStyle name="메모 2 27 29" xfId="23720"/>
    <cellStyle name="메모 2 27 3" xfId="23721"/>
    <cellStyle name="메모 2 27 30" xfId="23722"/>
    <cellStyle name="메모 2 27 31" xfId="23723"/>
    <cellStyle name="메모 2 27 32" xfId="23724"/>
    <cellStyle name="메모 2 27 33" xfId="23725"/>
    <cellStyle name="메모 2 27 34" xfId="23726"/>
    <cellStyle name="메모 2 27 35" xfId="23727"/>
    <cellStyle name="메모 2 27 36" xfId="23728"/>
    <cellStyle name="메모 2 27 37" xfId="23729"/>
    <cellStyle name="메모 2 27 38" xfId="23730"/>
    <cellStyle name="메모 2 27 39" xfId="23731"/>
    <cellStyle name="메모 2 27 4" xfId="23732"/>
    <cellStyle name="메모 2 27 5" xfId="23733"/>
    <cellStyle name="메모 2 27 6" xfId="23734"/>
    <cellStyle name="메모 2 27 7" xfId="23735"/>
    <cellStyle name="메모 2 27 8" xfId="23736"/>
    <cellStyle name="메모 2 27 9" xfId="23737"/>
    <cellStyle name="메모 2 27_분양(100%)" xfId="39058"/>
    <cellStyle name="메모 2 28" xfId="23738"/>
    <cellStyle name="메모 2 28 10" xfId="23739"/>
    <cellStyle name="메모 2 28 11" xfId="23740"/>
    <cellStyle name="메모 2 28 12" xfId="23741"/>
    <cellStyle name="메모 2 28 13" xfId="23742"/>
    <cellStyle name="메모 2 28 14" xfId="23743"/>
    <cellStyle name="메모 2 28 15" xfId="23744"/>
    <cellStyle name="메모 2 28 16" xfId="23745"/>
    <cellStyle name="메모 2 28 17" xfId="23746"/>
    <cellStyle name="메모 2 28 18" xfId="23747"/>
    <cellStyle name="메모 2 28 19" xfId="23748"/>
    <cellStyle name="메모 2 28 2" xfId="23749"/>
    <cellStyle name="메모 2 28 20" xfId="23750"/>
    <cellStyle name="메모 2 28 21" xfId="23751"/>
    <cellStyle name="메모 2 28 22" xfId="23752"/>
    <cellStyle name="메모 2 28 23" xfId="23753"/>
    <cellStyle name="메모 2 28 24" xfId="23754"/>
    <cellStyle name="메모 2 28 25" xfId="23755"/>
    <cellStyle name="메모 2 28 26" xfId="23756"/>
    <cellStyle name="메모 2 28 27" xfId="23757"/>
    <cellStyle name="메모 2 28 28" xfId="23758"/>
    <cellStyle name="메모 2 28 29" xfId="23759"/>
    <cellStyle name="메모 2 28 3" xfId="23760"/>
    <cellStyle name="메모 2 28 30" xfId="23761"/>
    <cellStyle name="메모 2 28 31" xfId="23762"/>
    <cellStyle name="메모 2 28 32" xfId="23763"/>
    <cellStyle name="메모 2 28 33" xfId="23764"/>
    <cellStyle name="메모 2 28 34" xfId="23765"/>
    <cellStyle name="메모 2 28 35" xfId="23766"/>
    <cellStyle name="메모 2 28 36" xfId="23767"/>
    <cellStyle name="메모 2 28 37" xfId="23768"/>
    <cellStyle name="메모 2 28 38" xfId="23769"/>
    <cellStyle name="메모 2 28 39" xfId="23770"/>
    <cellStyle name="메모 2 28 4" xfId="23771"/>
    <cellStyle name="메모 2 28 5" xfId="23772"/>
    <cellStyle name="메모 2 28 6" xfId="23773"/>
    <cellStyle name="메모 2 28 7" xfId="23774"/>
    <cellStyle name="메모 2 28 8" xfId="23775"/>
    <cellStyle name="메모 2 28 9" xfId="23776"/>
    <cellStyle name="메모 2 28_분양(100%)" xfId="39059"/>
    <cellStyle name="메모 2 29" xfId="23777"/>
    <cellStyle name="메모 2 29 10" xfId="23778"/>
    <cellStyle name="메모 2 29 11" xfId="23779"/>
    <cellStyle name="메모 2 29 12" xfId="23780"/>
    <cellStyle name="메모 2 29 13" xfId="23781"/>
    <cellStyle name="메모 2 29 14" xfId="23782"/>
    <cellStyle name="메모 2 29 15" xfId="23783"/>
    <cellStyle name="메모 2 29 16" xfId="23784"/>
    <cellStyle name="메모 2 29 17" xfId="23785"/>
    <cellStyle name="메모 2 29 18" xfId="23786"/>
    <cellStyle name="메모 2 29 19" xfId="23787"/>
    <cellStyle name="메모 2 29 2" xfId="23788"/>
    <cellStyle name="메모 2 29 20" xfId="23789"/>
    <cellStyle name="메모 2 29 21" xfId="23790"/>
    <cellStyle name="메모 2 29 22" xfId="23791"/>
    <cellStyle name="메모 2 29 23" xfId="23792"/>
    <cellStyle name="메모 2 29 24" xfId="23793"/>
    <cellStyle name="메모 2 29 25" xfId="23794"/>
    <cellStyle name="메모 2 29 26" xfId="23795"/>
    <cellStyle name="메모 2 29 27" xfId="23796"/>
    <cellStyle name="메모 2 29 28" xfId="23797"/>
    <cellStyle name="메모 2 29 29" xfId="23798"/>
    <cellStyle name="메모 2 29 3" xfId="23799"/>
    <cellStyle name="메모 2 29 30" xfId="23800"/>
    <cellStyle name="메모 2 29 31" xfId="23801"/>
    <cellStyle name="메모 2 29 32" xfId="23802"/>
    <cellStyle name="메모 2 29 33" xfId="23803"/>
    <cellStyle name="메모 2 29 34" xfId="23804"/>
    <cellStyle name="메모 2 29 35" xfId="23805"/>
    <cellStyle name="메모 2 29 36" xfId="23806"/>
    <cellStyle name="메모 2 29 37" xfId="23807"/>
    <cellStyle name="메모 2 29 38" xfId="23808"/>
    <cellStyle name="메모 2 29 39" xfId="23809"/>
    <cellStyle name="메모 2 29 4" xfId="23810"/>
    <cellStyle name="메모 2 29 5" xfId="23811"/>
    <cellStyle name="메모 2 29 6" xfId="23812"/>
    <cellStyle name="메모 2 29 7" xfId="23813"/>
    <cellStyle name="메모 2 29 8" xfId="23814"/>
    <cellStyle name="메모 2 29 9" xfId="23815"/>
    <cellStyle name="메모 2 29_분양(100%)" xfId="39060"/>
    <cellStyle name="메모 2 3" xfId="23816"/>
    <cellStyle name="메모 2 3 10" xfId="23817"/>
    <cellStyle name="메모 2 3 11" xfId="23818"/>
    <cellStyle name="메모 2 3 12" xfId="23819"/>
    <cellStyle name="메모 2 3 13" xfId="23820"/>
    <cellStyle name="메모 2 3 14" xfId="23821"/>
    <cellStyle name="메모 2 3 15" xfId="23822"/>
    <cellStyle name="메모 2 3 16" xfId="23823"/>
    <cellStyle name="메모 2 3 17" xfId="23824"/>
    <cellStyle name="메모 2 3 18" xfId="23825"/>
    <cellStyle name="메모 2 3 19" xfId="23826"/>
    <cellStyle name="메모 2 3 2" xfId="23827"/>
    <cellStyle name="메모 2 3 20" xfId="23828"/>
    <cellStyle name="메모 2 3 21" xfId="23829"/>
    <cellStyle name="메모 2 3 22" xfId="23830"/>
    <cellStyle name="메모 2 3 23" xfId="23831"/>
    <cellStyle name="메모 2 3 24" xfId="23832"/>
    <cellStyle name="메모 2 3 25" xfId="23833"/>
    <cellStyle name="메모 2 3 26" xfId="23834"/>
    <cellStyle name="메모 2 3 27" xfId="23835"/>
    <cellStyle name="메모 2 3 28" xfId="23836"/>
    <cellStyle name="메모 2 3 29" xfId="23837"/>
    <cellStyle name="메모 2 3 3" xfId="23838"/>
    <cellStyle name="메모 2 3 30" xfId="23839"/>
    <cellStyle name="메모 2 3 31" xfId="23840"/>
    <cellStyle name="메모 2 3 32" xfId="23841"/>
    <cellStyle name="메모 2 3 33" xfId="23842"/>
    <cellStyle name="메모 2 3 34" xfId="23843"/>
    <cellStyle name="메모 2 3 35" xfId="23844"/>
    <cellStyle name="메모 2 3 36" xfId="23845"/>
    <cellStyle name="메모 2 3 37" xfId="23846"/>
    <cellStyle name="메모 2 3 38" xfId="23847"/>
    <cellStyle name="메모 2 3 39" xfId="23848"/>
    <cellStyle name="메모 2 3 4" xfId="23849"/>
    <cellStyle name="메모 2 3 5" xfId="23850"/>
    <cellStyle name="메모 2 3 6" xfId="23851"/>
    <cellStyle name="메모 2 3 7" xfId="23852"/>
    <cellStyle name="메모 2 3 8" xfId="23853"/>
    <cellStyle name="메모 2 3 9" xfId="23854"/>
    <cellStyle name="메모 2 3_분양(100%)" xfId="39061"/>
    <cellStyle name="메모 2 30" xfId="23855"/>
    <cellStyle name="메모 2 30 10" xfId="23856"/>
    <cellStyle name="메모 2 30 11" xfId="23857"/>
    <cellStyle name="메모 2 30 12" xfId="23858"/>
    <cellStyle name="메모 2 30 13" xfId="23859"/>
    <cellStyle name="메모 2 30 14" xfId="23860"/>
    <cellStyle name="메모 2 30 15" xfId="23861"/>
    <cellStyle name="메모 2 30 16" xfId="23862"/>
    <cellStyle name="메모 2 30 17" xfId="23863"/>
    <cellStyle name="메모 2 30 18" xfId="23864"/>
    <cellStyle name="메모 2 30 19" xfId="23865"/>
    <cellStyle name="메모 2 30 2" xfId="23866"/>
    <cellStyle name="메모 2 30 20" xfId="23867"/>
    <cellStyle name="메모 2 30 21" xfId="23868"/>
    <cellStyle name="메모 2 30 22" xfId="23869"/>
    <cellStyle name="메모 2 30 23" xfId="23870"/>
    <cellStyle name="메모 2 30 24" xfId="23871"/>
    <cellStyle name="메모 2 30 25" xfId="23872"/>
    <cellStyle name="메모 2 30 26" xfId="23873"/>
    <cellStyle name="메모 2 30 27" xfId="23874"/>
    <cellStyle name="메모 2 30 28" xfId="23875"/>
    <cellStyle name="메모 2 30 29" xfId="23876"/>
    <cellStyle name="메모 2 30 3" xfId="23877"/>
    <cellStyle name="메모 2 30 30" xfId="23878"/>
    <cellStyle name="메모 2 30 31" xfId="23879"/>
    <cellStyle name="메모 2 30 32" xfId="23880"/>
    <cellStyle name="메모 2 30 33" xfId="23881"/>
    <cellStyle name="메모 2 30 34" xfId="23882"/>
    <cellStyle name="메모 2 30 35" xfId="23883"/>
    <cellStyle name="메모 2 30 36" xfId="23884"/>
    <cellStyle name="메모 2 30 37" xfId="23885"/>
    <cellStyle name="메모 2 30 38" xfId="23886"/>
    <cellStyle name="메모 2 30 39" xfId="23887"/>
    <cellStyle name="메모 2 30 4" xfId="23888"/>
    <cellStyle name="메모 2 30 5" xfId="23889"/>
    <cellStyle name="메모 2 30 6" xfId="23890"/>
    <cellStyle name="메모 2 30 7" xfId="23891"/>
    <cellStyle name="메모 2 30 8" xfId="23892"/>
    <cellStyle name="메모 2 30 9" xfId="23893"/>
    <cellStyle name="메모 2 30_분양(100%)" xfId="39062"/>
    <cellStyle name="메모 2 31" xfId="23894"/>
    <cellStyle name="메모 2 31 10" xfId="23895"/>
    <cellStyle name="메모 2 31 11" xfId="23896"/>
    <cellStyle name="메모 2 31 12" xfId="23897"/>
    <cellStyle name="메모 2 31 13" xfId="23898"/>
    <cellStyle name="메모 2 31 14" xfId="23899"/>
    <cellStyle name="메모 2 31 15" xfId="23900"/>
    <cellStyle name="메모 2 31 16" xfId="23901"/>
    <cellStyle name="메모 2 31 17" xfId="23902"/>
    <cellStyle name="메모 2 31 18" xfId="23903"/>
    <cellStyle name="메모 2 31 19" xfId="23904"/>
    <cellStyle name="메모 2 31 2" xfId="23905"/>
    <cellStyle name="메모 2 31 20" xfId="23906"/>
    <cellStyle name="메모 2 31 21" xfId="23907"/>
    <cellStyle name="메모 2 31 22" xfId="23908"/>
    <cellStyle name="메모 2 31 23" xfId="23909"/>
    <cellStyle name="메모 2 31 24" xfId="23910"/>
    <cellStyle name="메모 2 31 25" xfId="23911"/>
    <cellStyle name="메모 2 31 26" xfId="23912"/>
    <cellStyle name="메모 2 31 27" xfId="23913"/>
    <cellStyle name="메모 2 31 28" xfId="23914"/>
    <cellStyle name="메모 2 31 29" xfId="23915"/>
    <cellStyle name="메모 2 31 3" xfId="23916"/>
    <cellStyle name="메모 2 31 30" xfId="23917"/>
    <cellStyle name="메모 2 31 31" xfId="23918"/>
    <cellStyle name="메모 2 31 32" xfId="23919"/>
    <cellStyle name="메모 2 31 33" xfId="23920"/>
    <cellStyle name="메모 2 31 34" xfId="23921"/>
    <cellStyle name="메모 2 31 35" xfId="23922"/>
    <cellStyle name="메모 2 31 36" xfId="23923"/>
    <cellStyle name="메모 2 31 37" xfId="23924"/>
    <cellStyle name="메모 2 31 38" xfId="23925"/>
    <cellStyle name="메모 2 31 39" xfId="23926"/>
    <cellStyle name="메모 2 31 4" xfId="23927"/>
    <cellStyle name="메모 2 31 5" xfId="23928"/>
    <cellStyle name="메모 2 31 6" xfId="23929"/>
    <cellStyle name="메모 2 31 7" xfId="23930"/>
    <cellStyle name="메모 2 31 8" xfId="23931"/>
    <cellStyle name="메모 2 31 9" xfId="23932"/>
    <cellStyle name="메모 2 31_분양(100%)" xfId="39063"/>
    <cellStyle name="메모 2 32" xfId="23933"/>
    <cellStyle name="메모 2 32 10" xfId="23934"/>
    <cellStyle name="메모 2 32 11" xfId="23935"/>
    <cellStyle name="메모 2 32 12" xfId="23936"/>
    <cellStyle name="메모 2 32 13" xfId="23937"/>
    <cellStyle name="메모 2 32 14" xfId="23938"/>
    <cellStyle name="메모 2 32 15" xfId="23939"/>
    <cellStyle name="메모 2 32 16" xfId="23940"/>
    <cellStyle name="메모 2 32 17" xfId="23941"/>
    <cellStyle name="메모 2 32 18" xfId="23942"/>
    <cellStyle name="메모 2 32 19" xfId="23943"/>
    <cellStyle name="메모 2 32 2" xfId="23944"/>
    <cellStyle name="메모 2 32 20" xfId="23945"/>
    <cellStyle name="메모 2 32 21" xfId="23946"/>
    <cellStyle name="메모 2 32 22" xfId="23947"/>
    <cellStyle name="메모 2 32 23" xfId="23948"/>
    <cellStyle name="메모 2 32 24" xfId="23949"/>
    <cellStyle name="메모 2 32 25" xfId="23950"/>
    <cellStyle name="메모 2 32 26" xfId="23951"/>
    <cellStyle name="메모 2 32 27" xfId="23952"/>
    <cellStyle name="메모 2 32 28" xfId="23953"/>
    <cellStyle name="메모 2 32 29" xfId="23954"/>
    <cellStyle name="메모 2 32 3" xfId="23955"/>
    <cellStyle name="메모 2 32 30" xfId="23956"/>
    <cellStyle name="메모 2 32 31" xfId="23957"/>
    <cellStyle name="메모 2 32 32" xfId="23958"/>
    <cellStyle name="메모 2 32 33" xfId="23959"/>
    <cellStyle name="메모 2 32 34" xfId="23960"/>
    <cellStyle name="메모 2 32 35" xfId="23961"/>
    <cellStyle name="메모 2 32 36" xfId="23962"/>
    <cellStyle name="메모 2 32 37" xfId="23963"/>
    <cellStyle name="메모 2 32 38" xfId="23964"/>
    <cellStyle name="메모 2 32 39" xfId="23965"/>
    <cellStyle name="메모 2 32 4" xfId="23966"/>
    <cellStyle name="메모 2 32 5" xfId="23967"/>
    <cellStyle name="메모 2 32 6" xfId="23968"/>
    <cellStyle name="메모 2 32 7" xfId="23969"/>
    <cellStyle name="메모 2 32 8" xfId="23970"/>
    <cellStyle name="메모 2 32 9" xfId="23971"/>
    <cellStyle name="메모 2 32_분양(100%)" xfId="39064"/>
    <cellStyle name="메모 2 33" xfId="23972"/>
    <cellStyle name="메모 2 34" xfId="23973"/>
    <cellStyle name="메모 2 35" xfId="23974"/>
    <cellStyle name="메모 2 36" xfId="23975"/>
    <cellStyle name="메모 2 37" xfId="23976"/>
    <cellStyle name="메모 2 38" xfId="23977"/>
    <cellStyle name="메모 2 39" xfId="23978"/>
    <cellStyle name="메모 2 4" xfId="23979"/>
    <cellStyle name="메모 2 4 10" xfId="23980"/>
    <cellStyle name="메모 2 4 11" xfId="23981"/>
    <cellStyle name="메모 2 4 12" xfId="23982"/>
    <cellStyle name="메모 2 4 13" xfId="23983"/>
    <cellStyle name="메모 2 4 14" xfId="23984"/>
    <cellStyle name="메모 2 4 15" xfId="23985"/>
    <cellStyle name="메모 2 4 16" xfId="23986"/>
    <cellStyle name="메모 2 4 17" xfId="23987"/>
    <cellStyle name="메모 2 4 18" xfId="23988"/>
    <cellStyle name="메모 2 4 19" xfId="23989"/>
    <cellStyle name="메모 2 4 2" xfId="23990"/>
    <cellStyle name="메모 2 4 20" xfId="23991"/>
    <cellStyle name="메모 2 4 21" xfId="23992"/>
    <cellStyle name="메모 2 4 22" xfId="23993"/>
    <cellStyle name="메모 2 4 23" xfId="23994"/>
    <cellStyle name="메모 2 4 24" xfId="23995"/>
    <cellStyle name="메모 2 4 25" xfId="23996"/>
    <cellStyle name="메모 2 4 26" xfId="23997"/>
    <cellStyle name="메모 2 4 27" xfId="23998"/>
    <cellStyle name="메모 2 4 28" xfId="23999"/>
    <cellStyle name="메모 2 4 29" xfId="24000"/>
    <cellStyle name="메모 2 4 3" xfId="24001"/>
    <cellStyle name="메모 2 4 30" xfId="24002"/>
    <cellStyle name="메모 2 4 31" xfId="24003"/>
    <cellStyle name="메모 2 4 32" xfId="24004"/>
    <cellStyle name="메모 2 4 33" xfId="24005"/>
    <cellStyle name="메모 2 4 34" xfId="24006"/>
    <cellStyle name="메모 2 4 35" xfId="24007"/>
    <cellStyle name="메모 2 4 36" xfId="24008"/>
    <cellStyle name="메모 2 4 37" xfId="24009"/>
    <cellStyle name="메모 2 4 38" xfId="24010"/>
    <cellStyle name="메모 2 4 39" xfId="24011"/>
    <cellStyle name="메모 2 4 4" xfId="24012"/>
    <cellStyle name="메모 2 4 5" xfId="24013"/>
    <cellStyle name="메모 2 4 6" xfId="24014"/>
    <cellStyle name="메모 2 4 7" xfId="24015"/>
    <cellStyle name="메모 2 4 8" xfId="24016"/>
    <cellStyle name="메모 2 4 9" xfId="24017"/>
    <cellStyle name="메모 2 4_분양(100%)" xfId="39065"/>
    <cellStyle name="메모 2 40" xfId="24018"/>
    <cellStyle name="메모 2 41" xfId="24019"/>
    <cellStyle name="메모 2 42" xfId="24020"/>
    <cellStyle name="메모 2 43" xfId="24021"/>
    <cellStyle name="메모 2 44" xfId="24022"/>
    <cellStyle name="메모 2 45" xfId="24023"/>
    <cellStyle name="메모 2 46" xfId="24024"/>
    <cellStyle name="메모 2 47" xfId="24025"/>
    <cellStyle name="메모 2 48" xfId="24026"/>
    <cellStyle name="메모 2 49" xfId="24027"/>
    <cellStyle name="메모 2 5" xfId="24028"/>
    <cellStyle name="메모 2 5 10" xfId="24029"/>
    <cellStyle name="메모 2 5 11" xfId="24030"/>
    <cellStyle name="메모 2 5 12" xfId="24031"/>
    <cellStyle name="메모 2 5 13" xfId="24032"/>
    <cellStyle name="메모 2 5 14" xfId="24033"/>
    <cellStyle name="메모 2 5 15" xfId="24034"/>
    <cellStyle name="메모 2 5 16" xfId="24035"/>
    <cellStyle name="메모 2 5 17" xfId="24036"/>
    <cellStyle name="메모 2 5 18" xfId="24037"/>
    <cellStyle name="메모 2 5 19" xfId="24038"/>
    <cellStyle name="메모 2 5 2" xfId="24039"/>
    <cellStyle name="메모 2 5 20" xfId="24040"/>
    <cellStyle name="메모 2 5 21" xfId="24041"/>
    <cellStyle name="메모 2 5 22" xfId="24042"/>
    <cellStyle name="메모 2 5 23" xfId="24043"/>
    <cellStyle name="메모 2 5 24" xfId="24044"/>
    <cellStyle name="메모 2 5 25" xfId="24045"/>
    <cellStyle name="메모 2 5 26" xfId="24046"/>
    <cellStyle name="메모 2 5 27" xfId="24047"/>
    <cellStyle name="메모 2 5 28" xfId="24048"/>
    <cellStyle name="메모 2 5 29" xfId="24049"/>
    <cellStyle name="메모 2 5 3" xfId="24050"/>
    <cellStyle name="메모 2 5 30" xfId="24051"/>
    <cellStyle name="메모 2 5 31" xfId="24052"/>
    <cellStyle name="메모 2 5 32" xfId="24053"/>
    <cellStyle name="메모 2 5 33" xfId="24054"/>
    <cellStyle name="메모 2 5 34" xfId="24055"/>
    <cellStyle name="메모 2 5 35" xfId="24056"/>
    <cellStyle name="메모 2 5 36" xfId="24057"/>
    <cellStyle name="메모 2 5 37" xfId="24058"/>
    <cellStyle name="메모 2 5 38" xfId="24059"/>
    <cellStyle name="메모 2 5 39" xfId="24060"/>
    <cellStyle name="메모 2 5 4" xfId="24061"/>
    <cellStyle name="메모 2 5 5" xfId="24062"/>
    <cellStyle name="메모 2 5 6" xfId="24063"/>
    <cellStyle name="메모 2 5 7" xfId="24064"/>
    <cellStyle name="메모 2 5 8" xfId="24065"/>
    <cellStyle name="메모 2 5 9" xfId="24066"/>
    <cellStyle name="메모 2 5_분양(100%)" xfId="39066"/>
    <cellStyle name="메모 2 50" xfId="24067"/>
    <cellStyle name="메모 2 51" xfId="24068"/>
    <cellStyle name="메모 2 52" xfId="24069"/>
    <cellStyle name="메모 2 53" xfId="24070"/>
    <cellStyle name="메모 2 54" xfId="24071"/>
    <cellStyle name="메모 2 55" xfId="24072"/>
    <cellStyle name="메모 2 56" xfId="24073"/>
    <cellStyle name="메모 2 57" xfId="24074"/>
    <cellStyle name="메모 2 58" xfId="24075"/>
    <cellStyle name="메모 2 59" xfId="24076"/>
    <cellStyle name="메모 2 6" xfId="24077"/>
    <cellStyle name="메모 2 6 10" xfId="24078"/>
    <cellStyle name="메모 2 6 11" xfId="24079"/>
    <cellStyle name="메모 2 6 12" xfId="24080"/>
    <cellStyle name="메모 2 6 13" xfId="24081"/>
    <cellStyle name="메모 2 6 14" xfId="24082"/>
    <cellStyle name="메모 2 6 15" xfId="24083"/>
    <cellStyle name="메모 2 6 16" xfId="24084"/>
    <cellStyle name="메모 2 6 17" xfId="24085"/>
    <cellStyle name="메모 2 6 18" xfId="24086"/>
    <cellStyle name="메모 2 6 19" xfId="24087"/>
    <cellStyle name="메모 2 6 2" xfId="24088"/>
    <cellStyle name="메모 2 6 20" xfId="24089"/>
    <cellStyle name="메모 2 6 21" xfId="24090"/>
    <cellStyle name="메모 2 6 22" xfId="24091"/>
    <cellStyle name="메모 2 6 23" xfId="24092"/>
    <cellStyle name="메모 2 6 24" xfId="24093"/>
    <cellStyle name="메모 2 6 25" xfId="24094"/>
    <cellStyle name="메모 2 6 26" xfId="24095"/>
    <cellStyle name="메모 2 6 27" xfId="24096"/>
    <cellStyle name="메모 2 6 28" xfId="24097"/>
    <cellStyle name="메모 2 6 29" xfId="24098"/>
    <cellStyle name="메모 2 6 3" xfId="24099"/>
    <cellStyle name="메모 2 6 30" xfId="24100"/>
    <cellStyle name="메모 2 6 31" xfId="24101"/>
    <cellStyle name="메모 2 6 32" xfId="24102"/>
    <cellStyle name="메모 2 6 33" xfId="24103"/>
    <cellStyle name="메모 2 6 34" xfId="24104"/>
    <cellStyle name="메모 2 6 35" xfId="24105"/>
    <cellStyle name="메모 2 6 36" xfId="24106"/>
    <cellStyle name="메모 2 6 37" xfId="24107"/>
    <cellStyle name="메모 2 6 38" xfId="24108"/>
    <cellStyle name="메모 2 6 39" xfId="24109"/>
    <cellStyle name="메모 2 6 4" xfId="24110"/>
    <cellStyle name="메모 2 6 5" xfId="24111"/>
    <cellStyle name="메모 2 6 6" xfId="24112"/>
    <cellStyle name="메모 2 6 7" xfId="24113"/>
    <cellStyle name="메모 2 6 8" xfId="24114"/>
    <cellStyle name="메모 2 6 9" xfId="24115"/>
    <cellStyle name="메모 2 6_분양(100%)" xfId="39067"/>
    <cellStyle name="메모 2 60" xfId="24116"/>
    <cellStyle name="메모 2 61" xfId="24117"/>
    <cellStyle name="메모 2 62" xfId="24118"/>
    <cellStyle name="메모 2 63" xfId="24119"/>
    <cellStyle name="메모 2 64" xfId="24120"/>
    <cellStyle name="메모 2 65" xfId="24121"/>
    <cellStyle name="메모 2 66" xfId="24122"/>
    <cellStyle name="메모 2 67" xfId="24123"/>
    <cellStyle name="메모 2 68" xfId="24124"/>
    <cellStyle name="메모 2 69" xfId="24125"/>
    <cellStyle name="메모 2 7" xfId="24126"/>
    <cellStyle name="메모 2 7 10" xfId="24127"/>
    <cellStyle name="메모 2 7 11" xfId="24128"/>
    <cellStyle name="메모 2 7 12" xfId="24129"/>
    <cellStyle name="메모 2 7 13" xfId="24130"/>
    <cellStyle name="메모 2 7 14" xfId="24131"/>
    <cellStyle name="메모 2 7 15" xfId="24132"/>
    <cellStyle name="메모 2 7 16" xfId="24133"/>
    <cellStyle name="메모 2 7 17" xfId="24134"/>
    <cellStyle name="메모 2 7 18" xfId="24135"/>
    <cellStyle name="메모 2 7 19" xfId="24136"/>
    <cellStyle name="메모 2 7 2" xfId="24137"/>
    <cellStyle name="메모 2 7 20" xfId="24138"/>
    <cellStyle name="메모 2 7 21" xfId="24139"/>
    <cellStyle name="메모 2 7 22" xfId="24140"/>
    <cellStyle name="메모 2 7 23" xfId="24141"/>
    <cellStyle name="메모 2 7 24" xfId="24142"/>
    <cellStyle name="메모 2 7 25" xfId="24143"/>
    <cellStyle name="메모 2 7 26" xfId="24144"/>
    <cellStyle name="메모 2 7 27" xfId="24145"/>
    <cellStyle name="메모 2 7 28" xfId="24146"/>
    <cellStyle name="메모 2 7 29" xfId="24147"/>
    <cellStyle name="메모 2 7 3" xfId="24148"/>
    <cellStyle name="메모 2 7 30" xfId="24149"/>
    <cellStyle name="메모 2 7 31" xfId="24150"/>
    <cellStyle name="메모 2 7 32" xfId="24151"/>
    <cellStyle name="메모 2 7 33" xfId="24152"/>
    <cellStyle name="메모 2 7 34" xfId="24153"/>
    <cellStyle name="메모 2 7 35" xfId="24154"/>
    <cellStyle name="메모 2 7 36" xfId="24155"/>
    <cellStyle name="메모 2 7 37" xfId="24156"/>
    <cellStyle name="메모 2 7 38" xfId="24157"/>
    <cellStyle name="메모 2 7 39" xfId="24158"/>
    <cellStyle name="메모 2 7 4" xfId="24159"/>
    <cellStyle name="메모 2 7 5" xfId="24160"/>
    <cellStyle name="메모 2 7 6" xfId="24161"/>
    <cellStyle name="메모 2 7 7" xfId="24162"/>
    <cellStyle name="메모 2 7 8" xfId="24163"/>
    <cellStyle name="메모 2 7 9" xfId="24164"/>
    <cellStyle name="메모 2 7_분양(100%)" xfId="39068"/>
    <cellStyle name="메모 2 70" xfId="24165"/>
    <cellStyle name="메모 2 71" xfId="24166"/>
    <cellStyle name="메모 2 72" xfId="24167"/>
    <cellStyle name="메모 2 73" xfId="24168"/>
    <cellStyle name="메모 2 8" xfId="24169"/>
    <cellStyle name="메모 2 8 10" xfId="24170"/>
    <cellStyle name="메모 2 8 11" xfId="24171"/>
    <cellStyle name="메모 2 8 12" xfId="24172"/>
    <cellStyle name="메모 2 8 13" xfId="24173"/>
    <cellStyle name="메모 2 8 14" xfId="24174"/>
    <cellStyle name="메모 2 8 15" xfId="24175"/>
    <cellStyle name="메모 2 8 16" xfId="24176"/>
    <cellStyle name="메모 2 8 17" xfId="24177"/>
    <cellStyle name="메모 2 8 18" xfId="24178"/>
    <cellStyle name="메모 2 8 19" xfId="24179"/>
    <cellStyle name="메모 2 8 2" xfId="24180"/>
    <cellStyle name="메모 2 8 20" xfId="24181"/>
    <cellStyle name="메모 2 8 21" xfId="24182"/>
    <cellStyle name="메모 2 8 22" xfId="24183"/>
    <cellStyle name="메모 2 8 23" xfId="24184"/>
    <cellStyle name="메모 2 8 24" xfId="24185"/>
    <cellStyle name="메모 2 8 25" xfId="24186"/>
    <cellStyle name="메모 2 8 26" xfId="24187"/>
    <cellStyle name="메모 2 8 27" xfId="24188"/>
    <cellStyle name="메모 2 8 28" xfId="24189"/>
    <cellStyle name="메모 2 8 29" xfId="24190"/>
    <cellStyle name="메모 2 8 3" xfId="24191"/>
    <cellStyle name="메모 2 8 30" xfId="24192"/>
    <cellStyle name="메모 2 8 31" xfId="24193"/>
    <cellStyle name="메모 2 8 32" xfId="24194"/>
    <cellStyle name="메모 2 8 33" xfId="24195"/>
    <cellStyle name="메모 2 8 34" xfId="24196"/>
    <cellStyle name="메모 2 8 35" xfId="24197"/>
    <cellStyle name="메모 2 8 36" xfId="24198"/>
    <cellStyle name="메모 2 8 37" xfId="24199"/>
    <cellStyle name="메모 2 8 38" xfId="24200"/>
    <cellStyle name="메모 2 8 39" xfId="24201"/>
    <cellStyle name="메모 2 8 4" xfId="24202"/>
    <cellStyle name="메모 2 8 5" xfId="24203"/>
    <cellStyle name="메모 2 8 6" xfId="24204"/>
    <cellStyle name="메모 2 8 7" xfId="24205"/>
    <cellStyle name="메모 2 8 8" xfId="24206"/>
    <cellStyle name="메모 2 8 9" xfId="24207"/>
    <cellStyle name="메모 2 8_분양(100%)" xfId="39069"/>
    <cellStyle name="메모 2 9" xfId="24208"/>
    <cellStyle name="메모 2 9 10" xfId="24209"/>
    <cellStyle name="메모 2 9 11" xfId="24210"/>
    <cellStyle name="메모 2 9 12" xfId="24211"/>
    <cellStyle name="메모 2 9 13" xfId="24212"/>
    <cellStyle name="메모 2 9 14" xfId="24213"/>
    <cellStyle name="메모 2 9 15" xfId="24214"/>
    <cellStyle name="메모 2 9 16" xfId="24215"/>
    <cellStyle name="메모 2 9 17" xfId="24216"/>
    <cellStyle name="메모 2 9 18" xfId="24217"/>
    <cellStyle name="메모 2 9 19" xfId="24218"/>
    <cellStyle name="메모 2 9 2" xfId="24219"/>
    <cellStyle name="메모 2 9 20" xfId="24220"/>
    <cellStyle name="메모 2 9 21" xfId="24221"/>
    <cellStyle name="메모 2 9 22" xfId="24222"/>
    <cellStyle name="메모 2 9 23" xfId="24223"/>
    <cellStyle name="메모 2 9 24" xfId="24224"/>
    <cellStyle name="메모 2 9 25" xfId="24225"/>
    <cellStyle name="메모 2 9 26" xfId="24226"/>
    <cellStyle name="메모 2 9 27" xfId="24227"/>
    <cellStyle name="메모 2 9 28" xfId="24228"/>
    <cellStyle name="메모 2 9 29" xfId="24229"/>
    <cellStyle name="메모 2 9 3" xfId="24230"/>
    <cellStyle name="메모 2 9 30" xfId="24231"/>
    <cellStyle name="메모 2 9 31" xfId="24232"/>
    <cellStyle name="메모 2 9 32" xfId="24233"/>
    <cellStyle name="메모 2 9 33" xfId="24234"/>
    <cellStyle name="메모 2 9 34" xfId="24235"/>
    <cellStyle name="메모 2 9 35" xfId="24236"/>
    <cellStyle name="메모 2 9 36" xfId="24237"/>
    <cellStyle name="메모 2 9 37" xfId="24238"/>
    <cellStyle name="메모 2 9 38" xfId="24239"/>
    <cellStyle name="메모 2 9 39" xfId="24240"/>
    <cellStyle name="메모 2 9 4" xfId="24241"/>
    <cellStyle name="메모 2 9 5" xfId="24242"/>
    <cellStyle name="메모 2 9 6" xfId="24243"/>
    <cellStyle name="메모 2 9 7" xfId="24244"/>
    <cellStyle name="메모 2 9 8" xfId="24245"/>
    <cellStyle name="메모 2 9 9" xfId="24246"/>
    <cellStyle name="메모 2 9_분양(100%)" xfId="39070"/>
    <cellStyle name="메모 2_분양(100%)" xfId="39039"/>
    <cellStyle name="메모 20" xfId="24247"/>
    <cellStyle name="메모 20 10" xfId="24248"/>
    <cellStyle name="메모 20 11" xfId="24249"/>
    <cellStyle name="메모 20 12" xfId="24250"/>
    <cellStyle name="메모 20 13" xfId="24251"/>
    <cellStyle name="메모 20 14" xfId="24252"/>
    <cellStyle name="메모 20 15" xfId="24253"/>
    <cellStyle name="메모 20 16" xfId="24254"/>
    <cellStyle name="메모 20 17" xfId="24255"/>
    <cellStyle name="메모 20 18" xfId="24256"/>
    <cellStyle name="메모 20 19" xfId="24257"/>
    <cellStyle name="메모 20 2" xfId="24258"/>
    <cellStyle name="메모 20 20" xfId="24259"/>
    <cellStyle name="메모 20 21" xfId="24260"/>
    <cellStyle name="메모 20 22" xfId="24261"/>
    <cellStyle name="메모 20 23" xfId="24262"/>
    <cellStyle name="메모 20 24" xfId="24263"/>
    <cellStyle name="메모 20 25" xfId="24264"/>
    <cellStyle name="메모 20 26" xfId="24265"/>
    <cellStyle name="메모 20 27" xfId="24266"/>
    <cellStyle name="메모 20 28" xfId="24267"/>
    <cellStyle name="메모 20 29" xfId="24268"/>
    <cellStyle name="메모 20 3" xfId="24269"/>
    <cellStyle name="메모 20 30" xfId="24270"/>
    <cellStyle name="메모 20 31" xfId="24271"/>
    <cellStyle name="메모 20 32" xfId="24272"/>
    <cellStyle name="메모 20 33" xfId="24273"/>
    <cellStyle name="메모 20 34" xfId="24274"/>
    <cellStyle name="메모 20 35" xfId="24275"/>
    <cellStyle name="메모 20 36" xfId="24276"/>
    <cellStyle name="메모 20 37" xfId="24277"/>
    <cellStyle name="메모 20 38" xfId="24278"/>
    <cellStyle name="메모 20 39" xfId="24279"/>
    <cellStyle name="메모 20 4" xfId="24280"/>
    <cellStyle name="메모 20 5" xfId="24281"/>
    <cellStyle name="메모 20 6" xfId="24282"/>
    <cellStyle name="메모 20 7" xfId="24283"/>
    <cellStyle name="메모 20 8" xfId="24284"/>
    <cellStyle name="메모 20 9" xfId="24285"/>
    <cellStyle name="메모 20_분양(100%)" xfId="39071"/>
    <cellStyle name="메모 21" xfId="24286"/>
    <cellStyle name="메모 21 10" xfId="24287"/>
    <cellStyle name="메모 21 11" xfId="24288"/>
    <cellStyle name="메모 21 12" xfId="24289"/>
    <cellStyle name="메모 21 13" xfId="24290"/>
    <cellStyle name="메모 21 14" xfId="24291"/>
    <cellStyle name="메모 21 15" xfId="24292"/>
    <cellStyle name="메모 21 16" xfId="24293"/>
    <cellStyle name="메모 21 17" xfId="24294"/>
    <cellStyle name="메모 21 18" xfId="24295"/>
    <cellStyle name="메모 21 19" xfId="24296"/>
    <cellStyle name="메모 21 2" xfId="24297"/>
    <cellStyle name="메모 21 20" xfId="24298"/>
    <cellStyle name="메모 21 21" xfId="24299"/>
    <cellStyle name="메모 21 22" xfId="24300"/>
    <cellStyle name="메모 21 23" xfId="24301"/>
    <cellStyle name="메모 21 24" xfId="24302"/>
    <cellStyle name="메모 21 25" xfId="24303"/>
    <cellStyle name="메모 21 26" xfId="24304"/>
    <cellStyle name="메모 21 27" xfId="24305"/>
    <cellStyle name="메모 21 28" xfId="24306"/>
    <cellStyle name="메모 21 29" xfId="24307"/>
    <cellStyle name="메모 21 3" xfId="24308"/>
    <cellStyle name="메모 21 30" xfId="24309"/>
    <cellStyle name="메모 21 31" xfId="24310"/>
    <cellStyle name="메모 21 32" xfId="24311"/>
    <cellStyle name="메모 21 33" xfId="24312"/>
    <cellStyle name="메모 21 34" xfId="24313"/>
    <cellStyle name="메모 21 35" xfId="24314"/>
    <cellStyle name="메모 21 36" xfId="24315"/>
    <cellStyle name="메모 21 37" xfId="24316"/>
    <cellStyle name="메모 21 38" xfId="24317"/>
    <cellStyle name="메모 21 39" xfId="24318"/>
    <cellStyle name="메모 21 4" xfId="24319"/>
    <cellStyle name="메모 21 5" xfId="24320"/>
    <cellStyle name="메모 21 6" xfId="24321"/>
    <cellStyle name="메모 21 7" xfId="24322"/>
    <cellStyle name="메모 21 8" xfId="24323"/>
    <cellStyle name="메모 21 9" xfId="24324"/>
    <cellStyle name="메모 21_분양(100%)" xfId="39072"/>
    <cellStyle name="메모 22" xfId="24325"/>
    <cellStyle name="메모 22 10" xfId="24326"/>
    <cellStyle name="메모 22 11" xfId="24327"/>
    <cellStyle name="메모 22 12" xfId="24328"/>
    <cellStyle name="메모 22 13" xfId="24329"/>
    <cellStyle name="메모 22 14" xfId="24330"/>
    <cellStyle name="메모 22 15" xfId="24331"/>
    <cellStyle name="메모 22 16" xfId="24332"/>
    <cellStyle name="메모 22 17" xfId="24333"/>
    <cellStyle name="메모 22 18" xfId="24334"/>
    <cellStyle name="메모 22 19" xfId="24335"/>
    <cellStyle name="메모 22 2" xfId="24336"/>
    <cellStyle name="메모 22 20" xfId="24337"/>
    <cellStyle name="메모 22 21" xfId="24338"/>
    <cellStyle name="메모 22 22" xfId="24339"/>
    <cellStyle name="메모 22 23" xfId="24340"/>
    <cellStyle name="메모 22 24" xfId="24341"/>
    <cellStyle name="메모 22 25" xfId="24342"/>
    <cellStyle name="메모 22 26" xfId="24343"/>
    <cellStyle name="메모 22 27" xfId="24344"/>
    <cellStyle name="메모 22 28" xfId="24345"/>
    <cellStyle name="메모 22 29" xfId="24346"/>
    <cellStyle name="메모 22 3" xfId="24347"/>
    <cellStyle name="메모 22 30" xfId="24348"/>
    <cellStyle name="메모 22 31" xfId="24349"/>
    <cellStyle name="메모 22 32" xfId="24350"/>
    <cellStyle name="메모 22 33" xfId="24351"/>
    <cellStyle name="메모 22 34" xfId="24352"/>
    <cellStyle name="메모 22 35" xfId="24353"/>
    <cellStyle name="메모 22 36" xfId="24354"/>
    <cellStyle name="메모 22 37" xfId="24355"/>
    <cellStyle name="메모 22 38" xfId="24356"/>
    <cellStyle name="메모 22 39" xfId="24357"/>
    <cellStyle name="메모 22 4" xfId="24358"/>
    <cellStyle name="메모 22 5" xfId="24359"/>
    <cellStyle name="메모 22 6" xfId="24360"/>
    <cellStyle name="메모 22 7" xfId="24361"/>
    <cellStyle name="메모 22 8" xfId="24362"/>
    <cellStyle name="메모 22 9" xfId="24363"/>
    <cellStyle name="메모 22_분양(100%)" xfId="39073"/>
    <cellStyle name="메모 23" xfId="24364"/>
    <cellStyle name="메모 23 10" xfId="24365"/>
    <cellStyle name="메모 23 11" xfId="24366"/>
    <cellStyle name="메모 23 12" xfId="24367"/>
    <cellStyle name="메모 23 13" xfId="24368"/>
    <cellStyle name="메모 23 14" xfId="24369"/>
    <cellStyle name="메모 23 15" xfId="24370"/>
    <cellStyle name="메모 23 16" xfId="24371"/>
    <cellStyle name="메모 23 17" xfId="24372"/>
    <cellStyle name="메모 23 18" xfId="24373"/>
    <cellStyle name="메모 23 19" xfId="24374"/>
    <cellStyle name="메모 23 2" xfId="24375"/>
    <cellStyle name="메모 23 20" xfId="24376"/>
    <cellStyle name="메모 23 21" xfId="24377"/>
    <cellStyle name="메모 23 22" xfId="24378"/>
    <cellStyle name="메모 23 23" xfId="24379"/>
    <cellStyle name="메모 23 24" xfId="24380"/>
    <cellStyle name="메모 23 25" xfId="24381"/>
    <cellStyle name="메모 23 26" xfId="24382"/>
    <cellStyle name="메모 23 27" xfId="24383"/>
    <cellStyle name="메모 23 28" xfId="24384"/>
    <cellStyle name="메모 23 29" xfId="24385"/>
    <cellStyle name="메모 23 3" xfId="24386"/>
    <cellStyle name="메모 23 30" xfId="24387"/>
    <cellStyle name="메모 23 31" xfId="24388"/>
    <cellStyle name="메모 23 32" xfId="24389"/>
    <cellStyle name="메모 23 33" xfId="24390"/>
    <cellStyle name="메모 23 34" xfId="24391"/>
    <cellStyle name="메모 23 35" xfId="24392"/>
    <cellStyle name="메모 23 36" xfId="24393"/>
    <cellStyle name="메모 23 37" xfId="24394"/>
    <cellStyle name="메모 23 38" xfId="24395"/>
    <cellStyle name="메모 23 39" xfId="24396"/>
    <cellStyle name="메모 23 4" xfId="24397"/>
    <cellStyle name="메모 23 5" xfId="24398"/>
    <cellStyle name="메모 23 6" xfId="24399"/>
    <cellStyle name="메모 23 7" xfId="24400"/>
    <cellStyle name="메모 23 8" xfId="24401"/>
    <cellStyle name="메모 23 9" xfId="24402"/>
    <cellStyle name="메모 23_분양(100%)" xfId="39074"/>
    <cellStyle name="메모 24" xfId="24403"/>
    <cellStyle name="메모 24 10" xfId="24404"/>
    <cellStyle name="메모 24 11" xfId="24405"/>
    <cellStyle name="메모 24 12" xfId="24406"/>
    <cellStyle name="메모 24 13" xfId="24407"/>
    <cellStyle name="메모 24 14" xfId="24408"/>
    <cellStyle name="메모 24 15" xfId="24409"/>
    <cellStyle name="메모 24 16" xfId="24410"/>
    <cellStyle name="메모 24 17" xfId="24411"/>
    <cellStyle name="메모 24 18" xfId="24412"/>
    <cellStyle name="메모 24 19" xfId="24413"/>
    <cellStyle name="메모 24 2" xfId="24414"/>
    <cellStyle name="메모 24 20" xfId="24415"/>
    <cellStyle name="메모 24 21" xfId="24416"/>
    <cellStyle name="메모 24 22" xfId="24417"/>
    <cellStyle name="메모 24 23" xfId="24418"/>
    <cellStyle name="메모 24 24" xfId="24419"/>
    <cellStyle name="메모 24 25" xfId="24420"/>
    <cellStyle name="메모 24 26" xfId="24421"/>
    <cellStyle name="메모 24 27" xfId="24422"/>
    <cellStyle name="메모 24 28" xfId="24423"/>
    <cellStyle name="메모 24 29" xfId="24424"/>
    <cellStyle name="메모 24 3" xfId="24425"/>
    <cellStyle name="메모 24 30" xfId="24426"/>
    <cellStyle name="메모 24 31" xfId="24427"/>
    <cellStyle name="메모 24 32" xfId="24428"/>
    <cellStyle name="메모 24 33" xfId="24429"/>
    <cellStyle name="메모 24 34" xfId="24430"/>
    <cellStyle name="메모 24 35" xfId="24431"/>
    <cellStyle name="메모 24 36" xfId="24432"/>
    <cellStyle name="메모 24 37" xfId="24433"/>
    <cellStyle name="메모 24 38" xfId="24434"/>
    <cellStyle name="메모 24 39" xfId="24435"/>
    <cellStyle name="메모 24 4" xfId="24436"/>
    <cellStyle name="메모 24 5" xfId="24437"/>
    <cellStyle name="메모 24 6" xfId="24438"/>
    <cellStyle name="메모 24 7" xfId="24439"/>
    <cellStyle name="메모 24 8" xfId="24440"/>
    <cellStyle name="메모 24 9" xfId="24441"/>
    <cellStyle name="메모 24_분양(100%)" xfId="39075"/>
    <cellStyle name="메모 25" xfId="24442"/>
    <cellStyle name="메모 25 10" xfId="24443"/>
    <cellStyle name="메모 25 11" xfId="24444"/>
    <cellStyle name="메모 25 12" xfId="24445"/>
    <cellStyle name="메모 25 13" xfId="24446"/>
    <cellStyle name="메모 25 14" xfId="24447"/>
    <cellStyle name="메모 25 15" xfId="24448"/>
    <cellStyle name="메모 25 16" xfId="24449"/>
    <cellStyle name="메모 25 17" xfId="24450"/>
    <cellStyle name="메모 25 18" xfId="24451"/>
    <cellStyle name="메모 25 19" xfId="24452"/>
    <cellStyle name="메모 25 2" xfId="24453"/>
    <cellStyle name="메모 25 20" xfId="24454"/>
    <cellStyle name="메모 25 21" xfId="24455"/>
    <cellStyle name="메모 25 22" xfId="24456"/>
    <cellStyle name="메모 25 23" xfId="24457"/>
    <cellStyle name="메모 25 24" xfId="24458"/>
    <cellStyle name="메모 25 25" xfId="24459"/>
    <cellStyle name="메모 25 26" xfId="24460"/>
    <cellStyle name="메모 25 27" xfId="24461"/>
    <cellStyle name="메모 25 28" xfId="24462"/>
    <cellStyle name="메모 25 29" xfId="24463"/>
    <cellStyle name="메모 25 3" xfId="24464"/>
    <cellStyle name="메모 25 30" xfId="24465"/>
    <cellStyle name="메모 25 31" xfId="24466"/>
    <cellStyle name="메모 25 32" xfId="24467"/>
    <cellStyle name="메모 25 33" xfId="24468"/>
    <cellStyle name="메모 25 34" xfId="24469"/>
    <cellStyle name="메모 25 35" xfId="24470"/>
    <cellStyle name="메모 25 36" xfId="24471"/>
    <cellStyle name="메모 25 37" xfId="24472"/>
    <cellStyle name="메모 25 38" xfId="24473"/>
    <cellStyle name="메모 25 39" xfId="24474"/>
    <cellStyle name="메모 25 4" xfId="24475"/>
    <cellStyle name="메모 25 5" xfId="24476"/>
    <cellStyle name="메모 25 6" xfId="24477"/>
    <cellStyle name="메모 25 7" xfId="24478"/>
    <cellStyle name="메모 25 8" xfId="24479"/>
    <cellStyle name="메모 25 9" xfId="24480"/>
    <cellStyle name="메모 25_분양(100%)" xfId="39076"/>
    <cellStyle name="메모 26" xfId="24481"/>
    <cellStyle name="메모 26 10" xfId="24482"/>
    <cellStyle name="메모 26 11" xfId="24483"/>
    <cellStyle name="메모 26 12" xfId="24484"/>
    <cellStyle name="메모 26 13" xfId="24485"/>
    <cellStyle name="메모 26 14" xfId="24486"/>
    <cellStyle name="메모 26 15" xfId="24487"/>
    <cellStyle name="메모 26 16" xfId="24488"/>
    <cellStyle name="메모 26 17" xfId="24489"/>
    <cellStyle name="메모 26 18" xfId="24490"/>
    <cellStyle name="메모 26 19" xfId="24491"/>
    <cellStyle name="메모 26 2" xfId="24492"/>
    <cellStyle name="메모 26 20" xfId="24493"/>
    <cellStyle name="메모 26 21" xfId="24494"/>
    <cellStyle name="메모 26 22" xfId="24495"/>
    <cellStyle name="메모 26 23" xfId="24496"/>
    <cellStyle name="메모 26 24" xfId="24497"/>
    <cellStyle name="메모 26 25" xfId="24498"/>
    <cellStyle name="메모 26 26" xfId="24499"/>
    <cellStyle name="메모 26 27" xfId="24500"/>
    <cellStyle name="메모 26 28" xfId="24501"/>
    <cellStyle name="메모 26 29" xfId="24502"/>
    <cellStyle name="메모 26 3" xfId="24503"/>
    <cellStyle name="메모 26 30" xfId="24504"/>
    <cellStyle name="메모 26 31" xfId="24505"/>
    <cellStyle name="메모 26 32" xfId="24506"/>
    <cellStyle name="메모 26 33" xfId="24507"/>
    <cellStyle name="메모 26 34" xfId="24508"/>
    <cellStyle name="메모 26 35" xfId="24509"/>
    <cellStyle name="메모 26 36" xfId="24510"/>
    <cellStyle name="메모 26 37" xfId="24511"/>
    <cellStyle name="메모 26 38" xfId="24512"/>
    <cellStyle name="메모 26 39" xfId="24513"/>
    <cellStyle name="메모 26 4" xfId="24514"/>
    <cellStyle name="메모 26 5" xfId="24515"/>
    <cellStyle name="메모 26 6" xfId="24516"/>
    <cellStyle name="메모 26 7" xfId="24517"/>
    <cellStyle name="메모 26 8" xfId="24518"/>
    <cellStyle name="메모 26 9" xfId="24519"/>
    <cellStyle name="메모 26_분양(100%)" xfId="39077"/>
    <cellStyle name="메모 27" xfId="24520"/>
    <cellStyle name="메모 27 10" xfId="24521"/>
    <cellStyle name="메모 27 11" xfId="24522"/>
    <cellStyle name="메모 27 12" xfId="24523"/>
    <cellStyle name="메모 27 13" xfId="24524"/>
    <cellStyle name="메모 27 14" xfId="24525"/>
    <cellStyle name="메모 27 15" xfId="24526"/>
    <cellStyle name="메모 27 16" xfId="24527"/>
    <cellStyle name="메모 27 17" xfId="24528"/>
    <cellStyle name="메모 27 18" xfId="24529"/>
    <cellStyle name="메모 27 19" xfId="24530"/>
    <cellStyle name="메모 27 2" xfId="24531"/>
    <cellStyle name="메모 27 20" xfId="24532"/>
    <cellStyle name="메모 27 21" xfId="24533"/>
    <cellStyle name="메모 27 22" xfId="24534"/>
    <cellStyle name="메모 27 23" xfId="24535"/>
    <cellStyle name="메모 27 24" xfId="24536"/>
    <cellStyle name="메모 27 25" xfId="24537"/>
    <cellStyle name="메모 27 26" xfId="24538"/>
    <cellStyle name="메모 27 27" xfId="24539"/>
    <cellStyle name="메모 27 28" xfId="24540"/>
    <cellStyle name="메모 27 29" xfId="24541"/>
    <cellStyle name="메모 27 3" xfId="24542"/>
    <cellStyle name="메모 27 30" xfId="24543"/>
    <cellStyle name="메모 27 31" xfId="24544"/>
    <cellStyle name="메모 27 32" xfId="24545"/>
    <cellStyle name="메모 27 33" xfId="24546"/>
    <cellStyle name="메모 27 34" xfId="24547"/>
    <cellStyle name="메모 27 35" xfId="24548"/>
    <cellStyle name="메모 27 36" xfId="24549"/>
    <cellStyle name="메모 27 37" xfId="24550"/>
    <cellStyle name="메모 27 38" xfId="24551"/>
    <cellStyle name="메모 27 39" xfId="24552"/>
    <cellStyle name="메모 27 4" xfId="24553"/>
    <cellStyle name="메모 27 5" xfId="24554"/>
    <cellStyle name="메모 27 6" xfId="24555"/>
    <cellStyle name="메모 27 7" xfId="24556"/>
    <cellStyle name="메모 27 8" xfId="24557"/>
    <cellStyle name="메모 27 9" xfId="24558"/>
    <cellStyle name="메모 27_분양(100%)" xfId="39078"/>
    <cellStyle name="메모 28" xfId="24559"/>
    <cellStyle name="메모 28 10" xfId="24560"/>
    <cellStyle name="메모 28 11" xfId="24561"/>
    <cellStyle name="메모 28 12" xfId="24562"/>
    <cellStyle name="메모 28 13" xfId="24563"/>
    <cellStyle name="메모 28 14" xfId="24564"/>
    <cellStyle name="메모 28 15" xfId="24565"/>
    <cellStyle name="메모 28 16" xfId="24566"/>
    <cellStyle name="메모 28 17" xfId="24567"/>
    <cellStyle name="메모 28 18" xfId="24568"/>
    <cellStyle name="메모 28 19" xfId="24569"/>
    <cellStyle name="메모 28 2" xfId="24570"/>
    <cellStyle name="메모 28 20" xfId="24571"/>
    <cellStyle name="메모 28 21" xfId="24572"/>
    <cellStyle name="메모 28 22" xfId="24573"/>
    <cellStyle name="메모 28 23" xfId="24574"/>
    <cellStyle name="메모 28 24" xfId="24575"/>
    <cellStyle name="메모 28 25" xfId="24576"/>
    <cellStyle name="메모 28 26" xfId="24577"/>
    <cellStyle name="메모 28 27" xfId="24578"/>
    <cellStyle name="메모 28 28" xfId="24579"/>
    <cellStyle name="메모 28 29" xfId="24580"/>
    <cellStyle name="메모 28 3" xfId="24581"/>
    <cellStyle name="메모 28 30" xfId="24582"/>
    <cellStyle name="메모 28 31" xfId="24583"/>
    <cellStyle name="메모 28 32" xfId="24584"/>
    <cellStyle name="메모 28 33" xfId="24585"/>
    <cellStyle name="메모 28 34" xfId="24586"/>
    <cellStyle name="메모 28 35" xfId="24587"/>
    <cellStyle name="메모 28 36" xfId="24588"/>
    <cellStyle name="메모 28 37" xfId="24589"/>
    <cellStyle name="메모 28 38" xfId="24590"/>
    <cellStyle name="메모 28 39" xfId="24591"/>
    <cellStyle name="메모 28 4" xfId="24592"/>
    <cellStyle name="메모 28 5" xfId="24593"/>
    <cellStyle name="메모 28 6" xfId="24594"/>
    <cellStyle name="메모 28 7" xfId="24595"/>
    <cellStyle name="메모 28 8" xfId="24596"/>
    <cellStyle name="메모 28 9" xfId="24597"/>
    <cellStyle name="메모 28_분양(100%)" xfId="39079"/>
    <cellStyle name="메모 29" xfId="24598"/>
    <cellStyle name="메모 29 10" xfId="24599"/>
    <cellStyle name="메모 29 11" xfId="24600"/>
    <cellStyle name="메모 29 12" xfId="24601"/>
    <cellStyle name="메모 29 13" xfId="24602"/>
    <cellStyle name="메모 29 14" xfId="24603"/>
    <cellStyle name="메모 29 15" xfId="24604"/>
    <cellStyle name="메모 29 16" xfId="24605"/>
    <cellStyle name="메모 29 17" xfId="24606"/>
    <cellStyle name="메모 29 18" xfId="24607"/>
    <cellStyle name="메모 29 19" xfId="24608"/>
    <cellStyle name="메모 29 2" xfId="24609"/>
    <cellStyle name="메모 29 20" xfId="24610"/>
    <cellStyle name="메모 29 21" xfId="24611"/>
    <cellStyle name="메모 29 22" xfId="24612"/>
    <cellStyle name="메모 29 23" xfId="24613"/>
    <cellStyle name="메모 29 24" xfId="24614"/>
    <cellStyle name="메모 29 25" xfId="24615"/>
    <cellStyle name="메모 29 26" xfId="24616"/>
    <cellStyle name="메모 29 27" xfId="24617"/>
    <cellStyle name="메모 29 28" xfId="24618"/>
    <cellStyle name="메모 29 29" xfId="24619"/>
    <cellStyle name="메모 29 3" xfId="24620"/>
    <cellStyle name="메모 29 30" xfId="24621"/>
    <cellStyle name="메모 29 31" xfId="24622"/>
    <cellStyle name="메모 29 32" xfId="24623"/>
    <cellStyle name="메모 29 33" xfId="24624"/>
    <cellStyle name="메모 29 34" xfId="24625"/>
    <cellStyle name="메모 29 35" xfId="24626"/>
    <cellStyle name="메모 29 36" xfId="24627"/>
    <cellStyle name="메모 29 37" xfId="24628"/>
    <cellStyle name="메모 29 38" xfId="24629"/>
    <cellStyle name="메모 29 39" xfId="24630"/>
    <cellStyle name="메모 29 4" xfId="24631"/>
    <cellStyle name="메모 29 5" xfId="24632"/>
    <cellStyle name="메모 29 6" xfId="24633"/>
    <cellStyle name="메모 29 7" xfId="24634"/>
    <cellStyle name="메모 29 8" xfId="24635"/>
    <cellStyle name="메모 29 9" xfId="24636"/>
    <cellStyle name="메모 29_분양(100%)" xfId="39080"/>
    <cellStyle name="메모 3" xfId="4361"/>
    <cellStyle name="메모 3 10" xfId="24637"/>
    <cellStyle name="메모 3 11" xfId="24638"/>
    <cellStyle name="메모 3 12" xfId="24639"/>
    <cellStyle name="메모 3 13" xfId="24640"/>
    <cellStyle name="메모 3 14" xfId="24641"/>
    <cellStyle name="메모 3 15" xfId="24642"/>
    <cellStyle name="메모 3 16" xfId="24643"/>
    <cellStyle name="메모 3 17" xfId="24644"/>
    <cellStyle name="메모 3 18" xfId="24645"/>
    <cellStyle name="메모 3 19" xfId="24646"/>
    <cellStyle name="메모 3 2" xfId="24647"/>
    <cellStyle name="메모 3 20" xfId="24648"/>
    <cellStyle name="메모 3 21" xfId="24649"/>
    <cellStyle name="메모 3 22" xfId="24650"/>
    <cellStyle name="메모 3 23" xfId="24651"/>
    <cellStyle name="메모 3 24" xfId="24652"/>
    <cellStyle name="메모 3 25" xfId="24653"/>
    <cellStyle name="메모 3 26" xfId="24654"/>
    <cellStyle name="메모 3 27" xfId="24655"/>
    <cellStyle name="메모 3 28" xfId="24656"/>
    <cellStyle name="메모 3 29" xfId="24657"/>
    <cellStyle name="메모 3 3" xfId="24658"/>
    <cellStyle name="메모 3 30" xfId="24659"/>
    <cellStyle name="메모 3 31" xfId="24660"/>
    <cellStyle name="메모 3 32" xfId="24661"/>
    <cellStyle name="메모 3 33" xfId="24662"/>
    <cellStyle name="메모 3 34" xfId="24663"/>
    <cellStyle name="메모 3 35" xfId="24664"/>
    <cellStyle name="메모 3 36" xfId="24665"/>
    <cellStyle name="메모 3 37" xfId="24666"/>
    <cellStyle name="메모 3 38" xfId="24667"/>
    <cellStyle name="메모 3 39" xfId="24668"/>
    <cellStyle name="메모 3 4" xfId="24669"/>
    <cellStyle name="메모 3 5" xfId="24670"/>
    <cellStyle name="메모 3 6" xfId="24671"/>
    <cellStyle name="메모 3 7" xfId="24672"/>
    <cellStyle name="메모 3 8" xfId="24673"/>
    <cellStyle name="메모 3 9" xfId="24674"/>
    <cellStyle name="메모 3_분양(100%)" xfId="39081"/>
    <cellStyle name="메모 30" xfId="24675"/>
    <cellStyle name="메모 30 10" xfId="24676"/>
    <cellStyle name="메모 30 11" xfId="24677"/>
    <cellStyle name="메모 30 12" xfId="24678"/>
    <cellStyle name="메모 30 13" xfId="24679"/>
    <cellStyle name="메모 30 14" xfId="24680"/>
    <cellStyle name="메모 30 15" xfId="24681"/>
    <cellStyle name="메모 30 16" xfId="24682"/>
    <cellStyle name="메모 30 17" xfId="24683"/>
    <cellStyle name="메모 30 18" xfId="24684"/>
    <cellStyle name="메모 30 19" xfId="24685"/>
    <cellStyle name="메모 30 2" xfId="24686"/>
    <cellStyle name="메모 30 20" xfId="24687"/>
    <cellStyle name="메모 30 21" xfId="24688"/>
    <cellStyle name="메모 30 22" xfId="24689"/>
    <cellStyle name="메모 30 23" xfId="24690"/>
    <cellStyle name="메모 30 24" xfId="24691"/>
    <cellStyle name="메모 30 25" xfId="24692"/>
    <cellStyle name="메모 30 26" xfId="24693"/>
    <cellStyle name="메모 30 27" xfId="24694"/>
    <cellStyle name="메모 30 28" xfId="24695"/>
    <cellStyle name="메모 30 29" xfId="24696"/>
    <cellStyle name="메모 30 3" xfId="24697"/>
    <cellStyle name="메모 30 30" xfId="24698"/>
    <cellStyle name="메모 30 31" xfId="24699"/>
    <cellStyle name="메모 30 32" xfId="24700"/>
    <cellStyle name="메모 30 33" xfId="24701"/>
    <cellStyle name="메모 30 34" xfId="24702"/>
    <cellStyle name="메모 30 35" xfId="24703"/>
    <cellStyle name="메모 30 36" xfId="24704"/>
    <cellStyle name="메모 30 37" xfId="24705"/>
    <cellStyle name="메모 30 38" xfId="24706"/>
    <cellStyle name="메모 30 39" xfId="24707"/>
    <cellStyle name="메모 30 4" xfId="24708"/>
    <cellStyle name="메모 30 5" xfId="24709"/>
    <cellStyle name="메모 30 6" xfId="24710"/>
    <cellStyle name="메모 30 7" xfId="24711"/>
    <cellStyle name="메모 30 8" xfId="24712"/>
    <cellStyle name="메모 30 9" xfId="24713"/>
    <cellStyle name="메모 30_분양(100%)" xfId="39082"/>
    <cellStyle name="메모 31" xfId="24714"/>
    <cellStyle name="메모 31 10" xfId="24715"/>
    <cellStyle name="메모 31 11" xfId="24716"/>
    <cellStyle name="메모 31 12" xfId="24717"/>
    <cellStyle name="메모 31 13" xfId="24718"/>
    <cellStyle name="메모 31 14" xfId="24719"/>
    <cellStyle name="메모 31 15" xfId="24720"/>
    <cellStyle name="메모 31 16" xfId="24721"/>
    <cellStyle name="메모 31 17" xfId="24722"/>
    <cellStyle name="메모 31 18" xfId="24723"/>
    <cellStyle name="메모 31 19" xfId="24724"/>
    <cellStyle name="메모 31 2" xfId="24725"/>
    <cellStyle name="메모 31 20" xfId="24726"/>
    <cellStyle name="메모 31 21" xfId="24727"/>
    <cellStyle name="메모 31 22" xfId="24728"/>
    <cellStyle name="메모 31 23" xfId="24729"/>
    <cellStyle name="메모 31 24" xfId="24730"/>
    <cellStyle name="메모 31 25" xfId="24731"/>
    <cellStyle name="메모 31 26" xfId="24732"/>
    <cellStyle name="메모 31 27" xfId="24733"/>
    <cellStyle name="메모 31 28" xfId="24734"/>
    <cellStyle name="메모 31 29" xfId="24735"/>
    <cellStyle name="메모 31 3" xfId="24736"/>
    <cellStyle name="메모 31 30" xfId="24737"/>
    <cellStyle name="메모 31 31" xfId="24738"/>
    <cellStyle name="메모 31 32" xfId="24739"/>
    <cellStyle name="메모 31 33" xfId="24740"/>
    <cellStyle name="메모 31 34" xfId="24741"/>
    <cellStyle name="메모 31 35" xfId="24742"/>
    <cellStyle name="메모 31 36" xfId="24743"/>
    <cellStyle name="메모 31 37" xfId="24744"/>
    <cellStyle name="메모 31 38" xfId="24745"/>
    <cellStyle name="메모 31 39" xfId="24746"/>
    <cellStyle name="메모 31 4" xfId="24747"/>
    <cellStyle name="메모 31 5" xfId="24748"/>
    <cellStyle name="메모 31 6" xfId="24749"/>
    <cellStyle name="메모 31 7" xfId="24750"/>
    <cellStyle name="메모 31 8" xfId="24751"/>
    <cellStyle name="메모 31 9" xfId="24752"/>
    <cellStyle name="메모 31_분양(100%)" xfId="39083"/>
    <cellStyle name="메모 32" xfId="24753"/>
    <cellStyle name="메모 32 10" xfId="24754"/>
    <cellStyle name="메모 32 11" xfId="24755"/>
    <cellStyle name="메모 32 12" xfId="24756"/>
    <cellStyle name="메모 32 13" xfId="24757"/>
    <cellStyle name="메모 32 14" xfId="24758"/>
    <cellStyle name="메모 32 15" xfId="24759"/>
    <cellStyle name="메모 32 16" xfId="24760"/>
    <cellStyle name="메모 32 17" xfId="24761"/>
    <cellStyle name="메모 32 18" xfId="24762"/>
    <cellStyle name="메모 32 19" xfId="24763"/>
    <cellStyle name="메모 32 2" xfId="24764"/>
    <cellStyle name="메모 32 20" xfId="24765"/>
    <cellStyle name="메모 32 21" xfId="24766"/>
    <cellStyle name="메모 32 22" xfId="24767"/>
    <cellStyle name="메모 32 23" xfId="24768"/>
    <cellStyle name="메모 32 24" xfId="24769"/>
    <cellStyle name="메모 32 25" xfId="24770"/>
    <cellStyle name="메모 32 26" xfId="24771"/>
    <cellStyle name="메모 32 27" xfId="24772"/>
    <cellStyle name="메모 32 28" xfId="24773"/>
    <cellStyle name="메모 32 29" xfId="24774"/>
    <cellStyle name="메모 32 3" xfId="24775"/>
    <cellStyle name="메모 32 30" xfId="24776"/>
    <cellStyle name="메모 32 31" xfId="24777"/>
    <cellStyle name="메모 32 32" xfId="24778"/>
    <cellStyle name="메모 32 33" xfId="24779"/>
    <cellStyle name="메모 32 34" xfId="24780"/>
    <cellStyle name="메모 32 35" xfId="24781"/>
    <cellStyle name="메모 32 36" xfId="24782"/>
    <cellStyle name="메모 32 37" xfId="24783"/>
    <cellStyle name="메모 32 38" xfId="24784"/>
    <cellStyle name="메모 32 39" xfId="24785"/>
    <cellStyle name="메모 32 4" xfId="24786"/>
    <cellStyle name="메모 32 5" xfId="24787"/>
    <cellStyle name="메모 32 6" xfId="24788"/>
    <cellStyle name="메모 32 7" xfId="24789"/>
    <cellStyle name="메모 32 8" xfId="24790"/>
    <cellStyle name="메모 32 9" xfId="24791"/>
    <cellStyle name="메모 32_분양(100%)" xfId="39084"/>
    <cellStyle name="메모 33" xfId="24792"/>
    <cellStyle name="메모 33 10" xfId="24793"/>
    <cellStyle name="메모 33 11" xfId="24794"/>
    <cellStyle name="메모 33 12" xfId="24795"/>
    <cellStyle name="메모 33 13" xfId="24796"/>
    <cellStyle name="메모 33 14" xfId="24797"/>
    <cellStyle name="메모 33 15" xfId="24798"/>
    <cellStyle name="메모 33 16" xfId="24799"/>
    <cellStyle name="메모 33 17" xfId="24800"/>
    <cellStyle name="메모 33 18" xfId="24801"/>
    <cellStyle name="메모 33 19" xfId="24802"/>
    <cellStyle name="메모 33 2" xfId="24803"/>
    <cellStyle name="메모 33 20" xfId="24804"/>
    <cellStyle name="메모 33 21" xfId="24805"/>
    <cellStyle name="메모 33 22" xfId="24806"/>
    <cellStyle name="메모 33 23" xfId="24807"/>
    <cellStyle name="메모 33 24" xfId="24808"/>
    <cellStyle name="메모 33 25" xfId="24809"/>
    <cellStyle name="메모 33 26" xfId="24810"/>
    <cellStyle name="메모 33 27" xfId="24811"/>
    <cellStyle name="메모 33 28" xfId="24812"/>
    <cellStyle name="메모 33 29" xfId="24813"/>
    <cellStyle name="메모 33 3" xfId="24814"/>
    <cellStyle name="메모 33 30" xfId="24815"/>
    <cellStyle name="메모 33 31" xfId="24816"/>
    <cellStyle name="메모 33 32" xfId="24817"/>
    <cellStyle name="메모 33 33" xfId="24818"/>
    <cellStyle name="메모 33 34" xfId="24819"/>
    <cellStyle name="메모 33 35" xfId="24820"/>
    <cellStyle name="메모 33 36" xfId="24821"/>
    <cellStyle name="메모 33 37" xfId="24822"/>
    <cellStyle name="메모 33 38" xfId="24823"/>
    <cellStyle name="메모 33 39" xfId="24824"/>
    <cellStyle name="메모 33 4" xfId="24825"/>
    <cellStyle name="메모 33 5" xfId="24826"/>
    <cellStyle name="메모 33 6" xfId="24827"/>
    <cellStyle name="메모 33 7" xfId="24828"/>
    <cellStyle name="메모 33 8" xfId="24829"/>
    <cellStyle name="메모 33 9" xfId="24830"/>
    <cellStyle name="메모 33_분양(100%)" xfId="39085"/>
    <cellStyle name="메모 34" xfId="24831"/>
    <cellStyle name="메모 34 10" xfId="24832"/>
    <cellStyle name="메모 34 11" xfId="24833"/>
    <cellStyle name="메모 34 12" xfId="24834"/>
    <cellStyle name="메모 34 13" xfId="24835"/>
    <cellStyle name="메모 34 14" xfId="24836"/>
    <cellStyle name="메모 34 15" xfId="24837"/>
    <cellStyle name="메모 34 16" xfId="24838"/>
    <cellStyle name="메모 34 17" xfId="24839"/>
    <cellStyle name="메모 34 18" xfId="24840"/>
    <cellStyle name="메모 34 19" xfId="24841"/>
    <cellStyle name="메모 34 2" xfId="24842"/>
    <cellStyle name="메모 34 20" xfId="24843"/>
    <cellStyle name="메모 34 21" xfId="24844"/>
    <cellStyle name="메모 34 22" xfId="24845"/>
    <cellStyle name="메모 34 23" xfId="24846"/>
    <cellStyle name="메모 34 24" xfId="24847"/>
    <cellStyle name="메모 34 25" xfId="24848"/>
    <cellStyle name="메모 34 26" xfId="24849"/>
    <cellStyle name="메모 34 27" xfId="24850"/>
    <cellStyle name="메모 34 28" xfId="24851"/>
    <cellStyle name="메모 34 29" xfId="24852"/>
    <cellStyle name="메모 34 3" xfId="24853"/>
    <cellStyle name="메모 34 30" xfId="24854"/>
    <cellStyle name="메모 34 31" xfId="24855"/>
    <cellStyle name="메모 34 32" xfId="24856"/>
    <cellStyle name="메모 34 33" xfId="24857"/>
    <cellStyle name="메모 34 34" xfId="24858"/>
    <cellStyle name="메모 34 35" xfId="24859"/>
    <cellStyle name="메모 34 36" xfId="24860"/>
    <cellStyle name="메모 34 37" xfId="24861"/>
    <cellStyle name="메모 34 38" xfId="24862"/>
    <cellStyle name="메모 34 39" xfId="24863"/>
    <cellStyle name="메모 34 4" xfId="24864"/>
    <cellStyle name="메모 34 5" xfId="24865"/>
    <cellStyle name="메모 34 6" xfId="24866"/>
    <cellStyle name="메모 34 7" xfId="24867"/>
    <cellStyle name="메모 34 8" xfId="24868"/>
    <cellStyle name="메모 34 9" xfId="24869"/>
    <cellStyle name="메모 34_분양(100%)" xfId="39086"/>
    <cellStyle name="메모 35" xfId="24870"/>
    <cellStyle name="메모 36" xfId="24871"/>
    <cellStyle name="메모 37" xfId="24872"/>
    <cellStyle name="메모 38" xfId="24873"/>
    <cellStyle name="메모 39" xfId="24874"/>
    <cellStyle name="메모 4" xfId="24875"/>
    <cellStyle name="메모 4 10" xfId="24876"/>
    <cellStyle name="메모 4 11" xfId="24877"/>
    <cellStyle name="메모 4 12" xfId="24878"/>
    <cellStyle name="메모 4 13" xfId="24879"/>
    <cellStyle name="메모 4 14" xfId="24880"/>
    <cellStyle name="메모 4 15" xfId="24881"/>
    <cellStyle name="메모 4 16" xfId="24882"/>
    <cellStyle name="메모 4 17" xfId="24883"/>
    <cellStyle name="메모 4 18" xfId="24884"/>
    <cellStyle name="메모 4 19" xfId="24885"/>
    <cellStyle name="메모 4 2" xfId="24886"/>
    <cellStyle name="메모 4 20" xfId="24887"/>
    <cellStyle name="메모 4 21" xfId="24888"/>
    <cellStyle name="메모 4 22" xfId="24889"/>
    <cellStyle name="메모 4 23" xfId="24890"/>
    <cellStyle name="메모 4 24" xfId="24891"/>
    <cellStyle name="메모 4 25" xfId="24892"/>
    <cellStyle name="메모 4 26" xfId="24893"/>
    <cellStyle name="메모 4 27" xfId="24894"/>
    <cellStyle name="메모 4 28" xfId="24895"/>
    <cellStyle name="메모 4 29" xfId="24896"/>
    <cellStyle name="메모 4 3" xfId="24897"/>
    <cellStyle name="메모 4 30" xfId="24898"/>
    <cellStyle name="메모 4 31" xfId="24899"/>
    <cellStyle name="메모 4 32" xfId="24900"/>
    <cellStyle name="메모 4 33" xfId="24901"/>
    <cellStyle name="메모 4 34" xfId="24902"/>
    <cellStyle name="메모 4 35" xfId="24903"/>
    <cellStyle name="메모 4 36" xfId="24904"/>
    <cellStyle name="메모 4 37" xfId="24905"/>
    <cellStyle name="메모 4 38" xfId="24906"/>
    <cellStyle name="메모 4 39" xfId="24907"/>
    <cellStyle name="메모 4 4" xfId="24908"/>
    <cellStyle name="메모 4 5" xfId="24909"/>
    <cellStyle name="메모 4 6" xfId="24910"/>
    <cellStyle name="메모 4 7" xfId="24911"/>
    <cellStyle name="메모 4 8" xfId="24912"/>
    <cellStyle name="메모 4 9" xfId="24913"/>
    <cellStyle name="메모 4_분양(100%)" xfId="39087"/>
    <cellStyle name="메모 40" xfId="24914"/>
    <cellStyle name="메모 41" xfId="24915"/>
    <cellStyle name="메모 42" xfId="24916"/>
    <cellStyle name="메모 43" xfId="24917"/>
    <cellStyle name="메모 44" xfId="24918"/>
    <cellStyle name="메모 45" xfId="24919"/>
    <cellStyle name="메모 46" xfId="24920"/>
    <cellStyle name="메모 47" xfId="24921"/>
    <cellStyle name="메모 48" xfId="24922"/>
    <cellStyle name="메모 49" xfId="24923"/>
    <cellStyle name="메모 5" xfId="24924"/>
    <cellStyle name="메모 5 10" xfId="24925"/>
    <cellStyle name="메모 5 11" xfId="24926"/>
    <cellStyle name="메모 5 12" xfId="24927"/>
    <cellStyle name="메모 5 13" xfId="24928"/>
    <cellStyle name="메모 5 14" xfId="24929"/>
    <cellStyle name="메모 5 15" xfId="24930"/>
    <cellStyle name="메모 5 16" xfId="24931"/>
    <cellStyle name="메모 5 17" xfId="24932"/>
    <cellStyle name="메모 5 18" xfId="24933"/>
    <cellStyle name="메모 5 19" xfId="24934"/>
    <cellStyle name="메모 5 2" xfId="24935"/>
    <cellStyle name="메모 5 20" xfId="24936"/>
    <cellStyle name="메모 5 21" xfId="24937"/>
    <cellStyle name="메모 5 22" xfId="24938"/>
    <cellStyle name="메모 5 23" xfId="24939"/>
    <cellStyle name="메모 5 24" xfId="24940"/>
    <cellStyle name="메모 5 25" xfId="24941"/>
    <cellStyle name="메모 5 26" xfId="24942"/>
    <cellStyle name="메모 5 27" xfId="24943"/>
    <cellStyle name="메모 5 28" xfId="24944"/>
    <cellStyle name="메모 5 29" xfId="24945"/>
    <cellStyle name="메모 5 3" xfId="24946"/>
    <cellStyle name="메모 5 30" xfId="24947"/>
    <cellStyle name="메모 5 31" xfId="24948"/>
    <cellStyle name="메모 5 32" xfId="24949"/>
    <cellStyle name="메모 5 33" xfId="24950"/>
    <cellStyle name="메모 5 34" xfId="24951"/>
    <cellStyle name="메모 5 35" xfId="24952"/>
    <cellStyle name="메모 5 36" xfId="24953"/>
    <cellStyle name="메모 5 37" xfId="24954"/>
    <cellStyle name="메모 5 38" xfId="24955"/>
    <cellStyle name="메모 5 39" xfId="24956"/>
    <cellStyle name="메모 5 4" xfId="24957"/>
    <cellStyle name="메모 5 5" xfId="24958"/>
    <cellStyle name="메모 5 6" xfId="24959"/>
    <cellStyle name="메모 5 7" xfId="24960"/>
    <cellStyle name="메모 5 8" xfId="24961"/>
    <cellStyle name="메모 5 9" xfId="24962"/>
    <cellStyle name="메모 5_분양(100%)" xfId="39088"/>
    <cellStyle name="메모 50" xfId="24963"/>
    <cellStyle name="메모 51" xfId="24964"/>
    <cellStyle name="메모 52" xfId="24965"/>
    <cellStyle name="메모 53" xfId="24966"/>
    <cellStyle name="메모 54" xfId="24967"/>
    <cellStyle name="메모 55" xfId="24968"/>
    <cellStyle name="메모 56" xfId="24969"/>
    <cellStyle name="메모 57" xfId="24970"/>
    <cellStyle name="메모 58" xfId="24971"/>
    <cellStyle name="메모 59" xfId="24972"/>
    <cellStyle name="메모 6" xfId="24973"/>
    <cellStyle name="메모 6 10" xfId="24974"/>
    <cellStyle name="메모 6 11" xfId="24975"/>
    <cellStyle name="메모 6 12" xfId="24976"/>
    <cellStyle name="메모 6 13" xfId="24977"/>
    <cellStyle name="메모 6 14" xfId="24978"/>
    <cellStyle name="메모 6 15" xfId="24979"/>
    <cellStyle name="메모 6 16" xfId="24980"/>
    <cellStyle name="메모 6 17" xfId="24981"/>
    <cellStyle name="메모 6 18" xfId="24982"/>
    <cellStyle name="메모 6 19" xfId="24983"/>
    <cellStyle name="메모 6 2" xfId="24984"/>
    <cellStyle name="메모 6 20" xfId="24985"/>
    <cellStyle name="메모 6 21" xfId="24986"/>
    <cellStyle name="메모 6 22" xfId="24987"/>
    <cellStyle name="메모 6 23" xfId="24988"/>
    <cellStyle name="메모 6 24" xfId="24989"/>
    <cellStyle name="메모 6 25" xfId="24990"/>
    <cellStyle name="메모 6 26" xfId="24991"/>
    <cellStyle name="메모 6 27" xfId="24992"/>
    <cellStyle name="메모 6 28" xfId="24993"/>
    <cellStyle name="메모 6 29" xfId="24994"/>
    <cellStyle name="메모 6 3" xfId="24995"/>
    <cellStyle name="메모 6 30" xfId="24996"/>
    <cellStyle name="메모 6 31" xfId="24997"/>
    <cellStyle name="메모 6 32" xfId="24998"/>
    <cellStyle name="메모 6 33" xfId="24999"/>
    <cellStyle name="메모 6 34" xfId="25000"/>
    <cellStyle name="메모 6 35" xfId="25001"/>
    <cellStyle name="메모 6 36" xfId="25002"/>
    <cellStyle name="메모 6 37" xfId="25003"/>
    <cellStyle name="메모 6 38" xfId="25004"/>
    <cellStyle name="메모 6 39" xfId="25005"/>
    <cellStyle name="메모 6 4" xfId="25006"/>
    <cellStyle name="메모 6 5" xfId="25007"/>
    <cellStyle name="메모 6 6" xfId="25008"/>
    <cellStyle name="메모 6 7" xfId="25009"/>
    <cellStyle name="메모 6 8" xfId="25010"/>
    <cellStyle name="메모 6 9" xfId="25011"/>
    <cellStyle name="메모 6_분양(100%)" xfId="39089"/>
    <cellStyle name="메모 60" xfId="25012"/>
    <cellStyle name="메모 61" xfId="25013"/>
    <cellStyle name="메모 62" xfId="25014"/>
    <cellStyle name="메모 63" xfId="25015"/>
    <cellStyle name="메모 64" xfId="25016"/>
    <cellStyle name="메모 65" xfId="25017"/>
    <cellStyle name="메모 66" xfId="25018"/>
    <cellStyle name="메모 67" xfId="25019"/>
    <cellStyle name="메모 68" xfId="25020"/>
    <cellStyle name="메모 69" xfId="25021"/>
    <cellStyle name="메모 7" xfId="25022"/>
    <cellStyle name="메모 7 10" xfId="25023"/>
    <cellStyle name="메모 7 11" xfId="25024"/>
    <cellStyle name="메모 7 12" xfId="25025"/>
    <cellStyle name="메모 7 13" xfId="25026"/>
    <cellStyle name="메모 7 14" xfId="25027"/>
    <cellStyle name="메모 7 15" xfId="25028"/>
    <cellStyle name="메모 7 16" xfId="25029"/>
    <cellStyle name="메모 7 17" xfId="25030"/>
    <cellStyle name="메모 7 18" xfId="25031"/>
    <cellStyle name="메모 7 19" xfId="25032"/>
    <cellStyle name="메모 7 2" xfId="25033"/>
    <cellStyle name="메모 7 20" xfId="25034"/>
    <cellStyle name="메모 7 21" xfId="25035"/>
    <cellStyle name="메모 7 22" xfId="25036"/>
    <cellStyle name="메모 7 23" xfId="25037"/>
    <cellStyle name="메모 7 24" xfId="25038"/>
    <cellStyle name="메모 7 25" xfId="25039"/>
    <cellStyle name="메모 7 26" xfId="25040"/>
    <cellStyle name="메모 7 27" xfId="25041"/>
    <cellStyle name="메모 7 28" xfId="25042"/>
    <cellStyle name="메모 7 29" xfId="25043"/>
    <cellStyle name="메모 7 3" xfId="25044"/>
    <cellStyle name="메모 7 30" xfId="25045"/>
    <cellStyle name="메모 7 31" xfId="25046"/>
    <cellStyle name="메모 7 32" xfId="25047"/>
    <cellStyle name="메모 7 33" xfId="25048"/>
    <cellStyle name="메모 7 34" xfId="25049"/>
    <cellStyle name="메모 7 35" xfId="25050"/>
    <cellStyle name="메모 7 36" xfId="25051"/>
    <cellStyle name="메모 7 37" xfId="25052"/>
    <cellStyle name="메모 7 38" xfId="25053"/>
    <cellStyle name="메모 7 39" xfId="25054"/>
    <cellStyle name="메모 7 4" xfId="25055"/>
    <cellStyle name="메모 7 5" xfId="25056"/>
    <cellStyle name="메모 7 6" xfId="25057"/>
    <cellStyle name="메모 7 7" xfId="25058"/>
    <cellStyle name="메모 7 8" xfId="25059"/>
    <cellStyle name="메모 7 9" xfId="25060"/>
    <cellStyle name="메모 7_분양(100%)" xfId="39090"/>
    <cellStyle name="메모 70" xfId="25061"/>
    <cellStyle name="메모 71" xfId="25062"/>
    <cellStyle name="메모 72" xfId="25063"/>
    <cellStyle name="메모 73" xfId="25064"/>
    <cellStyle name="메모 74" xfId="25065"/>
    <cellStyle name="메모 75" xfId="25066"/>
    <cellStyle name="메모 76" xfId="25067"/>
    <cellStyle name="메모 8" xfId="25068"/>
    <cellStyle name="메모 8 10" xfId="25069"/>
    <cellStyle name="메모 8 11" xfId="25070"/>
    <cellStyle name="메모 8 12" xfId="25071"/>
    <cellStyle name="메모 8 13" xfId="25072"/>
    <cellStyle name="메모 8 14" xfId="25073"/>
    <cellStyle name="메모 8 15" xfId="25074"/>
    <cellStyle name="메모 8 16" xfId="25075"/>
    <cellStyle name="메모 8 17" xfId="25076"/>
    <cellStyle name="메모 8 18" xfId="25077"/>
    <cellStyle name="메모 8 19" xfId="25078"/>
    <cellStyle name="메모 8 2" xfId="25079"/>
    <cellStyle name="메모 8 20" xfId="25080"/>
    <cellStyle name="메모 8 21" xfId="25081"/>
    <cellStyle name="메모 8 22" xfId="25082"/>
    <cellStyle name="메모 8 23" xfId="25083"/>
    <cellStyle name="메모 8 24" xfId="25084"/>
    <cellStyle name="메모 8 25" xfId="25085"/>
    <cellStyle name="메모 8 26" xfId="25086"/>
    <cellStyle name="메모 8 27" xfId="25087"/>
    <cellStyle name="메모 8 28" xfId="25088"/>
    <cellStyle name="메모 8 29" xfId="25089"/>
    <cellStyle name="메모 8 3" xfId="25090"/>
    <cellStyle name="메모 8 30" xfId="25091"/>
    <cellStyle name="메모 8 31" xfId="25092"/>
    <cellStyle name="메모 8 32" xfId="25093"/>
    <cellStyle name="메모 8 33" xfId="25094"/>
    <cellStyle name="메모 8 34" xfId="25095"/>
    <cellStyle name="메모 8 35" xfId="25096"/>
    <cellStyle name="메모 8 36" xfId="25097"/>
    <cellStyle name="메모 8 37" xfId="25098"/>
    <cellStyle name="메모 8 38" xfId="25099"/>
    <cellStyle name="메모 8 39" xfId="25100"/>
    <cellStyle name="메모 8 4" xfId="25101"/>
    <cellStyle name="메모 8 5" xfId="25102"/>
    <cellStyle name="메모 8 6" xfId="25103"/>
    <cellStyle name="메모 8 7" xfId="25104"/>
    <cellStyle name="메모 8 8" xfId="25105"/>
    <cellStyle name="메모 8 9" xfId="25106"/>
    <cellStyle name="메모 8_분양(100%)" xfId="39091"/>
    <cellStyle name="메모 9" xfId="25107"/>
    <cellStyle name="메모 9 10" xfId="25108"/>
    <cellStyle name="메모 9 11" xfId="25109"/>
    <cellStyle name="메모 9 12" xfId="25110"/>
    <cellStyle name="메모 9 13" xfId="25111"/>
    <cellStyle name="메모 9 14" xfId="25112"/>
    <cellStyle name="메모 9 15" xfId="25113"/>
    <cellStyle name="메모 9 16" xfId="25114"/>
    <cellStyle name="메모 9 17" xfId="25115"/>
    <cellStyle name="메모 9 18" xfId="25116"/>
    <cellStyle name="메모 9 19" xfId="25117"/>
    <cellStyle name="메모 9 2" xfId="25118"/>
    <cellStyle name="메모 9 20" xfId="25119"/>
    <cellStyle name="메모 9 21" xfId="25120"/>
    <cellStyle name="메모 9 22" xfId="25121"/>
    <cellStyle name="메모 9 23" xfId="25122"/>
    <cellStyle name="메모 9 24" xfId="25123"/>
    <cellStyle name="메모 9 25" xfId="25124"/>
    <cellStyle name="메모 9 26" xfId="25125"/>
    <cellStyle name="메모 9 27" xfId="25126"/>
    <cellStyle name="메모 9 28" xfId="25127"/>
    <cellStyle name="메모 9 29" xfId="25128"/>
    <cellStyle name="메모 9 3" xfId="25129"/>
    <cellStyle name="메모 9 30" xfId="25130"/>
    <cellStyle name="메모 9 31" xfId="25131"/>
    <cellStyle name="메모 9 32" xfId="25132"/>
    <cellStyle name="메모 9 33" xfId="25133"/>
    <cellStyle name="메모 9 34" xfId="25134"/>
    <cellStyle name="메모 9 35" xfId="25135"/>
    <cellStyle name="메모 9 36" xfId="25136"/>
    <cellStyle name="메모 9 37" xfId="25137"/>
    <cellStyle name="메모 9 38" xfId="25138"/>
    <cellStyle name="메모 9 39" xfId="25139"/>
    <cellStyle name="메모 9 4" xfId="25140"/>
    <cellStyle name="메모 9 5" xfId="25141"/>
    <cellStyle name="메모 9 6" xfId="25142"/>
    <cellStyle name="메모 9 7" xfId="25143"/>
    <cellStyle name="메모 9 8" xfId="25144"/>
    <cellStyle name="메모 9 9" xfId="25145"/>
    <cellStyle name="메모 9_분양(100%)" xfId="39092"/>
    <cellStyle name="묮뎋 [0.00]_PRODUCT DETAIL Q1" xfId="25146"/>
    <cellStyle name="묮뎋_PRODUCT DETAIL Q1" xfId="25147"/>
    <cellStyle name="문자열(가운데맞춤)" xfId="25148"/>
    <cellStyle name="물량" xfId="25149"/>
    <cellStyle name="물량 2" xfId="25150"/>
    <cellStyle name="물량 3" xfId="25151"/>
    <cellStyle name="물량_분양(100%)" xfId="39093"/>
    <cellStyle name="믅됞 [0.00]_9703JPY" xfId="4362"/>
    <cellStyle name="믅됞_9703JPY" xfId="4363"/>
    <cellStyle name="미정" xfId="25152"/>
    <cellStyle name="배분" xfId="2766"/>
    <cellStyle name="배분 2" xfId="3846"/>
    <cellStyle name="배분 2 2" xfId="4915"/>
    <cellStyle name="배분 2 3" xfId="5269"/>
    <cellStyle name="배분 2_분양(100%)" xfId="39095"/>
    <cellStyle name="배분 3" xfId="3847"/>
    <cellStyle name="배분 3 2" xfId="4916"/>
    <cellStyle name="배분 3 3" xfId="5270"/>
    <cellStyle name="배분 3_분양(100%)" xfId="39096"/>
    <cellStyle name="배분 4" xfId="3848"/>
    <cellStyle name="배분 4 2" xfId="4917"/>
    <cellStyle name="배분 4 3" xfId="5271"/>
    <cellStyle name="배분 5" xfId="4513"/>
    <cellStyle name="배분 6" xfId="4503"/>
    <cellStyle name="배분_분양(100%)" xfId="39094"/>
    <cellStyle name="백" xfId="2767"/>
    <cellStyle name="백 " xfId="681"/>
    <cellStyle name="백_20030218144011020-E1C865BF" xfId="25153"/>
    <cellStyle name="백_20030218144011020-E1C865BF_분양(100%)" xfId="39098"/>
    <cellStyle name="백_20030218144011020-E1C865BF_현대오일뱅크 철골공사" xfId="25154"/>
    <cellStyle name="백_20030218144011020-E1C865BF_현대오일뱅크 철골공사_분양(100%)" xfId="39099"/>
    <cellStyle name="백_도로" xfId="2768"/>
    <cellStyle name="백_부대초안" xfId="2769"/>
    <cellStyle name="백_부대초안_견적의뢰" xfId="2770"/>
    <cellStyle name="백_부대초안_견적의뢰_삽교천개수공사(03.30)" xfId="2771"/>
    <cellStyle name="백_부대초안_견적의뢰_삽교천개수공사(03.30)_구일초(06.17)-부대" xfId="2772"/>
    <cellStyle name="백_부대초안_견적의뢰_삽교천개수공사(03.30)_남성지구(05.26)" xfId="2773"/>
    <cellStyle name="백_부대초안_견적의뢰_삽교천개수공사(03.30)_동산초(06.1)" xfId="2774"/>
    <cellStyle name="백_부대초안_견적의뢰_삽교천개수공사(03.30)_삽교천개수공사(03.30)" xfId="2775"/>
    <cellStyle name="백_부대초안_견적의뢰_삽교천개수공사(03.30)_안산남부경찰서(06.16)-부대" xfId="2776"/>
    <cellStyle name="백_부대초안_견적의뢰_삽교천개수공사(03.30)_제주제성교(05.27)" xfId="2777"/>
    <cellStyle name="백_부대초안_견적의뢰_삽교천개수공사(03.30)_행목지구하천환경(05.25)" xfId="2778"/>
    <cellStyle name="백_부대초안_김포투찰" xfId="2779"/>
    <cellStyle name="백_부대초안_김포투찰_견적의뢰" xfId="2780"/>
    <cellStyle name="백_부대초안_김포투찰_견적의뢰_삽교천개수공사(03.30)" xfId="2781"/>
    <cellStyle name="백_부대초안_김포투찰_견적의뢰_삽교천개수공사(03.30)_구일초(06.17)-부대" xfId="2782"/>
    <cellStyle name="백_부대초안_김포투찰_견적의뢰_삽교천개수공사(03.30)_남성지구(05.26)" xfId="2783"/>
    <cellStyle name="백_부대초안_김포투찰_견적의뢰_삽교천개수공사(03.30)_동산초(06.1)" xfId="2784"/>
    <cellStyle name="백_부대초안_김포투찰_견적의뢰_삽교천개수공사(03.30)_삽교천개수공사(03.30)" xfId="2785"/>
    <cellStyle name="백_부대초안_김포투찰_견적의뢰_삽교천개수공사(03.30)_안산남부경찰서(06.16)-부대" xfId="2786"/>
    <cellStyle name="백_부대초안_김포투찰_견적의뢰_삽교천개수공사(03.30)_제주제성교(05.27)" xfId="2787"/>
    <cellStyle name="백_부대초안_김포투찰_견적의뢰_삽교천개수공사(03.30)_행목지구하천환경(05.25)" xfId="2788"/>
    <cellStyle name="백_부대초안_삽교천개수공사(03.30)" xfId="2789"/>
    <cellStyle name="백_부대초안_삽교천개수공사(03.30)_구일초(06.17)-부대" xfId="2790"/>
    <cellStyle name="백_부대초안_삽교천개수공사(03.30)_남성지구(05.26)" xfId="2791"/>
    <cellStyle name="백_부대초안_삽교천개수공사(03.30)_동산초(06.1)" xfId="2792"/>
    <cellStyle name="백_부대초안_삽교천개수공사(03.30)_삽교천개수공사(03.30)" xfId="2793"/>
    <cellStyle name="백_부대초안_삽교천개수공사(03.30)_안산남부경찰서(06.16)-부대" xfId="2794"/>
    <cellStyle name="백_부대초안_삽교천개수공사(03.30)_제주제성교(05.27)" xfId="2795"/>
    <cellStyle name="백_부대초안_삽교천개수공사(03.30)_행목지구하천환경(05.25)" xfId="2796"/>
    <cellStyle name="백_분양(100%)" xfId="39097"/>
    <cellStyle name="백_사급재료비및운반비" xfId="25155"/>
    <cellStyle name="백_사급재료비및운반비_분양(100%)" xfId="39100"/>
    <cellStyle name="백_사급재료비및운반비_현대오일뱅크 철골공사" xfId="25156"/>
    <cellStyle name="백_사급재료비및운반비_현대오일뱅크 철골공사_분양(100%)" xfId="39101"/>
    <cellStyle name="백_삽교천개수공사(03.30)" xfId="2797"/>
    <cellStyle name="백_삽교천개수공사(03.30)_구일초(06.17)-부대" xfId="2798"/>
    <cellStyle name="백_삽교천개수공사(03.30)_남성지구(05.26)" xfId="2799"/>
    <cellStyle name="백_삽교천개수공사(03.30)_동산초(06.1)" xfId="2800"/>
    <cellStyle name="백_삽교천개수공사(03.30)_삽교천개수공사(03.30)" xfId="2801"/>
    <cellStyle name="백_삽교천개수공사(03.30)_안산남부경찰서(06.16)-부대" xfId="2802"/>
    <cellStyle name="백_삽교천개수공사(03.30)_제주제성교(05.27)" xfId="2803"/>
    <cellStyle name="백_삽교천개수공사(03.30)_행목지구하천환경(05.25)" xfId="2804"/>
    <cellStyle name="백_수량및 단가 산출내용표" xfId="25157"/>
    <cellStyle name="백_수량및 단가 산출내용표_분양(100%)" xfId="39102"/>
    <cellStyle name="백_수량및 단가 산출내용표_현대오일뱅크 철골공사" xfId="25158"/>
    <cellStyle name="백_수량및 단가 산출내용표_현대오일뱅크 철골공사_분양(100%)" xfId="39103"/>
    <cellStyle name="백_영흥#3,4 보일러철골설치및마감(MC-01)FINAL" xfId="25159"/>
    <cellStyle name="백_영흥#3,4 보일러철골설치및마감(MC-01)FINAL_분양(100%)" xfId="39104"/>
    <cellStyle name="백_영흥#3,4 보일러철골설치및마감(MC-01)FINAL_현대오일뱅크 철골공사" xfId="25160"/>
    <cellStyle name="백_영흥#3,4 보일러철골설치및마감(MC-01)FINAL_현대오일뱅크 철골공사_분양(100%)" xfId="39105"/>
    <cellStyle name="백_영흥#3,4 옥내기기기초(AC-05)" xfId="25161"/>
    <cellStyle name="백_영흥#3,4 옥내기기기초(AC-05)_분양(100%)" xfId="39106"/>
    <cellStyle name="백_영흥#3,4 옥내기기기초(AC-05)_현대오일뱅크 철골공사" xfId="25162"/>
    <cellStyle name="백_영흥#3,4 옥내기기기초(AC-05)_현대오일뱅크 철골공사_분양(100%)" xfId="39107"/>
    <cellStyle name="백_영흥#3,4 터빈발전기기초(AC-04)" xfId="25163"/>
    <cellStyle name="백_영흥#3,4 터빈발전기기초(AC-04)_분양(100%)" xfId="39108"/>
    <cellStyle name="백_영흥#3,4 터빈발전기기초(AC-04)_현대오일뱅크 철골공사" xfId="25164"/>
    <cellStyle name="백_영흥#3,4 터빈발전기기초(AC-04)_현대오일뱅크 철골공사_분양(100%)" xfId="39109"/>
    <cellStyle name="백_토목내역서" xfId="2805"/>
    <cellStyle name="백_토목내역서_도로" xfId="2806"/>
    <cellStyle name="백_토목내역서_부대초안" xfId="2807"/>
    <cellStyle name="백_토목내역서_부대초안_견적의뢰" xfId="2808"/>
    <cellStyle name="백_토목내역서_부대초안_견적의뢰_삽교천개수공사(03.30)" xfId="2809"/>
    <cellStyle name="백_토목내역서_부대초안_견적의뢰_삽교천개수공사(03.30)_구일초(06.17)-부대" xfId="2810"/>
    <cellStyle name="백_토목내역서_부대초안_견적의뢰_삽교천개수공사(03.30)_남성지구(05.26)" xfId="2811"/>
    <cellStyle name="백_토목내역서_부대초안_견적의뢰_삽교천개수공사(03.30)_동산초(06.1)" xfId="2812"/>
    <cellStyle name="백_토목내역서_부대초안_견적의뢰_삽교천개수공사(03.30)_삽교천개수공사(03.30)" xfId="2813"/>
    <cellStyle name="백_토목내역서_부대초안_견적의뢰_삽교천개수공사(03.30)_안산남부경찰서(06.16)-부대" xfId="2814"/>
    <cellStyle name="백_토목내역서_부대초안_견적의뢰_삽교천개수공사(03.30)_제주제성교(05.27)" xfId="2815"/>
    <cellStyle name="백_토목내역서_부대초안_견적의뢰_삽교천개수공사(03.30)_행목지구하천환경(05.25)" xfId="2816"/>
    <cellStyle name="백_토목내역서_부대초안_김포투찰" xfId="2817"/>
    <cellStyle name="백_토목내역서_부대초안_김포투찰_견적의뢰" xfId="2818"/>
    <cellStyle name="백_토목내역서_부대초안_김포투찰_견적의뢰_삽교천개수공사(03.30)" xfId="2819"/>
    <cellStyle name="백_토목내역서_부대초안_김포투찰_견적의뢰_삽교천개수공사(03.30)_구일초(06.17)-부대" xfId="2820"/>
    <cellStyle name="백_토목내역서_부대초안_김포투찰_견적의뢰_삽교천개수공사(03.30)_남성지구(05.26)" xfId="2821"/>
    <cellStyle name="백_토목내역서_부대초안_김포투찰_견적의뢰_삽교천개수공사(03.30)_동산초(06.1)" xfId="2822"/>
    <cellStyle name="백_토목내역서_부대초안_김포투찰_견적의뢰_삽교천개수공사(03.30)_삽교천개수공사(03.30)" xfId="2823"/>
    <cellStyle name="백_토목내역서_부대초안_김포투찰_견적의뢰_삽교천개수공사(03.30)_안산남부경찰서(06.16)-부대" xfId="2824"/>
    <cellStyle name="백_토목내역서_부대초안_김포투찰_견적의뢰_삽교천개수공사(03.30)_제주제성교(05.27)" xfId="2825"/>
    <cellStyle name="백_토목내역서_부대초안_김포투찰_견적의뢰_삽교천개수공사(03.30)_행목지구하천환경(05.25)" xfId="2826"/>
    <cellStyle name="백_토목내역서_부대초안_삽교천개수공사(03.30)" xfId="2827"/>
    <cellStyle name="백_토목내역서_부대초안_삽교천개수공사(03.30)_구일초(06.17)-부대" xfId="2828"/>
    <cellStyle name="백_토목내역서_부대초안_삽교천개수공사(03.30)_남성지구(05.26)" xfId="2829"/>
    <cellStyle name="백_토목내역서_부대초안_삽교천개수공사(03.30)_동산초(06.1)" xfId="2830"/>
    <cellStyle name="백_토목내역서_부대초안_삽교천개수공사(03.30)_삽교천개수공사(03.30)" xfId="2831"/>
    <cellStyle name="백_토목내역서_부대초안_삽교천개수공사(03.30)_안산남부경찰서(06.16)-부대" xfId="2832"/>
    <cellStyle name="백_토목내역서_부대초안_삽교천개수공사(03.30)_제주제성교(05.27)" xfId="2833"/>
    <cellStyle name="백_토목내역서_부대초안_삽교천개수공사(03.30)_행목지구하천환경(05.25)" xfId="2834"/>
    <cellStyle name="백_토목내역서_삽교천개수공사(03.30)" xfId="2835"/>
    <cellStyle name="백_토목내역서_삽교천개수공사(03.30)_구일초(06.17)-부대" xfId="2836"/>
    <cellStyle name="백_토목내역서_삽교천개수공사(03.30)_남성지구(05.26)" xfId="2837"/>
    <cellStyle name="백_토목내역서_삽교천개수공사(03.30)_동산초(06.1)" xfId="2838"/>
    <cellStyle name="백_토목내역서_삽교천개수공사(03.30)_삽교천개수공사(03.30)" xfId="2839"/>
    <cellStyle name="백_토목내역서_삽교천개수공사(03.30)_안산남부경찰서(06.16)-부대" xfId="2840"/>
    <cellStyle name="백_토목내역서_삽교천개수공사(03.30)_제주제성교(05.27)" xfId="2841"/>
    <cellStyle name="백_토목내역서_삽교천개수공사(03.30)_행목지구하천환경(05.25)" xfId="2842"/>
    <cellStyle name="백만단위로" xfId="243"/>
    <cellStyle name="백분율" xfId="2" builtinId="5"/>
    <cellStyle name="백분율 [△1]" xfId="25165"/>
    <cellStyle name="백분율 [△2]" xfId="25166"/>
    <cellStyle name="백분율 [0]" xfId="244"/>
    <cellStyle name="백분율 [2]" xfId="245"/>
    <cellStyle name="백분율 10" xfId="2843"/>
    <cellStyle name="백분율 10 2" xfId="3204"/>
    <cellStyle name="백분율 10 2 2" xfId="4618"/>
    <cellStyle name="백분율 10 3" xfId="4514"/>
    <cellStyle name="백분율 10 4" xfId="5299"/>
    <cellStyle name="백분율 10_분양(100%)" xfId="39110"/>
    <cellStyle name="백분율 11" xfId="2844"/>
    <cellStyle name="백분율 11 2" xfId="25167"/>
    <cellStyle name="백분율 11_분양(100%)" xfId="39111"/>
    <cellStyle name="백분율 12" xfId="2845"/>
    <cellStyle name="백분율 13" xfId="3214"/>
    <cellStyle name="백분율 13 2" xfId="3217"/>
    <cellStyle name="백분율 13 2 2" xfId="4631"/>
    <cellStyle name="백분율 13 3" xfId="3220"/>
    <cellStyle name="백분율 13 3 2" xfId="4634"/>
    <cellStyle name="백분율 13 4" xfId="4628"/>
    <cellStyle name="백분율 13_분양(100%)" xfId="39112"/>
    <cellStyle name="백분율 14" xfId="4364"/>
    <cellStyle name="백분율 15" xfId="4365"/>
    <cellStyle name="백분율 16" xfId="5298"/>
    <cellStyle name="백분율 17" xfId="5306"/>
    <cellStyle name="백분율 18" xfId="5308"/>
    <cellStyle name="백분율 19" xfId="5309"/>
    <cellStyle name="백분율 2" xfId="3"/>
    <cellStyle name="백분율 2 10" xfId="25168"/>
    <cellStyle name="백분율 2 11" xfId="25169"/>
    <cellStyle name="백분율 2 12" xfId="25170"/>
    <cellStyle name="백분율 2 13" xfId="25171"/>
    <cellStyle name="백분율 2 14" xfId="25172"/>
    <cellStyle name="백분율 2 15" xfId="25173"/>
    <cellStyle name="백분율 2 16" xfId="25174"/>
    <cellStyle name="백분율 2 17" xfId="25175"/>
    <cellStyle name="백분율 2 18" xfId="25176"/>
    <cellStyle name="백분율 2 19" xfId="25177"/>
    <cellStyle name="백분율 2 2" xfId="12"/>
    <cellStyle name="백분율 2 2 2" xfId="4366"/>
    <cellStyle name="백분율 2 2 2 2" xfId="25178"/>
    <cellStyle name="백분율 2 2 2 2 2" xfId="25179"/>
    <cellStyle name="백분율 2 2 2 2_분양(100%)" xfId="39116"/>
    <cellStyle name="백분율 2 2 2 3" xfId="25180"/>
    <cellStyle name="백분율 2 2 2_분양(100%)" xfId="39115"/>
    <cellStyle name="백분율 2 2 3" xfId="25181"/>
    <cellStyle name="백분율 2 2 3 2" xfId="25182"/>
    <cellStyle name="백분율 2 2 3_분양(100%)" xfId="39117"/>
    <cellStyle name="백분율 2 2 4" xfId="25183"/>
    <cellStyle name="백분율 2 2 5" xfId="25184"/>
    <cellStyle name="백분율 2 2_분양(100%)" xfId="39114"/>
    <cellStyle name="백분율 2 20" xfId="25185"/>
    <cellStyle name="백분율 2 21" xfId="25186"/>
    <cellStyle name="백분율 2 22" xfId="25187"/>
    <cellStyle name="백분율 2 23" xfId="25188"/>
    <cellStyle name="백분율 2 24" xfId="25189"/>
    <cellStyle name="백분율 2 25" xfId="25190"/>
    <cellStyle name="백분율 2 26" xfId="25191"/>
    <cellStyle name="백분율 2 27" xfId="25192"/>
    <cellStyle name="백분율 2 28" xfId="25193"/>
    <cellStyle name="백분율 2 29" xfId="25194"/>
    <cellStyle name="백분율 2 3" xfId="246"/>
    <cellStyle name="백분율 2 3 2" xfId="4367"/>
    <cellStyle name="백분율 2 3 2 2" xfId="25195"/>
    <cellStyle name="백분율 2 3 2_분양(100%)" xfId="39119"/>
    <cellStyle name="백분율 2 3 3" xfId="25196"/>
    <cellStyle name="백분율 2 3_분양(100%)" xfId="39118"/>
    <cellStyle name="백분율 2 30" xfId="25197"/>
    <cellStyle name="백분율 2 31" xfId="25198"/>
    <cellStyle name="백분율 2 32" xfId="25199"/>
    <cellStyle name="백분율 2 33" xfId="25200"/>
    <cellStyle name="백분율 2 34" xfId="25201"/>
    <cellStyle name="백분율 2 35" xfId="25202"/>
    <cellStyle name="백분율 2 36" xfId="25203"/>
    <cellStyle name="백분율 2 37" xfId="25204"/>
    <cellStyle name="백분율 2 38" xfId="25205"/>
    <cellStyle name="백분율 2 39" xfId="25206"/>
    <cellStyle name="백분율 2 4" xfId="524"/>
    <cellStyle name="백분율 2 4 2" xfId="584"/>
    <cellStyle name="백분율 2 4 2 2" xfId="3182"/>
    <cellStyle name="백분율 2 4 2 2 2" xfId="3849"/>
    <cellStyle name="백분율 2 4 2 2 2 2" xfId="4918"/>
    <cellStyle name="백분율 2 4 2 2 3" xfId="4596"/>
    <cellStyle name="백분율 2 4 2 3" xfId="3850"/>
    <cellStyle name="백분율 2 4 2 3 2" xfId="4919"/>
    <cellStyle name="백분율 2 4 2 4" xfId="4439"/>
    <cellStyle name="백분율 2 4 2_분양(100%)" xfId="39121"/>
    <cellStyle name="백분율 2 4 3" xfId="3134"/>
    <cellStyle name="백분율 2 4 3 2" xfId="3851"/>
    <cellStyle name="백분율 2 4 3 2 2" xfId="4920"/>
    <cellStyle name="백분율 2 4 3 3" xfId="4549"/>
    <cellStyle name="백분율 2 4 4" xfId="3852"/>
    <cellStyle name="백분율 2 4 4 2" xfId="4921"/>
    <cellStyle name="백분율 2 4 5" xfId="4424"/>
    <cellStyle name="백분율 2 4_분양(100%)" xfId="39120"/>
    <cellStyle name="백분율 2 40" xfId="25207"/>
    <cellStyle name="백분율 2 41" xfId="25208"/>
    <cellStyle name="백분율 2 42" xfId="25209"/>
    <cellStyle name="백분율 2 43" xfId="25210"/>
    <cellStyle name="백분율 2 44" xfId="25211"/>
    <cellStyle name="백분율 2 45" xfId="25212"/>
    <cellStyle name="백분율 2 46" xfId="25213"/>
    <cellStyle name="백분율 2 47" xfId="25214"/>
    <cellStyle name="백분율 2 48" xfId="25215"/>
    <cellStyle name="백분율 2 49" xfId="25216"/>
    <cellStyle name="백분율 2 5" xfId="4368"/>
    <cellStyle name="백분율 2 5 2" xfId="25217"/>
    <cellStyle name="백분율 2 5_분양(100%)" xfId="39122"/>
    <cellStyle name="백분율 2 50" xfId="25218"/>
    <cellStyle name="백분율 2 51" xfId="25219"/>
    <cellStyle name="백분율 2 52" xfId="25220"/>
    <cellStyle name="백분율 2 53" xfId="25221"/>
    <cellStyle name="백분율 2 54" xfId="25222"/>
    <cellStyle name="백분율 2 55" xfId="25223"/>
    <cellStyle name="백분율 2 56" xfId="25224"/>
    <cellStyle name="백분율 2 57" xfId="25225"/>
    <cellStyle name="백분율 2 58" xfId="25226"/>
    <cellStyle name="백분율 2 6" xfId="25227"/>
    <cellStyle name="백분율 2 6 2" xfId="25228"/>
    <cellStyle name="백분율 2 6_분양(100%)" xfId="39123"/>
    <cellStyle name="백분율 2 7" xfId="25229"/>
    <cellStyle name="백분율 2 7 2" xfId="25230"/>
    <cellStyle name="백분율 2 7_분양(100%)" xfId="39124"/>
    <cellStyle name="백분율 2 8" xfId="25231"/>
    <cellStyle name="백분율 2 9" xfId="25232"/>
    <cellStyle name="백분율 2_분양(100%)" xfId="39113"/>
    <cellStyle name="백분율 20" xfId="5312"/>
    <cellStyle name="백분율 21" xfId="5314"/>
    <cellStyle name="백분율 22" xfId="5316"/>
    <cellStyle name="백분율 23" xfId="25233"/>
    <cellStyle name="백분율 24" xfId="25234"/>
    <cellStyle name="백분율 25" xfId="25235"/>
    <cellStyle name="백분율 26" xfId="25236"/>
    <cellStyle name="백분율 27" xfId="25237"/>
    <cellStyle name="백분율 28" xfId="25238"/>
    <cellStyle name="백분율 29" xfId="25239"/>
    <cellStyle name="백분율 3" xfId="4"/>
    <cellStyle name="백분율 3 2" xfId="247"/>
    <cellStyle name="백분율 3 2 2" xfId="25240"/>
    <cellStyle name="백분율 3 2_분양(100%)" xfId="39126"/>
    <cellStyle name="백분율 3 3" xfId="4369"/>
    <cellStyle name="백분율 3 3 2" xfId="25241"/>
    <cellStyle name="백분율 3 3_분양(100%)" xfId="39127"/>
    <cellStyle name="백분율 3 4" xfId="25242"/>
    <cellStyle name="백분율 3_분양(100%)" xfId="39125"/>
    <cellStyle name="백분율 30" xfId="25243"/>
    <cellStyle name="백분율 31" xfId="25244"/>
    <cellStyle name="백분율 32" xfId="25245"/>
    <cellStyle name="백분율 33" xfId="25246"/>
    <cellStyle name="백분율 34" xfId="25247"/>
    <cellStyle name="백분율 35" xfId="25248"/>
    <cellStyle name="백분율 4" xfId="248"/>
    <cellStyle name="백분율 4 2" xfId="600"/>
    <cellStyle name="백분율 4 2 2" xfId="25249"/>
    <cellStyle name="백분율 4 2 2 2" xfId="25250"/>
    <cellStyle name="백분율 4 2 2_분양(100%)" xfId="39130"/>
    <cellStyle name="백분율 4 2 3" xfId="25251"/>
    <cellStyle name="백분율 4 2_분양(100%)" xfId="39129"/>
    <cellStyle name="백분율 4 3" xfId="4370"/>
    <cellStyle name="백분율 4 3 2" xfId="25252"/>
    <cellStyle name="백분율 4 3_분양(100%)" xfId="39131"/>
    <cellStyle name="백분율 4 4" xfId="5300"/>
    <cellStyle name="백분율 4 4 2" xfId="25253"/>
    <cellStyle name="백분율 4 4_분양(100%)" xfId="39132"/>
    <cellStyle name="백분율 4 5" xfId="25254"/>
    <cellStyle name="백분율 4 5 2" xfId="25255"/>
    <cellStyle name="백분율 4 5_분양(100%)" xfId="39133"/>
    <cellStyle name="백분율 4 6" xfId="25256"/>
    <cellStyle name="백분율 4 6 2" xfId="25257"/>
    <cellStyle name="백분율 4 6_분양(100%)" xfId="39134"/>
    <cellStyle name="백분율 4 7" xfId="25258"/>
    <cellStyle name="백분율 4_분양(100%)" xfId="39128"/>
    <cellStyle name="백분율 5" xfId="531"/>
    <cellStyle name="백분율 5 2" xfId="588"/>
    <cellStyle name="백분율 5 2 2" xfId="3186"/>
    <cellStyle name="백분율 5 2 2 2" xfId="3853"/>
    <cellStyle name="백분율 5 2 2 2 2" xfId="4922"/>
    <cellStyle name="백분율 5 2 2 2_분양(100%)" xfId="39138"/>
    <cellStyle name="백분율 5 2 2 3" xfId="4600"/>
    <cellStyle name="백분율 5 2 2_분양(100%)" xfId="39137"/>
    <cellStyle name="백분율 5 2 3" xfId="3854"/>
    <cellStyle name="백분율 5 2 3 2" xfId="4923"/>
    <cellStyle name="백분율 5 2 3_분양(100%)" xfId="39139"/>
    <cellStyle name="백분율 5 2 4" xfId="4443"/>
    <cellStyle name="백분율 5 2_분양(100%)" xfId="39136"/>
    <cellStyle name="백분율 5 3" xfId="3138"/>
    <cellStyle name="백분율 5 3 2" xfId="3855"/>
    <cellStyle name="백분율 5 3 2 2" xfId="4924"/>
    <cellStyle name="백분율 5 3 2_분양(100%)" xfId="39141"/>
    <cellStyle name="백분율 5 3 3" xfId="4553"/>
    <cellStyle name="백분율 5 3_분양(100%)" xfId="39140"/>
    <cellStyle name="백분율 5 4" xfId="3856"/>
    <cellStyle name="백분율 5 4 2" xfId="4925"/>
    <cellStyle name="백분율 5 4_분양(100%)" xfId="39142"/>
    <cellStyle name="백분율 5 5" xfId="4428"/>
    <cellStyle name="백분율 5 6" xfId="5301"/>
    <cellStyle name="백분율 5_분양(100%)" xfId="39135"/>
    <cellStyle name="백분율 6" xfId="249"/>
    <cellStyle name="백분율 6 2" xfId="4371"/>
    <cellStyle name="백분율 6 2 2" xfId="25259"/>
    <cellStyle name="백분율 6 2_분양(100%)" xfId="39144"/>
    <cellStyle name="백분율 6 3" xfId="25260"/>
    <cellStyle name="백분율 6 4" xfId="25261"/>
    <cellStyle name="백분율 6 5" xfId="25262"/>
    <cellStyle name="백분율 6_분양(100%)" xfId="39143"/>
    <cellStyle name="백분율 7" xfId="536"/>
    <cellStyle name="백분율 7 2" xfId="591"/>
    <cellStyle name="백분율 7 2 2" xfId="3189"/>
    <cellStyle name="백분율 7 2 2 2" xfId="3857"/>
    <cellStyle name="백분율 7 2 2 2 2" xfId="4926"/>
    <cellStyle name="백분율 7 2 2 3" xfId="4603"/>
    <cellStyle name="백분율 7 2 3" xfId="3858"/>
    <cellStyle name="백분율 7 2 3 2" xfId="4927"/>
    <cellStyle name="백분율 7 2 4" xfId="4446"/>
    <cellStyle name="백분율 7 2_분양(100%)" xfId="39146"/>
    <cellStyle name="백분율 7 3" xfId="3141"/>
    <cellStyle name="백분율 7 3 2" xfId="3859"/>
    <cellStyle name="백분율 7 3 2 2" xfId="4928"/>
    <cellStyle name="백분율 7 3 3" xfId="4556"/>
    <cellStyle name="백분율 7 4" xfId="3860"/>
    <cellStyle name="백분율 7 4 2" xfId="4929"/>
    <cellStyle name="백분율 7 5" xfId="4431"/>
    <cellStyle name="백분율 7 6" xfId="5302"/>
    <cellStyle name="백분율 7_분양(100%)" xfId="39145"/>
    <cellStyle name="백분율 8" xfId="606"/>
    <cellStyle name="백분율 8 2" xfId="3196"/>
    <cellStyle name="백분율 8 2 2" xfId="3861"/>
    <cellStyle name="백분율 8 2 2 2" xfId="4930"/>
    <cellStyle name="백분율 8 2 3" xfId="4610"/>
    <cellStyle name="백분율 8 2_분양(100%)" xfId="39148"/>
    <cellStyle name="백분율 8 3" xfId="3862"/>
    <cellStyle name="백분율 8 3 2" xfId="4931"/>
    <cellStyle name="백분율 8 4" xfId="4448"/>
    <cellStyle name="백분율 8_분양(100%)" xfId="39147"/>
    <cellStyle name="백분율 9" xfId="682"/>
    <cellStyle name="백분율 유형(&amp;P)" xfId="25263"/>
    <cellStyle name="백분율 유형(&amp;P) 2" xfId="25264"/>
    <cellStyle name="백분율 유형(&amp;P) 3" xfId="25265"/>
    <cellStyle name="백분율 유형(&amp;P) 4" xfId="25266"/>
    <cellStyle name="백분율 유형(&amp;P)_분양(100%)" xfId="39149"/>
    <cellStyle name="백분율(5,2)" xfId="25267"/>
    <cellStyle name="백분율［△1］" xfId="2846"/>
    <cellStyle name="백분율［△2］" xfId="2847"/>
    <cellStyle name="백분율[1]" xfId="25268"/>
    <cellStyle name="백분율[2]" xfId="4372"/>
    <cellStyle name="백분율유형(1)" xfId="25269"/>
    <cellStyle name="밸_x0001_" xfId="25270"/>
    <cellStyle name="범위" xfId="25271"/>
    <cellStyle name="벭?_Q1 PRODUCT ACTUAL_4월 (2)" xfId="2848"/>
    <cellStyle name="보통 2" xfId="4373"/>
    <cellStyle name="보통 2 2" xfId="25272"/>
    <cellStyle name="보통 2_분양(100%)" xfId="39150"/>
    <cellStyle name="보통 3" xfId="25273"/>
    <cellStyle name="보통 4" xfId="25274"/>
    <cellStyle name="보통 5" xfId="25275"/>
    <cellStyle name="보통 6" xfId="25276"/>
    <cellStyle name="본문체" xfId="25277"/>
    <cellStyle name="봵" xfId="25278"/>
    <cellStyle name="봵_견적대비표-하드웨어" xfId="25279"/>
    <cellStyle name="봵_견적대비표-하드웨어_분양(100%)" xfId="39152"/>
    <cellStyle name="봵_분양(100%)" xfId="39151"/>
    <cellStyle name="봵_실행현장검토안(20010412)" xfId="25280"/>
    <cellStyle name="봵_실행현장검토안(20010412)_분양(100%)" xfId="39153"/>
    <cellStyle name="부제목" xfId="25281"/>
    <cellStyle name="부제목 2" xfId="25282"/>
    <cellStyle name="부제목 3" xfId="25283"/>
    <cellStyle name="부제목_분양(100%)" xfId="39154"/>
    <cellStyle name="분기" xfId="250"/>
    <cellStyle name="분수" xfId="25284"/>
    <cellStyle name="뷭?" xfId="2849"/>
    <cellStyle name="뷭? 2" xfId="25285"/>
    <cellStyle name="뷭? 3" xfId="25286"/>
    <cellStyle name="뷭?_BOOKSHIP" xfId="25287"/>
    <cellStyle name="빨간색" xfId="25288"/>
    <cellStyle name="빨강" xfId="2850"/>
    <cellStyle name="사용자정의" xfId="25289"/>
    <cellStyle name="삼일-금지" xfId="25290"/>
    <cellStyle name="삼일-금지 10" xfId="25291"/>
    <cellStyle name="삼일-금지 10 10" xfId="25292"/>
    <cellStyle name="삼일-금지 10 11" xfId="25293"/>
    <cellStyle name="삼일-금지 10 12" xfId="25294"/>
    <cellStyle name="삼일-금지 10 13" xfId="25295"/>
    <cellStyle name="삼일-금지 10 14" xfId="25296"/>
    <cellStyle name="삼일-금지 10 15" xfId="25297"/>
    <cellStyle name="삼일-금지 10 16" xfId="25298"/>
    <cellStyle name="삼일-금지 10 17" xfId="25299"/>
    <cellStyle name="삼일-금지 10 18" xfId="25300"/>
    <cellStyle name="삼일-금지 10 19" xfId="25301"/>
    <cellStyle name="삼일-금지 10 2" xfId="25302"/>
    <cellStyle name="삼일-금지 10 20" xfId="25303"/>
    <cellStyle name="삼일-금지 10 21" xfId="25304"/>
    <cellStyle name="삼일-금지 10 22" xfId="25305"/>
    <cellStyle name="삼일-금지 10 23" xfId="25306"/>
    <cellStyle name="삼일-금지 10 24" xfId="25307"/>
    <cellStyle name="삼일-금지 10 25" xfId="25308"/>
    <cellStyle name="삼일-금지 10 26" xfId="25309"/>
    <cellStyle name="삼일-금지 10 27" xfId="25310"/>
    <cellStyle name="삼일-금지 10 28" xfId="25311"/>
    <cellStyle name="삼일-금지 10 29" xfId="25312"/>
    <cellStyle name="삼일-금지 10 3" xfId="25313"/>
    <cellStyle name="삼일-금지 10 30" xfId="25314"/>
    <cellStyle name="삼일-금지 10 31" xfId="25315"/>
    <cellStyle name="삼일-금지 10 32" xfId="25316"/>
    <cellStyle name="삼일-금지 10 33" xfId="25317"/>
    <cellStyle name="삼일-금지 10 34" xfId="25318"/>
    <cellStyle name="삼일-금지 10 35" xfId="25319"/>
    <cellStyle name="삼일-금지 10 36" xfId="25320"/>
    <cellStyle name="삼일-금지 10 37" xfId="25321"/>
    <cellStyle name="삼일-금지 10 38" xfId="25322"/>
    <cellStyle name="삼일-금지 10 39" xfId="25323"/>
    <cellStyle name="삼일-금지 10 4" xfId="25324"/>
    <cellStyle name="삼일-금지 10 40" xfId="25325"/>
    <cellStyle name="삼일-금지 10 41" xfId="25326"/>
    <cellStyle name="삼일-금지 10 42" xfId="25327"/>
    <cellStyle name="삼일-금지 10 43" xfId="25328"/>
    <cellStyle name="삼일-금지 10 44" xfId="25329"/>
    <cellStyle name="삼일-금지 10 45" xfId="25330"/>
    <cellStyle name="삼일-금지 10 46" xfId="25331"/>
    <cellStyle name="삼일-금지 10 47" xfId="25332"/>
    <cellStyle name="삼일-금지 10 48" xfId="25333"/>
    <cellStyle name="삼일-금지 10 5" xfId="25334"/>
    <cellStyle name="삼일-금지 10 6" xfId="25335"/>
    <cellStyle name="삼일-금지 10 7" xfId="25336"/>
    <cellStyle name="삼일-금지 10 8" xfId="25337"/>
    <cellStyle name="삼일-금지 10 9" xfId="25338"/>
    <cellStyle name="삼일-금지 10_분양(100%)" xfId="39156"/>
    <cellStyle name="삼일-금지 11" xfId="25339"/>
    <cellStyle name="삼일-금지 11 10" xfId="25340"/>
    <cellStyle name="삼일-금지 11 11" xfId="25341"/>
    <cellStyle name="삼일-금지 11 12" xfId="25342"/>
    <cellStyle name="삼일-금지 11 13" xfId="25343"/>
    <cellStyle name="삼일-금지 11 14" xfId="25344"/>
    <cellStyle name="삼일-금지 11 15" xfId="25345"/>
    <cellStyle name="삼일-금지 11 16" xfId="25346"/>
    <cellStyle name="삼일-금지 11 17" xfId="25347"/>
    <cellStyle name="삼일-금지 11 18" xfId="25348"/>
    <cellStyle name="삼일-금지 11 19" xfId="25349"/>
    <cellStyle name="삼일-금지 11 2" xfId="25350"/>
    <cellStyle name="삼일-금지 11 20" xfId="25351"/>
    <cellStyle name="삼일-금지 11 21" xfId="25352"/>
    <cellStyle name="삼일-금지 11 22" xfId="25353"/>
    <cellStyle name="삼일-금지 11 23" xfId="25354"/>
    <cellStyle name="삼일-금지 11 24" xfId="25355"/>
    <cellStyle name="삼일-금지 11 25" xfId="25356"/>
    <cellStyle name="삼일-금지 11 26" xfId="25357"/>
    <cellStyle name="삼일-금지 11 27" xfId="25358"/>
    <cellStyle name="삼일-금지 11 28" xfId="25359"/>
    <cellStyle name="삼일-금지 11 29" xfId="25360"/>
    <cellStyle name="삼일-금지 11 3" xfId="25361"/>
    <cellStyle name="삼일-금지 11 30" xfId="25362"/>
    <cellStyle name="삼일-금지 11 31" xfId="25363"/>
    <cellStyle name="삼일-금지 11 32" xfId="25364"/>
    <cellStyle name="삼일-금지 11 33" xfId="25365"/>
    <cellStyle name="삼일-금지 11 34" xfId="25366"/>
    <cellStyle name="삼일-금지 11 35" xfId="25367"/>
    <cellStyle name="삼일-금지 11 36" xfId="25368"/>
    <cellStyle name="삼일-금지 11 37" xfId="25369"/>
    <cellStyle name="삼일-금지 11 38" xfId="25370"/>
    <cellStyle name="삼일-금지 11 39" xfId="25371"/>
    <cellStyle name="삼일-금지 11 4" xfId="25372"/>
    <cellStyle name="삼일-금지 11 40" xfId="25373"/>
    <cellStyle name="삼일-금지 11 41" xfId="25374"/>
    <cellStyle name="삼일-금지 11 42" xfId="25375"/>
    <cellStyle name="삼일-금지 11 43" xfId="25376"/>
    <cellStyle name="삼일-금지 11 44" xfId="25377"/>
    <cellStyle name="삼일-금지 11 45" xfId="25378"/>
    <cellStyle name="삼일-금지 11 46" xfId="25379"/>
    <cellStyle name="삼일-금지 11 47" xfId="25380"/>
    <cellStyle name="삼일-금지 11 48" xfId="25381"/>
    <cellStyle name="삼일-금지 11 5" xfId="25382"/>
    <cellStyle name="삼일-금지 11 6" xfId="25383"/>
    <cellStyle name="삼일-금지 11 7" xfId="25384"/>
    <cellStyle name="삼일-금지 11 8" xfId="25385"/>
    <cellStyle name="삼일-금지 11 9" xfId="25386"/>
    <cellStyle name="삼일-금지 11_분양(100%)" xfId="39157"/>
    <cellStyle name="삼일-금지 12" xfId="25387"/>
    <cellStyle name="삼일-금지 12 10" xfId="25388"/>
    <cellStyle name="삼일-금지 12 11" xfId="25389"/>
    <cellStyle name="삼일-금지 12 12" xfId="25390"/>
    <cellStyle name="삼일-금지 12 13" xfId="25391"/>
    <cellStyle name="삼일-금지 12 14" xfId="25392"/>
    <cellStyle name="삼일-금지 12 15" xfId="25393"/>
    <cellStyle name="삼일-금지 12 16" xfId="25394"/>
    <cellStyle name="삼일-금지 12 17" xfId="25395"/>
    <cellStyle name="삼일-금지 12 18" xfId="25396"/>
    <cellStyle name="삼일-금지 12 19" xfId="25397"/>
    <cellStyle name="삼일-금지 12 2" xfId="25398"/>
    <cellStyle name="삼일-금지 12 20" xfId="25399"/>
    <cellStyle name="삼일-금지 12 21" xfId="25400"/>
    <cellStyle name="삼일-금지 12 22" xfId="25401"/>
    <cellStyle name="삼일-금지 12 23" xfId="25402"/>
    <cellStyle name="삼일-금지 12 24" xfId="25403"/>
    <cellStyle name="삼일-금지 12 25" xfId="25404"/>
    <cellStyle name="삼일-금지 12 26" xfId="25405"/>
    <cellStyle name="삼일-금지 12 27" xfId="25406"/>
    <cellStyle name="삼일-금지 12 28" xfId="25407"/>
    <cellStyle name="삼일-금지 12 29" xfId="25408"/>
    <cellStyle name="삼일-금지 12 3" xfId="25409"/>
    <cellStyle name="삼일-금지 12 30" xfId="25410"/>
    <cellStyle name="삼일-금지 12 31" xfId="25411"/>
    <cellStyle name="삼일-금지 12 32" xfId="25412"/>
    <cellStyle name="삼일-금지 12 33" xfId="25413"/>
    <cellStyle name="삼일-금지 12 34" xfId="25414"/>
    <cellStyle name="삼일-금지 12 35" xfId="25415"/>
    <cellStyle name="삼일-금지 12 36" xfId="25416"/>
    <cellStyle name="삼일-금지 12 37" xfId="25417"/>
    <cellStyle name="삼일-금지 12 38" xfId="25418"/>
    <cellStyle name="삼일-금지 12 39" xfId="25419"/>
    <cellStyle name="삼일-금지 12 4" xfId="25420"/>
    <cellStyle name="삼일-금지 12 40" xfId="25421"/>
    <cellStyle name="삼일-금지 12 41" xfId="25422"/>
    <cellStyle name="삼일-금지 12 42" xfId="25423"/>
    <cellStyle name="삼일-금지 12 43" xfId="25424"/>
    <cellStyle name="삼일-금지 12 44" xfId="25425"/>
    <cellStyle name="삼일-금지 12 45" xfId="25426"/>
    <cellStyle name="삼일-금지 12 46" xfId="25427"/>
    <cellStyle name="삼일-금지 12 47" xfId="25428"/>
    <cellStyle name="삼일-금지 12 48" xfId="25429"/>
    <cellStyle name="삼일-금지 12 5" xfId="25430"/>
    <cellStyle name="삼일-금지 12 6" xfId="25431"/>
    <cellStyle name="삼일-금지 12 7" xfId="25432"/>
    <cellStyle name="삼일-금지 12 8" xfId="25433"/>
    <cellStyle name="삼일-금지 12 9" xfId="25434"/>
    <cellStyle name="삼일-금지 12_분양(100%)" xfId="39158"/>
    <cellStyle name="삼일-금지 13" xfId="25435"/>
    <cellStyle name="삼일-금지 13 10" xfId="25436"/>
    <cellStyle name="삼일-금지 13 11" xfId="25437"/>
    <cellStyle name="삼일-금지 13 12" xfId="25438"/>
    <cellStyle name="삼일-금지 13 13" xfId="25439"/>
    <cellStyle name="삼일-금지 13 14" xfId="25440"/>
    <cellStyle name="삼일-금지 13 15" xfId="25441"/>
    <cellStyle name="삼일-금지 13 16" xfId="25442"/>
    <cellStyle name="삼일-금지 13 17" xfId="25443"/>
    <cellStyle name="삼일-금지 13 18" xfId="25444"/>
    <cellStyle name="삼일-금지 13 19" xfId="25445"/>
    <cellStyle name="삼일-금지 13 2" xfId="25446"/>
    <cellStyle name="삼일-금지 13 20" xfId="25447"/>
    <cellStyle name="삼일-금지 13 21" xfId="25448"/>
    <cellStyle name="삼일-금지 13 22" xfId="25449"/>
    <cellStyle name="삼일-금지 13 23" xfId="25450"/>
    <cellStyle name="삼일-금지 13 24" xfId="25451"/>
    <cellStyle name="삼일-금지 13 25" xfId="25452"/>
    <cellStyle name="삼일-금지 13 26" xfId="25453"/>
    <cellStyle name="삼일-금지 13 27" xfId="25454"/>
    <cellStyle name="삼일-금지 13 28" xfId="25455"/>
    <cellStyle name="삼일-금지 13 29" xfId="25456"/>
    <cellStyle name="삼일-금지 13 3" xfId="25457"/>
    <cellStyle name="삼일-금지 13 30" xfId="25458"/>
    <cellStyle name="삼일-금지 13 31" xfId="25459"/>
    <cellStyle name="삼일-금지 13 32" xfId="25460"/>
    <cellStyle name="삼일-금지 13 33" xfId="25461"/>
    <cellStyle name="삼일-금지 13 34" xfId="25462"/>
    <cellStyle name="삼일-금지 13 35" xfId="25463"/>
    <cellStyle name="삼일-금지 13 36" xfId="25464"/>
    <cellStyle name="삼일-금지 13 37" xfId="25465"/>
    <cellStyle name="삼일-금지 13 38" xfId="25466"/>
    <cellStyle name="삼일-금지 13 39" xfId="25467"/>
    <cellStyle name="삼일-금지 13 4" xfId="25468"/>
    <cellStyle name="삼일-금지 13 40" xfId="25469"/>
    <cellStyle name="삼일-금지 13 41" xfId="25470"/>
    <cellStyle name="삼일-금지 13 42" xfId="25471"/>
    <cellStyle name="삼일-금지 13 43" xfId="25472"/>
    <cellStyle name="삼일-금지 13 44" xfId="25473"/>
    <cellStyle name="삼일-금지 13 45" xfId="25474"/>
    <cellStyle name="삼일-금지 13 46" xfId="25475"/>
    <cellStyle name="삼일-금지 13 47" xfId="25476"/>
    <cellStyle name="삼일-금지 13 48" xfId="25477"/>
    <cellStyle name="삼일-금지 13 5" xfId="25478"/>
    <cellStyle name="삼일-금지 13 6" xfId="25479"/>
    <cellStyle name="삼일-금지 13 7" xfId="25480"/>
    <cellStyle name="삼일-금지 13 8" xfId="25481"/>
    <cellStyle name="삼일-금지 13 9" xfId="25482"/>
    <cellStyle name="삼일-금지 13_분양(100%)" xfId="39159"/>
    <cellStyle name="삼일-금지 14" xfId="25483"/>
    <cellStyle name="삼일-금지 14 10" xfId="25484"/>
    <cellStyle name="삼일-금지 14 11" xfId="25485"/>
    <cellStyle name="삼일-금지 14 12" xfId="25486"/>
    <cellStyle name="삼일-금지 14 13" xfId="25487"/>
    <cellStyle name="삼일-금지 14 14" xfId="25488"/>
    <cellStyle name="삼일-금지 14 15" xfId="25489"/>
    <cellStyle name="삼일-금지 14 16" xfId="25490"/>
    <cellStyle name="삼일-금지 14 17" xfId="25491"/>
    <cellStyle name="삼일-금지 14 18" xfId="25492"/>
    <cellStyle name="삼일-금지 14 19" xfId="25493"/>
    <cellStyle name="삼일-금지 14 2" xfId="25494"/>
    <cellStyle name="삼일-금지 14 20" xfId="25495"/>
    <cellStyle name="삼일-금지 14 21" xfId="25496"/>
    <cellStyle name="삼일-금지 14 22" xfId="25497"/>
    <cellStyle name="삼일-금지 14 23" xfId="25498"/>
    <cellStyle name="삼일-금지 14 24" xfId="25499"/>
    <cellStyle name="삼일-금지 14 25" xfId="25500"/>
    <cellStyle name="삼일-금지 14 26" xfId="25501"/>
    <cellStyle name="삼일-금지 14 27" xfId="25502"/>
    <cellStyle name="삼일-금지 14 28" xfId="25503"/>
    <cellStyle name="삼일-금지 14 29" xfId="25504"/>
    <cellStyle name="삼일-금지 14 3" xfId="25505"/>
    <cellStyle name="삼일-금지 14 30" xfId="25506"/>
    <cellStyle name="삼일-금지 14 31" xfId="25507"/>
    <cellStyle name="삼일-금지 14 32" xfId="25508"/>
    <cellStyle name="삼일-금지 14 33" xfId="25509"/>
    <cellStyle name="삼일-금지 14 34" xfId="25510"/>
    <cellStyle name="삼일-금지 14 35" xfId="25511"/>
    <cellStyle name="삼일-금지 14 36" xfId="25512"/>
    <cellStyle name="삼일-금지 14 37" xfId="25513"/>
    <cellStyle name="삼일-금지 14 38" xfId="25514"/>
    <cellStyle name="삼일-금지 14 39" xfId="25515"/>
    <cellStyle name="삼일-금지 14 4" xfId="25516"/>
    <cellStyle name="삼일-금지 14 40" xfId="25517"/>
    <cellStyle name="삼일-금지 14 41" xfId="25518"/>
    <cellStyle name="삼일-금지 14 42" xfId="25519"/>
    <cellStyle name="삼일-금지 14 43" xfId="25520"/>
    <cellStyle name="삼일-금지 14 44" xfId="25521"/>
    <cellStyle name="삼일-금지 14 45" xfId="25522"/>
    <cellStyle name="삼일-금지 14 46" xfId="25523"/>
    <cellStyle name="삼일-금지 14 47" xfId="25524"/>
    <cellStyle name="삼일-금지 14 48" xfId="25525"/>
    <cellStyle name="삼일-금지 14 5" xfId="25526"/>
    <cellStyle name="삼일-금지 14 6" xfId="25527"/>
    <cellStyle name="삼일-금지 14 7" xfId="25528"/>
    <cellStyle name="삼일-금지 14 8" xfId="25529"/>
    <cellStyle name="삼일-금지 14 9" xfId="25530"/>
    <cellStyle name="삼일-금지 14_분양(100%)" xfId="39160"/>
    <cellStyle name="삼일-금지 15" xfId="25531"/>
    <cellStyle name="삼일-금지 15 10" xfId="25532"/>
    <cellStyle name="삼일-금지 15 11" xfId="25533"/>
    <cellStyle name="삼일-금지 15 12" xfId="25534"/>
    <cellStyle name="삼일-금지 15 13" xfId="25535"/>
    <cellStyle name="삼일-금지 15 14" xfId="25536"/>
    <cellStyle name="삼일-금지 15 15" xfId="25537"/>
    <cellStyle name="삼일-금지 15 16" xfId="25538"/>
    <cellStyle name="삼일-금지 15 17" xfId="25539"/>
    <cellStyle name="삼일-금지 15 18" xfId="25540"/>
    <cellStyle name="삼일-금지 15 19" xfId="25541"/>
    <cellStyle name="삼일-금지 15 2" xfId="25542"/>
    <cellStyle name="삼일-금지 15 20" xfId="25543"/>
    <cellStyle name="삼일-금지 15 21" xfId="25544"/>
    <cellStyle name="삼일-금지 15 22" xfId="25545"/>
    <cellStyle name="삼일-금지 15 23" xfId="25546"/>
    <cellStyle name="삼일-금지 15 24" xfId="25547"/>
    <cellStyle name="삼일-금지 15 25" xfId="25548"/>
    <cellStyle name="삼일-금지 15 26" xfId="25549"/>
    <cellStyle name="삼일-금지 15 27" xfId="25550"/>
    <cellStyle name="삼일-금지 15 28" xfId="25551"/>
    <cellStyle name="삼일-금지 15 29" xfId="25552"/>
    <cellStyle name="삼일-금지 15 3" xfId="25553"/>
    <cellStyle name="삼일-금지 15 30" xfId="25554"/>
    <cellStyle name="삼일-금지 15 31" xfId="25555"/>
    <cellStyle name="삼일-금지 15 32" xfId="25556"/>
    <cellStyle name="삼일-금지 15 33" xfId="25557"/>
    <cellStyle name="삼일-금지 15 34" xfId="25558"/>
    <cellStyle name="삼일-금지 15 35" xfId="25559"/>
    <cellStyle name="삼일-금지 15 36" xfId="25560"/>
    <cellStyle name="삼일-금지 15 37" xfId="25561"/>
    <cellStyle name="삼일-금지 15 38" xfId="25562"/>
    <cellStyle name="삼일-금지 15 39" xfId="25563"/>
    <cellStyle name="삼일-금지 15 4" xfId="25564"/>
    <cellStyle name="삼일-금지 15 40" xfId="25565"/>
    <cellStyle name="삼일-금지 15 41" xfId="25566"/>
    <cellStyle name="삼일-금지 15 42" xfId="25567"/>
    <cellStyle name="삼일-금지 15 43" xfId="25568"/>
    <cellStyle name="삼일-금지 15 44" xfId="25569"/>
    <cellStyle name="삼일-금지 15 45" xfId="25570"/>
    <cellStyle name="삼일-금지 15 46" xfId="25571"/>
    <cellStyle name="삼일-금지 15 47" xfId="25572"/>
    <cellStyle name="삼일-금지 15 48" xfId="25573"/>
    <cellStyle name="삼일-금지 15 5" xfId="25574"/>
    <cellStyle name="삼일-금지 15 6" xfId="25575"/>
    <cellStyle name="삼일-금지 15 7" xfId="25576"/>
    <cellStyle name="삼일-금지 15 8" xfId="25577"/>
    <cellStyle name="삼일-금지 15 9" xfId="25578"/>
    <cellStyle name="삼일-금지 15_분양(100%)" xfId="39161"/>
    <cellStyle name="삼일-금지 16" xfId="25579"/>
    <cellStyle name="삼일-금지 16 10" xfId="25580"/>
    <cellStyle name="삼일-금지 16 11" xfId="25581"/>
    <cellStyle name="삼일-금지 16 12" xfId="25582"/>
    <cellStyle name="삼일-금지 16 13" xfId="25583"/>
    <cellStyle name="삼일-금지 16 14" xfId="25584"/>
    <cellStyle name="삼일-금지 16 15" xfId="25585"/>
    <cellStyle name="삼일-금지 16 16" xfId="25586"/>
    <cellStyle name="삼일-금지 16 17" xfId="25587"/>
    <cellStyle name="삼일-금지 16 18" xfId="25588"/>
    <cellStyle name="삼일-금지 16 19" xfId="25589"/>
    <cellStyle name="삼일-금지 16 2" xfId="25590"/>
    <cellStyle name="삼일-금지 16 20" xfId="25591"/>
    <cellStyle name="삼일-금지 16 21" xfId="25592"/>
    <cellStyle name="삼일-금지 16 22" xfId="25593"/>
    <cellStyle name="삼일-금지 16 23" xfId="25594"/>
    <cellStyle name="삼일-금지 16 24" xfId="25595"/>
    <cellStyle name="삼일-금지 16 25" xfId="25596"/>
    <cellStyle name="삼일-금지 16 26" xfId="25597"/>
    <cellStyle name="삼일-금지 16 27" xfId="25598"/>
    <cellStyle name="삼일-금지 16 28" xfId="25599"/>
    <cellStyle name="삼일-금지 16 29" xfId="25600"/>
    <cellStyle name="삼일-금지 16 3" xfId="25601"/>
    <cellStyle name="삼일-금지 16 30" xfId="25602"/>
    <cellStyle name="삼일-금지 16 31" xfId="25603"/>
    <cellStyle name="삼일-금지 16 32" xfId="25604"/>
    <cellStyle name="삼일-금지 16 33" xfId="25605"/>
    <cellStyle name="삼일-금지 16 34" xfId="25606"/>
    <cellStyle name="삼일-금지 16 35" xfId="25607"/>
    <cellStyle name="삼일-금지 16 36" xfId="25608"/>
    <cellStyle name="삼일-금지 16 37" xfId="25609"/>
    <cellStyle name="삼일-금지 16 38" xfId="25610"/>
    <cellStyle name="삼일-금지 16 39" xfId="25611"/>
    <cellStyle name="삼일-금지 16 4" xfId="25612"/>
    <cellStyle name="삼일-금지 16 40" xfId="25613"/>
    <cellStyle name="삼일-금지 16 41" xfId="25614"/>
    <cellStyle name="삼일-금지 16 42" xfId="25615"/>
    <cellStyle name="삼일-금지 16 43" xfId="25616"/>
    <cellStyle name="삼일-금지 16 44" xfId="25617"/>
    <cellStyle name="삼일-금지 16 45" xfId="25618"/>
    <cellStyle name="삼일-금지 16 46" xfId="25619"/>
    <cellStyle name="삼일-금지 16 47" xfId="25620"/>
    <cellStyle name="삼일-금지 16 48" xfId="25621"/>
    <cellStyle name="삼일-금지 16 5" xfId="25622"/>
    <cellStyle name="삼일-금지 16 6" xfId="25623"/>
    <cellStyle name="삼일-금지 16 7" xfId="25624"/>
    <cellStyle name="삼일-금지 16 8" xfId="25625"/>
    <cellStyle name="삼일-금지 16 9" xfId="25626"/>
    <cellStyle name="삼일-금지 16_분양(100%)" xfId="39162"/>
    <cellStyle name="삼일-금지 17" xfId="25627"/>
    <cellStyle name="삼일-금지 17 10" xfId="25628"/>
    <cellStyle name="삼일-금지 17 11" xfId="25629"/>
    <cellStyle name="삼일-금지 17 12" xfId="25630"/>
    <cellStyle name="삼일-금지 17 13" xfId="25631"/>
    <cellStyle name="삼일-금지 17 14" xfId="25632"/>
    <cellStyle name="삼일-금지 17 15" xfId="25633"/>
    <cellStyle name="삼일-금지 17 16" xfId="25634"/>
    <cellStyle name="삼일-금지 17 17" xfId="25635"/>
    <cellStyle name="삼일-금지 17 18" xfId="25636"/>
    <cellStyle name="삼일-금지 17 19" xfId="25637"/>
    <cellStyle name="삼일-금지 17 2" xfId="25638"/>
    <cellStyle name="삼일-금지 17 20" xfId="25639"/>
    <cellStyle name="삼일-금지 17 21" xfId="25640"/>
    <cellStyle name="삼일-금지 17 22" xfId="25641"/>
    <cellStyle name="삼일-금지 17 23" xfId="25642"/>
    <cellStyle name="삼일-금지 17 24" xfId="25643"/>
    <cellStyle name="삼일-금지 17 25" xfId="25644"/>
    <cellStyle name="삼일-금지 17 26" xfId="25645"/>
    <cellStyle name="삼일-금지 17 27" xfId="25646"/>
    <cellStyle name="삼일-금지 17 28" xfId="25647"/>
    <cellStyle name="삼일-금지 17 29" xfId="25648"/>
    <cellStyle name="삼일-금지 17 3" xfId="25649"/>
    <cellStyle name="삼일-금지 17 30" xfId="25650"/>
    <cellStyle name="삼일-금지 17 31" xfId="25651"/>
    <cellStyle name="삼일-금지 17 32" xfId="25652"/>
    <cellStyle name="삼일-금지 17 33" xfId="25653"/>
    <cellStyle name="삼일-금지 17 34" xfId="25654"/>
    <cellStyle name="삼일-금지 17 35" xfId="25655"/>
    <cellStyle name="삼일-금지 17 36" xfId="25656"/>
    <cellStyle name="삼일-금지 17 37" xfId="25657"/>
    <cellStyle name="삼일-금지 17 38" xfId="25658"/>
    <cellStyle name="삼일-금지 17 39" xfId="25659"/>
    <cellStyle name="삼일-금지 17 4" xfId="25660"/>
    <cellStyle name="삼일-금지 17 40" xfId="25661"/>
    <cellStyle name="삼일-금지 17 41" xfId="25662"/>
    <cellStyle name="삼일-금지 17 42" xfId="25663"/>
    <cellStyle name="삼일-금지 17 43" xfId="25664"/>
    <cellStyle name="삼일-금지 17 44" xfId="25665"/>
    <cellStyle name="삼일-금지 17 45" xfId="25666"/>
    <cellStyle name="삼일-금지 17 46" xfId="25667"/>
    <cellStyle name="삼일-금지 17 47" xfId="25668"/>
    <cellStyle name="삼일-금지 17 48" xfId="25669"/>
    <cellStyle name="삼일-금지 17 5" xfId="25670"/>
    <cellStyle name="삼일-금지 17 6" xfId="25671"/>
    <cellStyle name="삼일-금지 17 7" xfId="25672"/>
    <cellStyle name="삼일-금지 17 8" xfId="25673"/>
    <cellStyle name="삼일-금지 17 9" xfId="25674"/>
    <cellStyle name="삼일-금지 17_분양(100%)" xfId="39163"/>
    <cellStyle name="삼일-금지 18" xfId="25675"/>
    <cellStyle name="삼일-금지 18 10" xfId="25676"/>
    <cellStyle name="삼일-금지 18 11" xfId="25677"/>
    <cellStyle name="삼일-금지 18 12" xfId="25678"/>
    <cellStyle name="삼일-금지 18 13" xfId="25679"/>
    <cellStyle name="삼일-금지 18 14" xfId="25680"/>
    <cellStyle name="삼일-금지 18 15" xfId="25681"/>
    <cellStyle name="삼일-금지 18 16" xfId="25682"/>
    <cellStyle name="삼일-금지 18 17" xfId="25683"/>
    <cellStyle name="삼일-금지 18 18" xfId="25684"/>
    <cellStyle name="삼일-금지 18 19" xfId="25685"/>
    <cellStyle name="삼일-금지 18 2" xfId="25686"/>
    <cellStyle name="삼일-금지 18 20" xfId="25687"/>
    <cellStyle name="삼일-금지 18 21" xfId="25688"/>
    <cellStyle name="삼일-금지 18 22" xfId="25689"/>
    <cellStyle name="삼일-금지 18 23" xfId="25690"/>
    <cellStyle name="삼일-금지 18 24" xfId="25691"/>
    <cellStyle name="삼일-금지 18 25" xfId="25692"/>
    <cellStyle name="삼일-금지 18 26" xfId="25693"/>
    <cellStyle name="삼일-금지 18 27" xfId="25694"/>
    <cellStyle name="삼일-금지 18 28" xfId="25695"/>
    <cellStyle name="삼일-금지 18 29" xfId="25696"/>
    <cellStyle name="삼일-금지 18 3" xfId="25697"/>
    <cellStyle name="삼일-금지 18 30" xfId="25698"/>
    <cellStyle name="삼일-금지 18 31" xfId="25699"/>
    <cellStyle name="삼일-금지 18 32" xfId="25700"/>
    <cellStyle name="삼일-금지 18 33" xfId="25701"/>
    <cellStyle name="삼일-금지 18 34" xfId="25702"/>
    <cellStyle name="삼일-금지 18 35" xfId="25703"/>
    <cellStyle name="삼일-금지 18 36" xfId="25704"/>
    <cellStyle name="삼일-금지 18 37" xfId="25705"/>
    <cellStyle name="삼일-금지 18 38" xfId="25706"/>
    <cellStyle name="삼일-금지 18 39" xfId="25707"/>
    <cellStyle name="삼일-금지 18 4" xfId="25708"/>
    <cellStyle name="삼일-금지 18 40" xfId="25709"/>
    <cellStyle name="삼일-금지 18 41" xfId="25710"/>
    <cellStyle name="삼일-금지 18 42" xfId="25711"/>
    <cellStyle name="삼일-금지 18 43" xfId="25712"/>
    <cellStyle name="삼일-금지 18 44" xfId="25713"/>
    <cellStyle name="삼일-금지 18 45" xfId="25714"/>
    <cellStyle name="삼일-금지 18 46" xfId="25715"/>
    <cellStyle name="삼일-금지 18 47" xfId="25716"/>
    <cellStyle name="삼일-금지 18 48" xfId="25717"/>
    <cellStyle name="삼일-금지 18 5" xfId="25718"/>
    <cellStyle name="삼일-금지 18 6" xfId="25719"/>
    <cellStyle name="삼일-금지 18 7" xfId="25720"/>
    <cellStyle name="삼일-금지 18 8" xfId="25721"/>
    <cellStyle name="삼일-금지 18 9" xfId="25722"/>
    <cellStyle name="삼일-금지 18_분양(100%)" xfId="39164"/>
    <cellStyle name="삼일-금지 19" xfId="25723"/>
    <cellStyle name="삼일-금지 19 10" xfId="25724"/>
    <cellStyle name="삼일-금지 19 11" xfId="25725"/>
    <cellStyle name="삼일-금지 19 12" xfId="25726"/>
    <cellStyle name="삼일-금지 19 13" xfId="25727"/>
    <cellStyle name="삼일-금지 19 14" xfId="25728"/>
    <cellStyle name="삼일-금지 19 15" xfId="25729"/>
    <cellStyle name="삼일-금지 19 16" xfId="25730"/>
    <cellStyle name="삼일-금지 19 17" xfId="25731"/>
    <cellStyle name="삼일-금지 19 18" xfId="25732"/>
    <cellStyle name="삼일-금지 19 19" xfId="25733"/>
    <cellStyle name="삼일-금지 19 2" xfId="25734"/>
    <cellStyle name="삼일-금지 19 20" xfId="25735"/>
    <cellStyle name="삼일-금지 19 21" xfId="25736"/>
    <cellStyle name="삼일-금지 19 22" xfId="25737"/>
    <cellStyle name="삼일-금지 19 23" xfId="25738"/>
    <cellStyle name="삼일-금지 19 24" xfId="25739"/>
    <cellStyle name="삼일-금지 19 25" xfId="25740"/>
    <cellStyle name="삼일-금지 19 26" xfId="25741"/>
    <cellStyle name="삼일-금지 19 27" xfId="25742"/>
    <cellStyle name="삼일-금지 19 28" xfId="25743"/>
    <cellStyle name="삼일-금지 19 29" xfId="25744"/>
    <cellStyle name="삼일-금지 19 3" xfId="25745"/>
    <cellStyle name="삼일-금지 19 30" xfId="25746"/>
    <cellStyle name="삼일-금지 19 31" xfId="25747"/>
    <cellStyle name="삼일-금지 19 32" xfId="25748"/>
    <cellStyle name="삼일-금지 19 33" xfId="25749"/>
    <cellStyle name="삼일-금지 19 34" xfId="25750"/>
    <cellStyle name="삼일-금지 19 35" xfId="25751"/>
    <cellStyle name="삼일-금지 19 36" xfId="25752"/>
    <cellStyle name="삼일-금지 19 37" xfId="25753"/>
    <cellStyle name="삼일-금지 19 38" xfId="25754"/>
    <cellStyle name="삼일-금지 19 39" xfId="25755"/>
    <cellStyle name="삼일-금지 19 4" xfId="25756"/>
    <cellStyle name="삼일-금지 19 40" xfId="25757"/>
    <cellStyle name="삼일-금지 19 41" xfId="25758"/>
    <cellStyle name="삼일-금지 19 42" xfId="25759"/>
    <cellStyle name="삼일-금지 19 43" xfId="25760"/>
    <cellStyle name="삼일-금지 19 44" xfId="25761"/>
    <cellStyle name="삼일-금지 19 45" xfId="25762"/>
    <cellStyle name="삼일-금지 19 46" xfId="25763"/>
    <cellStyle name="삼일-금지 19 47" xfId="25764"/>
    <cellStyle name="삼일-금지 19 48" xfId="25765"/>
    <cellStyle name="삼일-금지 19 5" xfId="25766"/>
    <cellStyle name="삼일-금지 19 6" xfId="25767"/>
    <cellStyle name="삼일-금지 19 7" xfId="25768"/>
    <cellStyle name="삼일-금지 19 8" xfId="25769"/>
    <cellStyle name="삼일-금지 19 9" xfId="25770"/>
    <cellStyle name="삼일-금지 19_분양(100%)" xfId="39165"/>
    <cellStyle name="삼일-금지 2" xfId="25771"/>
    <cellStyle name="삼일-금지 2 10" xfId="25772"/>
    <cellStyle name="삼일-금지 2 11" xfId="25773"/>
    <cellStyle name="삼일-금지 2 12" xfId="25774"/>
    <cellStyle name="삼일-금지 2 13" xfId="25775"/>
    <cellStyle name="삼일-금지 2 14" xfId="25776"/>
    <cellStyle name="삼일-금지 2 15" xfId="25777"/>
    <cellStyle name="삼일-금지 2 16" xfId="25778"/>
    <cellStyle name="삼일-금지 2 17" xfId="25779"/>
    <cellStyle name="삼일-금지 2 18" xfId="25780"/>
    <cellStyle name="삼일-금지 2 19" xfId="25781"/>
    <cellStyle name="삼일-금지 2 2" xfId="25782"/>
    <cellStyle name="삼일-금지 2 20" xfId="25783"/>
    <cellStyle name="삼일-금지 2 21" xfId="25784"/>
    <cellStyle name="삼일-금지 2 22" xfId="25785"/>
    <cellStyle name="삼일-금지 2 23" xfId="25786"/>
    <cellStyle name="삼일-금지 2 24" xfId="25787"/>
    <cellStyle name="삼일-금지 2 25" xfId="25788"/>
    <cellStyle name="삼일-금지 2 26" xfId="25789"/>
    <cellStyle name="삼일-금지 2 27" xfId="25790"/>
    <cellStyle name="삼일-금지 2 28" xfId="25791"/>
    <cellStyle name="삼일-금지 2 29" xfId="25792"/>
    <cellStyle name="삼일-금지 2 3" xfId="25793"/>
    <cellStyle name="삼일-금지 2 30" xfId="25794"/>
    <cellStyle name="삼일-금지 2 31" xfId="25795"/>
    <cellStyle name="삼일-금지 2 32" xfId="25796"/>
    <cellStyle name="삼일-금지 2 33" xfId="25797"/>
    <cellStyle name="삼일-금지 2 34" xfId="25798"/>
    <cellStyle name="삼일-금지 2 35" xfId="25799"/>
    <cellStyle name="삼일-금지 2 36" xfId="25800"/>
    <cellStyle name="삼일-금지 2 37" xfId="25801"/>
    <cellStyle name="삼일-금지 2 38" xfId="25802"/>
    <cellStyle name="삼일-금지 2 39" xfId="25803"/>
    <cellStyle name="삼일-금지 2 4" xfId="25804"/>
    <cellStyle name="삼일-금지 2 40" xfId="25805"/>
    <cellStyle name="삼일-금지 2 41" xfId="25806"/>
    <cellStyle name="삼일-금지 2 42" xfId="25807"/>
    <cellStyle name="삼일-금지 2 43" xfId="25808"/>
    <cellStyle name="삼일-금지 2 44" xfId="25809"/>
    <cellStyle name="삼일-금지 2 45" xfId="25810"/>
    <cellStyle name="삼일-금지 2 5" xfId="25811"/>
    <cellStyle name="삼일-금지 2 6" xfId="25812"/>
    <cellStyle name="삼일-금지 2 7" xfId="25813"/>
    <cellStyle name="삼일-금지 2 8" xfId="25814"/>
    <cellStyle name="삼일-금지 2 9" xfId="25815"/>
    <cellStyle name="삼일-금지 2_분양(100%)" xfId="39166"/>
    <cellStyle name="삼일-금지 20" xfId="25816"/>
    <cellStyle name="삼일-금지 20 10" xfId="25817"/>
    <cellStyle name="삼일-금지 20 11" xfId="25818"/>
    <cellStyle name="삼일-금지 20 12" xfId="25819"/>
    <cellStyle name="삼일-금지 20 13" xfId="25820"/>
    <cellStyle name="삼일-금지 20 14" xfId="25821"/>
    <cellStyle name="삼일-금지 20 15" xfId="25822"/>
    <cellStyle name="삼일-금지 20 16" xfId="25823"/>
    <cellStyle name="삼일-금지 20 17" xfId="25824"/>
    <cellStyle name="삼일-금지 20 18" xfId="25825"/>
    <cellStyle name="삼일-금지 20 19" xfId="25826"/>
    <cellStyle name="삼일-금지 20 2" xfId="25827"/>
    <cellStyle name="삼일-금지 20 20" xfId="25828"/>
    <cellStyle name="삼일-금지 20 21" xfId="25829"/>
    <cellStyle name="삼일-금지 20 22" xfId="25830"/>
    <cellStyle name="삼일-금지 20 23" xfId="25831"/>
    <cellStyle name="삼일-금지 20 24" xfId="25832"/>
    <cellStyle name="삼일-금지 20 25" xfId="25833"/>
    <cellStyle name="삼일-금지 20 26" xfId="25834"/>
    <cellStyle name="삼일-금지 20 27" xfId="25835"/>
    <cellStyle name="삼일-금지 20 28" xfId="25836"/>
    <cellStyle name="삼일-금지 20 29" xfId="25837"/>
    <cellStyle name="삼일-금지 20 3" xfId="25838"/>
    <cellStyle name="삼일-금지 20 30" xfId="25839"/>
    <cellStyle name="삼일-금지 20 31" xfId="25840"/>
    <cellStyle name="삼일-금지 20 32" xfId="25841"/>
    <cellStyle name="삼일-금지 20 33" xfId="25842"/>
    <cellStyle name="삼일-금지 20 34" xfId="25843"/>
    <cellStyle name="삼일-금지 20 35" xfId="25844"/>
    <cellStyle name="삼일-금지 20 36" xfId="25845"/>
    <cellStyle name="삼일-금지 20 37" xfId="25846"/>
    <cellStyle name="삼일-금지 20 38" xfId="25847"/>
    <cellStyle name="삼일-금지 20 39" xfId="25848"/>
    <cellStyle name="삼일-금지 20 4" xfId="25849"/>
    <cellStyle name="삼일-금지 20 40" xfId="25850"/>
    <cellStyle name="삼일-금지 20 41" xfId="25851"/>
    <cellStyle name="삼일-금지 20 42" xfId="25852"/>
    <cellStyle name="삼일-금지 20 43" xfId="25853"/>
    <cellStyle name="삼일-금지 20 44" xfId="25854"/>
    <cellStyle name="삼일-금지 20 45" xfId="25855"/>
    <cellStyle name="삼일-금지 20 46" xfId="25856"/>
    <cellStyle name="삼일-금지 20 47" xfId="25857"/>
    <cellStyle name="삼일-금지 20 48" xfId="25858"/>
    <cellStyle name="삼일-금지 20 5" xfId="25859"/>
    <cellStyle name="삼일-금지 20 6" xfId="25860"/>
    <cellStyle name="삼일-금지 20 7" xfId="25861"/>
    <cellStyle name="삼일-금지 20 8" xfId="25862"/>
    <cellStyle name="삼일-금지 20 9" xfId="25863"/>
    <cellStyle name="삼일-금지 20_분양(100%)" xfId="39167"/>
    <cellStyle name="삼일-금지 21" xfId="25864"/>
    <cellStyle name="삼일-금지 21 10" xfId="25865"/>
    <cellStyle name="삼일-금지 21 11" xfId="25866"/>
    <cellStyle name="삼일-금지 21 12" xfId="25867"/>
    <cellStyle name="삼일-금지 21 13" xfId="25868"/>
    <cellStyle name="삼일-금지 21 14" xfId="25869"/>
    <cellStyle name="삼일-금지 21 15" xfId="25870"/>
    <cellStyle name="삼일-금지 21 16" xfId="25871"/>
    <cellStyle name="삼일-금지 21 17" xfId="25872"/>
    <cellStyle name="삼일-금지 21 18" xfId="25873"/>
    <cellStyle name="삼일-금지 21 19" xfId="25874"/>
    <cellStyle name="삼일-금지 21 2" xfId="25875"/>
    <cellStyle name="삼일-금지 21 20" xfId="25876"/>
    <cellStyle name="삼일-금지 21 21" xfId="25877"/>
    <cellStyle name="삼일-금지 21 22" xfId="25878"/>
    <cellStyle name="삼일-금지 21 23" xfId="25879"/>
    <cellStyle name="삼일-금지 21 24" xfId="25880"/>
    <cellStyle name="삼일-금지 21 25" xfId="25881"/>
    <cellStyle name="삼일-금지 21 26" xfId="25882"/>
    <cellStyle name="삼일-금지 21 27" xfId="25883"/>
    <cellStyle name="삼일-금지 21 28" xfId="25884"/>
    <cellStyle name="삼일-금지 21 29" xfId="25885"/>
    <cellStyle name="삼일-금지 21 3" xfId="25886"/>
    <cellStyle name="삼일-금지 21 30" xfId="25887"/>
    <cellStyle name="삼일-금지 21 31" xfId="25888"/>
    <cellStyle name="삼일-금지 21 32" xfId="25889"/>
    <cellStyle name="삼일-금지 21 33" xfId="25890"/>
    <cellStyle name="삼일-금지 21 34" xfId="25891"/>
    <cellStyle name="삼일-금지 21 35" xfId="25892"/>
    <cellStyle name="삼일-금지 21 36" xfId="25893"/>
    <cellStyle name="삼일-금지 21 37" xfId="25894"/>
    <cellStyle name="삼일-금지 21 38" xfId="25895"/>
    <cellStyle name="삼일-금지 21 39" xfId="25896"/>
    <cellStyle name="삼일-금지 21 4" xfId="25897"/>
    <cellStyle name="삼일-금지 21 40" xfId="25898"/>
    <cellStyle name="삼일-금지 21 41" xfId="25899"/>
    <cellStyle name="삼일-금지 21 42" xfId="25900"/>
    <cellStyle name="삼일-금지 21 43" xfId="25901"/>
    <cellStyle name="삼일-금지 21 44" xfId="25902"/>
    <cellStyle name="삼일-금지 21 45" xfId="25903"/>
    <cellStyle name="삼일-금지 21 46" xfId="25904"/>
    <cellStyle name="삼일-금지 21 47" xfId="25905"/>
    <cellStyle name="삼일-금지 21 48" xfId="25906"/>
    <cellStyle name="삼일-금지 21 5" xfId="25907"/>
    <cellStyle name="삼일-금지 21 6" xfId="25908"/>
    <cellStyle name="삼일-금지 21 7" xfId="25909"/>
    <cellStyle name="삼일-금지 21 8" xfId="25910"/>
    <cellStyle name="삼일-금지 21 9" xfId="25911"/>
    <cellStyle name="삼일-금지 21_분양(100%)" xfId="39168"/>
    <cellStyle name="삼일-금지 22" xfId="25912"/>
    <cellStyle name="삼일-금지 22 10" xfId="25913"/>
    <cellStyle name="삼일-금지 22 11" xfId="25914"/>
    <cellStyle name="삼일-금지 22 12" xfId="25915"/>
    <cellStyle name="삼일-금지 22 13" xfId="25916"/>
    <cellStyle name="삼일-금지 22 14" xfId="25917"/>
    <cellStyle name="삼일-금지 22 15" xfId="25918"/>
    <cellStyle name="삼일-금지 22 16" xfId="25919"/>
    <cellStyle name="삼일-금지 22 17" xfId="25920"/>
    <cellStyle name="삼일-금지 22 18" xfId="25921"/>
    <cellStyle name="삼일-금지 22 19" xfId="25922"/>
    <cellStyle name="삼일-금지 22 2" xfId="25923"/>
    <cellStyle name="삼일-금지 22 20" xfId="25924"/>
    <cellStyle name="삼일-금지 22 21" xfId="25925"/>
    <cellStyle name="삼일-금지 22 22" xfId="25926"/>
    <cellStyle name="삼일-금지 22 23" xfId="25927"/>
    <cellStyle name="삼일-금지 22 24" xfId="25928"/>
    <cellStyle name="삼일-금지 22 25" xfId="25929"/>
    <cellStyle name="삼일-금지 22 26" xfId="25930"/>
    <cellStyle name="삼일-금지 22 27" xfId="25931"/>
    <cellStyle name="삼일-금지 22 28" xfId="25932"/>
    <cellStyle name="삼일-금지 22 29" xfId="25933"/>
    <cellStyle name="삼일-금지 22 3" xfId="25934"/>
    <cellStyle name="삼일-금지 22 30" xfId="25935"/>
    <cellStyle name="삼일-금지 22 31" xfId="25936"/>
    <cellStyle name="삼일-금지 22 32" xfId="25937"/>
    <cellStyle name="삼일-금지 22 33" xfId="25938"/>
    <cellStyle name="삼일-금지 22 34" xfId="25939"/>
    <cellStyle name="삼일-금지 22 35" xfId="25940"/>
    <cellStyle name="삼일-금지 22 36" xfId="25941"/>
    <cellStyle name="삼일-금지 22 37" xfId="25942"/>
    <cellStyle name="삼일-금지 22 38" xfId="25943"/>
    <cellStyle name="삼일-금지 22 39" xfId="25944"/>
    <cellStyle name="삼일-금지 22 4" xfId="25945"/>
    <cellStyle name="삼일-금지 22 40" xfId="25946"/>
    <cellStyle name="삼일-금지 22 41" xfId="25947"/>
    <cellStyle name="삼일-금지 22 42" xfId="25948"/>
    <cellStyle name="삼일-금지 22 43" xfId="25949"/>
    <cellStyle name="삼일-금지 22 44" xfId="25950"/>
    <cellStyle name="삼일-금지 22 45" xfId="25951"/>
    <cellStyle name="삼일-금지 22 46" xfId="25952"/>
    <cellStyle name="삼일-금지 22 47" xfId="25953"/>
    <cellStyle name="삼일-금지 22 48" xfId="25954"/>
    <cellStyle name="삼일-금지 22 5" xfId="25955"/>
    <cellStyle name="삼일-금지 22 6" xfId="25956"/>
    <cellStyle name="삼일-금지 22 7" xfId="25957"/>
    <cellStyle name="삼일-금지 22 8" xfId="25958"/>
    <cellStyle name="삼일-금지 22 9" xfId="25959"/>
    <cellStyle name="삼일-금지 22_분양(100%)" xfId="39169"/>
    <cellStyle name="삼일-금지 23" xfId="25960"/>
    <cellStyle name="삼일-금지 23 10" xfId="25961"/>
    <cellStyle name="삼일-금지 23 11" xfId="25962"/>
    <cellStyle name="삼일-금지 23 12" xfId="25963"/>
    <cellStyle name="삼일-금지 23 13" xfId="25964"/>
    <cellStyle name="삼일-금지 23 14" xfId="25965"/>
    <cellStyle name="삼일-금지 23 15" xfId="25966"/>
    <cellStyle name="삼일-금지 23 16" xfId="25967"/>
    <cellStyle name="삼일-금지 23 17" xfId="25968"/>
    <cellStyle name="삼일-금지 23 18" xfId="25969"/>
    <cellStyle name="삼일-금지 23 19" xfId="25970"/>
    <cellStyle name="삼일-금지 23 2" xfId="25971"/>
    <cellStyle name="삼일-금지 23 20" xfId="25972"/>
    <cellStyle name="삼일-금지 23 21" xfId="25973"/>
    <cellStyle name="삼일-금지 23 22" xfId="25974"/>
    <cellStyle name="삼일-금지 23 23" xfId="25975"/>
    <cellStyle name="삼일-금지 23 24" xfId="25976"/>
    <cellStyle name="삼일-금지 23 25" xfId="25977"/>
    <cellStyle name="삼일-금지 23 26" xfId="25978"/>
    <cellStyle name="삼일-금지 23 27" xfId="25979"/>
    <cellStyle name="삼일-금지 23 28" xfId="25980"/>
    <cellStyle name="삼일-금지 23 29" xfId="25981"/>
    <cellStyle name="삼일-금지 23 3" xfId="25982"/>
    <cellStyle name="삼일-금지 23 30" xfId="25983"/>
    <cellStyle name="삼일-금지 23 31" xfId="25984"/>
    <cellStyle name="삼일-금지 23 32" xfId="25985"/>
    <cellStyle name="삼일-금지 23 33" xfId="25986"/>
    <cellStyle name="삼일-금지 23 34" xfId="25987"/>
    <cellStyle name="삼일-금지 23 35" xfId="25988"/>
    <cellStyle name="삼일-금지 23 36" xfId="25989"/>
    <cellStyle name="삼일-금지 23 37" xfId="25990"/>
    <cellStyle name="삼일-금지 23 38" xfId="25991"/>
    <cellStyle name="삼일-금지 23 39" xfId="25992"/>
    <cellStyle name="삼일-금지 23 4" xfId="25993"/>
    <cellStyle name="삼일-금지 23 40" xfId="25994"/>
    <cellStyle name="삼일-금지 23 41" xfId="25995"/>
    <cellStyle name="삼일-금지 23 42" xfId="25996"/>
    <cellStyle name="삼일-금지 23 43" xfId="25997"/>
    <cellStyle name="삼일-금지 23 44" xfId="25998"/>
    <cellStyle name="삼일-금지 23 45" xfId="25999"/>
    <cellStyle name="삼일-금지 23 46" xfId="26000"/>
    <cellStyle name="삼일-금지 23 47" xfId="26001"/>
    <cellStyle name="삼일-금지 23 48" xfId="26002"/>
    <cellStyle name="삼일-금지 23 5" xfId="26003"/>
    <cellStyle name="삼일-금지 23 6" xfId="26004"/>
    <cellStyle name="삼일-금지 23 7" xfId="26005"/>
    <cellStyle name="삼일-금지 23 8" xfId="26006"/>
    <cellStyle name="삼일-금지 23 9" xfId="26007"/>
    <cellStyle name="삼일-금지 23_분양(100%)" xfId="39170"/>
    <cellStyle name="삼일-금지 24" xfId="26008"/>
    <cellStyle name="삼일-금지 24 10" xfId="26009"/>
    <cellStyle name="삼일-금지 24 11" xfId="26010"/>
    <cellStyle name="삼일-금지 24 12" xfId="26011"/>
    <cellStyle name="삼일-금지 24 13" xfId="26012"/>
    <cellStyle name="삼일-금지 24 14" xfId="26013"/>
    <cellStyle name="삼일-금지 24 15" xfId="26014"/>
    <cellStyle name="삼일-금지 24 16" xfId="26015"/>
    <cellStyle name="삼일-금지 24 17" xfId="26016"/>
    <cellStyle name="삼일-금지 24 18" xfId="26017"/>
    <cellStyle name="삼일-금지 24 19" xfId="26018"/>
    <cellStyle name="삼일-금지 24 2" xfId="26019"/>
    <cellStyle name="삼일-금지 24 20" xfId="26020"/>
    <cellStyle name="삼일-금지 24 21" xfId="26021"/>
    <cellStyle name="삼일-금지 24 22" xfId="26022"/>
    <cellStyle name="삼일-금지 24 23" xfId="26023"/>
    <cellStyle name="삼일-금지 24 24" xfId="26024"/>
    <cellStyle name="삼일-금지 24 25" xfId="26025"/>
    <cellStyle name="삼일-금지 24 26" xfId="26026"/>
    <cellStyle name="삼일-금지 24 27" xfId="26027"/>
    <cellStyle name="삼일-금지 24 28" xfId="26028"/>
    <cellStyle name="삼일-금지 24 29" xfId="26029"/>
    <cellStyle name="삼일-금지 24 3" xfId="26030"/>
    <cellStyle name="삼일-금지 24 30" xfId="26031"/>
    <cellStyle name="삼일-금지 24 31" xfId="26032"/>
    <cellStyle name="삼일-금지 24 32" xfId="26033"/>
    <cellStyle name="삼일-금지 24 33" xfId="26034"/>
    <cellStyle name="삼일-금지 24 34" xfId="26035"/>
    <cellStyle name="삼일-금지 24 35" xfId="26036"/>
    <cellStyle name="삼일-금지 24 36" xfId="26037"/>
    <cellStyle name="삼일-금지 24 37" xfId="26038"/>
    <cellStyle name="삼일-금지 24 38" xfId="26039"/>
    <cellStyle name="삼일-금지 24 39" xfId="26040"/>
    <cellStyle name="삼일-금지 24 4" xfId="26041"/>
    <cellStyle name="삼일-금지 24 40" xfId="26042"/>
    <cellStyle name="삼일-금지 24 41" xfId="26043"/>
    <cellStyle name="삼일-금지 24 42" xfId="26044"/>
    <cellStyle name="삼일-금지 24 43" xfId="26045"/>
    <cellStyle name="삼일-금지 24 44" xfId="26046"/>
    <cellStyle name="삼일-금지 24 45" xfId="26047"/>
    <cellStyle name="삼일-금지 24 46" xfId="26048"/>
    <cellStyle name="삼일-금지 24 47" xfId="26049"/>
    <cellStyle name="삼일-금지 24 48" xfId="26050"/>
    <cellStyle name="삼일-금지 24 5" xfId="26051"/>
    <cellStyle name="삼일-금지 24 6" xfId="26052"/>
    <cellStyle name="삼일-금지 24 7" xfId="26053"/>
    <cellStyle name="삼일-금지 24 8" xfId="26054"/>
    <cellStyle name="삼일-금지 24 9" xfId="26055"/>
    <cellStyle name="삼일-금지 24_분양(100%)" xfId="39171"/>
    <cellStyle name="삼일-금지 25" xfId="26056"/>
    <cellStyle name="삼일-금지 25 10" xfId="26057"/>
    <cellStyle name="삼일-금지 25 11" xfId="26058"/>
    <cellStyle name="삼일-금지 25 12" xfId="26059"/>
    <cellStyle name="삼일-금지 25 13" xfId="26060"/>
    <cellStyle name="삼일-금지 25 14" xfId="26061"/>
    <cellStyle name="삼일-금지 25 15" xfId="26062"/>
    <cellStyle name="삼일-금지 25 16" xfId="26063"/>
    <cellStyle name="삼일-금지 25 17" xfId="26064"/>
    <cellStyle name="삼일-금지 25 18" xfId="26065"/>
    <cellStyle name="삼일-금지 25 19" xfId="26066"/>
    <cellStyle name="삼일-금지 25 2" xfId="26067"/>
    <cellStyle name="삼일-금지 25 20" xfId="26068"/>
    <cellStyle name="삼일-금지 25 21" xfId="26069"/>
    <cellStyle name="삼일-금지 25 22" xfId="26070"/>
    <cellStyle name="삼일-금지 25 23" xfId="26071"/>
    <cellStyle name="삼일-금지 25 24" xfId="26072"/>
    <cellStyle name="삼일-금지 25 25" xfId="26073"/>
    <cellStyle name="삼일-금지 25 26" xfId="26074"/>
    <cellStyle name="삼일-금지 25 27" xfId="26075"/>
    <cellStyle name="삼일-금지 25 28" xfId="26076"/>
    <cellStyle name="삼일-금지 25 29" xfId="26077"/>
    <cellStyle name="삼일-금지 25 3" xfId="26078"/>
    <cellStyle name="삼일-금지 25 30" xfId="26079"/>
    <cellStyle name="삼일-금지 25 31" xfId="26080"/>
    <cellStyle name="삼일-금지 25 32" xfId="26081"/>
    <cellStyle name="삼일-금지 25 33" xfId="26082"/>
    <cellStyle name="삼일-금지 25 34" xfId="26083"/>
    <cellStyle name="삼일-금지 25 35" xfId="26084"/>
    <cellStyle name="삼일-금지 25 36" xfId="26085"/>
    <cellStyle name="삼일-금지 25 37" xfId="26086"/>
    <cellStyle name="삼일-금지 25 38" xfId="26087"/>
    <cellStyle name="삼일-금지 25 39" xfId="26088"/>
    <cellStyle name="삼일-금지 25 4" xfId="26089"/>
    <cellStyle name="삼일-금지 25 40" xfId="26090"/>
    <cellStyle name="삼일-금지 25 41" xfId="26091"/>
    <cellStyle name="삼일-금지 25 42" xfId="26092"/>
    <cellStyle name="삼일-금지 25 43" xfId="26093"/>
    <cellStyle name="삼일-금지 25 44" xfId="26094"/>
    <cellStyle name="삼일-금지 25 45" xfId="26095"/>
    <cellStyle name="삼일-금지 25 46" xfId="26096"/>
    <cellStyle name="삼일-금지 25 47" xfId="26097"/>
    <cellStyle name="삼일-금지 25 48" xfId="26098"/>
    <cellStyle name="삼일-금지 25 5" xfId="26099"/>
    <cellStyle name="삼일-금지 25 6" xfId="26100"/>
    <cellStyle name="삼일-금지 25 7" xfId="26101"/>
    <cellStyle name="삼일-금지 25 8" xfId="26102"/>
    <cellStyle name="삼일-금지 25 9" xfId="26103"/>
    <cellStyle name="삼일-금지 25_분양(100%)" xfId="39172"/>
    <cellStyle name="삼일-금지 26" xfId="26104"/>
    <cellStyle name="삼일-금지 26 10" xfId="26105"/>
    <cellStyle name="삼일-금지 26 11" xfId="26106"/>
    <cellStyle name="삼일-금지 26 12" xfId="26107"/>
    <cellStyle name="삼일-금지 26 13" xfId="26108"/>
    <cellStyle name="삼일-금지 26 14" xfId="26109"/>
    <cellStyle name="삼일-금지 26 15" xfId="26110"/>
    <cellStyle name="삼일-금지 26 16" xfId="26111"/>
    <cellStyle name="삼일-금지 26 17" xfId="26112"/>
    <cellStyle name="삼일-금지 26 18" xfId="26113"/>
    <cellStyle name="삼일-금지 26 19" xfId="26114"/>
    <cellStyle name="삼일-금지 26 2" xfId="26115"/>
    <cellStyle name="삼일-금지 26 20" xfId="26116"/>
    <cellStyle name="삼일-금지 26 21" xfId="26117"/>
    <cellStyle name="삼일-금지 26 22" xfId="26118"/>
    <cellStyle name="삼일-금지 26 23" xfId="26119"/>
    <cellStyle name="삼일-금지 26 24" xfId="26120"/>
    <cellStyle name="삼일-금지 26 25" xfId="26121"/>
    <cellStyle name="삼일-금지 26 26" xfId="26122"/>
    <cellStyle name="삼일-금지 26 27" xfId="26123"/>
    <cellStyle name="삼일-금지 26 28" xfId="26124"/>
    <cellStyle name="삼일-금지 26 29" xfId="26125"/>
    <cellStyle name="삼일-금지 26 3" xfId="26126"/>
    <cellStyle name="삼일-금지 26 30" xfId="26127"/>
    <cellStyle name="삼일-금지 26 31" xfId="26128"/>
    <cellStyle name="삼일-금지 26 32" xfId="26129"/>
    <cellStyle name="삼일-금지 26 33" xfId="26130"/>
    <cellStyle name="삼일-금지 26 34" xfId="26131"/>
    <cellStyle name="삼일-금지 26 35" xfId="26132"/>
    <cellStyle name="삼일-금지 26 36" xfId="26133"/>
    <cellStyle name="삼일-금지 26 37" xfId="26134"/>
    <cellStyle name="삼일-금지 26 38" xfId="26135"/>
    <cellStyle name="삼일-금지 26 39" xfId="26136"/>
    <cellStyle name="삼일-금지 26 4" xfId="26137"/>
    <cellStyle name="삼일-금지 26 40" xfId="26138"/>
    <cellStyle name="삼일-금지 26 41" xfId="26139"/>
    <cellStyle name="삼일-금지 26 42" xfId="26140"/>
    <cellStyle name="삼일-금지 26 43" xfId="26141"/>
    <cellStyle name="삼일-금지 26 44" xfId="26142"/>
    <cellStyle name="삼일-금지 26 45" xfId="26143"/>
    <cellStyle name="삼일-금지 26 46" xfId="26144"/>
    <cellStyle name="삼일-금지 26 47" xfId="26145"/>
    <cellStyle name="삼일-금지 26 48" xfId="26146"/>
    <cellStyle name="삼일-금지 26 5" xfId="26147"/>
    <cellStyle name="삼일-금지 26 6" xfId="26148"/>
    <cellStyle name="삼일-금지 26 7" xfId="26149"/>
    <cellStyle name="삼일-금지 26 8" xfId="26150"/>
    <cellStyle name="삼일-금지 26 9" xfId="26151"/>
    <cellStyle name="삼일-금지 26_분양(100%)" xfId="39173"/>
    <cellStyle name="삼일-금지 27" xfId="26152"/>
    <cellStyle name="삼일-금지 27 10" xfId="26153"/>
    <cellStyle name="삼일-금지 27 11" xfId="26154"/>
    <cellStyle name="삼일-금지 27 12" xfId="26155"/>
    <cellStyle name="삼일-금지 27 13" xfId="26156"/>
    <cellStyle name="삼일-금지 27 14" xfId="26157"/>
    <cellStyle name="삼일-금지 27 15" xfId="26158"/>
    <cellStyle name="삼일-금지 27 16" xfId="26159"/>
    <cellStyle name="삼일-금지 27 17" xfId="26160"/>
    <cellStyle name="삼일-금지 27 18" xfId="26161"/>
    <cellStyle name="삼일-금지 27 19" xfId="26162"/>
    <cellStyle name="삼일-금지 27 2" xfId="26163"/>
    <cellStyle name="삼일-금지 27 20" xfId="26164"/>
    <cellStyle name="삼일-금지 27 21" xfId="26165"/>
    <cellStyle name="삼일-금지 27 22" xfId="26166"/>
    <cellStyle name="삼일-금지 27 23" xfId="26167"/>
    <cellStyle name="삼일-금지 27 24" xfId="26168"/>
    <cellStyle name="삼일-금지 27 25" xfId="26169"/>
    <cellStyle name="삼일-금지 27 26" xfId="26170"/>
    <cellStyle name="삼일-금지 27 27" xfId="26171"/>
    <cellStyle name="삼일-금지 27 28" xfId="26172"/>
    <cellStyle name="삼일-금지 27 29" xfId="26173"/>
    <cellStyle name="삼일-금지 27 3" xfId="26174"/>
    <cellStyle name="삼일-금지 27 30" xfId="26175"/>
    <cellStyle name="삼일-금지 27 31" xfId="26176"/>
    <cellStyle name="삼일-금지 27 32" xfId="26177"/>
    <cellStyle name="삼일-금지 27 33" xfId="26178"/>
    <cellStyle name="삼일-금지 27 34" xfId="26179"/>
    <cellStyle name="삼일-금지 27 35" xfId="26180"/>
    <cellStyle name="삼일-금지 27 36" xfId="26181"/>
    <cellStyle name="삼일-금지 27 37" xfId="26182"/>
    <cellStyle name="삼일-금지 27 38" xfId="26183"/>
    <cellStyle name="삼일-금지 27 39" xfId="26184"/>
    <cellStyle name="삼일-금지 27 4" xfId="26185"/>
    <cellStyle name="삼일-금지 27 40" xfId="26186"/>
    <cellStyle name="삼일-금지 27 41" xfId="26187"/>
    <cellStyle name="삼일-금지 27 42" xfId="26188"/>
    <cellStyle name="삼일-금지 27 43" xfId="26189"/>
    <cellStyle name="삼일-금지 27 44" xfId="26190"/>
    <cellStyle name="삼일-금지 27 45" xfId="26191"/>
    <cellStyle name="삼일-금지 27 46" xfId="26192"/>
    <cellStyle name="삼일-금지 27 47" xfId="26193"/>
    <cellStyle name="삼일-금지 27 48" xfId="26194"/>
    <cellStyle name="삼일-금지 27 5" xfId="26195"/>
    <cellStyle name="삼일-금지 27 6" xfId="26196"/>
    <cellStyle name="삼일-금지 27 7" xfId="26197"/>
    <cellStyle name="삼일-금지 27 8" xfId="26198"/>
    <cellStyle name="삼일-금지 27 9" xfId="26199"/>
    <cellStyle name="삼일-금지 27_분양(100%)" xfId="39174"/>
    <cellStyle name="삼일-금지 28" xfId="26200"/>
    <cellStyle name="삼일-금지 28 10" xfId="26201"/>
    <cellStyle name="삼일-금지 28 11" xfId="26202"/>
    <cellStyle name="삼일-금지 28 12" xfId="26203"/>
    <cellStyle name="삼일-금지 28 13" xfId="26204"/>
    <cellStyle name="삼일-금지 28 14" xfId="26205"/>
    <cellStyle name="삼일-금지 28 15" xfId="26206"/>
    <cellStyle name="삼일-금지 28 16" xfId="26207"/>
    <cellStyle name="삼일-금지 28 17" xfId="26208"/>
    <cellStyle name="삼일-금지 28 18" xfId="26209"/>
    <cellStyle name="삼일-금지 28 19" xfId="26210"/>
    <cellStyle name="삼일-금지 28 2" xfId="26211"/>
    <cellStyle name="삼일-금지 28 20" xfId="26212"/>
    <cellStyle name="삼일-금지 28 21" xfId="26213"/>
    <cellStyle name="삼일-금지 28 22" xfId="26214"/>
    <cellStyle name="삼일-금지 28 23" xfId="26215"/>
    <cellStyle name="삼일-금지 28 24" xfId="26216"/>
    <cellStyle name="삼일-금지 28 25" xfId="26217"/>
    <cellStyle name="삼일-금지 28 26" xfId="26218"/>
    <cellStyle name="삼일-금지 28 27" xfId="26219"/>
    <cellStyle name="삼일-금지 28 28" xfId="26220"/>
    <cellStyle name="삼일-금지 28 29" xfId="26221"/>
    <cellStyle name="삼일-금지 28 3" xfId="26222"/>
    <cellStyle name="삼일-금지 28 30" xfId="26223"/>
    <cellStyle name="삼일-금지 28 31" xfId="26224"/>
    <cellStyle name="삼일-금지 28 32" xfId="26225"/>
    <cellStyle name="삼일-금지 28 33" xfId="26226"/>
    <cellStyle name="삼일-금지 28 34" xfId="26227"/>
    <cellStyle name="삼일-금지 28 35" xfId="26228"/>
    <cellStyle name="삼일-금지 28 36" xfId="26229"/>
    <cellStyle name="삼일-금지 28 37" xfId="26230"/>
    <cellStyle name="삼일-금지 28 38" xfId="26231"/>
    <cellStyle name="삼일-금지 28 39" xfId="26232"/>
    <cellStyle name="삼일-금지 28 4" xfId="26233"/>
    <cellStyle name="삼일-금지 28 40" xfId="26234"/>
    <cellStyle name="삼일-금지 28 41" xfId="26235"/>
    <cellStyle name="삼일-금지 28 42" xfId="26236"/>
    <cellStyle name="삼일-금지 28 43" xfId="26237"/>
    <cellStyle name="삼일-금지 28 44" xfId="26238"/>
    <cellStyle name="삼일-금지 28 45" xfId="26239"/>
    <cellStyle name="삼일-금지 28 46" xfId="26240"/>
    <cellStyle name="삼일-금지 28 47" xfId="26241"/>
    <cellStyle name="삼일-금지 28 48" xfId="26242"/>
    <cellStyle name="삼일-금지 28 5" xfId="26243"/>
    <cellStyle name="삼일-금지 28 6" xfId="26244"/>
    <cellStyle name="삼일-금지 28 7" xfId="26245"/>
    <cellStyle name="삼일-금지 28 8" xfId="26246"/>
    <cellStyle name="삼일-금지 28 9" xfId="26247"/>
    <cellStyle name="삼일-금지 28_분양(100%)" xfId="39175"/>
    <cellStyle name="삼일-금지 29" xfId="26248"/>
    <cellStyle name="삼일-금지 29 10" xfId="26249"/>
    <cellStyle name="삼일-금지 29 11" xfId="26250"/>
    <cellStyle name="삼일-금지 29 12" xfId="26251"/>
    <cellStyle name="삼일-금지 29 13" xfId="26252"/>
    <cellStyle name="삼일-금지 29 14" xfId="26253"/>
    <cellStyle name="삼일-금지 29 15" xfId="26254"/>
    <cellStyle name="삼일-금지 29 16" xfId="26255"/>
    <cellStyle name="삼일-금지 29 17" xfId="26256"/>
    <cellStyle name="삼일-금지 29 18" xfId="26257"/>
    <cellStyle name="삼일-금지 29 19" xfId="26258"/>
    <cellStyle name="삼일-금지 29 2" xfId="26259"/>
    <cellStyle name="삼일-금지 29 20" xfId="26260"/>
    <cellStyle name="삼일-금지 29 21" xfId="26261"/>
    <cellStyle name="삼일-금지 29 22" xfId="26262"/>
    <cellStyle name="삼일-금지 29 23" xfId="26263"/>
    <cellStyle name="삼일-금지 29 24" xfId="26264"/>
    <cellStyle name="삼일-금지 29 25" xfId="26265"/>
    <cellStyle name="삼일-금지 29 26" xfId="26266"/>
    <cellStyle name="삼일-금지 29 27" xfId="26267"/>
    <cellStyle name="삼일-금지 29 28" xfId="26268"/>
    <cellStyle name="삼일-금지 29 29" xfId="26269"/>
    <cellStyle name="삼일-금지 29 3" xfId="26270"/>
    <cellStyle name="삼일-금지 29 30" xfId="26271"/>
    <cellStyle name="삼일-금지 29 31" xfId="26272"/>
    <cellStyle name="삼일-금지 29 32" xfId="26273"/>
    <cellStyle name="삼일-금지 29 33" xfId="26274"/>
    <cellStyle name="삼일-금지 29 34" xfId="26275"/>
    <cellStyle name="삼일-금지 29 35" xfId="26276"/>
    <cellStyle name="삼일-금지 29 36" xfId="26277"/>
    <cellStyle name="삼일-금지 29 37" xfId="26278"/>
    <cellStyle name="삼일-금지 29 38" xfId="26279"/>
    <cellStyle name="삼일-금지 29 39" xfId="26280"/>
    <cellStyle name="삼일-금지 29 4" xfId="26281"/>
    <cellStyle name="삼일-금지 29 40" xfId="26282"/>
    <cellStyle name="삼일-금지 29 41" xfId="26283"/>
    <cellStyle name="삼일-금지 29 42" xfId="26284"/>
    <cellStyle name="삼일-금지 29 43" xfId="26285"/>
    <cellStyle name="삼일-금지 29 44" xfId="26286"/>
    <cellStyle name="삼일-금지 29 45" xfId="26287"/>
    <cellStyle name="삼일-금지 29 46" xfId="26288"/>
    <cellStyle name="삼일-금지 29 47" xfId="26289"/>
    <cellStyle name="삼일-금지 29 48" xfId="26290"/>
    <cellStyle name="삼일-금지 29 5" xfId="26291"/>
    <cellStyle name="삼일-금지 29 6" xfId="26292"/>
    <cellStyle name="삼일-금지 29 7" xfId="26293"/>
    <cellStyle name="삼일-금지 29 8" xfId="26294"/>
    <cellStyle name="삼일-금지 29 9" xfId="26295"/>
    <cellStyle name="삼일-금지 29_분양(100%)" xfId="39176"/>
    <cellStyle name="삼일-금지 3" xfId="26296"/>
    <cellStyle name="삼일-금지 3 10" xfId="26297"/>
    <cellStyle name="삼일-금지 3 11" xfId="26298"/>
    <cellStyle name="삼일-금지 3 12" xfId="26299"/>
    <cellStyle name="삼일-금지 3 13" xfId="26300"/>
    <cellStyle name="삼일-금지 3 14" xfId="26301"/>
    <cellStyle name="삼일-금지 3 15" xfId="26302"/>
    <cellStyle name="삼일-금지 3 16" xfId="26303"/>
    <cellStyle name="삼일-금지 3 17" xfId="26304"/>
    <cellStyle name="삼일-금지 3 18" xfId="26305"/>
    <cellStyle name="삼일-금지 3 19" xfId="26306"/>
    <cellStyle name="삼일-금지 3 2" xfId="26307"/>
    <cellStyle name="삼일-금지 3 20" xfId="26308"/>
    <cellStyle name="삼일-금지 3 21" xfId="26309"/>
    <cellStyle name="삼일-금지 3 22" xfId="26310"/>
    <cellStyle name="삼일-금지 3 23" xfId="26311"/>
    <cellStyle name="삼일-금지 3 24" xfId="26312"/>
    <cellStyle name="삼일-금지 3 25" xfId="26313"/>
    <cellStyle name="삼일-금지 3 26" xfId="26314"/>
    <cellStyle name="삼일-금지 3 27" xfId="26315"/>
    <cellStyle name="삼일-금지 3 28" xfId="26316"/>
    <cellStyle name="삼일-금지 3 29" xfId="26317"/>
    <cellStyle name="삼일-금지 3 3" xfId="26318"/>
    <cellStyle name="삼일-금지 3 30" xfId="26319"/>
    <cellStyle name="삼일-금지 3 31" xfId="26320"/>
    <cellStyle name="삼일-금지 3 32" xfId="26321"/>
    <cellStyle name="삼일-금지 3 33" xfId="26322"/>
    <cellStyle name="삼일-금지 3 34" xfId="26323"/>
    <cellStyle name="삼일-금지 3 35" xfId="26324"/>
    <cellStyle name="삼일-금지 3 36" xfId="26325"/>
    <cellStyle name="삼일-금지 3 37" xfId="26326"/>
    <cellStyle name="삼일-금지 3 38" xfId="26327"/>
    <cellStyle name="삼일-금지 3 39" xfId="26328"/>
    <cellStyle name="삼일-금지 3 4" xfId="26329"/>
    <cellStyle name="삼일-금지 3 40" xfId="26330"/>
    <cellStyle name="삼일-금지 3 41" xfId="26331"/>
    <cellStyle name="삼일-금지 3 42" xfId="26332"/>
    <cellStyle name="삼일-금지 3 43" xfId="26333"/>
    <cellStyle name="삼일-금지 3 44" xfId="26334"/>
    <cellStyle name="삼일-금지 3 45" xfId="26335"/>
    <cellStyle name="삼일-금지 3 46" xfId="26336"/>
    <cellStyle name="삼일-금지 3 47" xfId="26337"/>
    <cellStyle name="삼일-금지 3 48" xfId="26338"/>
    <cellStyle name="삼일-금지 3 49" xfId="26339"/>
    <cellStyle name="삼일-금지 3 5" xfId="26340"/>
    <cellStyle name="삼일-금지 3 6" xfId="26341"/>
    <cellStyle name="삼일-금지 3 7" xfId="26342"/>
    <cellStyle name="삼일-금지 3 8" xfId="26343"/>
    <cellStyle name="삼일-금지 3 9" xfId="26344"/>
    <cellStyle name="삼일-금지 3_분양(100%)" xfId="39177"/>
    <cellStyle name="삼일-금지 30" xfId="26345"/>
    <cellStyle name="삼일-금지 30 10" xfId="26346"/>
    <cellStyle name="삼일-금지 30 11" xfId="26347"/>
    <cellStyle name="삼일-금지 30 12" xfId="26348"/>
    <cellStyle name="삼일-금지 30 13" xfId="26349"/>
    <cellStyle name="삼일-금지 30 14" xfId="26350"/>
    <cellStyle name="삼일-금지 30 15" xfId="26351"/>
    <cellStyle name="삼일-금지 30 16" xfId="26352"/>
    <cellStyle name="삼일-금지 30 17" xfId="26353"/>
    <cellStyle name="삼일-금지 30 18" xfId="26354"/>
    <cellStyle name="삼일-금지 30 19" xfId="26355"/>
    <cellStyle name="삼일-금지 30 2" xfId="26356"/>
    <cellStyle name="삼일-금지 30 20" xfId="26357"/>
    <cellStyle name="삼일-금지 30 21" xfId="26358"/>
    <cellStyle name="삼일-금지 30 22" xfId="26359"/>
    <cellStyle name="삼일-금지 30 23" xfId="26360"/>
    <cellStyle name="삼일-금지 30 24" xfId="26361"/>
    <cellStyle name="삼일-금지 30 25" xfId="26362"/>
    <cellStyle name="삼일-금지 30 26" xfId="26363"/>
    <cellStyle name="삼일-금지 30 27" xfId="26364"/>
    <cellStyle name="삼일-금지 30 28" xfId="26365"/>
    <cellStyle name="삼일-금지 30 29" xfId="26366"/>
    <cellStyle name="삼일-금지 30 3" xfId="26367"/>
    <cellStyle name="삼일-금지 30 30" xfId="26368"/>
    <cellStyle name="삼일-금지 30 31" xfId="26369"/>
    <cellStyle name="삼일-금지 30 32" xfId="26370"/>
    <cellStyle name="삼일-금지 30 33" xfId="26371"/>
    <cellStyle name="삼일-금지 30 34" xfId="26372"/>
    <cellStyle name="삼일-금지 30 35" xfId="26373"/>
    <cellStyle name="삼일-금지 30 36" xfId="26374"/>
    <cellStyle name="삼일-금지 30 37" xfId="26375"/>
    <cellStyle name="삼일-금지 30 38" xfId="26376"/>
    <cellStyle name="삼일-금지 30 39" xfId="26377"/>
    <cellStyle name="삼일-금지 30 4" xfId="26378"/>
    <cellStyle name="삼일-금지 30 40" xfId="26379"/>
    <cellStyle name="삼일-금지 30 41" xfId="26380"/>
    <cellStyle name="삼일-금지 30 42" xfId="26381"/>
    <cellStyle name="삼일-금지 30 43" xfId="26382"/>
    <cellStyle name="삼일-금지 30 44" xfId="26383"/>
    <cellStyle name="삼일-금지 30 45" xfId="26384"/>
    <cellStyle name="삼일-금지 30 46" xfId="26385"/>
    <cellStyle name="삼일-금지 30 47" xfId="26386"/>
    <cellStyle name="삼일-금지 30 48" xfId="26387"/>
    <cellStyle name="삼일-금지 30 5" xfId="26388"/>
    <cellStyle name="삼일-금지 30 6" xfId="26389"/>
    <cellStyle name="삼일-금지 30 7" xfId="26390"/>
    <cellStyle name="삼일-금지 30 8" xfId="26391"/>
    <cellStyle name="삼일-금지 30 9" xfId="26392"/>
    <cellStyle name="삼일-금지 30_분양(100%)" xfId="39178"/>
    <cellStyle name="삼일-금지 31" xfId="26393"/>
    <cellStyle name="삼일-금지 31 10" xfId="26394"/>
    <cellStyle name="삼일-금지 31 11" xfId="26395"/>
    <cellStyle name="삼일-금지 31 12" xfId="26396"/>
    <cellStyle name="삼일-금지 31 13" xfId="26397"/>
    <cellStyle name="삼일-금지 31 14" xfId="26398"/>
    <cellStyle name="삼일-금지 31 15" xfId="26399"/>
    <cellStyle name="삼일-금지 31 16" xfId="26400"/>
    <cellStyle name="삼일-금지 31 17" xfId="26401"/>
    <cellStyle name="삼일-금지 31 18" xfId="26402"/>
    <cellStyle name="삼일-금지 31 19" xfId="26403"/>
    <cellStyle name="삼일-금지 31 2" xfId="26404"/>
    <cellStyle name="삼일-금지 31 20" xfId="26405"/>
    <cellStyle name="삼일-금지 31 21" xfId="26406"/>
    <cellStyle name="삼일-금지 31 22" xfId="26407"/>
    <cellStyle name="삼일-금지 31 23" xfId="26408"/>
    <cellStyle name="삼일-금지 31 24" xfId="26409"/>
    <cellStyle name="삼일-금지 31 25" xfId="26410"/>
    <cellStyle name="삼일-금지 31 26" xfId="26411"/>
    <cellStyle name="삼일-금지 31 27" xfId="26412"/>
    <cellStyle name="삼일-금지 31 28" xfId="26413"/>
    <cellStyle name="삼일-금지 31 29" xfId="26414"/>
    <cellStyle name="삼일-금지 31 3" xfId="26415"/>
    <cellStyle name="삼일-금지 31 30" xfId="26416"/>
    <cellStyle name="삼일-금지 31 31" xfId="26417"/>
    <cellStyle name="삼일-금지 31 32" xfId="26418"/>
    <cellStyle name="삼일-금지 31 33" xfId="26419"/>
    <cellStyle name="삼일-금지 31 34" xfId="26420"/>
    <cellStyle name="삼일-금지 31 35" xfId="26421"/>
    <cellStyle name="삼일-금지 31 36" xfId="26422"/>
    <cellStyle name="삼일-금지 31 37" xfId="26423"/>
    <cellStyle name="삼일-금지 31 38" xfId="26424"/>
    <cellStyle name="삼일-금지 31 39" xfId="26425"/>
    <cellStyle name="삼일-금지 31 4" xfId="26426"/>
    <cellStyle name="삼일-금지 31 40" xfId="26427"/>
    <cellStyle name="삼일-금지 31 41" xfId="26428"/>
    <cellStyle name="삼일-금지 31 42" xfId="26429"/>
    <cellStyle name="삼일-금지 31 43" xfId="26430"/>
    <cellStyle name="삼일-금지 31 44" xfId="26431"/>
    <cellStyle name="삼일-금지 31 45" xfId="26432"/>
    <cellStyle name="삼일-금지 31 46" xfId="26433"/>
    <cellStyle name="삼일-금지 31 47" xfId="26434"/>
    <cellStyle name="삼일-금지 31 48" xfId="26435"/>
    <cellStyle name="삼일-금지 31 5" xfId="26436"/>
    <cellStyle name="삼일-금지 31 6" xfId="26437"/>
    <cellStyle name="삼일-금지 31 7" xfId="26438"/>
    <cellStyle name="삼일-금지 31 8" xfId="26439"/>
    <cellStyle name="삼일-금지 31 9" xfId="26440"/>
    <cellStyle name="삼일-금지 31_분양(100%)" xfId="39179"/>
    <cellStyle name="삼일-금지 32" xfId="26441"/>
    <cellStyle name="삼일-금지 32 10" xfId="26442"/>
    <cellStyle name="삼일-금지 32 11" xfId="26443"/>
    <cellStyle name="삼일-금지 32 12" xfId="26444"/>
    <cellStyle name="삼일-금지 32 13" xfId="26445"/>
    <cellStyle name="삼일-금지 32 14" xfId="26446"/>
    <cellStyle name="삼일-금지 32 15" xfId="26447"/>
    <cellStyle name="삼일-금지 32 16" xfId="26448"/>
    <cellStyle name="삼일-금지 32 17" xfId="26449"/>
    <cellStyle name="삼일-금지 32 18" xfId="26450"/>
    <cellStyle name="삼일-금지 32 19" xfId="26451"/>
    <cellStyle name="삼일-금지 32 2" xfId="26452"/>
    <cellStyle name="삼일-금지 32 20" xfId="26453"/>
    <cellStyle name="삼일-금지 32 21" xfId="26454"/>
    <cellStyle name="삼일-금지 32 22" xfId="26455"/>
    <cellStyle name="삼일-금지 32 23" xfId="26456"/>
    <cellStyle name="삼일-금지 32 24" xfId="26457"/>
    <cellStyle name="삼일-금지 32 25" xfId="26458"/>
    <cellStyle name="삼일-금지 32 26" xfId="26459"/>
    <cellStyle name="삼일-금지 32 27" xfId="26460"/>
    <cellStyle name="삼일-금지 32 28" xfId="26461"/>
    <cellStyle name="삼일-금지 32 29" xfId="26462"/>
    <cellStyle name="삼일-금지 32 3" xfId="26463"/>
    <cellStyle name="삼일-금지 32 30" xfId="26464"/>
    <cellStyle name="삼일-금지 32 31" xfId="26465"/>
    <cellStyle name="삼일-금지 32 32" xfId="26466"/>
    <cellStyle name="삼일-금지 32 33" xfId="26467"/>
    <cellStyle name="삼일-금지 32 34" xfId="26468"/>
    <cellStyle name="삼일-금지 32 35" xfId="26469"/>
    <cellStyle name="삼일-금지 32 36" xfId="26470"/>
    <cellStyle name="삼일-금지 32 37" xfId="26471"/>
    <cellStyle name="삼일-금지 32 38" xfId="26472"/>
    <cellStyle name="삼일-금지 32 39" xfId="26473"/>
    <cellStyle name="삼일-금지 32 4" xfId="26474"/>
    <cellStyle name="삼일-금지 32 40" xfId="26475"/>
    <cellStyle name="삼일-금지 32 41" xfId="26476"/>
    <cellStyle name="삼일-금지 32 42" xfId="26477"/>
    <cellStyle name="삼일-금지 32 43" xfId="26478"/>
    <cellStyle name="삼일-금지 32 44" xfId="26479"/>
    <cellStyle name="삼일-금지 32 45" xfId="26480"/>
    <cellStyle name="삼일-금지 32 46" xfId="26481"/>
    <cellStyle name="삼일-금지 32 47" xfId="26482"/>
    <cellStyle name="삼일-금지 32 48" xfId="26483"/>
    <cellStyle name="삼일-금지 32 5" xfId="26484"/>
    <cellStyle name="삼일-금지 32 6" xfId="26485"/>
    <cellStyle name="삼일-금지 32 7" xfId="26486"/>
    <cellStyle name="삼일-금지 32 8" xfId="26487"/>
    <cellStyle name="삼일-금지 32 9" xfId="26488"/>
    <cellStyle name="삼일-금지 32_분양(100%)" xfId="39180"/>
    <cellStyle name="삼일-금지 33" xfId="26489"/>
    <cellStyle name="삼일-금지 33 10" xfId="26490"/>
    <cellStyle name="삼일-금지 33 11" xfId="26491"/>
    <cellStyle name="삼일-금지 33 12" xfId="26492"/>
    <cellStyle name="삼일-금지 33 13" xfId="26493"/>
    <cellStyle name="삼일-금지 33 14" xfId="26494"/>
    <cellStyle name="삼일-금지 33 15" xfId="26495"/>
    <cellStyle name="삼일-금지 33 16" xfId="26496"/>
    <cellStyle name="삼일-금지 33 17" xfId="26497"/>
    <cellStyle name="삼일-금지 33 18" xfId="26498"/>
    <cellStyle name="삼일-금지 33 19" xfId="26499"/>
    <cellStyle name="삼일-금지 33 2" xfId="26500"/>
    <cellStyle name="삼일-금지 33 20" xfId="26501"/>
    <cellStyle name="삼일-금지 33 21" xfId="26502"/>
    <cellStyle name="삼일-금지 33 22" xfId="26503"/>
    <cellStyle name="삼일-금지 33 23" xfId="26504"/>
    <cellStyle name="삼일-금지 33 24" xfId="26505"/>
    <cellStyle name="삼일-금지 33 25" xfId="26506"/>
    <cellStyle name="삼일-금지 33 26" xfId="26507"/>
    <cellStyle name="삼일-금지 33 27" xfId="26508"/>
    <cellStyle name="삼일-금지 33 28" xfId="26509"/>
    <cellStyle name="삼일-금지 33 29" xfId="26510"/>
    <cellStyle name="삼일-금지 33 3" xfId="26511"/>
    <cellStyle name="삼일-금지 33 30" xfId="26512"/>
    <cellStyle name="삼일-금지 33 31" xfId="26513"/>
    <cellStyle name="삼일-금지 33 32" xfId="26514"/>
    <cellStyle name="삼일-금지 33 33" xfId="26515"/>
    <cellStyle name="삼일-금지 33 34" xfId="26516"/>
    <cellStyle name="삼일-금지 33 35" xfId="26517"/>
    <cellStyle name="삼일-금지 33 36" xfId="26518"/>
    <cellStyle name="삼일-금지 33 37" xfId="26519"/>
    <cellStyle name="삼일-금지 33 38" xfId="26520"/>
    <cellStyle name="삼일-금지 33 39" xfId="26521"/>
    <cellStyle name="삼일-금지 33 4" xfId="26522"/>
    <cellStyle name="삼일-금지 33 40" xfId="26523"/>
    <cellStyle name="삼일-금지 33 41" xfId="26524"/>
    <cellStyle name="삼일-금지 33 42" xfId="26525"/>
    <cellStyle name="삼일-금지 33 43" xfId="26526"/>
    <cellStyle name="삼일-금지 33 44" xfId="26527"/>
    <cellStyle name="삼일-금지 33 45" xfId="26528"/>
    <cellStyle name="삼일-금지 33 46" xfId="26529"/>
    <cellStyle name="삼일-금지 33 47" xfId="26530"/>
    <cellStyle name="삼일-금지 33 48" xfId="26531"/>
    <cellStyle name="삼일-금지 33 5" xfId="26532"/>
    <cellStyle name="삼일-금지 33 6" xfId="26533"/>
    <cellStyle name="삼일-금지 33 7" xfId="26534"/>
    <cellStyle name="삼일-금지 33 8" xfId="26535"/>
    <cellStyle name="삼일-금지 33 9" xfId="26536"/>
    <cellStyle name="삼일-금지 33_분양(100%)" xfId="39181"/>
    <cellStyle name="삼일-금지 34" xfId="26537"/>
    <cellStyle name="삼일-금지 34 10" xfId="26538"/>
    <cellStyle name="삼일-금지 34 11" xfId="26539"/>
    <cellStyle name="삼일-금지 34 12" xfId="26540"/>
    <cellStyle name="삼일-금지 34 13" xfId="26541"/>
    <cellStyle name="삼일-금지 34 14" xfId="26542"/>
    <cellStyle name="삼일-금지 34 15" xfId="26543"/>
    <cellStyle name="삼일-금지 34 16" xfId="26544"/>
    <cellStyle name="삼일-금지 34 17" xfId="26545"/>
    <cellStyle name="삼일-금지 34 18" xfId="26546"/>
    <cellStyle name="삼일-금지 34 19" xfId="26547"/>
    <cellStyle name="삼일-금지 34 2" xfId="26548"/>
    <cellStyle name="삼일-금지 34 20" xfId="26549"/>
    <cellStyle name="삼일-금지 34 21" xfId="26550"/>
    <cellStyle name="삼일-금지 34 22" xfId="26551"/>
    <cellStyle name="삼일-금지 34 23" xfId="26552"/>
    <cellStyle name="삼일-금지 34 24" xfId="26553"/>
    <cellStyle name="삼일-금지 34 25" xfId="26554"/>
    <cellStyle name="삼일-금지 34 26" xfId="26555"/>
    <cellStyle name="삼일-금지 34 27" xfId="26556"/>
    <cellStyle name="삼일-금지 34 28" xfId="26557"/>
    <cellStyle name="삼일-금지 34 29" xfId="26558"/>
    <cellStyle name="삼일-금지 34 3" xfId="26559"/>
    <cellStyle name="삼일-금지 34 30" xfId="26560"/>
    <cellStyle name="삼일-금지 34 31" xfId="26561"/>
    <cellStyle name="삼일-금지 34 32" xfId="26562"/>
    <cellStyle name="삼일-금지 34 33" xfId="26563"/>
    <cellStyle name="삼일-금지 34 34" xfId="26564"/>
    <cellStyle name="삼일-금지 34 35" xfId="26565"/>
    <cellStyle name="삼일-금지 34 36" xfId="26566"/>
    <cellStyle name="삼일-금지 34 37" xfId="26567"/>
    <cellStyle name="삼일-금지 34 38" xfId="26568"/>
    <cellStyle name="삼일-금지 34 39" xfId="26569"/>
    <cellStyle name="삼일-금지 34 4" xfId="26570"/>
    <cellStyle name="삼일-금지 34 40" xfId="26571"/>
    <cellStyle name="삼일-금지 34 41" xfId="26572"/>
    <cellStyle name="삼일-금지 34 42" xfId="26573"/>
    <cellStyle name="삼일-금지 34 43" xfId="26574"/>
    <cellStyle name="삼일-금지 34 44" xfId="26575"/>
    <cellStyle name="삼일-금지 34 45" xfId="26576"/>
    <cellStyle name="삼일-금지 34 46" xfId="26577"/>
    <cellStyle name="삼일-금지 34 47" xfId="26578"/>
    <cellStyle name="삼일-금지 34 48" xfId="26579"/>
    <cellStyle name="삼일-금지 34 5" xfId="26580"/>
    <cellStyle name="삼일-금지 34 6" xfId="26581"/>
    <cellStyle name="삼일-금지 34 7" xfId="26582"/>
    <cellStyle name="삼일-금지 34 8" xfId="26583"/>
    <cellStyle name="삼일-금지 34 9" xfId="26584"/>
    <cellStyle name="삼일-금지 34_분양(100%)" xfId="39182"/>
    <cellStyle name="삼일-금지 35" xfId="26585"/>
    <cellStyle name="삼일-금지 35 10" xfId="26586"/>
    <cellStyle name="삼일-금지 35 11" xfId="26587"/>
    <cellStyle name="삼일-금지 35 12" xfId="26588"/>
    <cellStyle name="삼일-금지 35 13" xfId="26589"/>
    <cellStyle name="삼일-금지 35 14" xfId="26590"/>
    <cellStyle name="삼일-금지 35 15" xfId="26591"/>
    <cellStyle name="삼일-금지 35 16" xfId="26592"/>
    <cellStyle name="삼일-금지 35 17" xfId="26593"/>
    <cellStyle name="삼일-금지 35 18" xfId="26594"/>
    <cellStyle name="삼일-금지 35 19" xfId="26595"/>
    <cellStyle name="삼일-금지 35 2" xfId="26596"/>
    <cellStyle name="삼일-금지 35 20" xfId="26597"/>
    <cellStyle name="삼일-금지 35 21" xfId="26598"/>
    <cellStyle name="삼일-금지 35 22" xfId="26599"/>
    <cellStyle name="삼일-금지 35 23" xfId="26600"/>
    <cellStyle name="삼일-금지 35 24" xfId="26601"/>
    <cellStyle name="삼일-금지 35 25" xfId="26602"/>
    <cellStyle name="삼일-금지 35 26" xfId="26603"/>
    <cellStyle name="삼일-금지 35 27" xfId="26604"/>
    <cellStyle name="삼일-금지 35 28" xfId="26605"/>
    <cellStyle name="삼일-금지 35 29" xfId="26606"/>
    <cellStyle name="삼일-금지 35 3" xfId="26607"/>
    <cellStyle name="삼일-금지 35 30" xfId="26608"/>
    <cellStyle name="삼일-금지 35 31" xfId="26609"/>
    <cellStyle name="삼일-금지 35 32" xfId="26610"/>
    <cellStyle name="삼일-금지 35 33" xfId="26611"/>
    <cellStyle name="삼일-금지 35 34" xfId="26612"/>
    <cellStyle name="삼일-금지 35 35" xfId="26613"/>
    <cellStyle name="삼일-금지 35 36" xfId="26614"/>
    <cellStyle name="삼일-금지 35 37" xfId="26615"/>
    <cellStyle name="삼일-금지 35 38" xfId="26616"/>
    <cellStyle name="삼일-금지 35 39" xfId="26617"/>
    <cellStyle name="삼일-금지 35 4" xfId="26618"/>
    <cellStyle name="삼일-금지 35 40" xfId="26619"/>
    <cellStyle name="삼일-금지 35 41" xfId="26620"/>
    <cellStyle name="삼일-금지 35 42" xfId="26621"/>
    <cellStyle name="삼일-금지 35 43" xfId="26622"/>
    <cellStyle name="삼일-금지 35 44" xfId="26623"/>
    <cellStyle name="삼일-금지 35 45" xfId="26624"/>
    <cellStyle name="삼일-금지 35 46" xfId="26625"/>
    <cellStyle name="삼일-금지 35 47" xfId="26626"/>
    <cellStyle name="삼일-금지 35 48" xfId="26627"/>
    <cellStyle name="삼일-금지 35 5" xfId="26628"/>
    <cellStyle name="삼일-금지 35 6" xfId="26629"/>
    <cellStyle name="삼일-금지 35 7" xfId="26630"/>
    <cellStyle name="삼일-금지 35 8" xfId="26631"/>
    <cellStyle name="삼일-금지 35 9" xfId="26632"/>
    <cellStyle name="삼일-금지 35_분양(100%)" xfId="39183"/>
    <cellStyle name="삼일-금지 36" xfId="26633"/>
    <cellStyle name="삼일-금지 36 10" xfId="26634"/>
    <cellStyle name="삼일-금지 36 11" xfId="26635"/>
    <cellStyle name="삼일-금지 36 12" xfId="26636"/>
    <cellStyle name="삼일-금지 36 13" xfId="26637"/>
    <cellStyle name="삼일-금지 36 14" xfId="26638"/>
    <cellStyle name="삼일-금지 36 15" xfId="26639"/>
    <cellStyle name="삼일-금지 36 16" xfId="26640"/>
    <cellStyle name="삼일-금지 36 17" xfId="26641"/>
    <cellStyle name="삼일-금지 36 18" xfId="26642"/>
    <cellStyle name="삼일-금지 36 19" xfId="26643"/>
    <cellStyle name="삼일-금지 36 2" xfId="26644"/>
    <cellStyle name="삼일-금지 36 20" xfId="26645"/>
    <cellStyle name="삼일-금지 36 21" xfId="26646"/>
    <cellStyle name="삼일-금지 36 22" xfId="26647"/>
    <cellStyle name="삼일-금지 36 23" xfId="26648"/>
    <cellStyle name="삼일-금지 36 24" xfId="26649"/>
    <cellStyle name="삼일-금지 36 25" xfId="26650"/>
    <cellStyle name="삼일-금지 36 26" xfId="26651"/>
    <cellStyle name="삼일-금지 36 27" xfId="26652"/>
    <cellStyle name="삼일-금지 36 28" xfId="26653"/>
    <cellStyle name="삼일-금지 36 29" xfId="26654"/>
    <cellStyle name="삼일-금지 36 3" xfId="26655"/>
    <cellStyle name="삼일-금지 36 30" xfId="26656"/>
    <cellStyle name="삼일-금지 36 31" xfId="26657"/>
    <cellStyle name="삼일-금지 36 32" xfId="26658"/>
    <cellStyle name="삼일-금지 36 33" xfId="26659"/>
    <cellStyle name="삼일-금지 36 34" xfId="26660"/>
    <cellStyle name="삼일-금지 36 35" xfId="26661"/>
    <cellStyle name="삼일-금지 36 36" xfId="26662"/>
    <cellStyle name="삼일-금지 36 37" xfId="26663"/>
    <cellStyle name="삼일-금지 36 38" xfId="26664"/>
    <cellStyle name="삼일-금지 36 39" xfId="26665"/>
    <cellStyle name="삼일-금지 36 4" xfId="26666"/>
    <cellStyle name="삼일-금지 36 40" xfId="26667"/>
    <cellStyle name="삼일-금지 36 41" xfId="26668"/>
    <cellStyle name="삼일-금지 36 42" xfId="26669"/>
    <cellStyle name="삼일-금지 36 43" xfId="26670"/>
    <cellStyle name="삼일-금지 36 44" xfId="26671"/>
    <cellStyle name="삼일-금지 36 45" xfId="26672"/>
    <cellStyle name="삼일-금지 36 46" xfId="26673"/>
    <cellStyle name="삼일-금지 36 47" xfId="26674"/>
    <cellStyle name="삼일-금지 36 48" xfId="26675"/>
    <cellStyle name="삼일-금지 36 5" xfId="26676"/>
    <cellStyle name="삼일-금지 36 6" xfId="26677"/>
    <cellStyle name="삼일-금지 36 7" xfId="26678"/>
    <cellStyle name="삼일-금지 36 8" xfId="26679"/>
    <cellStyle name="삼일-금지 36 9" xfId="26680"/>
    <cellStyle name="삼일-금지 36_분양(100%)" xfId="39184"/>
    <cellStyle name="삼일-금지 37" xfId="26681"/>
    <cellStyle name="삼일-금지 37 10" xfId="26682"/>
    <cellStyle name="삼일-금지 37 11" xfId="26683"/>
    <cellStyle name="삼일-금지 37 12" xfId="26684"/>
    <cellStyle name="삼일-금지 37 13" xfId="26685"/>
    <cellStyle name="삼일-금지 37 14" xfId="26686"/>
    <cellStyle name="삼일-금지 37 15" xfId="26687"/>
    <cellStyle name="삼일-금지 37 16" xfId="26688"/>
    <cellStyle name="삼일-금지 37 17" xfId="26689"/>
    <cellStyle name="삼일-금지 37 18" xfId="26690"/>
    <cellStyle name="삼일-금지 37 19" xfId="26691"/>
    <cellStyle name="삼일-금지 37 2" xfId="26692"/>
    <cellStyle name="삼일-금지 37 20" xfId="26693"/>
    <cellStyle name="삼일-금지 37 21" xfId="26694"/>
    <cellStyle name="삼일-금지 37 22" xfId="26695"/>
    <cellStyle name="삼일-금지 37 23" xfId="26696"/>
    <cellStyle name="삼일-금지 37 24" xfId="26697"/>
    <cellStyle name="삼일-금지 37 25" xfId="26698"/>
    <cellStyle name="삼일-금지 37 26" xfId="26699"/>
    <cellStyle name="삼일-금지 37 27" xfId="26700"/>
    <cellStyle name="삼일-금지 37 28" xfId="26701"/>
    <cellStyle name="삼일-금지 37 29" xfId="26702"/>
    <cellStyle name="삼일-금지 37 3" xfId="26703"/>
    <cellStyle name="삼일-금지 37 30" xfId="26704"/>
    <cellStyle name="삼일-금지 37 31" xfId="26705"/>
    <cellStyle name="삼일-금지 37 32" xfId="26706"/>
    <cellStyle name="삼일-금지 37 33" xfId="26707"/>
    <cellStyle name="삼일-금지 37 34" xfId="26708"/>
    <cellStyle name="삼일-금지 37 35" xfId="26709"/>
    <cellStyle name="삼일-금지 37 36" xfId="26710"/>
    <cellStyle name="삼일-금지 37 37" xfId="26711"/>
    <cellStyle name="삼일-금지 37 38" xfId="26712"/>
    <cellStyle name="삼일-금지 37 39" xfId="26713"/>
    <cellStyle name="삼일-금지 37 4" xfId="26714"/>
    <cellStyle name="삼일-금지 37 40" xfId="26715"/>
    <cellStyle name="삼일-금지 37 41" xfId="26716"/>
    <cellStyle name="삼일-금지 37 42" xfId="26717"/>
    <cellStyle name="삼일-금지 37 43" xfId="26718"/>
    <cellStyle name="삼일-금지 37 44" xfId="26719"/>
    <cellStyle name="삼일-금지 37 45" xfId="26720"/>
    <cellStyle name="삼일-금지 37 46" xfId="26721"/>
    <cellStyle name="삼일-금지 37 47" xfId="26722"/>
    <cellStyle name="삼일-금지 37 48" xfId="26723"/>
    <cellStyle name="삼일-금지 37 5" xfId="26724"/>
    <cellStyle name="삼일-금지 37 6" xfId="26725"/>
    <cellStyle name="삼일-금지 37 7" xfId="26726"/>
    <cellStyle name="삼일-금지 37 8" xfId="26727"/>
    <cellStyle name="삼일-금지 37 9" xfId="26728"/>
    <cellStyle name="삼일-금지 37_분양(100%)" xfId="39185"/>
    <cellStyle name="삼일-금지 38" xfId="26729"/>
    <cellStyle name="삼일-금지 38 10" xfId="26730"/>
    <cellStyle name="삼일-금지 38 11" xfId="26731"/>
    <cellStyle name="삼일-금지 38 12" xfId="26732"/>
    <cellStyle name="삼일-금지 38 13" xfId="26733"/>
    <cellStyle name="삼일-금지 38 14" xfId="26734"/>
    <cellStyle name="삼일-금지 38 15" xfId="26735"/>
    <cellStyle name="삼일-금지 38 16" xfId="26736"/>
    <cellStyle name="삼일-금지 38 17" xfId="26737"/>
    <cellStyle name="삼일-금지 38 18" xfId="26738"/>
    <cellStyle name="삼일-금지 38 19" xfId="26739"/>
    <cellStyle name="삼일-금지 38 2" xfId="26740"/>
    <cellStyle name="삼일-금지 38 20" xfId="26741"/>
    <cellStyle name="삼일-금지 38 21" xfId="26742"/>
    <cellStyle name="삼일-금지 38 22" xfId="26743"/>
    <cellStyle name="삼일-금지 38 23" xfId="26744"/>
    <cellStyle name="삼일-금지 38 24" xfId="26745"/>
    <cellStyle name="삼일-금지 38 25" xfId="26746"/>
    <cellStyle name="삼일-금지 38 26" xfId="26747"/>
    <cellStyle name="삼일-금지 38 27" xfId="26748"/>
    <cellStyle name="삼일-금지 38 28" xfId="26749"/>
    <cellStyle name="삼일-금지 38 29" xfId="26750"/>
    <cellStyle name="삼일-금지 38 3" xfId="26751"/>
    <cellStyle name="삼일-금지 38 30" xfId="26752"/>
    <cellStyle name="삼일-금지 38 31" xfId="26753"/>
    <cellStyle name="삼일-금지 38 32" xfId="26754"/>
    <cellStyle name="삼일-금지 38 33" xfId="26755"/>
    <cellStyle name="삼일-금지 38 34" xfId="26756"/>
    <cellStyle name="삼일-금지 38 35" xfId="26757"/>
    <cellStyle name="삼일-금지 38 36" xfId="26758"/>
    <cellStyle name="삼일-금지 38 37" xfId="26759"/>
    <cellStyle name="삼일-금지 38 38" xfId="26760"/>
    <cellStyle name="삼일-금지 38 39" xfId="26761"/>
    <cellStyle name="삼일-금지 38 4" xfId="26762"/>
    <cellStyle name="삼일-금지 38 40" xfId="26763"/>
    <cellStyle name="삼일-금지 38 41" xfId="26764"/>
    <cellStyle name="삼일-금지 38 42" xfId="26765"/>
    <cellStyle name="삼일-금지 38 43" xfId="26766"/>
    <cellStyle name="삼일-금지 38 44" xfId="26767"/>
    <cellStyle name="삼일-금지 38 45" xfId="26768"/>
    <cellStyle name="삼일-금지 38 46" xfId="26769"/>
    <cellStyle name="삼일-금지 38 47" xfId="26770"/>
    <cellStyle name="삼일-금지 38 48" xfId="26771"/>
    <cellStyle name="삼일-금지 38 5" xfId="26772"/>
    <cellStyle name="삼일-금지 38 6" xfId="26773"/>
    <cellStyle name="삼일-금지 38 7" xfId="26774"/>
    <cellStyle name="삼일-금지 38 8" xfId="26775"/>
    <cellStyle name="삼일-금지 38 9" xfId="26776"/>
    <cellStyle name="삼일-금지 38_분양(100%)" xfId="39186"/>
    <cellStyle name="삼일-금지 39" xfId="26777"/>
    <cellStyle name="삼일-금지 39 10" xfId="26778"/>
    <cellStyle name="삼일-금지 39 11" xfId="26779"/>
    <cellStyle name="삼일-금지 39 12" xfId="26780"/>
    <cellStyle name="삼일-금지 39 13" xfId="26781"/>
    <cellStyle name="삼일-금지 39 14" xfId="26782"/>
    <cellStyle name="삼일-금지 39 15" xfId="26783"/>
    <cellStyle name="삼일-금지 39 16" xfId="26784"/>
    <cellStyle name="삼일-금지 39 17" xfId="26785"/>
    <cellStyle name="삼일-금지 39 18" xfId="26786"/>
    <cellStyle name="삼일-금지 39 19" xfId="26787"/>
    <cellStyle name="삼일-금지 39 2" xfId="26788"/>
    <cellStyle name="삼일-금지 39 20" xfId="26789"/>
    <cellStyle name="삼일-금지 39 21" xfId="26790"/>
    <cellStyle name="삼일-금지 39 22" xfId="26791"/>
    <cellStyle name="삼일-금지 39 23" xfId="26792"/>
    <cellStyle name="삼일-금지 39 24" xfId="26793"/>
    <cellStyle name="삼일-금지 39 25" xfId="26794"/>
    <cellStyle name="삼일-금지 39 26" xfId="26795"/>
    <cellStyle name="삼일-금지 39 27" xfId="26796"/>
    <cellStyle name="삼일-금지 39 28" xfId="26797"/>
    <cellStyle name="삼일-금지 39 29" xfId="26798"/>
    <cellStyle name="삼일-금지 39 3" xfId="26799"/>
    <cellStyle name="삼일-금지 39 30" xfId="26800"/>
    <cellStyle name="삼일-금지 39 31" xfId="26801"/>
    <cellStyle name="삼일-금지 39 32" xfId="26802"/>
    <cellStyle name="삼일-금지 39 33" xfId="26803"/>
    <cellStyle name="삼일-금지 39 34" xfId="26804"/>
    <cellStyle name="삼일-금지 39 35" xfId="26805"/>
    <cellStyle name="삼일-금지 39 36" xfId="26806"/>
    <cellStyle name="삼일-금지 39 37" xfId="26807"/>
    <cellStyle name="삼일-금지 39 38" xfId="26808"/>
    <cellStyle name="삼일-금지 39 39" xfId="26809"/>
    <cellStyle name="삼일-금지 39 4" xfId="26810"/>
    <cellStyle name="삼일-금지 39 40" xfId="26811"/>
    <cellStyle name="삼일-금지 39 41" xfId="26812"/>
    <cellStyle name="삼일-금지 39 42" xfId="26813"/>
    <cellStyle name="삼일-금지 39 43" xfId="26814"/>
    <cellStyle name="삼일-금지 39 44" xfId="26815"/>
    <cellStyle name="삼일-금지 39 45" xfId="26816"/>
    <cellStyle name="삼일-금지 39 46" xfId="26817"/>
    <cellStyle name="삼일-금지 39 47" xfId="26818"/>
    <cellStyle name="삼일-금지 39 48" xfId="26819"/>
    <cellStyle name="삼일-금지 39 5" xfId="26820"/>
    <cellStyle name="삼일-금지 39 6" xfId="26821"/>
    <cellStyle name="삼일-금지 39 7" xfId="26822"/>
    <cellStyle name="삼일-금지 39 8" xfId="26823"/>
    <cellStyle name="삼일-금지 39 9" xfId="26824"/>
    <cellStyle name="삼일-금지 39_분양(100%)" xfId="39187"/>
    <cellStyle name="삼일-금지 4" xfId="26825"/>
    <cellStyle name="삼일-금지 4 10" xfId="26826"/>
    <cellStyle name="삼일-금지 4 11" xfId="26827"/>
    <cellStyle name="삼일-금지 4 12" xfId="26828"/>
    <cellStyle name="삼일-금지 4 13" xfId="26829"/>
    <cellStyle name="삼일-금지 4 14" xfId="26830"/>
    <cellStyle name="삼일-금지 4 15" xfId="26831"/>
    <cellStyle name="삼일-금지 4 16" xfId="26832"/>
    <cellStyle name="삼일-금지 4 17" xfId="26833"/>
    <cellStyle name="삼일-금지 4 18" xfId="26834"/>
    <cellStyle name="삼일-금지 4 19" xfId="26835"/>
    <cellStyle name="삼일-금지 4 2" xfId="26836"/>
    <cellStyle name="삼일-금지 4 20" xfId="26837"/>
    <cellStyle name="삼일-금지 4 21" xfId="26838"/>
    <cellStyle name="삼일-금지 4 22" xfId="26839"/>
    <cellStyle name="삼일-금지 4 23" xfId="26840"/>
    <cellStyle name="삼일-금지 4 24" xfId="26841"/>
    <cellStyle name="삼일-금지 4 25" xfId="26842"/>
    <cellStyle name="삼일-금지 4 26" xfId="26843"/>
    <cellStyle name="삼일-금지 4 27" xfId="26844"/>
    <cellStyle name="삼일-금지 4 28" xfId="26845"/>
    <cellStyle name="삼일-금지 4 29" xfId="26846"/>
    <cellStyle name="삼일-금지 4 3" xfId="26847"/>
    <cellStyle name="삼일-금지 4 30" xfId="26848"/>
    <cellStyle name="삼일-금지 4 31" xfId="26849"/>
    <cellStyle name="삼일-금지 4 32" xfId="26850"/>
    <cellStyle name="삼일-금지 4 33" xfId="26851"/>
    <cellStyle name="삼일-금지 4 34" xfId="26852"/>
    <cellStyle name="삼일-금지 4 35" xfId="26853"/>
    <cellStyle name="삼일-금지 4 36" xfId="26854"/>
    <cellStyle name="삼일-금지 4 37" xfId="26855"/>
    <cellStyle name="삼일-금지 4 38" xfId="26856"/>
    <cellStyle name="삼일-금지 4 39" xfId="26857"/>
    <cellStyle name="삼일-금지 4 4" xfId="26858"/>
    <cellStyle name="삼일-금지 4 40" xfId="26859"/>
    <cellStyle name="삼일-금지 4 41" xfId="26860"/>
    <cellStyle name="삼일-금지 4 42" xfId="26861"/>
    <cellStyle name="삼일-금지 4 43" xfId="26862"/>
    <cellStyle name="삼일-금지 4 44" xfId="26863"/>
    <cellStyle name="삼일-금지 4 45" xfId="26864"/>
    <cellStyle name="삼일-금지 4 46" xfId="26865"/>
    <cellStyle name="삼일-금지 4 47" xfId="26866"/>
    <cellStyle name="삼일-금지 4 48" xfId="26867"/>
    <cellStyle name="삼일-금지 4 5" xfId="26868"/>
    <cellStyle name="삼일-금지 4 6" xfId="26869"/>
    <cellStyle name="삼일-금지 4 7" xfId="26870"/>
    <cellStyle name="삼일-금지 4 8" xfId="26871"/>
    <cellStyle name="삼일-금지 4 9" xfId="26872"/>
    <cellStyle name="삼일-금지 4_분양(100%)" xfId="39188"/>
    <cellStyle name="삼일-금지 40" xfId="26873"/>
    <cellStyle name="삼일-금지 40 10" xfId="26874"/>
    <cellStyle name="삼일-금지 40 11" xfId="26875"/>
    <cellStyle name="삼일-금지 40 12" xfId="26876"/>
    <cellStyle name="삼일-금지 40 13" xfId="26877"/>
    <cellStyle name="삼일-금지 40 14" xfId="26878"/>
    <cellStyle name="삼일-금지 40 15" xfId="26879"/>
    <cellStyle name="삼일-금지 40 16" xfId="26880"/>
    <cellStyle name="삼일-금지 40 17" xfId="26881"/>
    <cellStyle name="삼일-금지 40 18" xfId="26882"/>
    <cellStyle name="삼일-금지 40 19" xfId="26883"/>
    <cellStyle name="삼일-금지 40 2" xfId="26884"/>
    <cellStyle name="삼일-금지 40 20" xfId="26885"/>
    <cellStyle name="삼일-금지 40 21" xfId="26886"/>
    <cellStyle name="삼일-금지 40 22" xfId="26887"/>
    <cellStyle name="삼일-금지 40 23" xfId="26888"/>
    <cellStyle name="삼일-금지 40 24" xfId="26889"/>
    <cellStyle name="삼일-금지 40 25" xfId="26890"/>
    <cellStyle name="삼일-금지 40 26" xfId="26891"/>
    <cellStyle name="삼일-금지 40 27" xfId="26892"/>
    <cellStyle name="삼일-금지 40 28" xfId="26893"/>
    <cellStyle name="삼일-금지 40 29" xfId="26894"/>
    <cellStyle name="삼일-금지 40 3" xfId="26895"/>
    <cellStyle name="삼일-금지 40 30" xfId="26896"/>
    <cellStyle name="삼일-금지 40 31" xfId="26897"/>
    <cellStyle name="삼일-금지 40 32" xfId="26898"/>
    <cellStyle name="삼일-금지 40 33" xfId="26899"/>
    <cellStyle name="삼일-금지 40 34" xfId="26900"/>
    <cellStyle name="삼일-금지 40 35" xfId="26901"/>
    <cellStyle name="삼일-금지 40 36" xfId="26902"/>
    <cellStyle name="삼일-금지 40 37" xfId="26903"/>
    <cellStyle name="삼일-금지 40 38" xfId="26904"/>
    <cellStyle name="삼일-금지 40 39" xfId="26905"/>
    <cellStyle name="삼일-금지 40 4" xfId="26906"/>
    <cellStyle name="삼일-금지 40 40" xfId="26907"/>
    <cellStyle name="삼일-금지 40 41" xfId="26908"/>
    <cellStyle name="삼일-금지 40 42" xfId="26909"/>
    <cellStyle name="삼일-금지 40 43" xfId="26910"/>
    <cellStyle name="삼일-금지 40 44" xfId="26911"/>
    <cellStyle name="삼일-금지 40 45" xfId="26912"/>
    <cellStyle name="삼일-금지 40 46" xfId="26913"/>
    <cellStyle name="삼일-금지 40 47" xfId="26914"/>
    <cellStyle name="삼일-금지 40 48" xfId="26915"/>
    <cellStyle name="삼일-금지 40 5" xfId="26916"/>
    <cellStyle name="삼일-금지 40 6" xfId="26917"/>
    <cellStyle name="삼일-금지 40 7" xfId="26918"/>
    <cellStyle name="삼일-금지 40 8" xfId="26919"/>
    <cellStyle name="삼일-금지 40 9" xfId="26920"/>
    <cellStyle name="삼일-금지 40_분양(100%)" xfId="39189"/>
    <cellStyle name="삼일-금지 41" xfId="26921"/>
    <cellStyle name="삼일-금지 42" xfId="26922"/>
    <cellStyle name="삼일-금지 43" xfId="26923"/>
    <cellStyle name="삼일-금지 44" xfId="26924"/>
    <cellStyle name="삼일-금지 45" xfId="26925"/>
    <cellStyle name="삼일-금지 5" xfId="26926"/>
    <cellStyle name="삼일-금지 5 10" xfId="26927"/>
    <cellStyle name="삼일-금지 5 11" xfId="26928"/>
    <cellStyle name="삼일-금지 5 12" xfId="26929"/>
    <cellStyle name="삼일-금지 5 13" xfId="26930"/>
    <cellStyle name="삼일-금지 5 14" xfId="26931"/>
    <cellStyle name="삼일-금지 5 15" xfId="26932"/>
    <cellStyle name="삼일-금지 5 16" xfId="26933"/>
    <cellStyle name="삼일-금지 5 17" xfId="26934"/>
    <cellStyle name="삼일-금지 5 18" xfId="26935"/>
    <cellStyle name="삼일-금지 5 19" xfId="26936"/>
    <cellStyle name="삼일-금지 5 2" xfId="26937"/>
    <cellStyle name="삼일-금지 5 20" xfId="26938"/>
    <cellStyle name="삼일-금지 5 21" xfId="26939"/>
    <cellStyle name="삼일-금지 5 22" xfId="26940"/>
    <cellStyle name="삼일-금지 5 23" xfId="26941"/>
    <cellStyle name="삼일-금지 5 24" xfId="26942"/>
    <cellStyle name="삼일-금지 5 25" xfId="26943"/>
    <cellStyle name="삼일-금지 5 26" xfId="26944"/>
    <cellStyle name="삼일-금지 5 27" xfId="26945"/>
    <cellStyle name="삼일-금지 5 28" xfId="26946"/>
    <cellStyle name="삼일-금지 5 29" xfId="26947"/>
    <cellStyle name="삼일-금지 5 3" xfId="26948"/>
    <cellStyle name="삼일-금지 5 30" xfId="26949"/>
    <cellStyle name="삼일-금지 5 31" xfId="26950"/>
    <cellStyle name="삼일-금지 5 32" xfId="26951"/>
    <cellStyle name="삼일-금지 5 33" xfId="26952"/>
    <cellStyle name="삼일-금지 5 34" xfId="26953"/>
    <cellStyle name="삼일-금지 5 35" xfId="26954"/>
    <cellStyle name="삼일-금지 5 36" xfId="26955"/>
    <cellStyle name="삼일-금지 5 37" xfId="26956"/>
    <cellStyle name="삼일-금지 5 38" xfId="26957"/>
    <cellStyle name="삼일-금지 5 39" xfId="26958"/>
    <cellStyle name="삼일-금지 5 4" xfId="26959"/>
    <cellStyle name="삼일-금지 5 40" xfId="26960"/>
    <cellStyle name="삼일-금지 5 41" xfId="26961"/>
    <cellStyle name="삼일-금지 5 42" xfId="26962"/>
    <cellStyle name="삼일-금지 5 43" xfId="26963"/>
    <cellStyle name="삼일-금지 5 44" xfId="26964"/>
    <cellStyle name="삼일-금지 5 45" xfId="26965"/>
    <cellStyle name="삼일-금지 5 46" xfId="26966"/>
    <cellStyle name="삼일-금지 5 47" xfId="26967"/>
    <cellStyle name="삼일-금지 5 48" xfId="26968"/>
    <cellStyle name="삼일-금지 5 5" xfId="26969"/>
    <cellStyle name="삼일-금지 5 6" xfId="26970"/>
    <cellStyle name="삼일-금지 5 7" xfId="26971"/>
    <cellStyle name="삼일-금지 5 8" xfId="26972"/>
    <cellStyle name="삼일-금지 5 9" xfId="26973"/>
    <cellStyle name="삼일-금지 5_분양(100%)" xfId="39190"/>
    <cellStyle name="삼일-금지 6" xfId="26974"/>
    <cellStyle name="삼일-금지 6 10" xfId="26975"/>
    <cellStyle name="삼일-금지 6 11" xfId="26976"/>
    <cellStyle name="삼일-금지 6 12" xfId="26977"/>
    <cellStyle name="삼일-금지 6 13" xfId="26978"/>
    <cellStyle name="삼일-금지 6 14" xfId="26979"/>
    <cellStyle name="삼일-금지 6 15" xfId="26980"/>
    <cellStyle name="삼일-금지 6 16" xfId="26981"/>
    <cellStyle name="삼일-금지 6 17" xfId="26982"/>
    <cellStyle name="삼일-금지 6 18" xfId="26983"/>
    <cellStyle name="삼일-금지 6 19" xfId="26984"/>
    <cellStyle name="삼일-금지 6 2" xfId="26985"/>
    <cellStyle name="삼일-금지 6 20" xfId="26986"/>
    <cellStyle name="삼일-금지 6 21" xfId="26987"/>
    <cellStyle name="삼일-금지 6 22" xfId="26988"/>
    <cellStyle name="삼일-금지 6 23" xfId="26989"/>
    <cellStyle name="삼일-금지 6 24" xfId="26990"/>
    <cellStyle name="삼일-금지 6 25" xfId="26991"/>
    <cellStyle name="삼일-금지 6 26" xfId="26992"/>
    <cellStyle name="삼일-금지 6 27" xfId="26993"/>
    <cellStyle name="삼일-금지 6 28" xfId="26994"/>
    <cellStyle name="삼일-금지 6 29" xfId="26995"/>
    <cellStyle name="삼일-금지 6 3" xfId="26996"/>
    <cellStyle name="삼일-금지 6 30" xfId="26997"/>
    <cellStyle name="삼일-금지 6 31" xfId="26998"/>
    <cellStyle name="삼일-금지 6 32" xfId="26999"/>
    <cellStyle name="삼일-금지 6 33" xfId="27000"/>
    <cellStyle name="삼일-금지 6 34" xfId="27001"/>
    <cellStyle name="삼일-금지 6 35" xfId="27002"/>
    <cellStyle name="삼일-금지 6 36" xfId="27003"/>
    <cellStyle name="삼일-금지 6 37" xfId="27004"/>
    <cellStyle name="삼일-금지 6 38" xfId="27005"/>
    <cellStyle name="삼일-금지 6 39" xfId="27006"/>
    <cellStyle name="삼일-금지 6 4" xfId="27007"/>
    <cellStyle name="삼일-금지 6 40" xfId="27008"/>
    <cellStyle name="삼일-금지 6 41" xfId="27009"/>
    <cellStyle name="삼일-금지 6 42" xfId="27010"/>
    <cellStyle name="삼일-금지 6 43" xfId="27011"/>
    <cellStyle name="삼일-금지 6 44" xfId="27012"/>
    <cellStyle name="삼일-금지 6 45" xfId="27013"/>
    <cellStyle name="삼일-금지 6 46" xfId="27014"/>
    <cellStyle name="삼일-금지 6 47" xfId="27015"/>
    <cellStyle name="삼일-금지 6 48" xfId="27016"/>
    <cellStyle name="삼일-금지 6 5" xfId="27017"/>
    <cellStyle name="삼일-금지 6 6" xfId="27018"/>
    <cellStyle name="삼일-금지 6 7" xfId="27019"/>
    <cellStyle name="삼일-금지 6 8" xfId="27020"/>
    <cellStyle name="삼일-금지 6 9" xfId="27021"/>
    <cellStyle name="삼일-금지 6_분양(100%)" xfId="39191"/>
    <cellStyle name="삼일-금지 7" xfId="27022"/>
    <cellStyle name="삼일-금지 7 10" xfId="27023"/>
    <cellStyle name="삼일-금지 7 11" xfId="27024"/>
    <cellStyle name="삼일-금지 7 12" xfId="27025"/>
    <cellStyle name="삼일-금지 7 13" xfId="27026"/>
    <cellStyle name="삼일-금지 7 14" xfId="27027"/>
    <cellStyle name="삼일-금지 7 15" xfId="27028"/>
    <cellStyle name="삼일-금지 7 16" xfId="27029"/>
    <cellStyle name="삼일-금지 7 17" xfId="27030"/>
    <cellStyle name="삼일-금지 7 18" xfId="27031"/>
    <cellStyle name="삼일-금지 7 19" xfId="27032"/>
    <cellStyle name="삼일-금지 7 2" xfId="27033"/>
    <cellStyle name="삼일-금지 7 20" xfId="27034"/>
    <cellStyle name="삼일-금지 7 21" xfId="27035"/>
    <cellStyle name="삼일-금지 7 22" xfId="27036"/>
    <cellStyle name="삼일-금지 7 23" xfId="27037"/>
    <cellStyle name="삼일-금지 7 24" xfId="27038"/>
    <cellStyle name="삼일-금지 7 25" xfId="27039"/>
    <cellStyle name="삼일-금지 7 26" xfId="27040"/>
    <cellStyle name="삼일-금지 7 27" xfId="27041"/>
    <cellStyle name="삼일-금지 7 28" xfId="27042"/>
    <cellStyle name="삼일-금지 7 29" xfId="27043"/>
    <cellStyle name="삼일-금지 7 3" xfId="27044"/>
    <cellStyle name="삼일-금지 7 30" xfId="27045"/>
    <cellStyle name="삼일-금지 7 31" xfId="27046"/>
    <cellStyle name="삼일-금지 7 32" xfId="27047"/>
    <cellStyle name="삼일-금지 7 33" xfId="27048"/>
    <cellStyle name="삼일-금지 7 34" xfId="27049"/>
    <cellStyle name="삼일-금지 7 35" xfId="27050"/>
    <cellStyle name="삼일-금지 7 36" xfId="27051"/>
    <cellStyle name="삼일-금지 7 37" xfId="27052"/>
    <cellStyle name="삼일-금지 7 38" xfId="27053"/>
    <cellStyle name="삼일-금지 7 39" xfId="27054"/>
    <cellStyle name="삼일-금지 7 4" xfId="27055"/>
    <cellStyle name="삼일-금지 7 40" xfId="27056"/>
    <cellStyle name="삼일-금지 7 41" xfId="27057"/>
    <cellStyle name="삼일-금지 7 42" xfId="27058"/>
    <cellStyle name="삼일-금지 7 43" xfId="27059"/>
    <cellStyle name="삼일-금지 7 44" xfId="27060"/>
    <cellStyle name="삼일-금지 7 45" xfId="27061"/>
    <cellStyle name="삼일-금지 7 46" xfId="27062"/>
    <cellStyle name="삼일-금지 7 47" xfId="27063"/>
    <cellStyle name="삼일-금지 7 48" xfId="27064"/>
    <cellStyle name="삼일-금지 7 5" xfId="27065"/>
    <cellStyle name="삼일-금지 7 6" xfId="27066"/>
    <cellStyle name="삼일-금지 7 7" xfId="27067"/>
    <cellStyle name="삼일-금지 7 8" xfId="27068"/>
    <cellStyle name="삼일-금지 7 9" xfId="27069"/>
    <cellStyle name="삼일-금지 7_분양(100%)" xfId="39192"/>
    <cellStyle name="삼일-금지 8" xfId="27070"/>
    <cellStyle name="삼일-금지 8 10" xfId="27071"/>
    <cellStyle name="삼일-금지 8 11" xfId="27072"/>
    <cellStyle name="삼일-금지 8 12" xfId="27073"/>
    <cellStyle name="삼일-금지 8 13" xfId="27074"/>
    <cellStyle name="삼일-금지 8 14" xfId="27075"/>
    <cellStyle name="삼일-금지 8 15" xfId="27076"/>
    <cellStyle name="삼일-금지 8 16" xfId="27077"/>
    <cellStyle name="삼일-금지 8 17" xfId="27078"/>
    <cellStyle name="삼일-금지 8 18" xfId="27079"/>
    <cellStyle name="삼일-금지 8 19" xfId="27080"/>
    <cellStyle name="삼일-금지 8 2" xfId="27081"/>
    <cellStyle name="삼일-금지 8 20" xfId="27082"/>
    <cellStyle name="삼일-금지 8 21" xfId="27083"/>
    <cellStyle name="삼일-금지 8 22" xfId="27084"/>
    <cellStyle name="삼일-금지 8 23" xfId="27085"/>
    <cellStyle name="삼일-금지 8 24" xfId="27086"/>
    <cellStyle name="삼일-금지 8 25" xfId="27087"/>
    <cellStyle name="삼일-금지 8 26" xfId="27088"/>
    <cellStyle name="삼일-금지 8 27" xfId="27089"/>
    <cellStyle name="삼일-금지 8 28" xfId="27090"/>
    <cellStyle name="삼일-금지 8 29" xfId="27091"/>
    <cellStyle name="삼일-금지 8 3" xfId="27092"/>
    <cellStyle name="삼일-금지 8 30" xfId="27093"/>
    <cellStyle name="삼일-금지 8 31" xfId="27094"/>
    <cellStyle name="삼일-금지 8 32" xfId="27095"/>
    <cellStyle name="삼일-금지 8 33" xfId="27096"/>
    <cellStyle name="삼일-금지 8 34" xfId="27097"/>
    <cellStyle name="삼일-금지 8 35" xfId="27098"/>
    <cellStyle name="삼일-금지 8 36" xfId="27099"/>
    <cellStyle name="삼일-금지 8 37" xfId="27100"/>
    <cellStyle name="삼일-금지 8 38" xfId="27101"/>
    <cellStyle name="삼일-금지 8 39" xfId="27102"/>
    <cellStyle name="삼일-금지 8 4" xfId="27103"/>
    <cellStyle name="삼일-금지 8 40" xfId="27104"/>
    <cellStyle name="삼일-금지 8 41" xfId="27105"/>
    <cellStyle name="삼일-금지 8 42" xfId="27106"/>
    <cellStyle name="삼일-금지 8 43" xfId="27107"/>
    <cellStyle name="삼일-금지 8 44" xfId="27108"/>
    <cellStyle name="삼일-금지 8 45" xfId="27109"/>
    <cellStyle name="삼일-금지 8 46" xfId="27110"/>
    <cellStyle name="삼일-금지 8 47" xfId="27111"/>
    <cellStyle name="삼일-금지 8 48" xfId="27112"/>
    <cellStyle name="삼일-금지 8 5" xfId="27113"/>
    <cellStyle name="삼일-금지 8 6" xfId="27114"/>
    <cellStyle name="삼일-금지 8 7" xfId="27115"/>
    <cellStyle name="삼일-금지 8 8" xfId="27116"/>
    <cellStyle name="삼일-금지 8 9" xfId="27117"/>
    <cellStyle name="삼일-금지 8_분양(100%)" xfId="39193"/>
    <cellStyle name="삼일-금지 9" xfId="27118"/>
    <cellStyle name="삼일-금지 9 10" xfId="27119"/>
    <cellStyle name="삼일-금지 9 11" xfId="27120"/>
    <cellStyle name="삼일-금지 9 12" xfId="27121"/>
    <cellStyle name="삼일-금지 9 13" xfId="27122"/>
    <cellStyle name="삼일-금지 9 14" xfId="27123"/>
    <cellStyle name="삼일-금지 9 15" xfId="27124"/>
    <cellStyle name="삼일-금지 9 16" xfId="27125"/>
    <cellStyle name="삼일-금지 9 17" xfId="27126"/>
    <cellStyle name="삼일-금지 9 18" xfId="27127"/>
    <cellStyle name="삼일-금지 9 19" xfId="27128"/>
    <cellStyle name="삼일-금지 9 2" xfId="27129"/>
    <cellStyle name="삼일-금지 9 20" xfId="27130"/>
    <cellStyle name="삼일-금지 9 21" xfId="27131"/>
    <cellStyle name="삼일-금지 9 22" xfId="27132"/>
    <cellStyle name="삼일-금지 9 23" xfId="27133"/>
    <cellStyle name="삼일-금지 9 24" xfId="27134"/>
    <cellStyle name="삼일-금지 9 25" xfId="27135"/>
    <cellStyle name="삼일-금지 9 26" xfId="27136"/>
    <cellStyle name="삼일-금지 9 27" xfId="27137"/>
    <cellStyle name="삼일-금지 9 28" xfId="27138"/>
    <cellStyle name="삼일-금지 9 29" xfId="27139"/>
    <cellStyle name="삼일-금지 9 3" xfId="27140"/>
    <cellStyle name="삼일-금지 9 30" xfId="27141"/>
    <cellStyle name="삼일-금지 9 31" xfId="27142"/>
    <cellStyle name="삼일-금지 9 32" xfId="27143"/>
    <cellStyle name="삼일-금지 9 33" xfId="27144"/>
    <cellStyle name="삼일-금지 9 34" xfId="27145"/>
    <cellStyle name="삼일-금지 9 35" xfId="27146"/>
    <cellStyle name="삼일-금지 9 36" xfId="27147"/>
    <cellStyle name="삼일-금지 9 37" xfId="27148"/>
    <cellStyle name="삼일-금지 9 38" xfId="27149"/>
    <cellStyle name="삼일-금지 9 39" xfId="27150"/>
    <cellStyle name="삼일-금지 9 4" xfId="27151"/>
    <cellStyle name="삼일-금지 9 40" xfId="27152"/>
    <cellStyle name="삼일-금지 9 41" xfId="27153"/>
    <cellStyle name="삼일-금지 9 42" xfId="27154"/>
    <cellStyle name="삼일-금지 9 43" xfId="27155"/>
    <cellStyle name="삼일-금지 9 44" xfId="27156"/>
    <cellStyle name="삼일-금지 9 45" xfId="27157"/>
    <cellStyle name="삼일-금지 9 46" xfId="27158"/>
    <cellStyle name="삼일-금지 9 47" xfId="27159"/>
    <cellStyle name="삼일-금지 9 48" xfId="27160"/>
    <cellStyle name="삼일-금지 9 5" xfId="27161"/>
    <cellStyle name="삼일-금지 9 6" xfId="27162"/>
    <cellStyle name="삼일-금지 9 7" xfId="27163"/>
    <cellStyle name="삼일-금지 9 8" xfId="27164"/>
    <cellStyle name="삼일-금지 9 9" xfId="27165"/>
    <cellStyle name="삼일-금지 9_분양(100%)" xfId="39194"/>
    <cellStyle name="삼일-금지_분양(100%)" xfId="39155"/>
    <cellStyle name="삼일-입력" xfId="27166"/>
    <cellStyle name="삼일-입력 10" xfId="27167"/>
    <cellStyle name="삼일-입력 10 10" xfId="27168"/>
    <cellStyle name="삼일-입력 10 11" xfId="27169"/>
    <cellStyle name="삼일-입력 10 12" xfId="27170"/>
    <cellStyle name="삼일-입력 10 13" xfId="27171"/>
    <cellStyle name="삼일-입력 10 14" xfId="27172"/>
    <cellStyle name="삼일-입력 10 15" xfId="27173"/>
    <cellStyle name="삼일-입력 10 16" xfId="27174"/>
    <cellStyle name="삼일-입력 10 17" xfId="27175"/>
    <cellStyle name="삼일-입력 10 18" xfId="27176"/>
    <cellStyle name="삼일-입력 10 19" xfId="27177"/>
    <cellStyle name="삼일-입력 10 2" xfId="27178"/>
    <cellStyle name="삼일-입력 10 20" xfId="27179"/>
    <cellStyle name="삼일-입력 10 21" xfId="27180"/>
    <cellStyle name="삼일-입력 10 22" xfId="27181"/>
    <cellStyle name="삼일-입력 10 23" xfId="27182"/>
    <cellStyle name="삼일-입력 10 24" xfId="27183"/>
    <cellStyle name="삼일-입력 10 25" xfId="27184"/>
    <cellStyle name="삼일-입력 10 26" xfId="27185"/>
    <cellStyle name="삼일-입력 10 27" xfId="27186"/>
    <cellStyle name="삼일-입력 10 28" xfId="27187"/>
    <cellStyle name="삼일-입력 10 29" xfId="27188"/>
    <cellStyle name="삼일-입력 10 3" xfId="27189"/>
    <cellStyle name="삼일-입력 10 30" xfId="27190"/>
    <cellStyle name="삼일-입력 10 31" xfId="27191"/>
    <cellStyle name="삼일-입력 10 32" xfId="27192"/>
    <cellStyle name="삼일-입력 10 33" xfId="27193"/>
    <cellStyle name="삼일-입력 10 34" xfId="27194"/>
    <cellStyle name="삼일-입력 10 35" xfId="27195"/>
    <cellStyle name="삼일-입력 10 36" xfId="27196"/>
    <cellStyle name="삼일-입력 10 37" xfId="27197"/>
    <cellStyle name="삼일-입력 10 38" xfId="27198"/>
    <cellStyle name="삼일-입력 10 39" xfId="27199"/>
    <cellStyle name="삼일-입력 10 4" xfId="27200"/>
    <cellStyle name="삼일-입력 10 40" xfId="27201"/>
    <cellStyle name="삼일-입력 10 41" xfId="27202"/>
    <cellStyle name="삼일-입력 10 42" xfId="27203"/>
    <cellStyle name="삼일-입력 10 43" xfId="27204"/>
    <cellStyle name="삼일-입력 10 44" xfId="27205"/>
    <cellStyle name="삼일-입력 10 45" xfId="27206"/>
    <cellStyle name="삼일-입력 10 46" xfId="27207"/>
    <cellStyle name="삼일-입력 10 47" xfId="27208"/>
    <cellStyle name="삼일-입력 10 48" xfId="27209"/>
    <cellStyle name="삼일-입력 10 5" xfId="27210"/>
    <cellStyle name="삼일-입력 10 6" xfId="27211"/>
    <cellStyle name="삼일-입력 10 7" xfId="27212"/>
    <cellStyle name="삼일-입력 10 8" xfId="27213"/>
    <cellStyle name="삼일-입력 10 9" xfId="27214"/>
    <cellStyle name="삼일-입력 10_분양(100%)" xfId="39196"/>
    <cellStyle name="삼일-입력 11" xfId="27215"/>
    <cellStyle name="삼일-입력 11 10" xfId="27216"/>
    <cellStyle name="삼일-입력 11 11" xfId="27217"/>
    <cellStyle name="삼일-입력 11 12" xfId="27218"/>
    <cellStyle name="삼일-입력 11 13" xfId="27219"/>
    <cellStyle name="삼일-입력 11 14" xfId="27220"/>
    <cellStyle name="삼일-입력 11 15" xfId="27221"/>
    <cellStyle name="삼일-입력 11 16" xfId="27222"/>
    <cellStyle name="삼일-입력 11 17" xfId="27223"/>
    <cellStyle name="삼일-입력 11 18" xfId="27224"/>
    <cellStyle name="삼일-입력 11 19" xfId="27225"/>
    <cellStyle name="삼일-입력 11 2" xfId="27226"/>
    <cellStyle name="삼일-입력 11 20" xfId="27227"/>
    <cellStyle name="삼일-입력 11 21" xfId="27228"/>
    <cellStyle name="삼일-입력 11 22" xfId="27229"/>
    <cellStyle name="삼일-입력 11 23" xfId="27230"/>
    <cellStyle name="삼일-입력 11 24" xfId="27231"/>
    <cellStyle name="삼일-입력 11 25" xfId="27232"/>
    <cellStyle name="삼일-입력 11 26" xfId="27233"/>
    <cellStyle name="삼일-입력 11 27" xfId="27234"/>
    <cellStyle name="삼일-입력 11 28" xfId="27235"/>
    <cellStyle name="삼일-입력 11 29" xfId="27236"/>
    <cellStyle name="삼일-입력 11 3" xfId="27237"/>
    <cellStyle name="삼일-입력 11 30" xfId="27238"/>
    <cellStyle name="삼일-입력 11 31" xfId="27239"/>
    <cellStyle name="삼일-입력 11 32" xfId="27240"/>
    <cellStyle name="삼일-입력 11 33" xfId="27241"/>
    <cellStyle name="삼일-입력 11 34" xfId="27242"/>
    <cellStyle name="삼일-입력 11 35" xfId="27243"/>
    <cellStyle name="삼일-입력 11 36" xfId="27244"/>
    <cellStyle name="삼일-입력 11 37" xfId="27245"/>
    <cellStyle name="삼일-입력 11 38" xfId="27246"/>
    <cellStyle name="삼일-입력 11 39" xfId="27247"/>
    <cellStyle name="삼일-입력 11 4" xfId="27248"/>
    <cellStyle name="삼일-입력 11 40" xfId="27249"/>
    <cellStyle name="삼일-입력 11 41" xfId="27250"/>
    <cellStyle name="삼일-입력 11 42" xfId="27251"/>
    <cellStyle name="삼일-입력 11 43" xfId="27252"/>
    <cellStyle name="삼일-입력 11 44" xfId="27253"/>
    <cellStyle name="삼일-입력 11 45" xfId="27254"/>
    <cellStyle name="삼일-입력 11 46" xfId="27255"/>
    <cellStyle name="삼일-입력 11 47" xfId="27256"/>
    <cellStyle name="삼일-입력 11 48" xfId="27257"/>
    <cellStyle name="삼일-입력 11 5" xfId="27258"/>
    <cellStyle name="삼일-입력 11 6" xfId="27259"/>
    <cellStyle name="삼일-입력 11 7" xfId="27260"/>
    <cellStyle name="삼일-입력 11 8" xfId="27261"/>
    <cellStyle name="삼일-입력 11 9" xfId="27262"/>
    <cellStyle name="삼일-입력 11_분양(100%)" xfId="39197"/>
    <cellStyle name="삼일-입력 12" xfId="27263"/>
    <cellStyle name="삼일-입력 12 10" xfId="27264"/>
    <cellStyle name="삼일-입력 12 11" xfId="27265"/>
    <cellStyle name="삼일-입력 12 12" xfId="27266"/>
    <cellStyle name="삼일-입력 12 13" xfId="27267"/>
    <cellStyle name="삼일-입력 12 14" xfId="27268"/>
    <cellStyle name="삼일-입력 12 15" xfId="27269"/>
    <cellStyle name="삼일-입력 12 16" xfId="27270"/>
    <cellStyle name="삼일-입력 12 17" xfId="27271"/>
    <cellStyle name="삼일-입력 12 18" xfId="27272"/>
    <cellStyle name="삼일-입력 12 19" xfId="27273"/>
    <cellStyle name="삼일-입력 12 2" xfId="27274"/>
    <cellStyle name="삼일-입력 12 20" xfId="27275"/>
    <cellStyle name="삼일-입력 12 21" xfId="27276"/>
    <cellStyle name="삼일-입력 12 22" xfId="27277"/>
    <cellStyle name="삼일-입력 12 23" xfId="27278"/>
    <cellStyle name="삼일-입력 12 24" xfId="27279"/>
    <cellStyle name="삼일-입력 12 25" xfId="27280"/>
    <cellStyle name="삼일-입력 12 26" xfId="27281"/>
    <cellStyle name="삼일-입력 12 27" xfId="27282"/>
    <cellStyle name="삼일-입력 12 28" xfId="27283"/>
    <cellStyle name="삼일-입력 12 29" xfId="27284"/>
    <cellStyle name="삼일-입력 12 3" xfId="27285"/>
    <cellStyle name="삼일-입력 12 30" xfId="27286"/>
    <cellStyle name="삼일-입력 12 31" xfId="27287"/>
    <cellStyle name="삼일-입력 12 32" xfId="27288"/>
    <cellStyle name="삼일-입력 12 33" xfId="27289"/>
    <cellStyle name="삼일-입력 12 34" xfId="27290"/>
    <cellStyle name="삼일-입력 12 35" xfId="27291"/>
    <cellStyle name="삼일-입력 12 36" xfId="27292"/>
    <cellStyle name="삼일-입력 12 37" xfId="27293"/>
    <cellStyle name="삼일-입력 12 38" xfId="27294"/>
    <cellStyle name="삼일-입력 12 39" xfId="27295"/>
    <cellStyle name="삼일-입력 12 4" xfId="27296"/>
    <cellStyle name="삼일-입력 12 40" xfId="27297"/>
    <cellStyle name="삼일-입력 12 41" xfId="27298"/>
    <cellStyle name="삼일-입력 12 42" xfId="27299"/>
    <cellStyle name="삼일-입력 12 43" xfId="27300"/>
    <cellStyle name="삼일-입력 12 44" xfId="27301"/>
    <cellStyle name="삼일-입력 12 45" xfId="27302"/>
    <cellStyle name="삼일-입력 12 46" xfId="27303"/>
    <cellStyle name="삼일-입력 12 47" xfId="27304"/>
    <cellStyle name="삼일-입력 12 48" xfId="27305"/>
    <cellStyle name="삼일-입력 12 5" xfId="27306"/>
    <cellStyle name="삼일-입력 12 6" xfId="27307"/>
    <cellStyle name="삼일-입력 12 7" xfId="27308"/>
    <cellStyle name="삼일-입력 12 8" xfId="27309"/>
    <cellStyle name="삼일-입력 12 9" xfId="27310"/>
    <cellStyle name="삼일-입력 12_분양(100%)" xfId="39198"/>
    <cellStyle name="삼일-입력 13" xfId="27311"/>
    <cellStyle name="삼일-입력 13 10" xfId="27312"/>
    <cellStyle name="삼일-입력 13 11" xfId="27313"/>
    <cellStyle name="삼일-입력 13 12" xfId="27314"/>
    <cellStyle name="삼일-입력 13 13" xfId="27315"/>
    <cellStyle name="삼일-입력 13 14" xfId="27316"/>
    <cellStyle name="삼일-입력 13 15" xfId="27317"/>
    <cellStyle name="삼일-입력 13 16" xfId="27318"/>
    <cellStyle name="삼일-입력 13 17" xfId="27319"/>
    <cellStyle name="삼일-입력 13 18" xfId="27320"/>
    <cellStyle name="삼일-입력 13 19" xfId="27321"/>
    <cellStyle name="삼일-입력 13 2" xfId="27322"/>
    <cellStyle name="삼일-입력 13 20" xfId="27323"/>
    <cellStyle name="삼일-입력 13 21" xfId="27324"/>
    <cellStyle name="삼일-입력 13 22" xfId="27325"/>
    <cellStyle name="삼일-입력 13 23" xfId="27326"/>
    <cellStyle name="삼일-입력 13 24" xfId="27327"/>
    <cellStyle name="삼일-입력 13 25" xfId="27328"/>
    <cellStyle name="삼일-입력 13 26" xfId="27329"/>
    <cellStyle name="삼일-입력 13 27" xfId="27330"/>
    <cellStyle name="삼일-입력 13 28" xfId="27331"/>
    <cellStyle name="삼일-입력 13 29" xfId="27332"/>
    <cellStyle name="삼일-입력 13 3" xfId="27333"/>
    <cellStyle name="삼일-입력 13 30" xfId="27334"/>
    <cellStyle name="삼일-입력 13 31" xfId="27335"/>
    <cellStyle name="삼일-입력 13 32" xfId="27336"/>
    <cellStyle name="삼일-입력 13 33" xfId="27337"/>
    <cellStyle name="삼일-입력 13 34" xfId="27338"/>
    <cellStyle name="삼일-입력 13 35" xfId="27339"/>
    <cellStyle name="삼일-입력 13 36" xfId="27340"/>
    <cellStyle name="삼일-입력 13 37" xfId="27341"/>
    <cellStyle name="삼일-입력 13 38" xfId="27342"/>
    <cellStyle name="삼일-입력 13 39" xfId="27343"/>
    <cellStyle name="삼일-입력 13 4" xfId="27344"/>
    <cellStyle name="삼일-입력 13 40" xfId="27345"/>
    <cellStyle name="삼일-입력 13 41" xfId="27346"/>
    <cellStyle name="삼일-입력 13 42" xfId="27347"/>
    <cellStyle name="삼일-입력 13 43" xfId="27348"/>
    <cellStyle name="삼일-입력 13 44" xfId="27349"/>
    <cellStyle name="삼일-입력 13 45" xfId="27350"/>
    <cellStyle name="삼일-입력 13 46" xfId="27351"/>
    <cellStyle name="삼일-입력 13 47" xfId="27352"/>
    <cellStyle name="삼일-입력 13 48" xfId="27353"/>
    <cellStyle name="삼일-입력 13 5" xfId="27354"/>
    <cellStyle name="삼일-입력 13 6" xfId="27355"/>
    <cellStyle name="삼일-입력 13 7" xfId="27356"/>
    <cellStyle name="삼일-입력 13 8" xfId="27357"/>
    <cellStyle name="삼일-입력 13 9" xfId="27358"/>
    <cellStyle name="삼일-입력 13_분양(100%)" xfId="39199"/>
    <cellStyle name="삼일-입력 14" xfId="27359"/>
    <cellStyle name="삼일-입력 14 10" xfId="27360"/>
    <cellStyle name="삼일-입력 14 11" xfId="27361"/>
    <cellStyle name="삼일-입력 14 12" xfId="27362"/>
    <cellStyle name="삼일-입력 14 13" xfId="27363"/>
    <cellStyle name="삼일-입력 14 14" xfId="27364"/>
    <cellStyle name="삼일-입력 14 15" xfId="27365"/>
    <cellStyle name="삼일-입력 14 16" xfId="27366"/>
    <cellStyle name="삼일-입력 14 17" xfId="27367"/>
    <cellStyle name="삼일-입력 14 18" xfId="27368"/>
    <cellStyle name="삼일-입력 14 19" xfId="27369"/>
    <cellStyle name="삼일-입력 14 2" xfId="27370"/>
    <cellStyle name="삼일-입력 14 20" xfId="27371"/>
    <cellStyle name="삼일-입력 14 21" xfId="27372"/>
    <cellStyle name="삼일-입력 14 22" xfId="27373"/>
    <cellStyle name="삼일-입력 14 23" xfId="27374"/>
    <cellStyle name="삼일-입력 14 24" xfId="27375"/>
    <cellStyle name="삼일-입력 14 25" xfId="27376"/>
    <cellStyle name="삼일-입력 14 26" xfId="27377"/>
    <cellStyle name="삼일-입력 14 27" xfId="27378"/>
    <cellStyle name="삼일-입력 14 28" xfId="27379"/>
    <cellStyle name="삼일-입력 14 29" xfId="27380"/>
    <cellStyle name="삼일-입력 14 3" xfId="27381"/>
    <cellStyle name="삼일-입력 14 30" xfId="27382"/>
    <cellStyle name="삼일-입력 14 31" xfId="27383"/>
    <cellStyle name="삼일-입력 14 32" xfId="27384"/>
    <cellStyle name="삼일-입력 14 33" xfId="27385"/>
    <cellStyle name="삼일-입력 14 34" xfId="27386"/>
    <cellStyle name="삼일-입력 14 35" xfId="27387"/>
    <cellStyle name="삼일-입력 14 36" xfId="27388"/>
    <cellStyle name="삼일-입력 14 37" xfId="27389"/>
    <cellStyle name="삼일-입력 14 38" xfId="27390"/>
    <cellStyle name="삼일-입력 14 39" xfId="27391"/>
    <cellStyle name="삼일-입력 14 4" xfId="27392"/>
    <cellStyle name="삼일-입력 14 40" xfId="27393"/>
    <cellStyle name="삼일-입력 14 41" xfId="27394"/>
    <cellStyle name="삼일-입력 14 42" xfId="27395"/>
    <cellStyle name="삼일-입력 14 43" xfId="27396"/>
    <cellStyle name="삼일-입력 14 44" xfId="27397"/>
    <cellStyle name="삼일-입력 14 45" xfId="27398"/>
    <cellStyle name="삼일-입력 14 46" xfId="27399"/>
    <cellStyle name="삼일-입력 14 47" xfId="27400"/>
    <cellStyle name="삼일-입력 14 48" xfId="27401"/>
    <cellStyle name="삼일-입력 14 5" xfId="27402"/>
    <cellStyle name="삼일-입력 14 6" xfId="27403"/>
    <cellStyle name="삼일-입력 14 7" xfId="27404"/>
    <cellStyle name="삼일-입력 14 8" xfId="27405"/>
    <cellStyle name="삼일-입력 14 9" xfId="27406"/>
    <cellStyle name="삼일-입력 14_분양(100%)" xfId="39200"/>
    <cellStyle name="삼일-입력 15" xfId="27407"/>
    <cellStyle name="삼일-입력 15 10" xfId="27408"/>
    <cellStyle name="삼일-입력 15 11" xfId="27409"/>
    <cellStyle name="삼일-입력 15 12" xfId="27410"/>
    <cellStyle name="삼일-입력 15 13" xfId="27411"/>
    <cellStyle name="삼일-입력 15 14" xfId="27412"/>
    <cellStyle name="삼일-입력 15 15" xfId="27413"/>
    <cellStyle name="삼일-입력 15 16" xfId="27414"/>
    <cellStyle name="삼일-입력 15 17" xfId="27415"/>
    <cellStyle name="삼일-입력 15 18" xfId="27416"/>
    <cellStyle name="삼일-입력 15 19" xfId="27417"/>
    <cellStyle name="삼일-입력 15 2" xfId="27418"/>
    <cellStyle name="삼일-입력 15 20" xfId="27419"/>
    <cellStyle name="삼일-입력 15 21" xfId="27420"/>
    <cellStyle name="삼일-입력 15 22" xfId="27421"/>
    <cellStyle name="삼일-입력 15 23" xfId="27422"/>
    <cellStyle name="삼일-입력 15 24" xfId="27423"/>
    <cellStyle name="삼일-입력 15 25" xfId="27424"/>
    <cellStyle name="삼일-입력 15 26" xfId="27425"/>
    <cellStyle name="삼일-입력 15 27" xfId="27426"/>
    <cellStyle name="삼일-입력 15 28" xfId="27427"/>
    <cellStyle name="삼일-입력 15 29" xfId="27428"/>
    <cellStyle name="삼일-입력 15 3" xfId="27429"/>
    <cellStyle name="삼일-입력 15 30" xfId="27430"/>
    <cellStyle name="삼일-입력 15 31" xfId="27431"/>
    <cellStyle name="삼일-입력 15 32" xfId="27432"/>
    <cellStyle name="삼일-입력 15 33" xfId="27433"/>
    <cellStyle name="삼일-입력 15 34" xfId="27434"/>
    <cellStyle name="삼일-입력 15 35" xfId="27435"/>
    <cellStyle name="삼일-입력 15 36" xfId="27436"/>
    <cellStyle name="삼일-입력 15 37" xfId="27437"/>
    <cellStyle name="삼일-입력 15 38" xfId="27438"/>
    <cellStyle name="삼일-입력 15 39" xfId="27439"/>
    <cellStyle name="삼일-입력 15 4" xfId="27440"/>
    <cellStyle name="삼일-입력 15 40" xfId="27441"/>
    <cellStyle name="삼일-입력 15 41" xfId="27442"/>
    <cellStyle name="삼일-입력 15 42" xfId="27443"/>
    <cellStyle name="삼일-입력 15 43" xfId="27444"/>
    <cellStyle name="삼일-입력 15 44" xfId="27445"/>
    <cellStyle name="삼일-입력 15 45" xfId="27446"/>
    <cellStyle name="삼일-입력 15 46" xfId="27447"/>
    <cellStyle name="삼일-입력 15 47" xfId="27448"/>
    <cellStyle name="삼일-입력 15 48" xfId="27449"/>
    <cellStyle name="삼일-입력 15 5" xfId="27450"/>
    <cellStyle name="삼일-입력 15 6" xfId="27451"/>
    <cellStyle name="삼일-입력 15 7" xfId="27452"/>
    <cellStyle name="삼일-입력 15 8" xfId="27453"/>
    <cellStyle name="삼일-입력 15 9" xfId="27454"/>
    <cellStyle name="삼일-입력 15_분양(100%)" xfId="39201"/>
    <cellStyle name="삼일-입력 16" xfId="27455"/>
    <cellStyle name="삼일-입력 16 10" xfId="27456"/>
    <cellStyle name="삼일-입력 16 11" xfId="27457"/>
    <cellStyle name="삼일-입력 16 12" xfId="27458"/>
    <cellStyle name="삼일-입력 16 13" xfId="27459"/>
    <cellStyle name="삼일-입력 16 14" xfId="27460"/>
    <cellStyle name="삼일-입력 16 15" xfId="27461"/>
    <cellStyle name="삼일-입력 16 16" xfId="27462"/>
    <cellStyle name="삼일-입력 16 17" xfId="27463"/>
    <cellStyle name="삼일-입력 16 18" xfId="27464"/>
    <cellStyle name="삼일-입력 16 19" xfId="27465"/>
    <cellStyle name="삼일-입력 16 2" xfId="27466"/>
    <cellStyle name="삼일-입력 16 20" xfId="27467"/>
    <cellStyle name="삼일-입력 16 21" xfId="27468"/>
    <cellStyle name="삼일-입력 16 22" xfId="27469"/>
    <cellStyle name="삼일-입력 16 23" xfId="27470"/>
    <cellStyle name="삼일-입력 16 24" xfId="27471"/>
    <cellStyle name="삼일-입력 16 25" xfId="27472"/>
    <cellStyle name="삼일-입력 16 26" xfId="27473"/>
    <cellStyle name="삼일-입력 16 27" xfId="27474"/>
    <cellStyle name="삼일-입력 16 28" xfId="27475"/>
    <cellStyle name="삼일-입력 16 29" xfId="27476"/>
    <cellStyle name="삼일-입력 16 3" xfId="27477"/>
    <cellStyle name="삼일-입력 16 30" xfId="27478"/>
    <cellStyle name="삼일-입력 16 31" xfId="27479"/>
    <cellStyle name="삼일-입력 16 32" xfId="27480"/>
    <cellStyle name="삼일-입력 16 33" xfId="27481"/>
    <cellStyle name="삼일-입력 16 34" xfId="27482"/>
    <cellStyle name="삼일-입력 16 35" xfId="27483"/>
    <cellStyle name="삼일-입력 16 36" xfId="27484"/>
    <cellStyle name="삼일-입력 16 37" xfId="27485"/>
    <cellStyle name="삼일-입력 16 38" xfId="27486"/>
    <cellStyle name="삼일-입력 16 39" xfId="27487"/>
    <cellStyle name="삼일-입력 16 4" xfId="27488"/>
    <cellStyle name="삼일-입력 16 40" xfId="27489"/>
    <cellStyle name="삼일-입력 16 41" xfId="27490"/>
    <cellStyle name="삼일-입력 16 42" xfId="27491"/>
    <cellStyle name="삼일-입력 16 43" xfId="27492"/>
    <cellStyle name="삼일-입력 16 44" xfId="27493"/>
    <cellStyle name="삼일-입력 16 45" xfId="27494"/>
    <cellStyle name="삼일-입력 16 46" xfId="27495"/>
    <cellStyle name="삼일-입력 16 47" xfId="27496"/>
    <cellStyle name="삼일-입력 16 48" xfId="27497"/>
    <cellStyle name="삼일-입력 16 5" xfId="27498"/>
    <cellStyle name="삼일-입력 16 6" xfId="27499"/>
    <cellStyle name="삼일-입력 16 7" xfId="27500"/>
    <cellStyle name="삼일-입력 16 8" xfId="27501"/>
    <cellStyle name="삼일-입력 16 9" xfId="27502"/>
    <cellStyle name="삼일-입력 16_분양(100%)" xfId="39202"/>
    <cellStyle name="삼일-입력 17" xfId="27503"/>
    <cellStyle name="삼일-입력 17 10" xfId="27504"/>
    <cellStyle name="삼일-입력 17 11" xfId="27505"/>
    <cellStyle name="삼일-입력 17 12" xfId="27506"/>
    <cellStyle name="삼일-입력 17 13" xfId="27507"/>
    <cellStyle name="삼일-입력 17 14" xfId="27508"/>
    <cellStyle name="삼일-입력 17 15" xfId="27509"/>
    <cellStyle name="삼일-입력 17 16" xfId="27510"/>
    <cellStyle name="삼일-입력 17 17" xfId="27511"/>
    <cellStyle name="삼일-입력 17 18" xfId="27512"/>
    <cellStyle name="삼일-입력 17 19" xfId="27513"/>
    <cellStyle name="삼일-입력 17 2" xfId="27514"/>
    <cellStyle name="삼일-입력 17 20" xfId="27515"/>
    <cellStyle name="삼일-입력 17 21" xfId="27516"/>
    <cellStyle name="삼일-입력 17 22" xfId="27517"/>
    <cellStyle name="삼일-입력 17 23" xfId="27518"/>
    <cellStyle name="삼일-입력 17 24" xfId="27519"/>
    <cellStyle name="삼일-입력 17 25" xfId="27520"/>
    <cellStyle name="삼일-입력 17 26" xfId="27521"/>
    <cellStyle name="삼일-입력 17 27" xfId="27522"/>
    <cellStyle name="삼일-입력 17 28" xfId="27523"/>
    <cellStyle name="삼일-입력 17 29" xfId="27524"/>
    <cellStyle name="삼일-입력 17 3" xfId="27525"/>
    <cellStyle name="삼일-입력 17 30" xfId="27526"/>
    <cellStyle name="삼일-입력 17 31" xfId="27527"/>
    <cellStyle name="삼일-입력 17 32" xfId="27528"/>
    <cellStyle name="삼일-입력 17 33" xfId="27529"/>
    <cellStyle name="삼일-입력 17 34" xfId="27530"/>
    <cellStyle name="삼일-입력 17 35" xfId="27531"/>
    <cellStyle name="삼일-입력 17 36" xfId="27532"/>
    <cellStyle name="삼일-입력 17 37" xfId="27533"/>
    <cellStyle name="삼일-입력 17 38" xfId="27534"/>
    <cellStyle name="삼일-입력 17 39" xfId="27535"/>
    <cellStyle name="삼일-입력 17 4" xfId="27536"/>
    <cellStyle name="삼일-입력 17 40" xfId="27537"/>
    <cellStyle name="삼일-입력 17 41" xfId="27538"/>
    <cellStyle name="삼일-입력 17 42" xfId="27539"/>
    <cellStyle name="삼일-입력 17 43" xfId="27540"/>
    <cellStyle name="삼일-입력 17 44" xfId="27541"/>
    <cellStyle name="삼일-입력 17 45" xfId="27542"/>
    <cellStyle name="삼일-입력 17 46" xfId="27543"/>
    <cellStyle name="삼일-입력 17 47" xfId="27544"/>
    <cellStyle name="삼일-입력 17 48" xfId="27545"/>
    <cellStyle name="삼일-입력 17 5" xfId="27546"/>
    <cellStyle name="삼일-입력 17 6" xfId="27547"/>
    <cellStyle name="삼일-입력 17 7" xfId="27548"/>
    <cellStyle name="삼일-입력 17 8" xfId="27549"/>
    <cellStyle name="삼일-입력 17 9" xfId="27550"/>
    <cellStyle name="삼일-입력 17_분양(100%)" xfId="39203"/>
    <cellStyle name="삼일-입력 18" xfId="27551"/>
    <cellStyle name="삼일-입력 18 10" xfId="27552"/>
    <cellStyle name="삼일-입력 18 11" xfId="27553"/>
    <cellStyle name="삼일-입력 18 12" xfId="27554"/>
    <cellStyle name="삼일-입력 18 13" xfId="27555"/>
    <cellStyle name="삼일-입력 18 14" xfId="27556"/>
    <cellStyle name="삼일-입력 18 15" xfId="27557"/>
    <cellStyle name="삼일-입력 18 16" xfId="27558"/>
    <cellStyle name="삼일-입력 18 17" xfId="27559"/>
    <cellStyle name="삼일-입력 18 18" xfId="27560"/>
    <cellStyle name="삼일-입력 18 19" xfId="27561"/>
    <cellStyle name="삼일-입력 18 2" xfId="27562"/>
    <cellStyle name="삼일-입력 18 20" xfId="27563"/>
    <cellStyle name="삼일-입력 18 21" xfId="27564"/>
    <cellStyle name="삼일-입력 18 22" xfId="27565"/>
    <cellStyle name="삼일-입력 18 23" xfId="27566"/>
    <cellStyle name="삼일-입력 18 24" xfId="27567"/>
    <cellStyle name="삼일-입력 18 25" xfId="27568"/>
    <cellStyle name="삼일-입력 18 26" xfId="27569"/>
    <cellStyle name="삼일-입력 18 27" xfId="27570"/>
    <cellStyle name="삼일-입력 18 28" xfId="27571"/>
    <cellStyle name="삼일-입력 18 29" xfId="27572"/>
    <cellStyle name="삼일-입력 18 3" xfId="27573"/>
    <cellStyle name="삼일-입력 18 30" xfId="27574"/>
    <cellStyle name="삼일-입력 18 31" xfId="27575"/>
    <cellStyle name="삼일-입력 18 32" xfId="27576"/>
    <cellStyle name="삼일-입력 18 33" xfId="27577"/>
    <cellStyle name="삼일-입력 18 34" xfId="27578"/>
    <cellStyle name="삼일-입력 18 35" xfId="27579"/>
    <cellStyle name="삼일-입력 18 36" xfId="27580"/>
    <cellStyle name="삼일-입력 18 37" xfId="27581"/>
    <cellStyle name="삼일-입력 18 38" xfId="27582"/>
    <cellStyle name="삼일-입력 18 39" xfId="27583"/>
    <cellStyle name="삼일-입력 18 4" xfId="27584"/>
    <cellStyle name="삼일-입력 18 40" xfId="27585"/>
    <cellStyle name="삼일-입력 18 41" xfId="27586"/>
    <cellStyle name="삼일-입력 18 42" xfId="27587"/>
    <cellStyle name="삼일-입력 18 43" xfId="27588"/>
    <cellStyle name="삼일-입력 18 44" xfId="27589"/>
    <cellStyle name="삼일-입력 18 45" xfId="27590"/>
    <cellStyle name="삼일-입력 18 46" xfId="27591"/>
    <cellStyle name="삼일-입력 18 47" xfId="27592"/>
    <cellStyle name="삼일-입력 18 48" xfId="27593"/>
    <cellStyle name="삼일-입력 18 5" xfId="27594"/>
    <cellStyle name="삼일-입력 18 6" xfId="27595"/>
    <cellStyle name="삼일-입력 18 7" xfId="27596"/>
    <cellStyle name="삼일-입력 18 8" xfId="27597"/>
    <cellStyle name="삼일-입력 18 9" xfId="27598"/>
    <cellStyle name="삼일-입력 18_분양(100%)" xfId="39204"/>
    <cellStyle name="삼일-입력 19" xfId="27599"/>
    <cellStyle name="삼일-입력 19 10" xfId="27600"/>
    <cellStyle name="삼일-입력 19 11" xfId="27601"/>
    <cellStyle name="삼일-입력 19 12" xfId="27602"/>
    <cellStyle name="삼일-입력 19 13" xfId="27603"/>
    <cellStyle name="삼일-입력 19 14" xfId="27604"/>
    <cellStyle name="삼일-입력 19 15" xfId="27605"/>
    <cellStyle name="삼일-입력 19 16" xfId="27606"/>
    <cellStyle name="삼일-입력 19 17" xfId="27607"/>
    <cellStyle name="삼일-입력 19 18" xfId="27608"/>
    <cellStyle name="삼일-입력 19 19" xfId="27609"/>
    <cellStyle name="삼일-입력 19 2" xfId="27610"/>
    <cellStyle name="삼일-입력 19 20" xfId="27611"/>
    <cellStyle name="삼일-입력 19 21" xfId="27612"/>
    <cellStyle name="삼일-입력 19 22" xfId="27613"/>
    <cellStyle name="삼일-입력 19 23" xfId="27614"/>
    <cellStyle name="삼일-입력 19 24" xfId="27615"/>
    <cellStyle name="삼일-입력 19 25" xfId="27616"/>
    <cellStyle name="삼일-입력 19 26" xfId="27617"/>
    <cellStyle name="삼일-입력 19 27" xfId="27618"/>
    <cellStyle name="삼일-입력 19 28" xfId="27619"/>
    <cellStyle name="삼일-입력 19 29" xfId="27620"/>
    <cellStyle name="삼일-입력 19 3" xfId="27621"/>
    <cellStyle name="삼일-입력 19 30" xfId="27622"/>
    <cellStyle name="삼일-입력 19 31" xfId="27623"/>
    <cellStyle name="삼일-입력 19 32" xfId="27624"/>
    <cellStyle name="삼일-입력 19 33" xfId="27625"/>
    <cellStyle name="삼일-입력 19 34" xfId="27626"/>
    <cellStyle name="삼일-입력 19 35" xfId="27627"/>
    <cellStyle name="삼일-입력 19 36" xfId="27628"/>
    <cellStyle name="삼일-입력 19 37" xfId="27629"/>
    <cellStyle name="삼일-입력 19 38" xfId="27630"/>
    <cellStyle name="삼일-입력 19 39" xfId="27631"/>
    <cellStyle name="삼일-입력 19 4" xfId="27632"/>
    <cellStyle name="삼일-입력 19 40" xfId="27633"/>
    <cellStyle name="삼일-입력 19 41" xfId="27634"/>
    <cellStyle name="삼일-입력 19 42" xfId="27635"/>
    <cellStyle name="삼일-입력 19 43" xfId="27636"/>
    <cellStyle name="삼일-입력 19 44" xfId="27637"/>
    <cellStyle name="삼일-입력 19 45" xfId="27638"/>
    <cellStyle name="삼일-입력 19 46" xfId="27639"/>
    <cellStyle name="삼일-입력 19 47" xfId="27640"/>
    <cellStyle name="삼일-입력 19 48" xfId="27641"/>
    <cellStyle name="삼일-입력 19 5" xfId="27642"/>
    <cellStyle name="삼일-입력 19 6" xfId="27643"/>
    <cellStyle name="삼일-입력 19 7" xfId="27644"/>
    <cellStyle name="삼일-입력 19 8" xfId="27645"/>
    <cellStyle name="삼일-입력 19 9" xfId="27646"/>
    <cellStyle name="삼일-입력 19_분양(100%)" xfId="39205"/>
    <cellStyle name="삼일-입력 2" xfId="27647"/>
    <cellStyle name="삼일-입력 2 10" xfId="27648"/>
    <cellStyle name="삼일-입력 2 11" xfId="27649"/>
    <cellStyle name="삼일-입력 2 12" xfId="27650"/>
    <cellStyle name="삼일-입력 2 13" xfId="27651"/>
    <cellStyle name="삼일-입력 2 14" xfId="27652"/>
    <cellStyle name="삼일-입력 2 15" xfId="27653"/>
    <cellStyle name="삼일-입력 2 16" xfId="27654"/>
    <cellStyle name="삼일-입력 2 17" xfId="27655"/>
    <cellStyle name="삼일-입력 2 18" xfId="27656"/>
    <cellStyle name="삼일-입력 2 19" xfId="27657"/>
    <cellStyle name="삼일-입력 2 2" xfId="27658"/>
    <cellStyle name="삼일-입력 2 20" xfId="27659"/>
    <cellStyle name="삼일-입력 2 21" xfId="27660"/>
    <cellStyle name="삼일-입력 2 22" xfId="27661"/>
    <cellStyle name="삼일-입력 2 23" xfId="27662"/>
    <cellStyle name="삼일-입력 2 24" xfId="27663"/>
    <cellStyle name="삼일-입력 2 25" xfId="27664"/>
    <cellStyle name="삼일-입력 2 26" xfId="27665"/>
    <cellStyle name="삼일-입력 2 27" xfId="27666"/>
    <cellStyle name="삼일-입력 2 28" xfId="27667"/>
    <cellStyle name="삼일-입력 2 29" xfId="27668"/>
    <cellStyle name="삼일-입력 2 3" xfId="27669"/>
    <cellStyle name="삼일-입력 2 30" xfId="27670"/>
    <cellStyle name="삼일-입력 2 31" xfId="27671"/>
    <cellStyle name="삼일-입력 2 32" xfId="27672"/>
    <cellStyle name="삼일-입력 2 33" xfId="27673"/>
    <cellStyle name="삼일-입력 2 34" xfId="27674"/>
    <cellStyle name="삼일-입력 2 35" xfId="27675"/>
    <cellStyle name="삼일-입력 2 36" xfId="27676"/>
    <cellStyle name="삼일-입력 2 37" xfId="27677"/>
    <cellStyle name="삼일-입력 2 38" xfId="27678"/>
    <cellStyle name="삼일-입력 2 39" xfId="27679"/>
    <cellStyle name="삼일-입력 2 4" xfId="27680"/>
    <cellStyle name="삼일-입력 2 40" xfId="27681"/>
    <cellStyle name="삼일-입력 2 41" xfId="27682"/>
    <cellStyle name="삼일-입력 2 42" xfId="27683"/>
    <cellStyle name="삼일-입력 2 43" xfId="27684"/>
    <cellStyle name="삼일-입력 2 44" xfId="27685"/>
    <cellStyle name="삼일-입력 2 45" xfId="27686"/>
    <cellStyle name="삼일-입력 2 5" xfId="27687"/>
    <cellStyle name="삼일-입력 2 6" xfId="27688"/>
    <cellStyle name="삼일-입력 2 7" xfId="27689"/>
    <cellStyle name="삼일-입력 2 8" xfId="27690"/>
    <cellStyle name="삼일-입력 2 9" xfId="27691"/>
    <cellStyle name="삼일-입력 2_분양(100%)" xfId="39206"/>
    <cellStyle name="삼일-입력 20" xfId="27692"/>
    <cellStyle name="삼일-입력 20 10" xfId="27693"/>
    <cellStyle name="삼일-입력 20 11" xfId="27694"/>
    <cellStyle name="삼일-입력 20 12" xfId="27695"/>
    <cellStyle name="삼일-입력 20 13" xfId="27696"/>
    <cellStyle name="삼일-입력 20 14" xfId="27697"/>
    <cellStyle name="삼일-입력 20 15" xfId="27698"/>
    <cellStyle name="삼일-입력 20 16" xfId="27699"/>
    <cellStyle name="삼일-입력 20 17" xfId="27700"/>
    <cellStyle name="삼일-입력 20 18" xfId="27701"/>
    <cellStyle name="삼일-입력 20 19" xfId="27702"/>
    <cellStyle name="삼일-입력 20 2" xfId="27703"/>
    <cellStyle name="삼일-입력 20 20" xfId="27704"/>
    <cellStyle name="삼일-입력 20 21" xfId="27705"/>
    <cellStyle name="삼일-입력 20 22" xfId="27706"/>
    <cellStyle name="삼일-입력 20 23" xfId="27707"/>
    <cellStyle name="삼일-입력 20 24" xfId="27708"/>
    <cellStyle name="삼일-입력 20 25" xfId="27709"/>
    <cellStyle name="삼일-입력 20 26" xfId="27710"/>
    <cellStyle name="삼일-입력 20 27" xfId="27711"/>
    <cellStyle name="삼일-입력 20 28" xfId="27712"/>
    <cellStyle name="삼일-입력 20 29" xfId="27713"/>
    <cellStyle name="삼일-입력 20 3" xfId="27714"/>
    <cellStyle name="삼일-입력 20 30" xfId="27715"/>
    <cellStyle name="삼일-입력 20 31" xfId="27716"/>
    <cellStyle name="삼일-입력 20 32" xfId="27717"/>
    <cellStyle name="삼일-입력 20 33" xfId="27718"/>
    <cellStyle name="삼일-입력 20 34" xfId="27719"/>
    <cellStyle name="삼일-입력 20 35" xfId="27720"/>
    <cellStyle name="삼일-입력 20 36" xfId="27721"/>
    <cellStyle name="삼일-입력 20 37" xfId="27722"/>
    <cellStyle name="삼일-입력 20 38" xfId="27723"/>
    <cellStyle name="삼일-입력 20 39" xfId="27724"/>
    <cellStyle name="삼일-입력 20 4" xfId="27725"/>
    <cellStyle name="삼일-입력 20 40" xfId="27726"/>
    <cellStyle name="삼일-입력 20 41" xfId="27727"/>
    <cellStyle name="삼일-입력 20 42" xfId="27728"/>
    <cellStyle name="삼일-입력 20 43" xfId="27729"/>
    <cellStyle name="삼일-입력 20 44" xfId="27730"/>
    <cellStyle name="삼일-입력 20 45" xfId="27731"/>
    <cellStyle name="삼일-입력 20 46" xfId="27732"/>
    <cellStyle name="삼일-입력 20 47" xfId="27733"/>
    <cellStyle name="삼일-입력 20 48" xfId="27734"/>
    <cellStyle name="삼일-입력 20 5" xfId="27735"/>
    <cellStyle name="삼일-입력 20 6" xfId="27736"/>
    <cellStyle name="삼일-입력 20 7" xfId="27737"/>
    <cellStyle name="삼일-입력 20 8" xfId="27738"/>
    <cellStyle name="삼일-입력 20 9" xfId="27739"/>
    <cellStyle name="삼일-입력 20_분양(100%)" xfId="39207"/>
    <cellStyle name="삼일-입력 21" xfId="27740"/>
    <cellStyle name="삼일-입력 21 10" xfId="27741"/>
    <cellStyle name="삼일-입력 21 11" xfId="27742"/>
    <cellStyle name="삼일-입력 21 12" xfId="27743"/>
    <cellStyle name="삼일-입력 21 13" xfId="27744"/>
    <cellStyle name="삼일-입력 21 14" xfId="27745"/>
    <cellStyle name="삼일-입력 21 15" xfId="27746"/>
    <cellStyle name="삼일-입력 21 16" xfId="27747"/>
    <cellStyle name="삼일-입력 21 17" xfId="27748"/>
    <cellStyle name="삼일-입력 21 18" xfId="27749"/>
    <cellStyle name="삼일-입력 21 19" xfId="27750"/>
    <cellStyle name="삼일-입력 21 2" xfId="27751"/>
    <cellStyle name="삼일-입력 21 20" xfId="27752"/>
    <cellStyle name="삼일-입력 21 21" xfId="27753"/>
    <cellStyle name="삼일-입력 21 22" xfId="27754"/>
    <cellStyle name="삼일-입력 21 23" xfId="27755"/>
    <cellStyle name="삼일-입력 21 24" xfId="27756"/>
    <cellStyle name="삼일-입력 21 25" xfId="27757"/>
    <cellStyle name="삼일-입력 21 26" xfId="27758"/>
    <cellStyle name="삼일-입력 21 27" xfId="27759"/>
    <cellStyle name="삼일-입력 21 28" xfId="27760"/>
    <cellStyle name="삼일-입력 21 29" xfId="27761"/>
    <cellStyle name="삼일-입력 21 3" xfId="27762"/>
    <cellStyle name="삼일-입력 21 30" xfId="27763"/>
    <cellStyle name="삼일-입력 21 31" xfId="27764"/>
    <cellStyle name="삼일-입력 21 32" xfId="27765"/>
    <cellStyle name="삼일-입력 21 33" xfId="27766"/>
    <cellStyle name="삼일-입력 21 34" xfId="27767"/>
    <cellStyle name="삼일-입력 21 35" xfId="27768"/>
    <cellStyle name="삼일-입력 21 36" xfId="27769"/>
    <cellStyle name="삼일-입력 21 37" xfId="27770"/>
    <cellStyle name="삼일-입력 21 38" xfId="27771"/>
    <cellStyle name="삼일-입력 21 39" xfId="27772"/>
    <cellStyle name="삼일-입력 21 4" xfId="27773"/>
    <cellStyle name="삼일-입력 21 40" xfId="27774"/>
    <cellStyle name="삼일-입력 21 41" xfId="27775"/>
    <cellStyle name="삼일-입력 21 42" xfId="27776"/>
    <cellStyle name="삼일-입력 21 43" xfId="27777"/>
    <cellStyle name="삼일-입력 21 44" xfId="27778"/>
    <cellStyle name="삼일-입력 21 45" xfId="27779"/>
    <cellStyle name="삼일-입력 21 46" xfId="27780"/>
    <cellStyle name="삼일-입력 21 47" xfId="27781"/>
    <cellStyle name="삼일-입력 21 48" xfId="27782"/>
    <cellStyle name="삼일-입력 21 5" xfId="27783"/>
    <cellStyle name="삼일-입력 21 6" xfId="27784"/>
    <cellStyle name="삼일-입력 21 7" xfId="27785"/>
    <cellStyle name="삼일-입력 21 8" xfId="27786"/>
    <cellStyle name="삼일-입력 21 9" xfId="27787"/>
    <cellStyle name="삼일-입력 21_분양(100%)" xfId="39208"/>
    <cellStyle name="삼일-입력 22" xfId="27788"/>
    <cellStyle name="삼일-입력 22 10" xfId="27789"/>
    <cellStyle name="삼일-입력 22 11" xfId="27790"/>
    <cellStyle name="삼일-입력 22 12" xfId="27791"/>
    <cellStyle name="삼일-입력 22 13" xfId="27792"/>
    <cellStyle name="삼일-입력 22 14" xfId="27793"/>
    <cellStyle name="삼일-입력 22 15" xfId="27794"/>
    <cellStyle name="삼일-입력 22 16" xfId="27795"/>
    <cellStyle name="삼일-입력 22 17" xfId="27796"/>
    <cellStyle name="삼일-입력 22 18" xfId="27797"/>
    <cellStyle name="삼일-입력 22 19" xfId="27798"/>
    <cellStyle name="삼일-입력 22 2" xfId="27799"/>
    <cellStyle name="삼일-입력 22 20" xfId="27800"/>
    <cellStyle name="삼일-입력 22 21" xfId="27801"/>
    <cellStyle name="삼일-입력 22 22" xfId="27802"/>
    <cellStyle name="삼일-입력 22 23" xfId="27803"/>
    <cellStyle name="삼일-입력 22 24" xfId="27804"/>
    <cellStyle name="삼일-입력 22 25" xfId="27805"/>
    <cellStyle name="삼일-입력 22 26" xfId="27806"/>
    <cellStyle name="삼일-입력 22 27" xfId="27807"/>
    <cellStyle name="삼일-입력 22 28" xfId="27808"/>
    <cellStyle name="삼일-입력 22 29" xfId="27809"/>
    <cellStyle name="삼일-입력 22 3" xfId="27810"/>
    <cellStyle name="삼일-입력 22 30" xfId="27811"/>
    <cellStyle name="삼일-입력 22 31" xfId="27812"/>
    <cellStyle name="삼일-입력 22 32" xfId="27813"/>
    <cellStyle name="삼일-입력 22 33" xfId="27814"/>
    <cellStyle name="삼일-입력 22 34" xfId="27815"/>
    <cellStyle name="삼일-입력 22 35" xfId="27816"/>
    <cellStyle name="삼일-입력 22 36" xfId="27817"/>
    <cellStyle name="삼일-입력 22 37" xfId="27818"/>
    <cellStyle name="삼일-입력 22 38" xfId="27819"/>
    <cellStyle name="삼일-입력 22 39" xfId="27820"/>
    <cellStyle name="삼일-입력 22 4" xfId="27821"/>
    <cellStyle name="삼일-입력 22 40" xfId="27822"/>
    <cellStyle name="삼일-입력 22 41" xfId="27823"/>
    <cellStyle name="삼일-입력 22 42" xfId="27824"/>
    <cellStyle name="삼일-입력 22 43" xfId="27825"/>
    <cellStyle name="삼일-입력 22 44" xfId="27826"/>
    <cellStyle name="삼일-입력 22 45" xfId="27827"/>
    <cellStyle name="삼일-입력 22 46" xfId="27828"/>
    <cellStyle name="삼일-입력 22 47" xfId="27829"/>
    <cellStyle name="삼일-입력 22 48" xfId="27830"/>
    <cellStyle name="삼일-입력 22 5" xfId="27831"/>
    <cellStyle name="삼일-입력 22 6" xfId="27832"/>
    <cellStyle name="삼일-입력 22 7" xfId="27833"/>
    <cellStyle name="삼일-입력 22 8" xfId="27834"/>
    <cellStyle name="삼일-입력 22 9" xfId="27835"/>
    <cellStyle name="삼일-입력 22_분양(100%)" xfId="39209"/>
    <cellStyle name="삼일-입력 23" xfId="27836"/>
    <cellStyle name="삼일-입력 23 10" xfId="27837"/>
    <cellStyle name="삼일-입력 23 11" xfId="27838"/>
    <cellStyle name="삼일-입력 23 12" xfId="27839"/>
    <cellStyle name="삼일-입력 23 13" xfId="27840"/>
    <cellStyle name="삼일-입력 23 14" xfId="27841"/>
    <cellStyle name="삼일-입력 23 15" xfId="27842"/>
    <cellStyle name="삼일-입력 23 16" xfId="27843"/>
    <cellStyle name="삼일-입력 23 17" xfId="27844"/>
    <cellStyle name="삼일-입력 23 18" xfId="27845"/>
    <cellStyle name="삼일-입력 23 19" xfId="27846"/>
    <cellStyle name="삼일-입력 23 2" xfId="27847"/>
    <cellStyle name="삼일-입력 23 20" xfId="27848"/>
    <cellStyle name="삼일-입력 23 21" xfId="27849"/>
    <cellStyle name="삼일-입력 23 22" xfId="27850"/>
    <cellStyle name="삼일-입력 23 23" xfId="27851"/>
    <cellStyle name="삼일-입력 23 24" xfId="27852"/>
    <cellStyle name="삼일-입력 23 25" xfId="27853"/>
    <cellStyle name="삼일-입력 23 26" xfId="27854"/>
    <cellStyle name="삼일-입력 23 27" xfId="27855"/>
    <cellStyle name="삼일-입력 23 28" xfId="27856"/>
    <cellStyle name="삼일-입력 23 29" xfId="27857"/>
    <cellStyle name="삼일-입력 23 3" xfId="27858"/>
    <cellStyle name="삼일-입력 23 30" xfId="27859"/>
    <cellStyle name="삼일-입력 23 31" xfId="27860"/>
    <cellStyle name="삼일-입력 23 32" xfId="27861"/>
    <cellStyle name="삼일-입력 23 33" xfId="27862"/>
    <cellStyle name="삼일-입력 23 34" xfId="27863"/>
    <cellStyle name="삼일-입력 23 35" xfId="27864"/>
    <cellStyle name="삼일-입력 23 36" xfId="27865"/>
    <cellStyle name="삼일-입력 23 37" xfId="27866"/>
    <cellStyle name="삼일-입력 23 38" xfId="27867"/>
    <cellStyle name="삼일-입력 23 39" xfId="27868"/>
    <cellStyle name="삼일-입력 23 4" xfId="27869"/>
    <cellStyle name="삼일-입력 23 40" xfId="27870"/>
    <cellStyle name="삼일-입력 23 41" xfId="27871"/>
    <cellStyle name="삼일-입력 23 42" xfId="27872"/>
    <cellStyle name="삼일-입력 23 43" xfId="27873"/>
    <cellStyle name="삼일-입력 23 44" xfId="27874"/>
    <cellStyle name="삼일-입력 23 45" xfId="27875"/>
    <cellStyle name="삼일-입력 23 46" xfId="27876"/>
    <cellStyle name="삼일-입력 23 47" xfId="27877"/>
    <cellStyle name="삼일-입력 23 48" xfId="27878"/>
    <cellStyle name="삼일-입력 23 5" xfId="27879"/>
    <cellStyle name="삼일-입력 23 6" xfId="27880"/>
    <cellStyle name="삼일-입력 23 7" xfId="27881"/>
    <cellStyle name="삼일-입력 23 8" xfId="27882"/>
    <cellStyle name="삼일-입력 23 9" xfId="27883"/>
    <cellStyle name="삼일-입력 23_분양(100%)" xfId="39210"/>
    <cellStyle name="삼일-입력 24" xfId="27884"/>
    <cellStyle name="삼일-입력 24 10" xfId="27885"/>
    <cellStyle name="삼일-입력 24 11" xfId="27886"/>
    <cellStyle name="삼일-입력 24 12" xfId="27887"/>
    <cellStyle name="삼일-입력 24 13" xfId="27888"/>
    <cellStyle name="삼일-입력 24 14" xfId="27889"/>
    <cellStyle name="삼일-입력 24 15" xfId="27890"/>
    <cellStyle name="삼일-입력 24 16" xfId="27891"/>
    <cellStyle name="삼일-입력 24 17" xfId="27892"/>
    <cellStyle name="삼일-입력 24 18" xfId="27893"/>
    <cellStyle name="삼일-입력 24 19" xfId="27894"/>
    <cellStyle name="삼일-입력 24 2" xfId="27895"/>
    <cellStyle name="삼일-입력 24 20" xfId="27896"/>
    <cellStyle name="삼일-입력 24 21" xfId="27897"/>
    <cellStyle name="삼일-입력 24 22" xfId="27898"/>
    <cellStyle name="삼일-입력 24 23" xfId="27899"/>
    <cellStyle name="삼일-입력 24 24" xfId="27900"/>
    <cellStyle name="삼일-입력 24 25" xfId="27901"/>
    <cellStyle name="삼일-입력 24 26" xfId="27902"/>
    <cellStyle name="삼일-입력 24 27" xfId="27903"/>
    <cellStyle name="삼일-입력 24 28" xfId="27904"/>
    <cellStyle name="삼일-입력 24 29" xfId="27905"/>
    <cellStyle name="삼일-입력 24 3" xfId="27906"/>
    <cellStyle name="삼일-입력 24 30" xfId="27907"/>
    <cellStyle name="삼일-입력 24 31" xfId="27908"/>
    <cellStyle name="삼일-입력 24 32" xfId="27909"/>
    <cellStyle name="삼일-입력 24 33" xfId="27910"/>
    <cellStyle name="삼일-입력 24 34" xfId="27911"/>
    <cellStyle name="삼일-입력 24 35" xfId="27912"/>
    <cellStyle name="삼일-입력 24 36" xfId="27913"/>
    <cellStyle name="삼일-입력 24 37" xfId="27914"/>
    <cellStyle name="삼일-입력 24 38" xfId="27915"/>
    <cellStyle name="삼일-입력 24 39" xfId="27916"/>
    <cellStyle name="삼일-입력 24 4" xfId="27917"/>
    <cellStyle name="삼일-입력 24 40" xfId="27918"/>
    <cellStyle name="삼일-입력 24 41" xfId="27919"/>
    <cellStyle name="삼일-입력 24 42" xfId="27920"/>
    <cellStyle name="삼일-입력 24 43" xfId="27921"/>
    <cellStyle name="삼일-입력 24 44" xfId="27922"/>
    <cellStyle name="삼일-입력 24 45" xfId="27923"/>
    <cellStyle name="삼일-입력 24 46" xfId="27924"/>
    <cellStyle name="삼일-입력 24 47" xfId="27925"/>
    <cellStyle name="삼일-입력 24 48" xfId="27926"/>
    <cellStyle name="삼일-입력 24 5" xfId="27927"/>
    <cellStyle name="삼일-입력 24 6" xfId="27928"/>
    <cellStyle name="삼일-입력 24 7" xfId="27929"/>
    <cellStyle name="삼일-입력 24 8" xfId="27930"/>
    <cellStyle name="삼일-입력 24 9" xfId="27931"/>
    <cellStyle name="삼일-입력 24_분양(100%)" xfId="39211"/>
    <cellStyle name="삼일-입력 25" xfId="27932"/>
    <cellStyle name="삼일-입력 25 10" xfId="27933"/>
    <cellStyle name="삼일-입력 25 11" xfId="27934"/>
    <cellStyle name="삼일-입력 25 12" xfId="27935"/>
    <cellStyle name="삼일-입력 25 13" xfId="27936"/>
    <cellStyle name="삼일-입력 25 14" xfId="27937"/>
    <cellStyle name="삼일-입력 25 15" xfId="27938"/>
    <cellStyle name="삼일-입력 25 16" xfId="27939"/>
    <cellStyle name="삼일-입력 25 17" xfId="27940"/>
    <cellStyle name="삼일-입력 25 18" xfId="27941"/>
    <cellStyle name="삼일-입력 25 19" xfId="27942"/>
    <cellStyle name="삼일-입력 25 2" xfId="27943"/>
    <cellStyle name="삼일-입력 25 20" xfId="27944"/>
    <cellStyle name="삼일-입력 25 21" xfId="27945"/>
    <cellStyle name="삼일-입력 25 22" xfId="27946"/>
    <cellStyle name="삼일-입력 25 23" xfId="27947"/>
    <cellStyle name="삼일-입력 25 24" xfId="27948"/>
    <cellStyle name="삼일-입력 25 25" xfId="27949"/>
    <cellStyle name="삼일-입력 25 26" xfId="27950"/>
    <cellStyle name="삼일-입력 25 27" xfId="27951"/>
    <cellStyle name="삼일-입력 25 28" xfId="27952"/>
    <cellStyle name="삼일-입력 25 29" xfId="27953"/>
    <cellStyle name="삼일-입력 25 3" xfId="27954"/>
    <cellStyle name="삼일-입력 25 30" xfId="27955"/>
    <cellStyle name="삼일-입력 25 31" xfId="27956"/>
    <cellStyle name="삼일-입력 25 32" xfId="27957"/>
    <cellStyle name="삼일-입력 25 33" xfId="27958"/>
    <cellStyle name="삼일-입력 25 34" xfId="27959"/>
    <cellStyle name="삼일-입력 25 35" xfId="27960"/>
    <cellStyle name="삼일-입력 25 36" xfId="27961"/>
    <cellStyle name="삼일-입력 25 37" xfId="27962"/>
    <cellStyle name="삼일-입력 25 38" xfId="27963"/>
    <cellStyle name="삼일-입력 25 39" xfId="27964"/>
    <cellStyle name="삼일-입력 25 4" xfId="27965"/>
    <cellStyle name="삼일-입력 25 40" xfId="27966"/>
    <cellStyle name="삼일-입력 25 41" xfId="27967"/>
    <cellStyle name="삼일-입력 25 42" xfId="27968"/>
    <cellStyle name="삼일-입력 25 43" xfId="27969"/>
    <cellStyle name="삼일-입력 25 44" xfId="27970"/>
    <cellStyle name="삼일-입력 25 45" xfId="27971"/>
    <cellStyle name="삼일-입력 25 46" xfId="27972"/>
    <cellStyle name="삼일-입력 25 47" xfId="27973"/>
    <cellStyle name="삼일-입력 25 48" xfId="27974"/>
    <cellStyle name="삼일-입력 25 5" xfId="27975"/>
    <cellStyle name="삼일-입력 25 6" xfId="27976"/>
    <cellStyle name="삼일-입력 25 7" xfId="27977"/>
    <cellStyle name="삼일-입력 25 8" xfId="27978"/>
    <cellStyle name="삼일-입력 25 9" xfId="27979"/>
    <cellStyle name="삼일-입력 25_분양(100%)" xfId="39212"/>
    <cellStyle name="삼일-입력 26" xfId="27980"/>
    <cellStyle name="삼일-입력 26 10" xfId="27981"/>
    <cellStyle name="삼일-입력 26 11" xfId="27982"/>
    <cellStyle name="삼일-입력 26 12" xfId="27983"/>
    <cellStyle name="삼일-입력 26 13" xfId="27984"/>
    <cellStyle name="삼일-입력 26 14" xfId="27985"/>
    <cellStyle name="삼일-입력 26 15" xfId="27986"/>
    <cellStyle name="삼일-입력 26 16" xfId="27987"/>
    <cellStyle name="삼일-입력 26 17" xfId="27988"/>
    <cellStyle name="삼일-입력 26 18" xfId="27989"/>
    <cellStyle name="삼일-입력 26 19" xfId="27990"/>
    <cellStyle name="삼일-입력 26 2" xfId="27991"/>
    <cellStyle name="삼일-입력 26 20" xfId="27992"/>
    <cellStyle name="삼일-입력 26 21" xfId="27993"/>
    <cellStyle name="삼일-입력 26 22" xfId="27994"/>
    <cellStyle name="삼일-입력 26 23" xfId="27995"/>
    <cellStyle name="삼일-입력 26 24" xfId="27996"/>
    <cellStyle name="삼일-입력 26 25" xfId="27997"/>
    <cellStyle name="삼일-입력 26 26" xfId="27998"/>
    <cellStyle name="삼일-입력 26 27" xfId="27999"/>
    <cellStyle name="삼일-입력 26 28" xfId="28000"/>
    <cellStyle name="삼일-입력 26 29" xfId="28001"/>
    <cellStyle name="삼일-입력 26 3" xfId="28002"/>
    <cellStyle name="삼일-입력 26 30" xfId="28003"/>
    <cellStyle name="삼일-입력 26 31" xfId="28004"/>
    <cellStyle name="삼일-입력 26 32" xfId="28005"/>
    <cellStyle name="삼일-입력 26 33" xfId="28006"/>
    <cellStyle name="삼일-입력 26 34" xfId="28007"/>
    <cellStyle name="삼일-입력 26 35" xfId="28008"/>
    <cellStyle name="삼일-입력 26 36" xfId="28009"/>
    <cellStyle name="삼일-입력 26 37" xfId="28010"/>
    <cellStyle name="삼일-입력 26 38" xfId="28011"/>
    <cellStyle name="삼일-입력 26 39" xfId="28012"/>
    <cellStyle name="삼일-입력 26 4" xfId="28013"/>
    <cellStyle name="삼일-입력 26 40" xfId="28014"/>
    <cellStyle name="삼일-입력 26 41" xfId="28015"/>
    <cellStyle name="삼일-입력 26 42" xfId="28016"/>
    <cellStyle name="삼일-입력 26 43" xfId="28017"/>
    <cellStyle name="삼일-입력 26 44" xfId="28018"/>
    <cellStyle name="삼일-입력 26 45" xfId="28019"/>
    <cellStyle name="삼일-입력 26 46" xfId="28020"/>
    <cellStyle name="삼일-입력 26 47" xfId="28021"/>
    <cellStyle name="삼일-입력 26 48" xfId="28022"/>
    <cellStyle name="삼일-입력 26 5" xfId="28023"/>
    <cellStyle name="삼일-입력 26 6" xfId="28024"/>
    <cellStyle name="삼일-입력 26 7" xfId="28025"/>
    <cellStyle name="삼일-입력 26 8" xfId="28026"/>
    <cellStyle name="삼일-입력 26 9" xfId="28027"/>
    <cellStyle name="삼일-입력 26_분양(100%)" xfId="39213"/>
    <cellStyle name="삼일-입력 27" xfId="28028"/>
    <cellStyle name="삼일-입력 27 10" xfId="28029"/>
    <cellStyle name="삼일-입력 27 11" xfId="28030"/>
    <cellStyle name="삼일-입력 27 12" xfId="28031"/>
    <cellStyle name="삼일-입력 27 13" xfId="28032"/>
    <cellStyle name="삼일-입력 27 14" xfId="28033"/>
    <cellStyle name="삼일-입력 27 15" xfId="28034"/>
    <cellStyle name="삼일-입력 27 16" xfId="28035"/>
    <cellStyle name="삼일-입력 27 17" xfId="28036"/>
    <cellStyle name="삼일-입력 27 18" xfId="28037"/>
    <cellStyle name="삼일-입력 27 19" xfId="28038"/>
    <cellStyle name="삼일-입력 27 2" xfId="28039"/>
    <cellStyle name="삼일-입력 27 20" xfId="28040"/>
    <cellStyle name="삼일-입력 27 21" xfId="28041"/>
    <cellStyle name="삼일-입력 27 22" xfId="28042"/>
    <cellStyle name="삼일-입력 27 23" xfId="28043"/>
    <cellStyle name="삼일-입력 27 24" xfId="28044"/>
    <cellStyle name="삼일-입력 27 25" xfId="28045"/>
    <cellStyle name="삼일-입력 27 26" xfId="28046"/>
    <cellStyle name="삼일-입력 27 27" xfId="28047"/>
    <cellStyle name="삼일-입력 27 28" xfId="28048"/>
    <cellStyle name="삼일-입력 27 29" xfId="28049"/>
    <cellStyle name="삼일-입력 27 3" xfId="28050"/>
    <cellStyle name="삼일-입력 27 30" xfId="28051"/>
    <cellStyle name="삼일-입력 27 31" xfId="28052"/>
    <cellStyle name="삼일-입력 27 32" xfId="28053"/>
    <cellStyle name="삼일-입력 27 33" xfId="28054"/>
    <cellStyle name="삼일-입력 27 34" xfId="28055"/>
    <cellStyle name="삼일-입력 27 35" xfId="28056"/>
    <cellStyle name="삼일-입력 27 36" xfId="28057"/>
    <cellStyle name="삼일-입력 27 37" xfId="28058"/>
    <cellStyle name="삼일-입력 27 38" xfId="28059"/>
    <cellStyle name="삼일-입력 27 39" xfId="28060"/>
    <cellStyle name="삼일-입력 27 4" xfId="28061"/>
    <cellStyle name="삼일-입력 27 40" xfId="28062"/>
    <cellStyle name="삼일-입력 27 41" xfId="28063"/>
    <cellStyle name="삼일-입력 27 42" xfId="28064"/>
    <cellStyle name="삼일-입력 27 43" xfId="28065"/>
    <cellStyle name="삼일-입력 27 44" xfId="28066"/>
    <cellStyle name="삼일-입력 27 45" xfId="28067"/>
    <cellStyle name="삼일-입력 27 46" xfId="28068"/>
    <cellStyle name="삼일-입력 27 47" xfId="28069"/>
    <cellStyle name="삼일-입력 27 48" xfId="28070"/>
    <cellStyle name="삼일-입력 27 5" xfId="28071"/>
    <cellStyle name="삼일-입력 27 6" xfId="28072"/>
    <cellStyle name="삼일-입력 27 7" xfId="28073"/>
    <cellStyle name="삼일-입력 27 8" xfId="28074"/>
    <cellStyle name="삼일-입력 27 9" xfId="28075"/>
    <cellStyle name="삼일-입력 27_분양(100%)" xfId="39214"/>
    <cellStyle name="삼일-입력 28" xfId="28076"/>
    <cellStyle name="삼일-입력 28 10" xfId="28077"/>
    <cellStyle name="삼일-입력 28 11" xfId="28078"/>
    <cellStyle name="삼일-입력 28 12" xfId="28079"/>
    <cellStyle name="삼일-입력 28 13" xfId="28080"/>
    <cellStyle name="삼일-입력 28 14" xfId="28081"/>
    <cellStyle name="삼일-입력 28 15" xfId="28082"/>
    <cellStyle name="삼일-입력 28 16" xfId="28083"/>
    <cellStyle name="삼일-입력 28 17" xfId="28084"/>
    <cellStyle name="삼일-입력 28 18" xfId="28085"/>
    <cellStyle name="삼일-입력 28 19" xfId="28086"/>
    <cellStyle name="삼일-입력 28 2" xfId="28087"/>
    <cellStyle name="삼일-입력 28 20" xfId="28088"/>
    <cellStyle name="삼일-입력 28 21" xfId="28089"/>
    <cellStyle name="삼일-입력 28 22" xfId="28090"/>
    <cellStyle name="삼일-입력 28 23" xfId="28091"/>
    <cellStyle name="삼일-입력 28 24" xfId="28092"/>
    <cellStyle name="삼일-입력 28 25" xfId="28093"/>
    <cellStyle name="삼일-입력 28 26" xfId="28094"/>
    <cellStyle name="삼일-입력 28 27" xfId="28095"/>
    <cellStyle name="삼일-입력 28 28" xfId="28096"/>
    <cellStyle name="삼일-입력 28 29" xfId="28097"/>
    <cellStyle name="삼일-입력 28 3" xfId="28098"/>
    <cellStyle name="삼일-입력 28 30" xfId="28099"/>
    <cellStyle name="삼일-입력 28 31" xfId="28100"/>
    <cellStyle name="삼일-입력 28 32" xfId="28101"/>
    <cellStyle name="삼일-입력 28 33" xfId="28102"/>
    <cellStyle name="삼일-입력 28 34" xfId="28103"/>
    <cellStyle name="삼일-입력 28 35" xfId="28104"/>
    <cellStyle name="삼일-입력 28 36" xfId="28105"/>
    <cellStyle name="삼일-입력 28 37" xfId="28106"/>
    <cellStyle name="삼일-입력 28 38" xfId="28107"/>
    <cellStyle name="삼일-입력 28 39" xfId="28108"/>
    <cellStyle name="삼일-입력 28 4" xfId="28109"/>
    <cellStyle name="삼일-입력 28 40" xfId="28110"/>
    <cellStyle name="삼일-입력 28 41" xfId="28111"/>
    <cellStyle name="삼일-입력 28 42" xfId="28112"/>
    <cellStyle name="삼일-입력 28 43" xfId="28113"/>
    <cellStyle name="삼일-입력 28 44" xfId="28114"/>
    <cellStyle name="삼일-입력 28 45" xfId="28115"/>
    <cellStyle name="삼일-입력 28 46" xfId="28116"/>
    <cellStyle name="삼일-입력 28 47" xfId="28117"/>
    <cellStyle name="삼일-입력 28 48" xfId="28118"/>
    <cellStyle name="삼일-입력 28 5" xfId="28119"/>
    <cellStyle name="삼일-입력 28 6" xfId="28120"/>
    <cellStyle name="삼일-입력 28 7" xfId="28121"/>
    <cellStyle name="삼일-입력 28 8" xfId="28122"/>
    <cellStyle name="삼일-입력 28 9" xfId="28123"/>
    <cellStyle name="삼일-입력 28_분양(100%)" xfId="39215"/>
    <cellStyle name="삼일-입력 29" xfId="28124"/>
    <cellStyle name="삼일-입력 29 10" xfId="28125"/>
    <cellStyle name="삼일-입력 29 11" xfId="28126"/>
    <cellStyle name="삼일-입력 29 12" xfId="28127"/>
    <cellStyle name="삼일-입력 29 13" xfId="28128"/>
    <cellStyle name="삼일-입력 29 14" xfId="28129"/>
    <cellStyle name="삼일-입력 29 15" xfId="28130"/>
    <cellStyle name="삼일-입력 29 16" xfId="28131"/>
    <cellStyle name="삼일-입력 29 17" xfId="28132"/>
    <cellStyle name="삼일-입력 29 18" xfId="28133"/>
    <cellStyle name="삼일-입력 29 19" xfId="28134"/>
    <cellStyle name="삼일-입력 29 2" xfId="28135"/>
    <cellStyle name="삼일-입력 29 20" xfId="28136"/>
    <cellStyle name="삼일-입력 29 21" xfId="28137"/>
    <cellStyle name="삼일-입력 29 22" xfId="28138"/>
    <cellStyle name="삼일-입력 29 23" xfId="28139"/>
    <cellStyle name="삼일-입력 29 24" xfId="28140"/>
    <cellStyle name="삼일-입력 29 25" xfId="28141"/>
    <cellStyle name="삼일-입력 29 26" xfId="28142"/>
    <cellStyle name="삼일-입력 29 27" xfId="28143"/>
    <cellStyle name="삼일-입력 29 28" xfId="28144"/>
    <cellStyle name="삼일-입력 29 29" xfId="28145"/>
    <cellStyle name="삼일-입력 29 3" xfId="28146"/>
    <cellStyle name="삼일-입력 29 30" xfId="28147"/>
    <cellStyle name="삼일-입력 29 31" xfId="28148"/>
    <cellStyle name="삼일-입력 29 32" xfId="28149"/>
    <cellStyle name="삼일-입력 29 33" xfId="28150"/>
    <cellStyle name="삼일-입력 29 34" xfId="28151"/>
    <cellStyle name="삼일-입력 29 35" xfId="28152"/>
    <cellStyle name="삼일-입력 29 36" xfId="28153"/>
    <cellStyle name="삼일-입력 29 37" xfId="28154"/>
    <cellStyle name="삼일-입력 29 38" xfId="28155"/>
    <cellStyle name="삼일-입력 29 39" xfId="28156"/>
    <cellStyle name="삼일-입력 29 4" xfId="28157"/>
    <cellStyle name="삼일-입력 29 40" xfId="28158"/>
    <cellStyle name="삼일-입력 29 41" xfId="28159"/>
    <cellStyle name="삼일-입력 29 42" xfId="28160"/>
    <cellStyle name="삼일-입력 29 43" xfId="28161"/>
    <cellStyle name="삼일-입력 29 44" xfId="28162"/>
    <cellStyle name="삼일-입력 29 45" xfId="28163"/>
    <cellStyle name="삼일-입력 29 46" xfId="28164"/>
    <cellStyle name="삼일-입력 29 47" xfId="28165"/>
    <cellStyle name="삼일-입력 29 48" xfId="28166"/>
    <cellStyle name="삼일-입력 29 5" xfId="28167"/>
    <cellStyle name="삼일-입력 29 6" xfId="28168"/>
    <cellStyle name="삼일-입력 29 7" xfId="28169"/>
    <cellStyle name="삼일-입력 29 8" xfId="28170"/>
    <cellStyle name="삼일-입력 29 9" xfId="28171"/>
    <cellStyle name="삼일-입력 29_분양(100%)" xfId="39216"/>
    <cellStyle name="삼일-입력 3" xfId="28172"/>
    <cellStyle name="삼일-입력 3 10" xfId="28173"/>
    <cellStyle name="삼일-입력 3 11" xfId="28174"/>
    <cellStyle name="삼일-입력 3 12" xfId="28175"/>
    <cellStyle name="삼일-입력 3 13" xfId="28176"/>
    <cellStyle name="삼일-입력 3 14" xfId="28177"/>
    <cellStyle name="삼일-입력 3 15" xfId="28178"/>
    <cellStyle name="삼일-입력 3 16" xfId="28179"/>
    <cellStyle name="삼일-입력 3 17" xfId="28180"/>
    <cellStyle name="삼일-입력 3 18" xfId="28181"/>
    <cellStyle name="삼일-입력 3 19" xfId="28182"/>
    <cellStyle name="삼일-입력 3 2" xfId="28183"/>
    <cellStyle name="삼일-입력 3 20" xfId="28184"/>
    <cellStyle name="삼일-입력 3 21" xfId="28185"/>
    <cellStyle name="삼일-입력 3 22" xfId="28186"/>
    <cellStyle name="삼일-입력 3 23" xfId="28187"/>
    <cellStyle name="삼일-입력 3 24" xfId="28188"/>
    <cellStyle name="삼일-입력 3 25" xfId="28189"/>
    <cellStyle name="삼일-입력 3 26" xfId="28190"/>
    <cellStyle name="삼일-입력 3 27" xfId="28191"/>
    <cellStyle name="삼일-입력 3 28" xfId="28192"/>
    <cellStyle name="삼일-입력 3 29" xfId="28193"/>
    <cellStyle name="삼일-입력 3 3" xfId="28194"/>
    <cellStyle name="삼일-입력 3 30" xfId="28195"/>
    <cellStyle name="삼일-입력 3 31" xfId="28196"/>
    <cellStyle name="삼일-입력 3 32" xfId="28197"/>
    <cellStyle name="삼일-입력 3 33" xfId="28198"/>
    <cellStyle name="삼일-입력 3 34" xfId="28199"/>
    <cellStyle name="삼일-입력 3 35" xfId="28200"/>
    <cellStyle name="삼일-입력 3 36" xfId="28201"/>
    <cellStyle name="삼일-입력 3 37" xfId="28202"/>
    <cellStyle name="삼일-입력 3 38" xfId="28203"/>
    <cellStyle name="삼일-입력 3 39" xfId="28204"/>
    <cellStyle name="삼일-입력 3 4" xfId="28205"/>
    <cellStyle name="삼일-입력 3 40" xfId="28206"/>
    <cellStyle name="삼일-입력 3 41" xfId="28207"/>
    <cellStyle name="삼일-입력 3 42" xfId="28208"/>
    <cellStyle name="삼일-입력 3 43" xfId="28209"/>
    <cellStyle name="삼일-입력 3 44" xfId="28210"/>
    <cellStyle name="삼일-입력 3 45" xfId="28211"/>
    <cellStyle name="삼일-입력 3 46" xfId="28212"/>
    <cellStyle name="삼일-입력 3 47" xfId="28213"/>
    <cellStyle name="삼일-입력 3 48" xfId="28214"/>
    <cellStyle name="삼일-입력 3 49" xfId="28215"/>
    <cellStyle name="삼일-입력 3 5" xfId="28216"/>
    <cellStyle name="삼일-입력 3 6" xfId="28217"/>
    <cellStyle name="삼일-입력 3 7" xfId="28218"/>
    <cellStyle name="삼일-입력 3 8" xfId="28219"/>
    <cellStyle name="삼일-입력 3 9" xfId="28220"/>
    <cellStyle name="삼일-입력 3_분양(100%)" xfId="39217"/>
    <cellStyle name="삼일-입력 30" xfId="28221"/>
    <cellStyle name="삼일-입력 30 10" xfId="28222"/>
    <cellStyle name="삼일-입력 30 11" xfId="28223"/>
    <cellStyle name="삼일-입력 30 12" xfId="28224"/>
    <cellStyle name="삼일-입력 30 13" xfId="28225"/>
    <cellStyle name="삼일-입력 30 14" xfId="28226"/>
    <cellStyle name="삼일-입력 30 15" xfId="28227"/>
    <cellStyle name="삼일-입력 30 16" xfId="28228"/>
    <cellStyle name="삼일-입력 30 17" xfId="28229"/>
    <cellStyle name="삼일-입력 30 18" xfId="28230"/>
    <cellStyle name="삼일-입력 30 19" xfId="28231"/>
    <cellStyle name="삼일-입력 30 2" xfId="28232"/>
    <cellStyle name="삼일-입력 30 20" xfId="28233"/>
    <cellStyle name="삼일-입력 30 21" xfId="28234"/>
    <cellStyle name="삼일-입력 30 22" xfId="28235"/>
    <cellStyle name="삼일-입력 30 23" xfId="28236"/>
    <cellStyle name="삼일-입력 30 24" xfId="28237"/>
    <cellStyle name="삼일-입력 30 25" xfId="28238"/>
    <cellStyle name="삼일-입력 30 26" xfId="28239"/>
    <cellStyle name="삼일-입력 30 27" xfId="28240"/>
    <cellStyle name="삼일-입력 30 28" xfId="28241"/>
    <cellStyle name="삼일-입력 30 29" xfId="28242"/>
    <cellStyle name="삼일-입력 30 3" xfId="28243"/>
    <cellStyle name="삼일-입력 30 30" xfId="28244"/>
    <cellStyle name="삼일-입력 30 31" xfId="28245"/>
    <cellStyle name="삼일-입력 30 32" xfId="28246"/>
    <cellStyle name="삼일-입력 30 33" xfId="28247"/>
    <cellStyle name="삼일-입력 30 34" xfId="28248"/>
    <cellStyle name="삼일-입력 30 35" xfId="28249"/>
    <cellStyle name="삼일-입력 30 36" xfId="28250"/>
    <cellStyle name="삼일-입력 30 37" xfId="28251"/>
    <cellStyle name="삼일-입력 30 38" xfId="28252"/>
    <cellStyle name="삼일-입력 30 39" xfId="28253"/>
    <cellStyle name="삼일-입력 30 4" xfId="28254"/>
    <cellStyle name="삼일-입력 30 40" xfId="28255"/>
    <cellStyle name="삼일-입력 30 41" xfId="28256"/>
    <cellStyle name="삼일-입력 30 42" xfId="28257"/>
    <cellStyle name="삼일-입력 30 43" xfId="28258"/>
    <cellStyle name="삼일-입력 30 44" xfId="28259"/>
    <cellStyle name="삼일-입력 30 45" xfId="28260"/>
    <cellStyle name="삼일-입력 30 46" xfId="28261"/>
    <cellStyle name="삼일-입력 30 47" xfId="28262"/>
    <cellStyle name="삼일-입력 30 48" xfId="28263"/>
    <cellStyle name="삼일-입력 30 5" xfId="28264"/>
    <cellStyle name="삼일-입력 30 6" xfId="28265"/>
    <cellStyle name="삼일-입력 30 7" xfId="28266"/>
    <cellStyle name="삼일-입력 30 8" xfId="28267"/>
    <cellStyle name="삼일-입력 30 9" xfId="28268"/>
    <cellStyle name="삼일-입력 30_분양(100%)" xfId="39218"/>
    <cellStyle name="삼일-입력 31" xfId="28269"/>
    <cellStyle name="삼일-입력 31 10" xfId="28270"/>
    <cellStyle name="삼일-입력 31 11" xfId="28271"/>
    <cellStyle name="삼일-입력 31 12" xfId="28272"/>
    <cellStyle name="삼일-입력 31 13" xfId="28273"/>
    <cellStyle name="삼일-입력 31 14" xfId="28274"/>
    <cellStyle name="삼일-입력 31 15" xfId="28275"/>
    <cellStyle name="삼일-입력 31 16" xfId="28276"/>
    <cellStyle name="삼일-입력 31 17" xfId="28277"/>
    <cellStyle name="삼일-입력 31 18" xfId="28278"/>
    <cellStyle name="삼일-입력 31 19" xfId="28279"/>
    <cellStyle name="삼일-입력 31 2" xfId="28280"/>
    <cellStyle name="삼일-입력 31 20" xfId="28281"/>
    <cellStyle name="삼일-입력 31 21" xfId="28282"/>
    <cellStyle name="삼일-입력 31 22" xfId="28283"/>
    <cellStyle name="삼일-입력 31 23" xfId="28284"/>
    <cellStyle name="삼일-입력 31 24" xfId="28285"/>
    <cellStyle name="삼일-입력 31 25" xfId="28286"/>
    <cellStyle name="삼일-입력 31 26" xfId="28287"/>
    <cellStyle name="삼일-입력 31 27" xfId="28288"/>
    <cellStyle name="삼일-입력 31 28" xfId="28289"/>
    <cellStyle name="삼일-입력 31 29" xfId="28290"/>
    <cellStyle name="삼일-입력 31 3" xfId="28291"/>
    <cellStyle name="삼일-입력 31 30" xfId="28292"/>
    <cellStyle name="삼일-입력 31 31" xfId="28293"/>
    <cellStyle name="삼일-입력 31 32" xfId="28294"/>
    <cellStyle name="삼일-입력 31 33" xfId="28295"/>
    <cellStyle name="삼일-입력 31 34" xfId="28296"/>
    <cellStyle name="삼일-입력 31 35" xfId="28297"/>
    <cellStyle name="삼일-입력 31 36" xfId="28298"/>
    <cellStyle name="삼일-입력 31 37" xfId="28299"/>
    <cellStyle name="삼일-입력 31 38" xfId="28300"/>
    <cellStyle name="삼일-입력 31 39" xfId="28301"/>
    <cellStyle name="삼일-입력 31 4" xfId="28302"/>
    <cellStyle name="삼일-입력 31 40" xfId="28303"/>
    <cellStyle name="삼일-입력 31 41" xfId="28304"/>
    <cellStyle name="삼일-입력 31 42" xfId="28305"/>
    <cellStyle name="삼일-입력 31 43" xfId="28306"/>
    <cellStyle name="삼일-입력 31 44" xfId="28307"/>
    <cellStyle name="삼일-입력 31 45" xfId="28308"/>
    <cellStyle name="삼일-입력 31 46" xfId="28309"/>
    <cellStyle name="삼일-입력 31 47" xfId="28310"/>
    <cellStyle name="삼일-입력 31 48" xfId="28311"/>
    <cellStyle name="삼일-입력 31 5" xfId="28312"/>
    <cellStyle name="삼일-입력 31 6" xfId="28313"/>
    <cellStyle name="삼일-입력 31 7" xfId="28314"/>
    <cellStyle name="삼일-입력 31 8" xfId="28315"/>
    <cellStyle name="삼일-입력 31 9" xfId="28316"/>
    <cellStyle name="삼일-입력 31_분양(100%)" xfId="39219"/>
    <cellStyle name="삼일-입력 32" xfId="28317"/>
    <cellStyle name="삼일-입력 32 10" xfId="28318"/>
    <cellStyle name="삼일-입력 32 11" xfId="28319"/>
    <cellStyle name="삼일-입력 32 12" xfId="28320"/>
    <cellStyle name="삼일-입력 32 13" xfId="28321"/>
    <cellStyle name="삼일-입력 32 14" xfId="28322"/>
    <cellStyle name="삼일-입력 32 15" xfId="28323"/>
    <cellStyle name="삼일-입력 32 16" xfId="28324"/>
    <cellStyle name="삼일-입력 32 17" xfId="28325"/>
    <cellStyle name="삼일-입력 32 18" xfId="28326"/>
    <cellStyle name="삼일-입력 32 19" xfId="28327"/>
    <cellStyle name="삼일-입력 32 2" xfId="28328"/>
    <cellStyle name="삼일-입력 32 20" xfId="28329"/>
    <cellStyle name="삼일-입력 32 21" xfId="28330"/>
    <cellStyle name="삼일-입력 32 22" xfId="28331"/>
    <cellStyle name="삼일-입력 32 23" xfId="28332"/>
    <cellStyle name="삼일-입력 32 24" xfId="28333"/>
    <cellStyle name="삼일-입력 32 25" xfId="28334"/>
    <cellStyle name="삼일-입력 32 26" xfId="28335"/>
    <cellStyle name="삼일-입력 32 27" xfId="28336"/>
    <cellStyle name="삼일-입력 32 28" xfId="28337"/>
    <cellStyle name="삼일-입력 32 29" xfId="28338"/>
    <cellStyle name="삼일-입력 32 3" xfId="28339"/>
    <cellStyle name="삼일-입력 32 30" xfId="28340"/>
    <cellStyle name="삼일-입력 32 31" xfId="28341"/>
    <cellStyle name="삼일-입력 32 32" xfId="28342"/>
    <cellStyle name="삼일-입력 32 33" xfId="28343"/>
    <cellStyle name="삼일-입력 32 34" xfId="28344"/>
    <cellStyle name="삼일-입력 32 35" xfId="28345"/>
    <cellStyle name="삼일-입력 32 36" xfId="28346"/>
    <cellStyle name="삼일-입력 32 37" xfId="28347"/>
    <cellStyle name="삼일-입력 32 38" xfId="28348"/>
    <cellStyle name="삼일-입력 32 39" xfId="28349"/>
    <cellStyle name="삼일-입력 32 4" xfId="28350"/>
    <cellStyle name="삼일-입력 32 40" xfId="28351"/>
    <cellStyle name="삼일-입력 32 41" xfId="28352"/>
    <cellStyle name="삼일-입력 32 42" xfId="28353"/>
    <cellStyle name="삼일-입력 32 43" xfId="28354"/>
    <cellStyle name="삼일-입력 32 44" xfId="28355"/>
    <cellStyle name="삼일-입력 32 45" xfId="28356"/>
    <cellStyle name="삼일-입력 32 46" xfId="28357"/>
    <cellStyle name="삼일-입력 32 47" xfId="28358"/>
    <cellStyle name="삼일-입력 32 48" xfId="28359"/>
    <cellStyle name="삼일-입력 32 5" xfId="28360"/>
    <cellStyle name="삼일-입력 32 6" xfId="28361"/>
    <cellStyle name="삼일-입력 32 7" xfId="28362"/>
    <cellStyle name="삼일-입력 32 8" xfId="28363"/>
    <cellStyle name="삼일-입력 32 9" xfId="28364"/>
    <cellStyle name="삼일-입력 32_분양(100%)" xfId="39220"/>
    <cellStyle name="삼일-입력 33" xfId="28365"/>
    <cellStyle name="삼일-입력 33 10" xfId="28366"/>
    <cellStyle name="삼일-입력 33 11" xfId="28367"/>
    <cellStyle name="삼일-입력 33 12" xfId="28368"/>
    <cellStyle name="삼일-입력 33 13" xfId="28369"/>
    <cellStyle name="삼일-입력 33 14" xfId="28370"/>
    <cellStyle name="삼일-입력 33 15" xfId="28371"/>
    <cellStyle name="삼일-입력 33 16" xfId="28372"/>
    <cellStyle name="삼일-입력 33 17" xfId="28373"/>
    <cellStyle name="삼일-입력 33 18" xfId="28374"/>
    <cellStyle name="삼일-입력 33 19" xfId="28375"/>
    <cellStyle name="삼일-입력 33 2" xfId="28376"/>
    <cellStyle name="삼일-입력 33 20" xfId="28377"/>
    <cellStyle name="삼일-입력 33 21" xfId="28378"/>
    <cellStyle name="삼일-입력 33 22" xfId="28379"/>
    <cellStyle name="삼일-입력 33 23" xfId="28380"/>
    <cellStyle name="삼일-입력 33 24" xfId="28381"/>
    <cellStyle name="삼일-입력 33 25" xfId="28382"/>
    <cellStyle name="삼일-입력 33 26" xfId="28383"/>
    <cellStyle name="삼일-입력 33 27" xfId="28384"/>
    <cellStyle name="삼일-입력 33 28" xfId="28385"/>
    <cellStyle name="삼일-입력 33 29" xfId="28386"/>
    <cellStyle name="삼일-입력 33 3" xfId="28387"/>
    <cellStyle name="삼일-입력 33 30" xfId="28388"/>
    <cellStyle name="삼일-입력 33 31" xfId="28389"/>
    <cellStyle name="삼일-입력 33 32" xfId="28390"/>
    <cellStyle name="삼일-입력 33 33" xfId="28391"/>
    <cellStyle name="삼일-입력 33 34" xfId="28392"/>
    <cellStyle name="삼일-입력 33 35" xfId="28393"/>
    <cellStyle name="삼일-입력 33 36" xfId="28394"/>
    <cellStyle name="삼일-입력 33 37" xfId="28395"/>
    <cellStyle name="삼일-입력 33 38" xfId="28396"/>
    <cellStyle name="삼일-입력 33 39" xfId="28397"/>
    <cellStyle name="삼일-입력 33 4" xfId="28398"/>
    <cellStyle name="삼일-입력 33 40" xfId="28399"/>
    <cellStyle name="삼일-입력 33 41" xfId="28400"/>
    <cellStyle name="삼일-입력 33 42" xfId="28401"/>
    <cellStyle name="삼일-입력 33 43" xfId="28402"/>
    <cellStyle name="삼일-입력 33 44" xfId="28403"/>
    <cellStyle name="삼일-입력 33 45" xfId="28404"/>
    <cellStyle name="삼일-입력 33 46" xfId="28405"/>
    <cellStyle name="삼일-입력 33 47" xfId="28406"/>
    <cellStyle name="삼일-입력 33 48" xfId="28407"/>
    <cellStyle name="삼일-입력 33 5" xfId="28408"/>
    <cellStyle name="삼일-입력 33 6" xfId="28409"/>
    <cellStyle name="삼일-입력 33 7" xfId="28410"/>
    <cellStyle name="삼일-입력 33 8" xfId="28411"/>
    <cellStyle name="삼일-입력 33 9" xfId="28412"/>
    <cellStyle name="삼일-입력 33_분양(100%)" xfId="39221"/>
    <cellStyle name="삼일-입력 34" xfId="28413"/>
    <cellStyle name="삼일-입력 34 10" xfId="28414"/>
    <cellStyle name="삼일-입력 34 11" xfId="28415"/>
    <cellStyle name="삼일-입력 34 12" xfId="28416"/>
    <cellStyle name="삼일-입력 34 13" xfId="28417"/>
    <cellStyle name="삼일-입력 34 14" xfId="28418"/>
    <cellStyle name="삼일-입력 34 15" xfId="28419"/>
    <cellStyle name="삼일-입력 34 16" xfId="28420"/>
    <cellStyle name="삼일-입력 34 17" xfId="28421"/>
    <cellStyle name="삼일-입력 34 18" xfId="28422"/>
    <cellStyle name="삼일-입력 34 19" xfId="28423"/>
    <cellStyle name="삼일-입력 34 2" xfId="28424"/>
    <cellStyle name="삼일-입력 34 20" xfId="28425"/>
    <cellStyle name="삼일-입력 34 21" xfId="28426"/>
    <cellStyle name="삼일-입력 34 22" xfId="28427"/>
    <cellStyle name="삼일-입력 34 23" xfId="28428"/>
    <cellStyle name="삼일-입력 34 24" xfId="28429"/>
    <cellStyle name="삼일-입력 34 25" xfId="28430"/>
    <cellStyle name="삼일-입력 34 26" xfId="28431"/>
    <cellStyle name="삼일-입력 34 27" xfId="28432"/>
    <cellStyle name="삼일-입력 34 28" xfId="28433"/>
    <cellStyle name="삼일-입력 34 29" xfId="28434"/>
    <cellStyle name="삼일-입력 34 3" xfId="28435"/>
    <cellStyle name="삼일-입력 34 30" xfId="28436"/>
    <cellStyle name="삼일-입력 34 31" xfId="28437"/>
    <cellStyle name="삼일-입력 34 32" xfId="28438"/>
    <cellStyle name="삼일-입력 34 33" xfId="28439"/>
    <cellStyle name="삼일-입력 34 34" xfId="28440"/>
    <cellStyle name="삼일-입력 34 35" xfId="28441"/>
    <cellStyle name="삼일-입력 34 36" xfId="28442"/>
    <cellStyle name="삼일-입력 34 37" xfId="28443"/>
    <cellStyle name="삼일-입력 34 38" xfId="28444"/>
    <cellStyle name="삼일-입력 34 39" xfId="28445"/>
    <cellStyle name="삼일-입력 34 4" xfId="28446"/>
    <cellStyle name="삼일-입력 34 40" xfId="28447"/>
    <cellStyle name="삼일-입력 34 41" xfId="28448"/>
    <cellStyle name="삼일-입력 34 42" xfId="28449"/>
    <cellStyle name="삼일-입력 34 43" xfId="28450"/>
    <cellStyle name="삼일-입력 34 44" xfId="28451"/>
    <cellStyle name="삼일-입력 34 45" xfId="28452"/>
    <cellStyle name="삼일-입력 34 46" xfId="28453"/>
    <cellStyle name="삼일-입력 34 47" xfId="28454"/>
    <cellStyle name="삼일-입력 34 48" xfId="28455"/>
    <cellStyle name="삼일-입력 34 5" xfId="28456"/>
    <cellStyle name="삼일-입력 34 6" xfId="28457"/>
    <cellStyle name="삼일-입력 34 7" xfId="28458"/>
    <cellStyle name="삼일-입력 34 8" xfId="28459"/>
    <cellStyle name="삼일-입력 34 9" xfId="28460"/>
    <cellStyle name="삼일-입력 34_분양(100%)" xfId="39222"/>
    <cellStyle name="삼일-입력 35" xfId="28461"/>
    <cellStyle name="삼일-입력 35 10" xfId="28462"/>
    <cellStyle name="삼일-입력 35 11" xfId="28463"/>
    <cellStyle name="삼일-입력 35 12" xfId="28464"/>
    <cellStyle name="삼일-입력 35 13" xfId="28465"/>
    <cellStyle name="삼일-입력 35 14" xfId="28466"/>
    <cellStyle name="삼일-입력 35 15" xfId="28467"/>
    <cellStyle name="삼일-입력 35 16" xfId="28468"/>
    <cellStyle name="삼일-입력 35 17" xfId="28469"/>
    <cellStyle name="삼일-입력 35 18" xfId="28470"/>
    <cellStyle name="삼일-입력 35 19" xfId="28471"/>
    <cellStyle name="삼일-입력 35 2" xfId="28472"/>
    <cellStyle name="삼일-입력 35 20" xfId="28473"/>
    <cellStyle name="삼일-입력 35 21" xfId="28474"/>
    <cellStyle name="삼일-입력 35 22" xfId="28475"/>
    <cellStyle name="삼일-입력 35 23" xfId="28476"/>
    <cellStyle name="삼일-입력 35 24" xfId="28477"/>
    <cellStyle name="삼일-입력 35 25" xfId="28478"/>
    <cellStyle name="삼일-입력 35 26" xfId="28479"/>
    <cellStyle name="삼일-입력 35 27" xfId="28480"/>
    <cellStyle name="삼일-입력 35 28" xfId="28481"/>
    <cellStyle name="삼일-입력 35 29" xfId="28482"/>
    <cellStyle name="삼일-입력 35 3" xfId="28483"/>
    <cellStyle name="삼일-입력 35 30" xfId="28484"/>
    <cellStyle name="삼일-입력 35 31" xfId="28485"/>
    <cellStyle name="삼일-입력 35 32" xfId="28486"/>
    <cellStyle name="삼일-입력 35 33" xfId="28487"/>
    <cellStyle name="삼일-입력 35 34" xfId="28488"/>
    <cellStyle name="삼일-입력 35 35" xfId="28489"/>
    <cellStyle name="삼일-입력 35 36" xfId="28490"/>
    <cellStyle name="삼일-입력 35 37" xfId="28491"/>
    <cellStyle name="삼일-입력 35 38" xfId="28492"/>
    <cellStyle name="삼일-입력 35 39" xfId="28493"/>
    <cellStyle name="삼일-입력 35 4" xfId="28494"/>
    <cellStyle name="삼일-입력 35 40" xfId="28495"/>
    <cellStyle name="삼일-입력 35 41" xfId="28496"/>
    <cellStyle name="삼일-입력 35 42" xfId="28497"/>
    <cellStyle name="삼일-입력 35 43" xfId="28498"/>
    <cellStyle name="삼일-입력 35 44" xfId="28499"/>
    <cellStyle name="삼일-입력 35 45" xfId="28500"/>
    <cellStyle name="삼일-입력 35 46" xfId="28501"/>
    <cellStyle name="삼일-입력 35 47" xfId="28502"/>
    <cellStyle name="삼일-입력 35 48" xfId="28503"/>
    <cellStyle name="삼일-입력 35 5" xfId="28504"/>
    <cellStyle name="삼일-입력 35 6" xfId="28505"/>
    <cellStyle name="삼일-입력 35 7" xfId="28506"/>
    <cellStyle name="삼일-입력 35 8" xfId="28507"/>
    <cellStyle name="삼일-입력 35 9" xfId="28508"/>
    <cellStyle name="삼일-입력 35_분양(100%)" xfId="39223"/>
    <cellStyle name="삼일-입력 36" xfId="28509"/>
    <cellStyle name="삼일-입력 36 10" xfId="28510"/>
    <cellStyle name="삼일-입력 36 11" xfId="28511"/>
    <cellStyle name="삼일-입력 36 12" xfId="28512"/>
    <cellStyle name="삼일-입력 36 13" xfId="28513"/>
    <cellStyle name="삼일-입력 36 14" xfId="28514"/>
    <cellStyle name="삼일-입력 36 15" xfId="28515"/>
    <cellStyle name="삼일-입력 36 16" xfId="28516"/>
    <cellStyle name="삼일-입력 36 17" xfId="28517"/>
    <cellStyle name="삼일-입력 36 18" xfId="28518"/>
    <cellStyle name="삼일-입력 36 19" xfId="28519"/>
    <cellStyle name="삼일-입력 36 2" xfId="28520"/>
    <cellStyle name="삼일-입력 36 20" xfId="28521"/>
    <cellStyle name="삼일-입력 36 21" xfId="28522"/>
    <cellStyle name="삼일-입력 36 22" xfId="28523"/>
    <cellStyle name="삼일-입력 36 23" xfId="28524"/>
    <cellStyle name="삼일-입력 36 24" xfId="28525"/>
    <cellStyle name="삼일-입력 36 25" xfId="28526"/>
    <cellStyle name="삼일-입력 36 26" xfId="28527"/>
    <cellStyle name="삼일-입력 36 27" xfId="28528"/>
    <cellStyle name="삼일-입력 36 28" xfId="28529"/>
    <cellStyle name="삼일-입력 36 29" xfId="28530"/>
    <cellStyle name="삼일-입력 36 3" xfId="28531"/>
    <cellStyle name="삼일-입력 36 30" xfId="28532"/>
    <cellStyle name="삼일-입력 36 31" xfId="28533"/>
    <cellStyle name="삼일-입력 36 32" xfId="28534"/>
    <cellStyle name="삼일-입력 36 33" xfId="28535"/>
    <cellStyle name="삼일-입력 36 34" xfId="28536"/>
    <cellStyle name="삼일-입력 36 35" xfId="28537"/>
    <cellStyle name="삼일-입력 36 36" xfId="28538"/>
    <cellStyle name="삼일-입력 36 37" xfId="28539"/>
    <cellStyle name="삼일-입력 36 38" xfId="28540"/>
    <cellStyle name="삼일-입력 36 39" xfId="28541"/>
    <cellStyle name="삼일-입력 36 4" xfId="28542"/>
    <cellStyle name="삼일-입력 36 40" xfId="28543"/>
    <cellStyle name="삼일-입력 36 41" xfId="28544"/>
    <cellStyle name="삼일-입력 36 42" xfId="28545"/>
    <cellStyle name="삼일-입력 36 43" xfId="28546"/>
    <cellStyle name="삼일-입력 36 44" xfId="28547"/>
    <cellStyle name="삼일-입력 36 45" xfId="28548"/>
    <cellStyle name="삼일-입력 36 46" xfId="28549"/>
    <cellStyle name="삼일-입력 36 47" xfId="28550"/>
    <cellStyle name="삼일-입력 36 48" xfId="28551"/>
    <cellStyle name="삼일-입력 36 5" xfId="28552"/>
    <cellStyle name="삼일-입력 36 6" xfId="28553"/>
    <cellStyle name="삼일-입력 36 7" xfId="28554"/>
    <cellStyle name="삼일-입력 36 8" xfId="28555"/>
    <cellStyle name="삼일-입력 36 9" xfId="28556"/>
    <cellStyle name="삼일-입력 36_분양(100%)" xfId="39224"/>
    <cellStyle name="삼일-입력 37" xfId="28557"/>
    <cellStyle name="삼일-입력 37 10" xfId="28558"/>
    <cellStyle name="삼일-입력 37 11" xfId="28559"/>
    <cellStyle name="삼일-입력 37 12" xfId="28560"/>
    <cellStyle name="삼일-입력 37 13" xfId="28561"/>
    <cellStyle name="삼일-입력 37 14" xfId="28562"/>
    <cellStyle name="삼일-입력 37 15" xfId="28563"/>
    <cellStyle name="삼일-입력 37 16" xfId="28564"/>
    <cellStyle name="삼일-입력 37 17" xfId="28565"/>
    <cellStyle name="삼일-입력 37 18" xfId="28566"/>
    <cellStyle name="삼일-입력 37 19" xfId="28567"/>
    <cellStyle name="삼일-입력 37 2" xfId="28568"/>
    <cellStyle name="삼일-입력 37 20" xfId="28569"/>
    <cellStyle name="삼일-입력 37 21" xfId="28570"/>
    <cellStyle name="삼일-입력 37 22" xfId="28571"/>
    <cellStyle name="삼일-입력 37 23" xfId="28572"/>
    <cellStyle name="삼일-입력 37 24" xfId="28573"/>
    <cellStyle name="삼일-입력 37 25" xfId="28574"/>
    <cellStyle name="삼일-입력 37 26" xfId="28575"/>
    <cellStyle name="삼일-입력 37 27" xfId="28576"/>
    <cellStyle name="삼일-입력 37 28" xfId="28577"/>
    <cellStyle name="삼일-입력 37 29" xfId="28578"/>
    <cellStyle name="삼일-입력 37 3" xfId="28579"/>
    <cellStyle name="삼일-입력 37 30" xfId="28580"/>
    <cellStyle name="삼일-입력 37 31" xfId="28581"/>
    <cellStyle name="삼일-입력 37 32" xfId="28582"/>
    <cellStyle name="삼일-입력 37 33" xfId="28583"/>
    <cellStyle name="삼일-입력 37 34" xfId="28584"/>
    <cellStyle name="삼일-입력 37 35" xfId="28585"/>
    <cellStyle name="삼일-입력 37 36" xfId="28586"/>
    <cellStyle name="삼일-입력 37 37" xfId="28587"/>
    <cellStyle name="삼일-입력 37 38" xfId="28588"/>
    <cellStyle name="삼일-입력 37 39" xfId="28589"/>
    <cellStyle name="삼일-입력 37 4" xfId="28590"/>
    <cellStyle name="삼일-입력 37 40" xfId="28591"/>
    <cellStyle name="삼일-입력 37 41" xfId="28592"/>
    <cellStyle name="삼일-입력 37 42" xfId="28593"/>
    <cellStyle name="삼일-입력 37 43" xfId="28594"/>
    <cellStyle name="삼일-입력 37 44" xfId="28595"/>
    <cellStyle name="삼일-입력 37 45" xfId="28596"/>
    <cellStyle name="삼일-입력 37 46" xfId="28597"/>
    <cellStyle name="삼일-입력 37 47" xfId="28598"/>
    <cellStyle name="삼일-입력 37 48" xfId="28599"/>
    <cellStyle name="삼일-입력 37 5" xfId="28600"/>
    <cellStyle name="삼일-입력 37 6" xfId="28601"/>
    <cellStyle name="삼일-입력 37 7" xfId="28602"/>
    <cellStyle name="삼일-입력 37 8" xfId="28603"/>
    <cellStyle name="삼일-입력 37 9" xfId="28604"/>
    <cellStyle name="삼일-입력 37_분양(100%)" xfId="39225"/>
    <cellStyle name="삼일-입력 38" xfId="28605"/>
    <cellStyle name="삼일-입력 38 10" xfId="28606"/>
    <cellStyle name="삼일-입력 38 11" xfId="28607"/>
    <cellStyle name="삼일-입력 38 12" xfId="28608"/>
    <cellStyle name="삼일-입력 38 13" xfId="28609"/>
    <cellStyle name="삼일-입력 38 14" xfId="28610"/>
    <cellStyle name="삼일-입력 38 15" xfId="28611"/>
    <cellStyle name="삼일-입력 38 16" xfId="28612"/>
    <cellStyle name="삼일-입력 38 17" xfId="28613"/>
    <cellStyle name="삼일-입력 38 18" xfId="28614"/>
    <cellStyle name="삼일-입력 38 19" xfId="28615"/>
    <cellStyle name="삼일-입력 38 2" xfId="28616"/>
    <cellStyle name="삼일-입력 38 20" xfId="28617"/>
    <cellStyle name="삼일-입력 38 21" xfId="28618"/>
    <cellStyle name="삼일-입력 38 22" xfId="28619"/>
    <cellStyle name="삼일-입력 38 23" xfId="28620"/>
    <cellStyle name="삼일-입력 38 24" xfId="28621"/>
    <cellStyle name="삼일-입력 38 25" xfId="28622"/>
    <cellStyle name="삼일-입력 38 26" xfId="28623"/>
    <cellStyle name="삼일-입력 38 27" xfId="28624"/>
    <cellStyle name="삼일-입력 38 28" xfId="28625"/>
    <cellStyle name="삼일-입력 38 29" xfId="28626"/>
    <cellStyle name="삼일-입력 38 3" xfId="28627"/>
    <cellStyle name="삼일-입력 38 30" xfId="28628"/>
    <cellStyle name="삼일-입력 38 31" xfId="28629"/>
    <cellStyle name="삼일-입력 38 32" xfId="28630"/>
    <cellStyle name="삼일-입력 38 33" xfId="28631"/>
    <cellStyle name="삼일-입력 38 34" xfId="28632"/>
    <cellStyle name="삼일-입력 38 35" xfId="28633"/>
    <cellStyle name="삼일-입력 38 36" xfId="28634"/>
    <cellStyle name="삼일-입력 38 37" xfId="28635"/>
    <cellStyle name="삼일-입력 38 38" xfId="28636"/>
    <cellStyle name="삼일-입력 38 39" xfId="28637"/>
    <cellStyle name="삼일-입력 38 4" xfId="28638"/>
    <cellStyle name="삼일-입력 38 40" xfId="28639"/>
    <cellStyle name="삼일-입력 38 41" xfId="28640"/>
    <cellStyle name="삼일-입력 38 42" xfId="28641"/>
    <cellStyle name="삼일-입력 38 43" xfId="28642"/>
    <cellStyle name="삼일-입력 38 44" xfId="28643"/>
    <cellStyle name="삼일-입력 38 45" xfId="28644"/>
    <cellStyle name="삼일-입력 38 46" xfId="28645"/>
    <cellStyle name="삼일-입력 38 47" xfId="28646"/>
    <cellStyle name="삼일-입력 38 48" xfId="28647"/>
    <cellStyle name="삼일-입력 38 5" xfId="28648"/>
    <cellStyle name="삼일-입력 38 6" xfId="28649"/>
    <cellStyle name="삼일-입력 38 7" xfId="28650"/>
    <cellStyle name="삼일-입력 38 8" xfId="28651"/>
    <cellStyle name="삼일-입력 38 9" xfId="28652"/>
    <cellStyle name="삼일-입력 38_분양(100%)" xfId="39226"/>
    <cellStyle name="삼일-입력 39" xfId="28653"/>
    <cellStyle name="삼일-입력 39 10" xfId="28654"/>
    <cellStyle name="삼일-입력 39 11" xfId="28655"/>
    <cellStyle name="삼일-입력 39 12" xfId="28656"/>
    <cellStyle name="삼일-입력 39 13" xfId="28657"/>
    <cellStyle name="삼일-입력 39 14" xfId="28658"/>
    <cellStyle name="삼일-입력 39 15" xfId="28659"/>
    <cellStyle name="삼일-입력 39 16" xfId="28660"/>
    <cellStyle name="삼일-입력 39 17" xfId="28661"/>
    <cellStyle name="삼일-입력 39 18" xfId="28662"/>
    <cellStyle name="삼일-입력 39 19" xfId="28663"/>
    <cellStyle name="삼일-입력 39 2" xfId="28664"/>
    <cellStyle name="삼일-입력 39 20" xfId="28665"/>
    <cellStyle name="삼일-입력 39 21" xfId="28666"/>
    <cellStyle name="삼일-입력 39 22" xfId="28667"/>
    <cellStyle name="삼일-입력 39 23" xfId="28668"/>
    <cellStyle name="삼일-입력 39 24" xfId="28669"/>
    <cellStyle name="삼일-입력 39 25" xfId="28670"/>
    <cellStyle name="삼일-입력 39 26" xfId="28671"/>
    <cellStyle name="삼일-입력 39 27" xfId="28672"/>
    <cellStyle name="삼일-입력 39 28" xfId="28673"/>
    <cellStyle name="삼일-입력 39 29" xfId="28674"/>
    <cellStyle name="삼일-입력 39 3" xfId="28675"/>
    <cellStyle name="삼일-입력 39 30" xfId="28676"/>
    <cellStyle name="삼일-입력 39 31" xfId="28677"/>
    <cellStyle name="삼일-입력 39 32" xfId="28678"/>
    <cellStyle name="삼일-입력 39 33" xfId="28679"/>
    <cellStyle name="삼일-입력 39 34" xfId="28680"/>
    <cellStyle name="삼일-입력 39 35" xfId="28681"/>
    <cellStyle name="삼일-입력 39 36" xfId="28682"/>
    <cellStyle name="삼일-입력 39 37" xfId="28683"/>
    <cellStyle name="삼일-입력 39 38" xfId="28684"/>
    <cellStyle name="삼일-입력 39 39" xfId="28685"/>
    <cellStyle name="삼일-입력 39 4" xfId="28686"/>
    <cellStyle name="삼일-입력 39 40" xfId="28687"/>
    <cellStyle name="삼일-입력 39 41" xfId="28688"/>
    <cellStyle name="삼일-입력 39 42" xfId="28689"/>
    <cellStyle name="삼일-입력 39 43" xfId="28690"/>
    <cellStyle name="삼일-입력 39 44" xfId="28691"/>
    <cellStyle name="삼일-입력 39 45" xfId="28692"/>
    <cellStyle name="삼일-입력 39 46" xfId="28693"/>
    <cellStyle name="삼일-입력 39 47" xfId="28694"/>
    <cellStyle name="삼일-입력 39 48" xfId="28695"/>
    <cellStyle name="삼일-입력 39 5" xfId="28696"/>
    <cellStyle name="삼일-입력 39 6" xfId="28697"/>
    <cellStyle name="삼일-입력 39 7" xfId="28698"/>
    <cellStyle name="삼일-입력 39 8" xfId="28699"/>
    <cellStyle name="삼일-입력 39 9" xfId="28700"/>
    <cellStyle name="삼일-입력 39_분양(100%)" xfId="39227"/>
    <cellStyle name="삼일-입력 4" xfId="28701"/>
    <cellStyle name="삼일-입력 4 10" xfId="28702"/>
    <cellStyle name="삼일-입력 4 11" xfId="28703"/>
    <cellStyle name="삼일-입력 4 12" xfId="28704"/>
    <cellStyle name="삼일-입력 4 13" xfId="28705"/>
    <cellStyle name="삼일-입력 4 14" xfId="28706"/>
    <cellStyle name="삼일-입력 4 15" xfId="28707"/>
    <cellStyle name="삼일-입력 4 16" xfId="28708"/>
    <cellStyle name="삼일-입력 4 17" xfId="28709"/>
    <cellStyle name="삼일-입력 4 18" xfId="28710"/>
    <cellStyle name="삼일-입력 4 19" xfId="28711"/>
    <cellStyle name="삼일-입력 4 2" xfId="28712"/>
    <cellStyle name="삼일-입력 4 20" xfId="28713"/>
    <cellStyle name="삼일-입력 4 21" xfId="28714"/>
    <cellStyle name="삼일-입력 4 22" xfId="28715"/>
    <cellStyle name="삼일-입력 4 23" xfId="28716"/>
    <cellStyle name="삼일-입력 4 24" xfId="28717"/>
    <cellStyle name="삼일-입력 4 25" xfId="28718"/>
    <cellStyle name="삼일-입력 4 26" xfId="28719"/>
    <cellStyle name="삼일-입력 4 27" xfId="28720"/>
    <cellStyle name="삼일-입력 4 28" xfId="28721"/>
    <cellStyle name="삼일-입력 4 29" xfId="28722"/>
    <cellStyle name="삼일-입력 4 3" xfId="28723"/>
    <cellStyle name="삼일-입력 4 30" xfId="28724"/>
    <cellStyle name="삼일-입력 4 31" xfId="28725"/>
    <cellStyle name="삼일-입력 4 32" xfId="28726"/>
    <cellStyle name="삼일-입력 4 33" xfId="28727"/>
    <cellStyle name="삼일-입력 4 34" xfId="28728"/>
    <cellStyle name="삼일-입력 4 35" xfId="28729"/>
    <cellStyle name="삼일-입력 4 36" xfId="28730"/>
    <cellStyle name="삼일-입력 4 37" xfId="28731"/>
    <cellStyle name="삼일-입력 4 38" xfId="28732"/>
    <cellStyle name="삼일-입력 4 39" xfId="28733"/>
    <cellStyle name="삼일-입력 4 4" xfId="28734"/>
    <cellStyle name="삼일-입력 4 40" xfId="28735"/>
    <cellStyle name="삼일-입력 4 41" xfId="28736"/>
    <cellStyle name="삼일-입력 4 42" xfId="28737"/>
    <cellStyle name="삼일-입력 4 43" xfId="28738"/>
    <cellStyle name="삼일-입력 4 44" xfId="28739"/>
    <cellStyle name="삼일-입력 4 45" xfId="28740"/>
    <cellStyle name="삼일-입력 4 46" xfId="28741"/>
    <cellStyle name="삼일-입력 4 47" xfId="28742"/>
    <cellStyle name="삼일-입력 4 48" xfId="28743"/>
    <cellStyle name="삼일-입력 4 5" xfId="28744"/>
    <cellStyle name="삼일-입력 4 6" xfId="28745"/>
    <cellStyle name="삼일-입력 4 7" xfId="28746"/>
    <cellStyle name="삼일-입력 4 8" xfId="28747"/>
    <cellStyle name="삼일-입력 4 9" xfId="28748"/>
    <cellStyle name="삼일-입력 4_분양(100%)" xfId="39228"/>
    <cellStyle name="삼일-입력 40" xfId="28749"/>
    <cellStyle name="삼일-입력 40 10" xfId="28750"/>
    <cellStyle name="삼일-입력 40 11" xfId="28751"/>
    <cellStyle name="삼일-입력 40 12" xfId="28752"/>
    <cellStyle name="삼일-입력 40 13" xfId="28753"/>
    <cellStyle name="삼일-입력 40 14" xfId="28754"/>
    <cellStyle name="삼일-입력 40 15" xfId="28755"/>
    <cellStyle name="삼일-입력 40 16" xfId="28756"/>
    <cellStyle name="삼일-입력 40 17" xfId="28757"/>
    <cellStyle name="삼일-입력 40 18" xfId="28758"/>
    <cellStyle name="삼일-입력 40 19" xfId="28759"/>
    <cellStyle name="삼일-입력 40 2" xfId="28760"/>
    <cellStyle name="삼일-입력 40 20" xfId="28761"/>
    <cellStyle name="삼일-입력 40 21" xfId="28762"/>
    <cellStyle name="삼일-입력 40 22" xfId="28763"/>
    <cellStyle name="삼일-입력 40 23" xfId="28764"/>
    <cellStyle name="삼일-입력 40 24" xfId="28765"/>
    <cellStyle name="삼일-입력 40 25" xfId="28766"/>
    <cellStyle name="삼일-입력 40 26" xfId="28767"/>
    <cellStyle name="삼일-입력 40 27" xfId="28768"/>
    <cellStyle name="삼일-입력 40 28" xfId="28769"/>
    <cellStyle name="삼일-입력 40 29" xfId="28770"/>
    <cellStyle name="삼일-입력 40 3" xfId="28771"/>
    <cellStyle name="삼일-입력 40 30" xfId="28772"/>
    <cellStyle name="삼일-입력 40 31" xfId="28773"/>
    <cellStyle name="삼일-입력 40 32" xfId="28774"/>
    <cellStyle name="삼일-입력 40 33" xfId="28775"/>
    <cellStyle name="삼일-입력 40 34" xfId="28776"/>
    <cellStyle name="삼일-입력 40 35" xfId="28777"/>
    <cellStyle name="삼일-입력 40 36" xfId="28778"/>
    <cellStyle name="삼일-입력 40 37" xfId="28779"/>
    <cellStyle name="삼일-입력 40 38" xfId="28780"/>
    <cellStyle name="삼일-입력 40 39" xfId="28781"/>
    <cellStyle name="삼일-입력 40 4" xfId="28782"/>
    <cellStyle name="삼일-입력 40 40" xfId="28783"/>
    <cellStyle name="삼일-입력 40 41" xfId="28784"/>
    <cellStyle name="삼일-입력 40 42" xfId="28785"/>
    <cellStyle name="삼일-입력 40 43" xfId="28786"/>
    <cellStyle name="삼일-입력 40 44" xfId="28787"/>
    <cellStyle name="삼일-입력 40 45" xfId="28788"/>
    <cellStyle name="삼일-입력 40 46" xfId="28789"/>
    <cellStyle name="삼일-입력 40 47" xfId="28790"/>
    <cellStyle name="삼일-입력 40 48" xfId="28791"/>
    <cellStyle name="삼일-입력 40 5" xfId="28792"/>
    <cellStyle name="삼일-입력 40 6" xfId="28793"/>
    <cellStyle name="삼일-입력 40 7" xfId="28794"/>
    <cellStyle name="삼일-입력 40 8" xfId="28795"/>
    <cellStyle name="삼일-입력 40 9" xfId="28796"/>
    <cellStyle name="삼일-입력 40_분양(100%)" xfId="39229"/>
    <cellStyle name="삼일-입력 41" xfId="28797"/>
    <cellStyle name="삼일-입력 42" xfId="28798"/>
    <cellStyle name="삼일-입력 43" xfId="28799"/>
    <cellStyle name="삼일-입력 44" xfId="28800"/>
    <cellStyle name="삼일-입력 45" xfId="28801"/>
    <cellStyle name="삼일-입력 5" xfId="28802"/>
    <cellStyle name="삼일-입력 5 10" xfId="28803"/>
    <cellStyle name="삼일-입력 5 11" xfId="28804"/>
    <cellStyle name="삼일-입력 5 12" xfId="28805"/>
    <cellStyle name="삼일-입력 5 13" xfId="28806"/>
    <cellStyle name="삼일-입력 5 14" xfId="28807"/>
    <cellStyle name="삼일-입력 5 15" xfId="28808"/>
    <cellStyle name="삼일-입력 5 16" xfId="28809"/>
    <cellStyle name="삼일-입력 5 17" xfId="28810"/>
    <cellStyle name="삼일-입력 5 18" xfId="28811"/>
    <cellStyle name="삼일-입력 5 19" xfId="28812"/>
    <cellStyle name="삼일-입력 5 2" xfId="28813"/>
    <cellStyle name="삼일-입력 5 20" xfId="28814"/>
    <cellStyle name="삼일-입력 5 21" xfId="28815"/>
    <cellStyle name="삼일-입력 5 22" xfId="28816"/>
    <cellStyle name="삼일-입력 5 23" xfId="28817"/>
    <cellStyle name="삼일-입력 5 24" xfId="28818"/>
    <cellStyle name="삼일-입력 5 25" xfId="28819"/>
    <cellStyle name="삼일-입력 5 26" xfId="28820"/>
    <cellStyle name="삼일-입력 5 27" xfId="28821"/>
    <cellStyle name="삼일-입력 5 28" xfId="28822"/>
    <cellStyle name="삼일-입력 5 29" xfId="28823"/>
    <cellStyle name="삼일-입력 5 3" xfId="28824"/>
    <cellStyle name="삼일-입력 5 30" xfId="28825"/>
    <cellStyle name="삼일-입력 5 31" xfId="28826"/>
    <cellStyle name="삼일-입력 5 32" xfId="28827"/>
    <cellStyle name="삼일-입력 5 33" xfId="28828"/>
    <cellStyle name="삼일-입력 5 34" xfId="28829"/>
    <cellStyle name="삼일-입력 5 35" xfId="28830"/>
    <cellStyle name="삼일-입력 5 36" xfId="28831"/>
    <cellStyle name="삼일-입력 5 37" xfId="28832"/>
    <cellStyle name="삼일-입력 5 38" xfId="28833"/>
    <cellStyle name="삼일-입력 5 39" xfId="28834"/>
    <cellStyle name="삼일-입력 5 4" xfId="28835"/>
    <cellStyle name="삼일-입력 5 40" xfId="28836"/>
    <cellStyle name="삼일-입력 5 41" xfId="28837"/>
    <cellStyle name="삼일-입력 5 42" xfId="28838"/>
    <cellStyle name="삼일-입력 5 43" xfId="28839"/>
    <cellStyle name="삼일-입력 5 44" xfId="28840"/>
    <cellStyle name="삼일-입력 5 45" xfId="28841"/>
    <cellStyle name="삼일-입력 5 46" xfId="28842"/>
    <cellStyle name="삼일-입력 5 47" xfId="28843"/>
    <cellStyle name="삼일-입력 5 48" xfId="28844"/>
    <cellStyle name="삼일-입력 5 5" xfId="28845"/>
    <cellStyle name="삼일-입력 5 6" xfId="28846"/>
    <cellStyle name="삼일-입력 5 7" xfId="28847"/>
    <cellStyle name="삼일-입력 5 8" xfId="28848"/>
    <cellStyle name="삼일-입력 5 9" xfId="28849"/>
    <cellStyle name="삼일-입력 5_분양(100%)" xfId="39230"/>
    <cellStyle name="삼일-입력 6" xfId="28850"/>
    <cellStyle name="삼일-입력 6 10" xfId="28851"/>
    <cellStyle name="삼일-입력 6 11" xfId="28852"/>
    <cellStyle name="삼일-입력 6 12" xfId="28853"/>
    <cellStyle name="삼일-입력 6 13" xfId="28854"/>
    <cellStyle name="삼일-입력 6 14" xfId="28855"/>
    <cellStyle name="삼일-입력 6 15" xfId="28856"/>
    <cellStyle name="삼일-입력 6 16" xfId="28857"/>
    <cellStyle name="삼일-입력 6 17" xfId="28858"/>
    <cellStyle name="삼일-입력 6 18" xfId="28859"/>
    <cellStyle name="삼일-입력 6 19" xfId="28860"/>
    <cellStyle name="삼일-입력 6 2" xfId="28861"/>
    <cellStyle name="삼일-입력 6 20" xfId="28862"/>
    <cellStyle name="삼일-입력 6 21" xfId="28863"/>
    <cellStyle name="삼일-입력 6 22" xfId="28864"/>
    <cellStyle name="삼일-입력 6 23" xfId="28865"/>
    <cellStyle name="삼일-입력 6 24" xfId="28866"/>
    <cellStyle name="삼일-입력 6 25" xfId="28867"/>
    <cellStyle name="삼일-입력 6 26" xfId="28868"/>
    <cellStyle name="삼일-입력 6 27" xfId="28869"/>
    <cellStyle name="삼일-입력 6 28" xfId="28870"/>
    <cellStyle name="삼일-입력 6 29" xfId="28871"/>
    <cellStyle name="삼일-입력 6 3" xfId="28872"/>
    <cellStyle name="삼일-입력 6 30" xfId="28873"/>
    <cellStyle name="삼일-입력 6 31" xfId="28874"/>
    <cellStyle name="삼일-입력 6 32" xfId="28875"/>
    <cellStyle name="삼일-입력 6 33" xfId="28876"/>
    <cellStyle name="삼일-입력 6 34" xfId="28877"/>
    <cellStyle name="삼일-입력 6 35" xfId="28878"/>
    <cellStyle name="삼일-입력 6 36" xfId="28879"/>
    <cellStyle name="삼일-입력 6 37" xfId="28880"/>
    <cellStyle name="삼일-입력 6 38" xfId="28881"/>
    <cellStyle name="삼일-입력 6 39" xfId="28882"/>
    <cellStyle name="삼일-입력 6 4" xfId="28883"/>
    <cellStyle name="삼일-입력 6 40" xfId="28884"/>
    <cellStyle name="삼일-입력 6 41" xfId="28885"/>
    <cellStyle name="삼일-입력 6 42" xfId="28886"/>
    <cellStyle name="삼일-입력 6 43" xfId="28887"/>
    <cellStyle name="삼일-입력 6 44" xfId="28888"/>
    <cellStyle name="삼일-입력 6 45" xfId="28889"/>
    <cellStyle name="삼일-입력 6 46" xfId="28890"/>
    <cellStyle name="삼일-입력 6 47" xfId="28891"/>
    <cellStyle name="삼일-입력 6 48" xfId="28892"/>
    <cellStyle name="삼일-입력 6 5" xfId="28893"/>
    <cellStyle name="삼일-입력 6 6" xfId="28894"/>
    <cellStyle name="삼일-입력 6 7" xfId="28895"/>
    <cellStyle name="삼일-입력 6 8" xfId="28896"/>
    <cellStyle name="삼일-입력 6 9" xfId="28897"/>
    <cellStyle name="삼일-입력 6_분양(100%)" xfId="39231"/>
    <cellStyle name="삼일-입력 7" xfId="28898"/>
    <cellStyle name="삼일-입력 7 10" xfId="28899"/>
    <cellStyle name="삼일-입력 7 11" xfId="28900"/>
    <cellStyle name="삼일-입력 7 12" xfId="28901"/>
    <cellStyle name="삼일-입력 7 13" xfId="28902"/>
    <cellStyle name="삼일-입력 7 14" xfId="28903"/>
    <cellStyle name="삼일-입력 7 15" xfId="28904"/>
    <cellStyle name="삼일-입력 7 16" xfId="28905"/>
    <cellStyle name="삼일-입력 7 17" xfId="28906"/>
    <cellStyle name="삼일-입력 7 18" xfId="28907"/>
    <cellStyle name="삼일-입력 7 19" xfId="28908"/>
    <cellStyle name="삼일-입력 7 2" xfId="28909"/>
    <cellStyle name="삼일-입력 7 20" xfId="28910"/>
    <cellStyle name="삼일-입력 7 21" xfId="28911"/>
    <cellStyle name="삼일-입력 7 22" xfId="28912"/>
    <cellStyle name="삼일-입력 7 23" xfId="28913"/>
    <cellStyle name="삼일-입력 7 24" xfId="28914"/>
    <cellStyle name="삼일-입력 7 25" xfId="28915"/>
    <cellStyle name="삼일-입력 7 26" xfId="28916"/>
    <cellStyle name="삼일-입력 7 27" xfId="28917"/>
    <cellStyle name="삼일-입력 7 28" xfId="28918"/>
    <cellStyle name="삼일-입력 7 29" xfId="28919"/>
    <cellStyle name="삼일-입력 7 3" xfId="28920"/>
    <cellStyle name="삼일-입력 7 30" xfId="28921"/>
    <cellStyle name="삼일-입력 7 31" xfId="28922"/>
    <cellStyle name="삼일-입력 7 32" xfId="28923"/>
    <cellStyle name="삼일-입력 7 33" xfId="28924"/>
    <cellStyle name="삼일-입력 7 34" xfId="28925"/>
    <cellStyle name="삼일-입력 7 35" xfId="28926"/>
    <cellStyle name="삼일-입력 7 36" xfId="28927"/>
    <cellStyle name="삼일-입력 7 37" xfId="28928"/>
    <cellStyle name="삼일-입력 7 38" xfId="28929"/>
    <cellStyle name="삼일-입력 7 39" xfId="28930"/>
    <cellStyle name="삼일-입력 7 4" xfId="28931"/>
    <cellStyle name="삼일-입력 7 40" xfId="28932"/>
    <cellStyle name="삼일-입력 7 41" xfId="28933"/>
    <cellStyle name="삼일-입력 7 42" xfId="28934"/>
    <cellStyle name="삼일-입력 7 43" xfId="28935"/>
    <cellStyle name="삼일-입력 7 44" xfId="28936"/>
    <cellStyle name="삼일-입력 7 45" xfId="28937"/>
    <cellStyle name="삼일-입력 7 46" xfId="28938"/>
    <cellStyle name="삼일-입력 7 47" xfId="28939"/>
    <cellStyle name="삼일-입력 7 48" xfId="28940"/>
    <cellStyle name="삼일-입력 7 5" xfId="28941"/>
    <cellStyle name="삼일-입력 7 6" xfId="28942"/>
    <cellStyle name="삼일-입력 7 7" xfId="28943"/>
    <cellStyle name="삼일-입력 7 8" xfId="28944"/>
    <cellStyle name="삼일-입력 7 9" xfId="28945"/>
    <cellStyle name="삼일-입력 7_분양(100%)" xfId="39232"/>
    <cellStyle name="삼일-입력 8" xfId="28946"/>
    <cellStyle name="삼일-입력 8 10" xfId="28947"/>
    <cellStyle name="삼일-입력 8 11" xfId="28948"/>
    <cellStyle name="삼일-입력 8 12" xfId="28949"/>
    <cellStyle name="삼일-입력 8 13" xfId="28950"/>
    <cellStyle name="삼일-입력 8 14" xfId="28951"/>
    <cellStyle name="삼일-입력 8 15" xfId="28952"/>
    <cellStyle name="삼일-입력 8 16" xfId="28953"/>
    <cellStyle name="삼일-입력 8 17" xfId="28954"/>
    <cellStyle name="삼일-입력 8 18" xfId="28955"/>
    <cellStyle name="삼일-입력 8 19" xfId="28956"/>
    <cellStyle name="삼일-입력 8 2" xfId="28957"/>
    <cellStyle name="삼일-입력 8 20" xfId="28958"/>
    <cellStyle name="삼일-입력 8 21" xfId="28959"/>
    <cellStyle name="삼일-입력 8 22" xfId="28960"/>
    <cellStyle name="삼일-입력 8 23" xfId="28961"/>
    <cellStyle name="삼일-입력 8 24" xfId="28962"/>
    <cellStyle name="삼일-입력 8 25" xfId="28963"/>
    <cellStyle name="삼일-입력 8 26" xfId="28964"/>
    <cellStyle name="삼일-입력 8 27" xfId="28965"/>
    <cellStyle name="삼일-입력 8 28" xfId="28966"/>
    <cellStyle name="삼일-입력 8 29" xfId="28967"/>
    <cellStyle name="삼일-입력 8 3" xfId="28968"/>
    <cellStyle name="삼일-입력 8 30" xfId="28969"/>
    <cellStyle name="삼일-입력 8 31" xfId="28970"/>
    <cellStyle name="삼일-입력 8 32" xfId="28971"/>
    <cellStyle name="삼일-입력 8 33" xfId="28972"/>
    <cellStyle name="삼일-입력 8 34" xfId="28973"/>
    <cellStyle name="삼일-입력 8 35" xfId="28974"/>
    <cellStyle name="삼일-입력 8 36" xfId="28975"/>
    <cellStyle name="삼일-입력 8 37" xfId="28976"/>
    <cellStyle name="삼일-입력 8 38" xfId="28977"/>
    <cellStyle name="삼일-입력 8 39" xfId="28978"/>
    <cellStyle name="삼일-입력 8 4" xfId="28979"/>
    <cellStyle name="삼일-입력 8 40" xfId="28980"/>
    <cellStyle name="삼일-입력 8 41" xfId="28981"/>
    <cellStyle name="삼일-입력 8 42" xfId="28982"/>
    <cellStyle name="삼일-입력 8 43" xfId="28983"/>
    <cellStyle name="삼일-입력 8 44" xfId="28984"/>
    <cellStyle name="삼일-입력 8 45" xfId="28985"/>
    <cellStyle name="삼일-입력 8 46" xfId="28986"/>
    <cellStyle name="삼일-입력 8 47" xfId="28987"/>
    <cellStyle name="삼일-입력 8 48" xfId="28988"/>
    <cellStyle name="삼일-입력 8 5" xfId="28989"/>
    <cellStyle name="삼일-입력 8 6" xfId="28990"/>
    <cellStyle name="삼일-입력 8 7" xfId="28991"/>
    <cellStyle name="삼일-입력 8 8" xfId="28992"/>
    <cellStyle name="삼일-입력 8 9" xfId="28993"/>
    <cellStyle name="삼일-입력 8_분양(100%)" xfId="39233"/>
    <cellStyle name="삼일-입력 9" xfId="28994"/>
    <cellStyle name="삼일-입력 9 10" xfId="28995"/>
    <cellStyle name="삼일-입력 9 11" xfId="28996"/>
    <cellStyle name="삼일-입력 9 12" xfId="28997"/>
    <cellStyle name="삼일-입력 9 13" xfId="28998"/>
    <cellStyle name="삼일-입력 9 14" xfId="28999"/>
    <cellStyle name="삼일-입력 9 15" xfId="29000"/>
    <cellStyle name="삼일-입력 9 16" xfId="29001"/>
    <cellStyle name="삼일-입력 9 17" xfId="29002"/>
    <cellStyle name="삼일-입력 9 18" xfId="29003"/>
    <cellStyle name="삼일-입력 9 19" xfId="29004"/>
    <cellStyle name="삼일-입력 9 2" xfId="29005"/>
    <cellStyle name="삼일-입력 9 20" xfId="29006"/>
    <cellStyle name="삼일-입력 9 21" xfId="29007"/>
    <cellStyle name="삼일-입력 9 22" xfId="29008"/>
    <cellStyle name="삼일-입력 9 23" xfId="29009"/>
    <cellStyle name="삼일-입력 9 24" xfId="29010"/>
    <cellStyle name="삼일-입력 9 25" xfId="29011"/>
    <cellStyle name="삼일-입력 9 26" xfId="29012"/>
    <cellStyle name="삼일-입력 9 27" xfId="29013"/>
    <cellStyle name="삼일-입력 9 28" xfId="29014"/>
    <cellStyle name="삼일-입력 9 29" xfId="29015"/>
    <cellStyle name="삼일-입력 9 3" xfId="29016"/>
    <cellStyle name="삼일-입력 9 30" xfId="29017"/>
    <cellStyle name="삼일-입력 9 31" xfId="29018"/>
    <cellStyle name="삼일-입력 9 32" xfId="29019"/>
    <cellStyle name="삼일-입력 9 33" xfId="29020"/>
    <cellStyle name="삼일-입력 9 34" xfId="29021"/>
    <cellStyle name="삼일-입력 9 35" xfId="29022"/>
    <cellStyle name="삼일-입력 9 36" xfId="29023"/>
    <cellStyle name="삼일-입력 9 37" xfId="29024"/>
    <cellStyle name="삼일-입력 9 38" xfId="29025"/>
    <cellStyle name="삼일-입력 9 39" xfId="29026"/>
    <cellStyle name="삼일-입력 9 4" xfId="29027"/>
    <cellStyle name="삼일-입력 9 40" xfId="29028"/>
    <cellStyle name="삼일-입력 9 41" xfId="29029"/>
    <cellStyle name="삼일-입력 9 42" xfId="29030"/>
    <cellStyle name="삼일-입력 9 43" xfId="29031"/>
    <cellStyle name="삼일-입력 9 44" xfId="29032"/>
    <cellStyle name="삼일-입력 9 45" xfId="29033"/>
    <cellStyle name="삼일-입력 9 46" xfId="29034"/>
    <cellStyle name="삼일-입력 9 47" xfId="29035"/>
    <cellStyle name="삼일-입력 9 48" xfId="29036"/>
    <cellStyle name="삼일-입력 9 5" xfId="29037"/>
    <cellStyle name="삼일-입력 9 6" xfId="29038"/>
    <cellStyle name="삼일-입력 9 7" xfId="29039"/>
    <cellStyle name="삼일-입력 9 8" xfId="29040"/>
    <cellStyle name="삼일-입력 9 9" xfId="29041"/>
    <cellStyle name="삼일-입력 9_분양(100%)" xfId="39234"/>
    <cellStyle name="삼일-입력_분양(100%)" xfId="39195"/>
    <cellStyle name="常规_Appendix J(cons)March" xfId="29042"/>
    <cellStyle name="새귑[0]_롤痰삠悧 " xfId="29043"/>
    <cellStyle name="새귑_롤痰삠悧 " xfId="29044"/>
    <cellStyle name="선택영역의 가운데로" xfId="2851"/>
    <cellStyle name="선택영역의 가운데로 10" xfId="29045"/>
    <cellStyle name="선택영역의 가운데로 11" xfId="29046"/>
    <cellStyle name="선택영역의 가운데로 12" xfId="29047"/>
    <cellStyle name="선택영역의 가운데로 13" xfId="29048"/>
    <cellStyle name="선택영역의 가운데로 14" xfId="29049"/>
    <cellStyle name="선택영역의 가운데로 15" xfId="29050"/>
    <cellStyle name="선택영역의 가운데로 16" xfId="29051"/>
    <cellStyle name="선택영역의 가운데로 17" xfId="29052"/>
    <cellStyle name="선택영역의 가운데로 18" xfId="29053"/>
    <cellStyle name="선택영역의 가운데로 19" xfId="29054"/>
    <cellStyle name="선택영역의 가운데로 2" xfId="29055"/>
    <cellStyle name="선택영역의 가운데로 2 10" xfId="29056"/>
    <cellStyle name="선택영역의 가운데로 2 11" xfId="29057"/>
    <cellStyle name="선택영역의 가운데로 2 12" xfId="29058"/>
    <cellStyle name="선택영역의 가운데로 2 13" xfId="29059"/>
    <cellStyle name="선택영역의 가운데로 2 2" xfId="29060"/>
    <cellStyle name="선택영역의 가운데로 2 3" xfId="29061"/>
    <cellStyle name="선택영역의 가운데로 2 4" xfId="29062"/>
    <cellStyle name="선택영역의 가운데로 2 5" xfId="29063"/>
    <cellStyle name="선택영역의 가운데로 2 6" xfId="29064"/>
    <cellStyle name="선택영역의 가운데로 2 7" xfId="29065"/>
    <cellStyle name="선택영역의 가운데로 2 8" xfId="29066"/>
    <cellStyle name="선택영역의 가운데로 2 9" xfId="29067"/>
    <cellStyle name="선택영역의 가운데로 2_분양(100%)" xfId="39236"/>
    <cellStyle name="선택영역의 가운데로 20" xfId="29068"/>
    <cellStyle name="선택영역의 가운데로 3" xfId="29069"/>
    <cellStyle name="선택영역의 가운데로 3 10" xfId="29070"/>
    <cellStyle name="선택영역의 가운데로 3 11" xfId="29071"/>
    <cellStyle name="선택영역의 가운데로 3 12" xfId="29072"/>
    <cellStyle name="선택영역의 가운데로 3 13" xfId="29073"/>
    <cellStyle name="선택영역의 가운데로 3 2" xfId="29074"/>
    <cellStyle name="선택영역의 가운데로 3 3" xfId="29075"/>
    <cellStyle name="선택영역의 가운데로 3 4" xfId="29076"/>
    <cellStyle name="선택영역의 가운데로 3 5" xfId="29077"/>
    <cellStyle name="선택영역의 가운데로 3 6" xfId="29078"/>
    <cellStyle name="선택영역의 가운데로 3 7" xfId="29079"/>
    <cellStyle name="선택영역의 가운데로 3 8" xfId="29080"/>
    <cellStyle name="선택영역의 가운데로 3 9" xfId="29081"/>
    <cellStyle name="선택영역의 가운데로 3_분양(100%)" xfId="39237"/>
    <cellStyle name="선택영역의 가운데로 4" xfId="29082"/>
    <cellStyle name="선택영역의 가운데로 4 10" xfId="29083"/>
    <cellStyle name="선택영역의 가운데로 4 11" xfId="29084"/>
    <cellStyle name="선택영역의 가운데로 4 12" xfId="29085"/>
    <cellStyle name="선택영역의 가운데로 4 13" xfId="29086"/>
    <cellStyle name="선택영역의 가운데로 4 2" xfId="29087"/>
    <cellStyle name="선택영역의 가운데로 4 3" xfId="29088"/>
    <cellStyle name="선택영역의 가운데로 4 4" xfId="29089"/>
    <cellStyle name="선택영역의 가운데로 4 5" xfId="29090"/>
    <cellStyle name="선택영역의 가운데로 4 6" xfId="29091"/>
    <cellStyle name="선택영역의 가운데로 4 7" xfId="29092"/>
    <cellStyle name="선택영역의 가운데로 4 8" xfId="29093"/>
    <cellStyle name="선택영역의 가운데로 4 9" xfId="29094"/>
    <cellStyle name="선택영역의 가운데로 4_분양(100%)" xfId="39238"/>
    <cellStyle name="선택영역의 가운데로 5" xfId="29095"/>
    <cellStyle name="선택영역의 가운데로 5 10" xfId="29096"/>
    <cellStyle name="선택영역의 가운데로 5 11" xfId="29097"/>
    <cellStyle name="선택영역의 가운데로 5 12" xfId="29098"/>
    <cellStyle name="선택영역의 가운데로 5 13" xfId="29099"/>
    <cellStyle name="선택영역의 가운데로 5 2" xfId="29100"/>
    <cellStyle name="선택영역의 가운데로 5 3" xfId="29101"/>
    <cellStyle name="선택영역의 가운데로 5 4" xfId="29102"/>
    <cellStyle name="선택영역의 가운데로 5 5" xfId="29103"/>
    <cellStyle name="선택영역의 가운데로 5 6" xfId="29104"/>
    <cellStyle name="선택영역의 가운데로 5 7" xfId="29105"/>
    <cellStyle name="선택영역의 가운데로 5 8" xfId="29106"/>
    <cellStyle name="선택영역의 가운데로 5 9" xfId="29107"/>
    <cellStyle name="선택영역의 가운데로 5_분양(100%)" xfId="39239"/>
    <cellStyle name="선택영역의 가운데로 6" xfId="29108"/>
    <cellStyle name="선택영역의 가운데로 6 10" xfId="29109"/>
    <cellStyle name="선택영역의 가운데로 6 11" xfId="29110"/>
    <cellStyle name="선택영역의 가운데로 6 12" xfId="29111"/>
    <cellStyle name="선택영역의 가운데로 6 13" xfId="29112"/>
    <cellStyle name="선택영역의 가운데로 6 2" xfId="29113"/>
    <cellStyle name="선택영역의 가운데로 6 3" xfId="29114"/>
    <cellStyle name="선택영역의 가운데로 6 4" xfId="29115"/>
    <cellStyle name="선택영역의 가운데로 6 5" xfId="29116"/>
    <cellStyle name="선택영역의 가운데로 6 6" xfId="29117"/>
    <cellStyle name="선택영역의 가운데로 6 7" xfId="29118"/>
    <cellStyle name="선택영역의 가운데로 6 8" xfId="29119"/>
    <cellStyle name="선택영역의 가운데로 6 9" xfId="29120"/>
    <cellStyle name="선택영역의 가운데로 6_분양(100%)" xfId="39240"/>
    <cellStyle name="선택영역의 가운데로 7" xfId="29121"/>
    <cellStyle name="선택영역의 가운데로 7 10" xfId="29122"/>
    <cellStyle name="선택영역의 가운데로 7 11" xfId="29123"/>
    <cellStyle name="선택영역의 가운데로 7 12" xfId="29124"/>
    <cellStyle name="선택영역의 가운데로 7 13" xfId="29125"/>
    <cellStyle name="선택영역의 가운데로 7 2" xfId="29126"/>
    <cellStyle name="선택영역의 가운데로 7 3" xfId="29127"/>
    <cellStyle name="선택영역의 가운데로 7 4" xfId="29128"/>
    <cellStyle name="선택영역의 가운데로 7 5" xfId="29129"/>
    <cellStyle name="선택영역의 가운데로 7 6" xfId="29130"/>
    <cellStyle name="선택영역의 가운데로 7 7" xfId="29131"/>
    <cellStyle name="선택영역의 가운데로 7 8" xfId="29132"/>
    <cellStyle name="선택영역의 가운데로 7 9" xfId="29133"/>
    <cellStyle name="선택영역의 가운데로 7_분양(100%)" xfId="39241"/>
    <cellStyle name="선택영역의 가운데로 8" xfId="29134"/>
    <cellStyle name="선택영역의 가운데로 9" xfId="29135"/>
    <cellStyle name="선택영역의 가운데로_분양(100%)" xfId="39235"/>
    <cellStyle name="설계변경" xfId="29136"/>
    <cellStyle name="설계변경 2" xfId="29137"/>
    <cellStyle name="설계변경_분양(100%)" xfId="39242"/>
    <cellStyle name="설계서" xfId="2852"/>
    <cellStyle name="설명 텍스트 2" xfId="4374"/>
    <cellStyle name="설명 텍스트 2 2" xfId="29138"/>
    <cellStyle name="설명 텍스트 2_분양(100%)" xfId="39243"/>
    <cellStyle name="설명 텍스트 3" xfId="29139"/>
    <cellStyle name="설명 텍스트 4" xfId="29140"/>
    <cellStyle name="설명 텍스트 5" xfId="29141"/>
    <cellStyle name="설명 텍스트 6" xfId="29142"/>
    <cellStyle name="셀 확인 2" xfId="4375"/>
    <cellStyle name="셀 확인 2 2" xfId="29143"/>
    <cellStyle name="셀 확인 2_분양(100%)" xfId="39244"/>
    <cellStyle name="셀 확인 3" xfId="29144"/>
    <cellStyle name="셀 확인 4" xfId="29145"/>
    <cellStyle name="셀 확인 5" xfId="29146"/>
    <cellStyle name="셀 확인 6" xfId="29147"/>
    <cellStyle name="셈迷?XLS!check_filesche|_x0005_" xfId="29148"/>
    <cellStyle name="소유자별 현황" xfId="29149"/>
    <cellStyle name="수당" xfId="2853"/>
    <cellStyle name="수당2" xfId="2854"/>
    <cellStyle name="수량" xfId="2855"/>
    <cellStyle name="수량1" xfId="29150"/>
    <cellStyle name="수목명" xfId="29151"/>
    <cellStyle name="숨기기" xfId="29152"/>
    <cellStyle name="숫자" xfId="4376"/>
    <cellStyle name="숫자 2" xfId="29153"/>
    <cellStyle name="숫자 3" xfId="29154"/>
    <cellStyle name="숫자(R)" xfId="251"/>
    <cellStyle name="숫자(R) 2" xfId="29155"/>
    <cellStyle name="숫자(R) 3" xfId="29156"/>
    <cellStyle name="숫자(R)_분양(100%)" xfId="39245"/>
    <cellStyle name="숫자[1]" xfId="4377"/>
    <cellStyle name="숫자[1] 2" xfId="29157"/>
    <cellStyle name="숫자[1]_분양(100%)" xfId="39246"/>
    <cellStyle name="숫자_2006년반기(해외포함)" xfId="29158"/>
    <cellStyle name="쉼표 [0]" xfId="5" builtinId="6"/>
    <cellStyle name="쉼표 [0] 10" xfId="534"/>
    <cellStyle name="쉼표 [0] 10 10" xfId="3224"/>
    <cellStyle name="쉼표 [0] 10 11" xfId="3225"/>
    <cellStyle name="쉼표 [0] 10 12" xfId="3226"/>
    <cellStyle name="쉼표 [0] 10 13" xfId="3227"/>
    <cellStyle name="쉼표 [0] 10 14" xfId="3228"/>
    <cellStyle name="쉼표 [0] 10 15" xfId="3229"/>
    <cellStyle name="쉼표 [0] 10 16" xfId="3230"/>
    <cellStyle name="쉼표 [0] 10 17" xfId="3231"/>
    <cellStyle name="쉼표 [0] 10 18" xfId="3232"/>
    <cellStyle name="쉼표 [0] 10 19" xfId="3233"/>
    <cellStyle name="쉼표 [0] 10 2" xfId="589"/>
    <cellStyle name="쉼표 [0] 10 2 2" xfId="3187"/>
    <cellStyle name="쉼표 [0] 10 2 2 2" xfId="3863"/>
    <cellStyle name="쉼표 [0] 10 2 2 2 2" xfId="4932"/>
    <cellStyle name="쉼표 [0] 10 2 2 3" xfId="4601"/>
    <cellStyle name="쉼표 [0] 10 2 3" xfId="3864"/>
    <cellStyle name="쉼표 [0] 10 2 3 2" xfId="4933"/>
    <cellStyle name="쉼표 [0] 10 2 4" xfId="4444"/>
    <cellStyle name="쉼표 [0] 10 2_분양(100%)" xfId="39248"/>
    <cellStyle name="쉼표 [0] 10 20" xfId="3234"/>
    <cellStyle name="쉼표 [0] 10 21" xfId="3235"/>
    <cellStyle name="쉼표 [0] 10 22" xfId="3236"/>
    <cellStyle name="쉼표 [0] 10 23" xfId="4429"/>
    <cellStyle name="쉼표 [0] 10 3" xfId="3139"/>
    <cellStyle name="쉼표 [0] 10 3 2" xfId="3865"/>
    <cellStyle name="쉼표 [0] 10 3 2 2" xfId="4934"/>
    <cellStyle name="쉼표 [0] 10 3 3" xfId="4554"/>
    <cellStyle name="쉼표 [0] 10 4" xfId="3237"/>
    <cellStyle name="쉼표 [0] 10 5" xfId="3238"/>
    <cellStyle name="쉼표 [0] 10 6" xfId="3239"/>
    <cellStyle name="쉼표 [0] 10 7" xfId="3240"/>
    <cellStyle name="쉼표 [0] 10 8" xfId="3241"/>
    <cellStyle name="쉼표 [0] 10 9" xfId="3242"/>
    <cellStyle name="쉼표 [0] 10_분양(100%)" xfId="39247"/>
    <cellStyle name="쉼표 [0] 100" xfId="29159"/>
    <cellStyle name="쉼표 [0] 100 2" xfId="29160"/>
    <cellStyle name="쉼표 [0] 100_분양(100%)" xfId="39249"/>
    <cellStyle name="쉼표 [0] 101" xfId="29161"/>
    <cellStyle name="쉼표 [0] 101 2" xfId="29162"/>
    <cellStyle name="쉼표 [0] 101_분양(100%)" xfId="39250"/>
    <cellStyle name="쉼표 [0] 102" xfId="29163"/>
    <cellStyle name="쉼표 [0] 102 2" xfId="29164"/>
    <cellStyle name="쉼표 [0] 102_분양(100%)" xfId="39251"/>
    <cellStyle name="쉼표 [0] 103" xfId="29165"/>
    <cellStyle name="쉼표 [0] 103 2" xfId="29166"/>
    <cellStyle name="쉼표 [0] 103_분양(100%)" xfId="39252"/>
    <cellStyle name="쉼표 [0] 104" xfId="29167"/>
    <cellStyle name="쉼표 [0] 104 2" xfId="29168"/>
    <cellStyle name="쉼표 [0] 104_분양(100%)" xfId="39253"/>
    <cellStyle name="쉼표 [0] 105" xfId="29169"/>
    <cellStyle name="쉼표 [0] 105 2" xfId="29170"/>
    <cellStyle name="쉼표 [0] 105_분양(100%)" xfId="39254"/>
    <cellStyle name="쉼표 [0] 106" xfId="29171"/>
    <cellStyle name="쉼표 [0] 106 2" xfId="29172"/>
    <cellStyle name="쉼표 [0] 106_분양(100%)" xfId="39255"/>
    <cellStyle name="쉼표 [0] 107" xfId="29173"/>
    <cellStyle name="쉼표 [0] 107 2" xfId="29174"/>
    <cellStyle name="쉼표 [0] 107_분양(100%)" xfId="39256"/>
    <cellStyle name="쉼표 [0] 108" xfId="29175"/>
    <cellStyle name="쉼표 [0] 108 2" xfId="29176"/>
    <cellStyle name="쉼표 [0] 108_분양(100%)" xfId="39257"/>
    <cellStyle name="쉼표 [0] 109" xfId="29177"/>
    <cellStyle name="쉼표 [0] 109 2" xfId="29178"/>
    <cellStyle name="쉼표 [0] 109_분양(100%)" xfId="39258"/>
    <cellStyle name="쉼표 [0] 11" xfId="607"/>
    <cellStyle name="쉼표 [0] 11 10" xfId="29179"/>
    <cellStyle name="쉼표 [0] 11 11" xfId="29180"/>
    <cellStyle name="쉼표 [0] 11 12" xfId="29181"/>
    <cellStyle name="쉼표 [0] 11 13" xfId="29182"/>
    <cellStyle name="쉼표 [0] 11 14" xfId="29183"/>
    <cellStyle name="쉼표 [0] 11 15" xfId="29184"/>
    <cellStyle name="쉼표 [0] 11 16" xfId="29185"/>
    <cellStyle name="쉼표 [0] 11 17" xfId="29186"/>
    <cellStyle name="쉼표 [0] 11 18" xfId="29187"/>
    <cellStyle name="쉼표 [0] 11 19" xfId="29188"/>
    <cellStyle name="쉼표 [0] 11 2" xfId="3197"/>
    <cellStyle name="쉼표 [0] 11 2 2" xfId="3866"/>
    <cellStyle name="쉼표 [0] 11 2 2 2" xfId="4935"/>
    <cellStyle name="쉼표 [0] 11 2 3" xfId="4611"/>
    <cellStyle name="쉼표 [0] 11 2_분양(100%)" xfId="39260"/>
    <cellStyle name="쉼표 [0] 11 20" xfId="29189"/>
    <cellStyle name="쉼표 [0] 11 21" xfId="29190"/>
    <cellStyle name="쉼표 [0] 11 22" xfId="29191"/>
    <cellStyle name="쉼표 [0] 11 23" xfId="29192"/>
    <cellStyle name="쉼표 [0] 11 24" xfId="29193"/>
    <cellStyle name="쉼표 [0] 11 25" xfId="29194"/>
    <cellStyle name="쉼표 [0] 11 26" xfId="29195"/>
    <cellStyle name="쉼표 [0] 11 27" xfId="29196"/>
    <cellStyle name="쉼표 [0] 11 28" xfId="29197"/>
    <cellStyle name="쉼표 [0] 11 29" xfId="29198"/>
    <cellStyle name="쉼표 [0] 11 3" xfId="3867"/>
    <cellStyle name="쉼표 [0] 11 3 2" xfId="4936"/>
    <cellStyle name="쉼표 [0] 11 3_분양(100%)" xfId="39261"/>
    <cellStyle name="쉼표 [0] 11 30" xfId="29199"/>
    <cellStyle name="쉼표 [0] 11 31" xfId="29200"/>
    <cellStyle name="쉼표 [0] 11 32" xfId="29201"/>
    <cellStyle name="쉼표 [0] 11 33" xfId="29202"/>
    <cellStyle name="쉼표 [0] 11 34" xfId="29203"/>
    <cellStyle name="쉼표 [0] 11 35" xfId="29204"/>
    <cellStyle name="쉼표 [0] 11 36" xfId="29205"/>
    <cellStyle name="쉼표 [0] 11 37" xfId="29206"/>
    <cellStyle name="쉼표 [0] 11 38" xfId="29207"/>
    <cellStyle name="쉼표 [0] 11 39" xfId="29208"/>
    <cellStyle name="쉼표 [0] 11 4" xfId="4449"/>
    <cellStyle name="쉼표 [0] 11 40" xfId="29209"/>
    <cellStyle name="쉼표 [0] 11 41" xfId="29210"/>
    <cellStyle name="쉼표 [0] 11 42" xfId="29211"/>
    <cellStyle name="쉼표 [0] 11 43" xfId="29212"/>
    <cellStyle name="쉼표 [0] 11 44" xfId="29213"/>
    <cellStyle name="쉼표 [0] 11 45" xfId="29214"/>
    <cellStyle name="쉼표 [0] 11 46" xfId="29215"/>
    <cellStyle name="쉼표 [0] 11 47" xfId="29216"/>
    <cellStyle name="쉼표 [0] 11 48" xfId="29217"/>
    <cellStyle name="쉼표 [0] 11 49" xfId="29218"/>
    <cellStyle name="쉼표 [0] 11 5" xfId="29219"/>
    <cellStyle name="쉼표 [0] 11 50" xfId="29220"/>
    <cellStyle name="쉼표 [0] 11 51" xfId="29221"/>
    <cellStyle name="쉼표 [0] 11 52" xfId="29222"/>
    <cellStyle name="쉼표 [0] 11 53" xfId="29223"/>
    <cellStyle name="쉼표 [0] 11 6" xfId="29224"/>
    <cellStyle name="쉼표 [0] 11 7" xfId="29225"/>
    <cellStyle name="쉼표 [0] 11 8" xfId="29226"/>
    <cellStyle name="쉼표 [0] 11 9" xfId="29227"/>
    <cellStyle name="쉼표 [0] 11_분양(100%)" xfId="39259"/>
    <cellStyle name="쉼표 [0] 110" xfId="29228"/>
    <cellStyle name="쉼표 [0] 110 2" xfId="29229"/>
    <cellStyle name="쉼표 [0] 110_분양(100%)" xfId="39262"/>
    <cellStyle name="쉼표 [0] 111" xfId="29230"/>
    <cellStyle name="쉼표 [0] 111 2" xfId="29231"/>
    <cellStyle name="쉼표 [0] 111_분양(100%)" xfId="39263"/>
    <cellStyle name="쉼표 [0] 112" xfId="29232"/>
    <cellStyle name="쉼표 [0] 112 2" xfId="29233"/>
    <cellStyle name="쉼표 [0] 112 3" xfId="29234"/>
    <cellStyle name="쉼표 [0] 112_분양(100%)" xfId="39264"/>
    <cellStyle name="쉼표 [0] 113" xfId="29235"/>
    <cellStyle name="쉼표 [0] 113 2" xfId="29236"/>
    <cellStyle name="쉼표 [0] 113 3" xfId="29237"/>
    <cellStyle name="쉼표 [0] 113_분양(100%)" xfId="39265"/>
    <cellStyle name="쉼표 [0] 114" xfId="29238"/>
    <cellStyle name="쉼표 [0] 115" xfId="29239"/>
    <cellStyle name="쉼표 [0] 116" xfId="29240"/>
    <cellStyle name="쉼표 [0] 12" xfId="2856"/>
    <cellStyle name="쉼표 [0] 12 2" xfId="3205"/>
    <cellStyle name="쉼표 [0] 12 2 2" xfId="4619"/>
    <cellStyle name="쉼표 [0] 12 2_분양(100%)" xfId="39267"/>
    <cellStyle name="쉼표 [0] 12 3" xfId="4515"/>
    <cellStyle name="쉼표 [0] 12_분양(100%)" xfId="39266"/>
    <cellStyle name="쉼표 [0] 13" xfId="3109"/>
    <cellStyle name="쉼표 [0] 13 2" xfId="3213"/>
    <cellStyle name="쉼표 [0] 13 2 2" xfId="4627"/>
    <cellStyle name="쉼표 [0] 13 2_분양(100%)" xfId="39269"/>
    <cellStyle name="쉼표 [0] 13 3" xfId="3211"/>
    <cellStyle name="쉼표 [0] 13 3 2" xfId="4625"/>
    <cellStyle name="쉼표 [0] 13 4" xfId="4524"/>
    <cellStyle name="쉼표 [0] 13_분양(100%)" xfId="39268"/>
    <cellStyle name="쉼표 [0] 14" xfId="3111"/>
    <cellStyle name="쉼표 [0] 14 2" xfId="3216"/>
    <cellStyle name="쉼표 [0] 14 2 2" xfId="4630"/>
    <cellStyle name="쉼표 [0] 14 2_분양(100%)" xfId="39271"/>
    <cellStyle name="쉼표 [0] 14 3" xfId="3219"/>
    <cellStyle name="쉼표 [0] 14 3 2" xfId="4633"/>
    <cellStyle name="쉼표 [0] 14 4" xfId="4526"/>
    <cellStyle name="쉼표 [0] 14_분양(100%)" xfId="39270"/>
    <cellStyle name="쉼표 [0] 15" xfId="3868"/>
    <cellStyle name="쉼표 [0] 15 2" xfId="29241"/>
    <cellStyle name="쉼표 [0] 15_분양(100%)" xfId="39272"/>
    <cellStyle name="쉼표 [0] 16" xfId="4378"/>
    <cellStyle name="쉼표 [0] 16 2" xfId="29242"/>
    <cellStyle name="쉼표 [0] 16_분양(100%)" xfId="39273"/>
    <cellStyle name="쉼표 [0] 17" xfId="5319"/>
    <cellStyle name="쉼표 [0] 17 2" xfId="5320"/>
    <cellStyle name="쉼표 [0] 17 3" xfId="29243"/>
    <cellStyle name="쉼표 [0] 17 4" xfId="29244"/>
    <cellStyle name="쉼표 [0] 17_분양(100%)" xfId="39274"/>
    <cellStyle name="쉼표 [0] 18" xfId="3221"/>
    <cellStyle name="쉼표 [0] 18 2" xfId="4635"/>
    <cellStyle name="쉼표 [0] 18_분양(100%)" xfId="39275"/>
    <cellStyle name="쉼표 [0] 19" xfId="29245"/>
    <cellStyle name="쉼표 [0] 19 2" xfId="29246"/>
    <cellStyle name="쉼표 [0] 19_분양(100%)" xfId="39276"/>
    <cellStyle name="쉼표 [0] 2" xfId="11"/>
    <cellStyle name="쉼표 [0] 2 10" xfId="3243"/>
    <cellStyle name="쉼표 [0] 2 11" xfId="3244"/>
    <cellStyle name="쉼표 [0] 2 12" xfId="3245"/>
    <cellStyle name="쉼표 [0] 2 13" xfId="3246"/>
    <cellStyle name="쉼표 [0] 2 14" xfId="3247"/>
    <cellStyle name="쉼표 [0] 2 15" xfId="3248"/>
    <cellStyle name="쉼표 [0] 2 16" xfId="3249"/>
    <cellStyle name="쉼표 [0] 2 17" xfId="3250"/>
    <cellStyle name="쉼표 [0] 2 18" xfId="3251"/>
    <cellStyle name="쉼표 [0] 2 19" xfId="3252"/>
    <cellStyle name="쉼표 [0] 2 2" xfId="252"/>
    <cellStyle name="쉼표 [0] 2 2 10" xfId="29247"/>
    <cellStyle name="쉼표 [0] 2 2 11" xfId="29248"/>
    <cellStyle name="쉼표 [0] 2 2 12" xfId="29249"/>
    <cellStyle name="쉼표 [0] 2 2 13" xfId="29250"/>
    <cellStyle name="쉼표 [0] 2 2 14" xfId="29251"/>
    <cellStyle name="쉼표 [0] 2 2 15" xfId="29252"/>
    <cellStyle name="쉼표 [0] 2 2 16" xfId="29253"/>
    <cellStyle name="쉼표 [0] 2 2 17" xfId="29254"/>
    <cellStyle name="쉼표 [0] 2 2 18" xfId="29255"/>
    <cellStyle name="쉼표 [0] 2 2 19" xfId="29256"/>
    <cellStyle name="쉼표 [0] 2 2 2" xfId="253"/>
    <cellStyle name="쉼표 [0] 2 2 2 2" xfId="29257"/>
    <cellStyle name="쉼표 [0] 2 2 2 2 2" xfId="29258"/>
    <cellStyle name="쉼표 [0] 2 2 2 2 2 2" xfId="29259"/>
    <cellStyle name="쉼표 [0] 2 2 2 2 2_분양(100%)" xfId="39280"/>
    <cellStyle name="쉼표 [0] 2 2 2 2 3" xfId="29260"/>
    <cellStyle name="쉼표 [0] 2 2 2 2_분양(100%)" xfId="39279"/>
    <cellStyle name="쉼표 [0] 2 2 2 3" xfId="29261"/>
    <cellStyle name="쉼표 [0] 2 2 2 3 2" xfId="29262"/>
    <cellStyle name="쉼표 [0] 2 2 2 3_분양(100%)" xfId="39281"/>
    <cellStyle name="쉼표 [0] 2 2 2 4" xfId="29263"/>
    <cellStyle name="쉼표 [0] 2 2 2_분양(100%)" xfId="39278"/>
    <cellStyle name="쉼표 [0] 2 2 20" xfId="29264"/>
    <cellStyle name="쉼표 [0] 2 2 21" xfId="29265"/>
    <cellStyle name="쉼표 [0] 2 2 22" xfId="29266"/>
    <cellStyle name="쉼표 [0] 2 2 23" xfId="29267"/>
    <cellStyle name="쉼표 [0] 2 2 24" xfId="29268"/>
    <cellStyle name="쉼표 [0] 2 2 25" xfId="29269"/>
    <cellStyle name="쉼표 [0] 2 2 26" xfId="29270"/>
    <cellStyle name="쉼표 [0] 2 2 27" xfId="29271"/>
    <cellStyle name="쉼표 [0] 2 2 28" xfId="29272"/>
    <cellStyle name="쉼표 [0] 2 2 29" xfId="29273"/>
    <cellStyle name="쉼표 [0] 2 2 3" xfId="4379"/>
    <cellStyle name="쉼표 [0] 2 2 3 2" xfId="4380"/>
    <cellStyle name="쉼표 [0] 2 2 3 2 2" xfId="29274"/>
    <cellStyle name="쉼표 [0] 2 2 3 2_분양(100%)" xfId="39283"/>
    <cellStyle name="쉼표 [0] 2 2 3 3" xfId="29275"/>
    <cellStyle name="쉼표 [0] 2 2 3_분양(100%)" xfId="39282"/>
    <cellStyle name="쉼표 [0] 2 2 30" xfId="29276"/>
    <cellStyle name="쉼표 [0] 2 2 31" xfId="29277"/>
    <cellStyle name="쉼표 [0] 2 2 32" xfId="29278"/>
    <cellStyle name="쉼표 [0] 2 2 33" xfId="29279"/>
    <cellStyle name="쉼표 [0] 2 2 34" xfId="29280"/>
    <cellStyle name="쉼표 [0] 2 2 35" xfId="29281"/>
    <cellStyle name="쉼표 [0] 2 2 36" xfId="29282"/>
    <cellStyle name="쉼표 [0] 2 2 37" xfId="29283"/>
    <cellStyle name="쉼표 [0] 2 2 38" xfId="29284"/>
    <cellStyle name="쉼표 [0] 2 2 39" xfId="29285"/>
    <cellStyle name="쉼표 [0] 2 2 4" xfId="4381"/>
    <cellStyle name="쉼표 [0] 2 2 4 2" xfId="29286"/>
    <cellStyle name="쉼표 [0] 2 2 4_분양(100%)" xfId="39284"/>
    <cellStyle name="쉼표 [0] 2 2 40" xfId="29287"/>
    <cellStyle name="쉼표 [0] 2 2 41" xfId="29288"/>
    <cellStyle name="쉼표 [0] 2 2 42" xfId="29289"/>
    <cellStyle name="쉼표 [0] 2 2 43" xfId="29290"/>
    <cellStyle name="쉼표 [0] 2 2 44" xfId="29291"/>
    <cellStyle name="쉼표 [0] 2 2 45" xfId="29292"/>
    <cellStyle name="쉼표 [0] 2 2 46" xfId="29293"/>
    <cellStyle name="쉼표 [0] 2 2 47" xfId="29294"/>
    <cellStyle name="쉼표 [0] 2 2 48" xfId="29295"/>
    <cellStyle name="쉼표 [0] 2 2 49" xfId="29296"/>
    <cellStyle name="쉼표 [0] 2 2 5" xfId="3923"/>
    <cellStyle name="쉼표 [0] 2 2 50" xfId="29297"/>
    <cellStyle name="쉼표 [0] 2 2 51" xfId="29298"/>
    <cellStyle name="쉼표 [0] 2 2 52" xfId="29299"/>
    <cellStyle name="쉼표 [0] 2 2 53" xfId="29300"/>
    <cellStyle name="쉼표 [0] 2 2 54" xfId="29301"/>
    <cellStyle name="쉼표 [0] 2 2 55" xfId="29302"/>
    <cellStyle name="쉼표 [0] 2 2 6" xfId="29303"/>
    <cellStyle name="쉼표 [0] 2 2 7" xfId="29304"/>
    <cellStyle name="쉼표 [0] 2 2 8" xfId="29305"/>
    <cellStyle name="쉼표 [0] 2 2 9" xfId="29306"/>
    <cellStyle name="쉼표 [0] 2 2_Sales_A,B블럭" xfId="29307"/>
    <cellStyle name="쉼표 [0] 2 20" xfId="3253"/>
    <cellStyle name="쉼표 [0] 2 21" xfId="3254"/>
    <cellStyle name="쉼표 [0] 2 22" xfId="3255"/>
    <cellStyle name="쉼표 [0] 2 23" xfId="29308"/>
    <cellStyle name="쉼표 [0] 2 24" xfId="29309"/>
    <cellStyle name="쉼표 [0] 2 25" xfId="29310"/>
    <cellStyle name="쉼표 [0] 2 26" xfId="29311"/>
    <cellStyle name="쉼표 [0] 2 27" xfId="29312"/>
    <cellStyle name="쉼표 [0] 2 28" xfId="29313"/>
    <cellStyle name="쉼표 [0] 2 29" xfId="29314"/>
    <cellStyle name="쉼표 [0] 2 3" xfId="254"/>
    <cellStyle name="쉼표 [0] 2 3 2" xfId="539"/>
    <cellStyle name="쉼표 [0] 2 3 2 2" xfId="29315"/>
    <cellStyle name="쉼표 [0] 2 3 2 2 2" xfId="29316"/>
    <cellStyle name="쉼표 [0] 2 3 2 2_분양(100%)" xfId="39287"/>
    <cellStyle name="쉼표 [0] 2 3 2 3" xfId="29317"/>
    <cellStyle name="쉼표 [0] 2 3 2_분양(100%)" xfId="39286"/>
    <cellStyle name="쉼표 [0] 2 3 3" xfId="29318"/>
    <cellStyle name="쉼표 [0] 2 3 3 2" xfId="29319"/>
    <cellStyle name="쉼표 [0] 2 3 3_분양(100%)" xfId="39288"/>
    <cellStyle name="쉼표 [0] 2 3 4" xfId="29320"/>
    <cellStyle name="쉼표 [0] 2 3 4 2" xfId="29321"/>
    <cellStyle name="쉼표 [0] 2 3 4_분양(100%)" xfId="39289"/>
    <cellStyle name="쉼표 [0] 2 3 5" xfId="29322"/>
    <cellStyle name="쉼표 [0] 2 3_분양(100%)" xfId="39285"/>
    <cellStyle name="쉼표 [0] 2 30" xfId="29323"/>
    <cellStyle name="쉼표 [0] 2 31" xfId="29324"/>
    <cellStyle name="쉼표 [0] 2 32" xfId="29325"/>
    <cellStyle name="쉼표 [0] 2 33" xfId="29326"/>
    <cellStyle name="쉼표 [0] 2 34" xfId="29327"/>
    <cellStyle name="쉼표 [0] 2 35" xfId="29328"/>
    <cellStyle name="쉼표 [0] 2 36" xfId="29329"/>
    <cellStyle name="쉼표 [0] 2 37" xfId="29330"/>
    <cellStyle name="쉼표 [0] 2 38" xfId="29331"/>
    <cellStyle name="쉼표 [0] 2 39" xfId="29332"/>
    <cellStyle name="쉼표 [0] 2 4" xfId="510"/>
    <cellStyle name="쉼표 [0] 2 4 2" xfId="29333"/>
    <cellStyle name="쉼표 [0] 2 4 2 2" xfId="29334"/>
    <cellStyle name="쉼표 [0] 2 4 2_분양(100%)" xfId="39291"/>
    <cellStyle name="쉼표 [0] 2 4 3" xfId="29335"/>
    <cellStyle name="쉼표 [0] 2 4_분양(100%)" xfId="39290"/>
    <cellStyle name="쉼표 [0] 2 40" xfId="29336"/>
    <cellStyle name="쉼표 [0] 2 41" xfId="29337"/>
    <cellStyle name="쉼표 [0] 2 42" xfId="29338"/>
    <cellStyle name="쉼표 [0] 2 43" xfId="29339"/>
    <cellStyle name="쉼표 [0] 2 44" xfId="29340"/>
    <cellStyle name="쉼표 [0] 2 45" xfId="29341"/>
    <cellStyle name="쉼표 [0] 2 46" xfId="29342"/>
    <cellStyle name="쉼표 [0] 2 47" xfId="29343"/>
    <cellStyle name="쉼표 [0] 2 48" xfId="29344"/>
    <cellStyle name="쉼표 [0] 2 49" xfId="29345"/>
    <cellStyle name="쉼표 [0] 2 5" xfId="3256"/>
    <cellStyle name="쉼표 [0] 2 5 2" xfId="29346"/>
    <cellStyle name="쉼표 [0] 2 5_분양(100%)" xfId="39292"/>
    <cellStyle name="쉼표 [0] 2 50" xfId="29347"/>
    <cellStyle name="쉼표 [0] 2 51" xfId="29348"/>
    <cellStyle name="쉼표 [0] 2 52" xfId="29349"/>
    <cellStyle name="쉼표 [0] 2 53" xfId="29350"/>
    <cellStyle name="쉼표 [0] 2 54" xfId="29351"/>
    <cellStyle name="쉼표 [0] 2 55" xfId="29352"/>
    <cellStyle name="쉼표 [0] 2 56" xfId="29353"/>
    <cellStyle name="쉼표 [0] 2 57" xfId="29354"/>
    <cellStyle name="쉼표 [0] 2 58" xfId="29355"/>
    <cellStyle name="쉼표 [0] 2 59" xfId="29356"/>
    <cellStyle name="쉼표 [0] 2 6" xfId="3257"/>
    <cellStyle name="쉼표 [0] 2 60" xfId="29357"/>
    <cellStyle name="쉼표 [0] 2 7" xfId="3258"/>
    <cellStyle name="쉼표 [0] 2 7 2" xfId="29358"/>
    <cellStyle name="쉼표 [0] 2 7_분양(100%)" xfId="39293"/>
    <cellStyle name="쉼표 [0] 2 8" xfId="3259"/>
    <cellStyle name="쉼표 [0] 2 9" xfId="3260"/>
    <cellStyle name="쉼표 [0] 2_분양(100%)" xfId="39277"/>
    <cellStyle name="쉼표 [0] 20" xfId="29359"/>
    <cellStyle name="쉼표 [0] 20 2" xfId="29360"/>
    <cellStyle name="쉼표 [0] 20 3" xfId="29361"/>
    <cellStyle name="쉼표 [0] 20_분양(100%)" xfId="39294"/>
    <cellStyle name="쉼표 [0] 21" xfId="29362"/>
    <cellStyle name="쉼표 [0] 21 2" xfId="29363"/>
    <cellStyle name="쉼표 [0] 21 3" xfId="29364"/>
    <cellStyle name="쉼표 [0] 21_분양(100%)" xfId="39295"/>
    <cellStyle name="쉼표 [0] 22" xfId="29365"/>
    <cellStyle name="쉼표 [0] 22 2" xfId="29366"/>
    <cellStyle name="쉼표 [0] 22 3" xfId="29367"/>
    <cellStyle name="쉼표 [0] 22 4" xfId="29368"/>
    <cellStyle name="쉼표 [0] 22_분양(100%)" xfId="39296"/>
    <cellStyle name="쉼표 [0] 23" xfId="29369"/>
    <cellStyle name="쉼표 [0] 23 2" xfId="29370"/>
    <cellStyle name="쉼표 [0] 23 3" xfId="29371"/>
    <cellStyle name="쉼표 [0] 23 4" xfId="29372"/>
    <cellStyle name="쉼표 [0] 23 5" xfId="29373"/>
    <cellStyle name="쉼표 [0] 23_분양(100%)" xfId="39297"/>
    <cellStyle name="쉼표 [0] 24" xfId="29374"/>
    <cellStyle name="쉼표 [0] 24 2" xfId="29375"/>
    <cellStyle name="쉼표 [0] 24 3" xfId="29376"/>
    <cellStyle name="쉼표 [0] 24_분양(100%)" xfId="39298"/>
    <cellStyle name="쉼표 [0] 25" xfId="29377"/>
    <cellStyle name="쉼표 [0] 25 2" xfId="29378"/>
    <cellStyle name="쉼표 [0] 25 3" xfId="29379"/>
    <cellStyle name="쉼표 [0] 25_분양(100%)" xfId="39299"/>
    <cellStyle name="쉼표 [0] 26" xfId="29380"/>
    <cellStyle name="쉼표 [0] 26 2" xfId="29381"/>
    <cellStyle name="쉼표 [0] 26 3" xfId="29382"/>
    <cellStyle name="쉼표 [0] 26_분양(100%)" xfId="39300"/>
    <cellStyle name="쉼표 [0] 27" xfId="29383"/>
    <cellStyle name="쉼표 [0] 27 2" xfId="29384"/>
    <cellStyle name="쉼표 [0] 27 3" xfId="29385"/>
    <cellStyle name="쉼표 [0] 27_분양(100%)" xfId="39301"/>
    <cellStyle name="쉼표 [0] 28" xfId="29386"/>
    <cellStyle name="쉼표 [0] 28 2" xfId="29387"/>
    <cellStyle name="쉼표 [0] 28 3" xfId="29388"/>
    <cellStyle name="쉼표 [0] 28_분양(100%)" xfId="39302"/>
    <cellStyle name="쉼표 [0] 29" xfId="29389"/>
    <cellStyle name="쉼표 [0] 29 2" xfId="29390"/>
    <cellStyle name="쉼표 [0] 29 3" xfId="29391"/>
    <cellStyle name="쉼표 [0] 29_분양(100%)" xfId="39303"/>
    <cellStyle name="쉼표 [0] 3" xfId="6"/>
    <cellStyle name="쉼표 [0] 3 10" xfId="29392"/>
    <cellStyle name="쉼표 [0] 3 11" xfId="29393"/>
    <cellStyle name="쉼표 [0] 3 12" xfId="29394"/>
    <cellStyle name="쉼표 [0] 3 13" xfId="29395"/>
    <cellStyle name="쉼표 [0] 3 14" xfId="29396"/>
    <cellStyle name="쉼표 [0] 3 15" xfId="29397"/>
    <cellStyle name="쉼표 [0] 3 16" xfId="29398"/>
    <cellStyle name="쉼표 [0] 3 17" xfId="29399"/>
    <cellStyle name="쉼표 [0] 3 18" xfId="29400"/>
    <cellStyle name="쉼표 [0] 3 19" xfId="29401"/>
    <cellStyle name="쉼표 [0] 3 2" xfId="255"/>
    <cellStyle name="쉼표 [0] 3 2 2" xfId="29402"/>
    <cellStyle name="쉼표 [0] 3 2 2 2" xfId="29403"/>
    <cellStyle name="쉼표 [0] 3 2 2 2 2" xfId="29404"/>
    <cellStyle name="쉼표 [0] 3 2 2 2_분양(100%)" xfId="39307"/>
    <cellStyle name="쉼표 [0] 3 2 2 3" xfId="29405"/>
    <cellStyle name="쉼표 [0] 3 2 2_분양(100%)" xfId="39306"/>
    <cellStyle name="쉼표 [0] 3 2 3" xfId="29406"/>
    <cellStyle name="쉼표 [0] 3 2 3 2" xfId="29407"/>
    <cellStyle name="쉼표 [0] 3 2 3_분양(100%)" xfId="39308"/>
    <cellStyle name="쉼표 [0] 3 2 4" xfId="29408"/>
    <cellStyle name="쉼표 [0] 3 2_분양(100%)" xfId="39305"/>
    <cellStyle name="쉼표 [0] 3 20" xfId="29409"/>
    <cellStyle name="쉼표 [0] 3 21" xfId="29410"/>
    <cellStyle name="쉼표 [0] 3 22" xfId="29411"/>
    <cellStyle name="쉼표 [0] 3 23" xfId="29412"/>
    <cellStyle name="쉼표 [0] 3 24" xfId="29413"/>
    <cellStyle name="쉼표 [0] 3 25" xfId="29414"/>
    <cellStyle name="쉼표 [0] 3 26" xfId="29415"/>
    <cellStyle name="쉼표 [0] 3 27" xfId="29416"/>
    <cellStyle name="쉼표 [0] 3 28" xfId="29417"/>
    <cellStyle name="쉼표 [0] 3 29" xfId="29418"/>
    <cellStyle name="쉼표 [0] 3 3" xfId="522"/>
    <cellStyle name="쉼표 [0] 3 3 2" xfId="583"/>
    <cellStyle name="쉼표 [0] 3 3 2 2" xfId="3181"/>
    <cellStyle name="쉼표 [0] 3 3 2 2 2" xfId="3869"/>
    <cellStyle name="쉼표 [0] 3 3 2 2 2 2" xfId="4937"/>
    <cellStyle name="쉼표 [0] 3 3 2 2 3" xfId="4595"/>
    <cellStyle name="쉼표 [0] 3 3 2 2_분양(100%)" xfId="39311"/>
    <cellStyle name="쉼표 [0] 3 3 2 3" xfId="3870"/>
    <cellStyle name="쉼표 [0] 3 3 2 3 2" xfId="4938"/>
    <cellStyle name="쉼표 [0] 3 3 2 4" xfId="4438"/>
    <cellStyle name="쉼표 [0] 3 3 2_분양(100%)" xfId="39310"/>
    <cellStyle name="쉼표 [0] 3 3 3" xfId="3133"/>
    <cellStyle name="쉼표 [0] 3 3 3 2" xfId="3871"/>
    <cellStyle name="쉼표 [0] 3 3 3 2 2" xfId="4939"/>
    <cellStyle name="쉼표 [0] 3 3 3 3" xfId="4548"/>
    <cellStyle name="쉼표 [0] 3 3 3_분양(100%)" xfId="39312"/>
    <cellStyle name="쉼표 [0] 3 3 4" xfId="3872"/>
    <cellStyle name="쉼표 [0] 3 3 4 2" xfId="4940"/>
    <cellStyle name="쉼표 [0] 3 3 5" xfId="4423"/>
    <cellStyle name="쉼표 [0] 3 3_분양(100%)" xfId="39309"/>
    <cellStyle name="쉼표 [0] 3 30" xfId="29419"/>
    <cellStyle name="쉼표 [0] 3 31" xfId="29420"/>
    <cellStyle name="쉼표 [0] 3 32" xfId="29421"/>
    <cellStyle name="쉼표 [0] 3 33" xfId="29422"/>
    <cellStyle name="쉼표 [0] 3 34" xfId="29423"/>
    <cellStyle name="쉼표 [0] 3 35" xfId="29424"/>
    <cellStyle name="쉼표 [0] 3 36" xfId="29425"/>
    <cellStyle name="쉼표 [0] 3 37" xfId="29426"/>
    <cellStyle name="쉼표 [0] 3 38" xfId="29427"/>
    <cellStyle name="쉼표 [0] 3 39" xfId="29428"/>
    <cellStyle name="쉼표 [0] 3 4" xfId="683"/>
    <cellStyle name="쉼표 [0] 3 4 2" xfId="29429"/>
    <cellStyle name="쉼표 [0] 3 4_분양(100%)" xfId="39313"/>
    <cellStyle name="쉼표 [0] 3 40" xfId="29430"/>
    <cellStyle name="쉼표 [0] 3 41" xfId="29431"/>
    <cellStyle name="쉼표 [0] 3 42" xfId="29432"/>
    <cellStyle name="쉼표 [0] 3 43" xfId="29433"/>
    <cellStyle name="쉼표 [0] 3 44" xfId="29434"/>
    <cellStyle name="쉼표 [0] 3 45" xfId="29435"/>
    <cellStyle name="쉼표 [0] 3 46" xfId="29436"/>
    <cellStyle name="쉼표 [0] 3 47" xfId="29437"/>
    <cellStyle name="쉼표 [0] 3 48" xfId="29438"/>
    <cellStyle name="쉼표 [0] 3 49" xfId="29439"/>
    <cellStyle name="쉼표 [0] 3 5" xfId="4382"/>
    <cellStyle name="쉼표 [0] 3 50" xfId="29440"/>
    <cellStyle name="쉼표 [0] 3 51" xfId="29441"/>
    <cellStyle name="쉼표 [0] 3 52" xfId="29442"/>
    <cellStyle name="쉼표 [0] 3 53" xfId="29443"/>
    <cellStyle name="쉼표 [0] 3 54" xfId="29444"/>
    <cellStyle name="쉼표 [0] 3 55" xfId="29445"/>
    <cellStyle name="쉼표 [0] 3 56" xfId="29446"/>
    <cellStyle name="쉼표 [0] 3 6" xfId="29447"/>
    <cellStyle name="쉼표 [0] 3 7" xfId="29448"/>
    <cellStyle name="쉼표 [0] 3 8" xfId="29449"/>
    <cellStyle name="쉼표 [0] 3 9" xfId="29450"/>
    <cellStyle name="쉼표 [0] 3_분양(100%)" xfId="39304"/>
    <cellStyle name="쉼표 [0] 30" xfId="29451"/>
    <cellStyle name="쉼표 [0] 30 2" xfId="29452"/>
    <cellStyle name="쉼표 [0] 30 3" xfId="29453"/>
    <cellStyle name="쉼표 [0] 30_분양(100%)" xfId="39314"/>
    <cellStyle name="쉼표 [0] 31" xfId="29454"/>
    <cellStyle name="쉼표 [0] 31 2" xfId="29455"/>
    <cellStyle name="쉼표 [0] 31 3" xfId="29456"/>
    <cellStyle name="쉼표 [0] 31_분양(100%)" xfId="39315"/>
    <cellStyle name="쉼표 [0] 32" xfId="29457"/>
    <cellStyle name="쉼표 [0] 32 2" xfId="29458"/>
    <cellStyle name="쉼표 [0] 32 3" xfId="29459"/>
    <cellStyle name="쉼표 [0] 32_분양(100%)" xfId="39316"/>
    <cellStyle name="쉼표 [0] 33" xfId="29460"/>
    <cellStyle name="쉼표 [0] 33 2" xfId="29461"/>
    <cellStyle name="쉼표 [0] 33 3" xfId="29462"/>
    <cellStyle name="쉼표 [0] 33_분양(100%)" xfId="39317"/>
    <cellStyle name="쉼표 [0] 34" xfId="29463"/>
    <cellStyle name="쉼표 [0] 34 2" xfId="29464"/>
    <cellStyle name="쉼표 [0] 34 3" xfId="29465"/>
    <cellStyle name="쉼표 [0] 34_분양(100%)" xfId="39318"/>
    <cellStyle name="쉼표 [0] 35" xfId="29466"/>
    <cellStyle name="쉼표 [0] 35 2" xfId="29467"/>
    <cellStyle name="쉼표 [0] 35_분양(100%)" xfId="39319"/>
    <cellStyle name="쉼표 [0] 36" xfId="29468"/>
    <cellStyle name="쉼표 [0] 36 2" xfId="29469"/>
    <cellStyle name="쉼표 [0] 36 3" xfId="29470"/>
    <cellStyle name="쉼표 [0] 36_분양(100%)" xfId="39320"/>
    <cellStyle name="쉼표 [0] 37" xfId="29471"/>
    <cellStyle name="쉼표 [0] 37 2" xfId="29472"/>
    <cellStyle name="쉼표 [0] 37 3" xfId="29473"/>
    <cellStyle name="쉼표 [0] 37_분양(100%)" xfId="39321"/>
    <cellStyle name="쉼표 [0] 38" xfId="29474"/>
    <cellStyle name="쉼표 [0] 38 2" xfId="29475"/>
    <cellStyle name="쉼표 [0] 38_분양(100%)" xfId="39322"/>
    <cellStyle name="쉼표 [0] 39" xfId="29476"/>
    <cellStyle name="쉼표 [0] 39 2" xfId="29477"/>
    <cellStyle name="쉼표 [0] 39_분양(100%)" xfId="39323"/>
    <cellStyle name="쉼표 [0] 4" xfId="256"/>
    <cellStyle name="쉼표 [0] 4 10" xfId="29478"/>
    <cellStyle name="쉼표 [0] 4 11" xfId="29479"/>
    <cellStyle name="쉼표 [0] 4 12" xfId="29480"/>
    <cellStyle name="쉼표 [0] 4 13" xfId="29481"/>
    <cellStyle name="쉼표 [0] 4 14" xfId="29482"/>
    <cellStyle name="쉼표 [0] 4 15" xfId="29483"/>
    <cellStyle name="쉼표 [0] 4 16" xfId="29484"/>
    <cellStyle name="쉼표 [0] 4 17" xfId="29485"/>
    <cellStyle name="쉼표 [0] 4 18" xfId="29486"/>
    <cellStyle name="쉼표 [0] 4 19" xfId="29487"/>
    <cellStyle name="쉼표 [0] 4 2" xfId="4383"/>
    <cellStyle name="쉼표 [0] 4 2 2" xfId="29488"/>
    <cellStyle name="쉼표 [0] 4 2 2 2" xfId="29489"/>
    <cellStyle name="쉼표 [0] 4 2 2_분양(100%)" xfId="39326"/>
    <cellStyle name="쉼표 [0] 4 2 3" xfId="29490"/>
    <cellStyle name="쉼표 [0] 4 2 4" xfId="29491"/>
    <cellStyle name="쉼표 [0] 4 2_분양(100%)" xfId="39325"/>
    <cellStyle name="쉼표 [0] 4 20" xfId="29492"/>
    <cellStyle name="쉼표 [0] 4 21" xfId="29493"/>
    <cellStyle name="쉼표 [0] 4 22" xfId="29494"/>
    <cellStyle name="쉼표 [0] 4 23" xfId="29495"/>
    <cellStyle name="쉼표 [0] 4 24" xfId="29496"/>
    <cellStyle name="쉼표 [0] 4 25" xfId="29497"/>
    <cellStyle name="쉼표 [0] 4 26" xfId="29498"/>
    <cellStyle name="쉼표 [0] 4 27" xfId="29499"/>
    <cellStyle name="쉼표 [0] 4 28" xfId="29500"/>
    <cellStyle name="쉼표 [0] 4 29" xfId="29501"/>
    <cellStyle name="쉼표 [0] 4 3" xfId="5303"/>
    <cellStyle name="쉼표 [0] 4 3 2" xfId="29502"/>
    <cellStyle name="쉼표 [0] 4 3 3" xfId="29503"/>
    <cellStyle name="쉼표 [0] 4 3_분양(100%)" xfId="39327"/>
    <cellStyle name="쉼표 [0] 4 30" xfId="29504"/>
    <cellStyle name="쉼표 [0] 4 31" xfId="29505"/>
    <cellStyle name="쉼표 [0] 4 32" xfId="29506"/>
    <cellStyle name="쉼표 [0] 4 33" xfId="29507"/>
    <cellStyle name="쉼표 [0] 4 34" xfId="29508"/>
    <cellStyle name="쉼표 [0] 4 35" xfId="29509"/>
    <cellStyle name="쉼표 [0] 4 36" xfId="29510"/>
    <cellStyle name="쉼표 [0] 4 37" xfId="29511"/>
    <cellStyle name="쉼표 [0] 4 38" xfId="29512"/>
    <cellStyle name="쉼표 [0] 4 39" xfId="29513"/>
    <cellStyle name="쉼표 [0] 4 4" xfId="29514"/>
    <cellStyle name="쉼표 [0] 4 4 2" xfId="29515"/>
    <cellStyle name="쉼표 [0] 4 4_분양(100%)" xfId="39328"/>
    <cellStyle name="쉼표 [0] 4 40" xfId="29516"/>
    <cellStyle name="쉼표 [0] 4 41" xfId="29517"/>
    <cellStyle name="쉼표 [0] 4 42" xfId="29518"/>
    <cellStyle name="쉼표 [0] 4 43" xfId="29519"/>
    <cellStyle name="쉼표 [0] 4 44" xfId="29520"/>
    <cellStyle name="쉼표 [0] 4 45" xfId="29521"/>
    <cellStyle name="쉼표 [0] 4 46" xfId="29522"/>
    <cellStyle name="쉼표 [0] 4 47" xfId="29523"/>
    <cellStyle name="쉼표 [0] 4 48" xfId="29524"/>
    <cellStyle name="쉼표 [0] 4 49" xfId="29525"/>
    <cellStyle name="쉼표 [0] 4 5" xfId="29526"/>
    <cellStyle name="쉼표 [0] 4 5 2" xfId="29527"/>
    <cellStyle name="쉼표 [0] 4 5_분양(100%)" xfId="39329"/>
    <cellStyle name="쉼표 [0] 4 50" xfId="29528"/>
    <cellStyle name="쉼표 [0] 4 51" xfId="29529"/>
    <cellStyle name="쉼표 [0] 4 52" xfId="29530"/>
    <cellStyle name="쉼표 [0] 4 53" xfId="29531"/>
    <cellStyle name="쉼표 [0] 4 54" xfId="29532"/>
    <cellStyle name="쉼표 [0] 4 55" xfId="29533"/>
    <cellStyle name="쉼표 [0] 4 56" xfId="29534"/>
    <cellStyle name="쉼표 [0] 4 57" xfId="29535"/>
    <cellStyle name="쉼표 [0] 4 6" xfId="29536"/>
    <cellStyle name="쉼표 [0] 4 6 2" xfId="29537"/>
    <cellStyle name="쉼표 [0] 4 6_분양(100%)" xfId="39330"/>
    <cellStyle name="쉼표 [0] 4 7" xfId="29538"/>
    <cellStyle name="쉼표 [0] 4 8" xfId="29539"/>
    <cellStyle name="쉼표 [0] 4 9" xfId="29540"/>
    <cellStyle name="쉼표 [0] 4_분양(100%)" xfId="39324"/>
    <cellStyle name="쉼표 [0] 40" xfId="29541"/>
    <cellStyle name="쉼표 [0] 40 2" xfId="29542"/>
    <cellStyle name="쉼표 [0] 40_분양(100%)" xfId="39331"/>
    <cellStyle name="쉼표 [0] 41" xfId="29543"/>
    <cellStyle name="쉼표 [0] 41 2" xfId="29544"/>
    <cellStyle name="쉼표 [0] 41_분양(100%)" xfId="39332"/>
    <cellStyle name="쉼표 [0] 42" xfId="29545"/>
    <cellStyle name="쉼표 [0] 42 2" xfId="29546"/>
    <cellStyle name="쉼표 [0] 42 3" xfId="29547"/>
    <cellStyle name="쉼표 [0] 42_분양(100%)" xfId="39333"/>
    <cellStyle name="쉼표 [0] 43" xfId="29548"/>
    <cellStyle name="쉼표 [0] 43 2" xfId="29549"/>
    <cellStyle name="쉼표 [0] 43_분양(100%)" xfId="39334"/>
    <cellStyle name="쉼표 [0] 44" xfId="29550"/>
    <cellStyle name="쉼표 [0] 44 2" xfId="29551"/>
    <cellStyle name="쉼표 [0] 44 3" xfId="29552"/>
    <cellStyle name="쉼표 [0] 44_분양(100%)" xfId="39335"/>
    <cellStyle name="쉼표 [0] 45" xfId="29553"/>
    <cellStyle name="쉼표 [0] 45 2" xfId="29554"/>
    <cellStyle name="쉼표 [0] 45_분양(100%)" xfId="39336"/>
    <cellStyle name="쉼표 [0] 46" xfId="29555"/>
    <cellStyle name="쉼표 [0] 46 2" xfId="29556"/>
    <cellStyle name="쉼표 [0] 46_분양(100%)" xfId="39337"/>
    <cellStyle name="쉼표 [0] 47" xfId="29557"/>
    <cellStyle name="쉼표 [0] 47 2" xfId="29558"/>
    <cellStyle name="쉼표 [0] 47 3" xfId="29559"/>
    <cellStyle name="쉼표 [0] 47_분양(100%)" xfId="39338"/>
    <cellStyle name="쉼표 [0] 48" xfId="29560"/>
    <cellStyle name="쉼표 [0] 48 2" xfId="29561"/>
    <cellStyle name="쉼표 [0] 48_분양(100%)" xfId="39339"/>
    <cellStyle name="쉼표 [0] 49" xfId="29562"/>
    <cellStyle name="쉼표 [0] 49 2" xfId="29563"/>
    <cellStyle name="쉼표 [0] 49 3" xfId="29564"/>
    <cellStyle name="쉼표 [0] 49_분양(100%)" xfId="39340"/>
    <cellStyle name="쉼표 [0] 5" xfId="509"/>
    <cellStyle name="쉼표 [0] 5 2" xfId="575"/>
    <cellStyle name="쉼표 [0] 5 2 2" xfId="2857"/>
    <cellStyle name="쉼표 [0] 5 2 3" xfId="3173"/>
    <cellStyle name="쉼표 [0] 5 2 3 2" xfId="4587"/>
    <cellStyle name="쉼표 [0] 5 2 3_분양(100%)" xfId="39343"/>
    <cellStyle name="쉼표 [0] 5 2 4" xfId="4434"/>
    <cellStyle name="쉼표 [0] 5 2_분양(100%)" xfId="39342"/>
    <cellStyle name="쉼표 [0] 5 3" xfId="599"/>
    <cellStyle name="쉼표 [0] 5 3 2" xfId="29565"/>
    <cellStyle name="쉼표 [0] 5 3_분양(100%)" xfId="39344"/>
    <cellStyle name="쉼표 [0] 5 4" xfId="708"/>
    <cellStyle name="쉼표 [0] 5 4 2" xfId="3199"/>
    <cellStyle name="쉼표 [0] 5 4 2 2" xfId="4613"/>
    <cellStyle name="쉼표 [0] 5 4 3" xfId="4456"/>
    <cellStyle name="쉼표 [0] 5 4_분양(100%)" xfId="39345"/>
    <cellStyle name="쉼표 [0] 5 5" xfId="3125"/>
    <cellStyle name="쉼표 [0] 5 5 2" xfId="4540"/>
    <cellStyle name="쉼표 [0] 5 5_분양(100%)" xfId="39346"/>
    <cellStyle name="쉼표 [0] 5 6" xfId="3223"/>
    <cellStyle name="쉼표 [0] 5 7" xfId="4419"/>
    <cellStyle name="쉼표 [0] 5 8" xfId="5304"/>
    <cellStyle name="쉼표 [0] 5_분양(100%)" xfId="39341"/>
    <cellStyle name="쉼표 [0] 50" xfId="29566"/>
    <cellStyle name="쉼표 [0] 50 2" xfId="29567"/>
    <cellStyle name="쉼표 [0] 50 3" xfId="29568"/>
    <cellStyle name="쉼표 [0] 50_분양(100%)" xfId="39347"/>
    <cellStyle name="쉼표 [0] 51" xfId="29569"/>
    <cellStyle name="쉼표 [0] 51 2" xfId="29570"/>
    <cellStyle name="쉼표 [0] 51 3" xfId="29571"/>
    <cellStyle name="쉼표 [0] 51_분양(100%)" xfId="39348"/>
    <cellStyle name="쉼표 [0] 52" xfId="29572"/>
    <cellStyle name="쉼표 [0] 52 2" xfId="29573"/>
    <cellStyle name="쉼표 [0] 52 3" xfId="29574"/>
    <cellStyle name="쉼표 [0] 52_분양(100%)" xfId="39349"/>
    <cellStyle name="쉼표 [0] 53" xfId="29575"/>
    <cellStyle name="쉼표 [0] 53 2" xfId="29576"/>
    <cellStyle name="쉼표 [0] 53 3" xfId="29577"/>
    <cellStyle name="쉼표 [0] 53_분양(100%)" xfId="39350"/>
    <cellStyle name="쉼표 [0] 54" xfId="29578"/>
    <cellStyle name="쉼표 [0] 54 2" xfId="29579"/>
    <cellStyle name="쉼표 [0] 54 3" xfId="29580"/>
    <cellStyle name="쉼표 [0] 54_분양(100%)" xfId="39351"/>
    <cellStyle name="쉼표 [0] 55" xfId="29581"/>
    <cellStyle name="쉼표 [0] 55 2" xfId="29582"/>
    <cellStyle name="쉼표 [0] 55 3" xfId="29583"/>
    <cellStyle name="쉼표 [0] 55_분양(100%)" xfId="39352"/>
    <cellStyle name="쉼표 [0] 56" xfId="29584"/>
    <cellStyle name="쉼표 [0] 56 2" xfId="29585"/>
    <cellStyle name="쉼표 [0] 56 3" xfId="29586"/>
    <cellStyle name="쉼표 [0] 56_분양(100%)" xfId="39353"/>
    <cellStyle name="쉼표 [0] 57" xfId="29587"/>
    <cellStyle name="쉼표 [0] 57 2" xfId="29588"/>
    <cellStyle name="쉼표 [0] 57 3" xfId="29589"/>
    <cellStyle name="쉼표 [0] 57_분양(100%)" xfId="39354"/>
    <cellStyle name="쉼표 [0] 58" xfId="29590"/>
    <cellStyle name="쉼표 [0] 58 2" xfId="29591"/>
    <cellStyle name="쉼표 [0] 58_분양(100%)" xfId="39355"/>
    <cellStyle name="쉼표 [0] 59" xfId="29592"/>
    <cellStyle name="쉼표 [0] 59 2" xfId="29593"/>
    <cellStyle name="쉼표 [0] 59_분양(100%)" xfId="39356"/>
    <cellStyle name="쉼표 [0] 6" xfId="520"/>
    <cellStyle name="쉼표 [0] 6 10" xfId="29594"/>
    <cellStyle name="쉼표 [0] 6 11" xfId="29595"/>
    <cellStyle name="쉼표 [0] 6 12" xfId="29596"/>
    <cellStyle name="쉼표 [0] 6 13" xfId="29597"/>
    <cellStyle name="쉼표 [0] 6 14" xfId="29598"/>
    <cellStyle name="쉼표 [0] 6 15" xfId="29599"/>
    <cellStyle name="쉼표 [0] 6 16" xfId="29600"/>
    <cellStyle name="쉼표 [0] 6 17" xfId="29601"/>
    <cellStyle name="쉼표 [0] 6 18" xfId="29602"/>
    <cellStyle name="쉼표 [0] 6 19" xfId="29603"/>
    <cellStyle name="쉼표 [0] 6 2" xfId="581"/>
    <cellStyle name="쉼표 [0] 6 2 2" xfId="3179"/>
    <cellStyle name="쉼표 [0] 6 2 2 2" xfId="3873"/>
    <cellStyle name="쉼표 [0] 6 2 2 2 2" xfId="4941"/>
    <cellStyle name="쉼표 [0] 6 2 2 3" xfId="4593"/>
    <cellStyle name="쉼표 [0] 6 2 2_분양(100%)" xfId="39359"/>
    <cellStyle name="쉼표 [0] 6 2 3" xfId="3874"/>
    <cellStyle name="쉼표 [0] 6 2 3 2" xfId="4942"/>
    <cellStyle name="쉼표 [0] 6 2 4" xfId="4436"/>
    <cellStyle name="쉼표 [0] 6 2_분양(100%)" xfId="39358"/>
    <cellStyle name="쉼표 [0] 6 20" xfId="29604"/>
    <cellStyle name="쉼표 [0] 6 21" xfId="29605"/>
    <cellStyle name="쉼표 [0] 6 22" xfId="29606"/>
    <cellStyle name="쉼표 [0] 6 23" xfId="29607"/>
    <cellStyle name="쉼표 [0] 6 24" xfId="29608"/>
    <cellStyle name="쉼표 [0] 6 25" xfId="29609"/>
    <cellStyle name="쉼표 [0] 6 26" xfId="29610"/>
    <cellStyle name="쉼표 [0] 6 27" xfId="29611"/>
    <cellStyle name="쉼표 [0] 6 28" xfId="29612"/>
    <cellStyle name="쉼표 [0] 6 29" xfId="29613"/>
    <cellStyle name="쉼표 [0] 6 3" xfId="598"/>
    <cellStyle name="쉼표 [0] 6 30" xfId="29614"/>
    <cellStyle name="쉼표 [0] 6 31" xfId="29615"/>
    <cellStyle name="쉼표 [0] 6 32" xfId="29616"/>
    <cellStyle name="쉼표 [0] 6 33" xfId="29617"/>
    <cellStyle name="쉼표 [0] 6 34" xfId="29618"/>
    <cellStyle name="쉼표 [0] 6 35" xfId="29619"/>
    <cellStyle name="쉼표 [0] 6 36" xfId="29620"/>
    <cellStyle name="쉼표 [0] 6 37" xfId="29621"/>
    <cellStyle name="쉼표 [0] 6 38" xfId="29622"/>
    <cellStyle name="쉼표 [0] 6 39" xfId="29623"/>
    <cellStyle name="쉼표 [0] 6 4" xfId="3131"/>
    <cellStyle name="쉼표 [0] 6 4 2" xfId="3875"/>
    <cellStyle name="쉼표 [0] 6 4 2 2" xfId="4943"/>
    <cellStyle name="쉼표 [0] 6 4 3" xfId="4546"/>
    <cellStyle name="쉼표 [0] 6 4_분양(100%)" xfId="39360"/>
    <cellStyle name="쉼표 [0] 6 40" xfId="29624"/>
    <cellStyle name="쉼표 [0] 6 41" xfId="29625"/>
    <cellStyle name="쉼표 [0] 6 42" xfId="29626"/>
    <cellStyle name="쉼표 [0] 6 43" xfId="29627"/>
    <cellStyle name="쉼표 [0] 6 44" xfId="29628"/>
    <cellStyle name="쉼표 [0] 6 45" xfId="29629"/>
    <cellStyle name="쉼표 [0] 6 46" xfId="29630"/>
    <cellStyle name="쉼표 [0] 6 47" xfId="29631"/>
    <cellStyle name="쉼표 [0] 6 48" xfId="29632"/>
    <cellStyle name="쉼표 [0] 6 49" xfId="29633"/>
    <cellStyle name="쉼표 [0] 6 5" xfId="3876"/>
    <cellStyle name="쉼표 [0] 6 5 2" xfId="4944"/>
    <cellStyle name="쉼표 [0] 6 5_분양(100%)" xfId="39361"/>
    <cellStyle name="쉼표 [0] 6 50" xfId="29634"/>
    <cellStyle name="쉼표 [0] 6 51" xfId="29635"/>
    <cellStyle name="쉼표 [0] 6 52" xfId="29636"/>
    <cellStyle name="쉼표 [0] 6 53" xfId="29637"/>
    <cellStyle name="쉼표 [0] 6 54" xfId="29638"/>
    <cellStyle name="쉼표 [0] 6 6" xfId="4421"/>
    <cellStyle name="쉼표 [0] 6 7" xfId="29639"/>
    <cellStyle name="쉼표 [0] 6 8" xfId="29640"/>
    <cellStyle name="쉼표 [0] 6 9" xfId="29641"/>
    <cellStyle name="쉼표 [0] 6_분양(100%)" xfId="39357"/>
    <cellStyle name="쉼표 [0] 60" xfId="29642"/>
    <cellStyle name="쉼표 [0] 60 2" xfId="29643"/>
    <cellStyle name="쉼표 [0] 60 3" xfId="29644"/>
    <cellStyle name="쉼표 [0] 60_분양(100%)" xfId="39362"/>
    <cellStyle name="쉼표 [0] 61" xfId="29645"/>
    <cellStyle name="쉼표 [0] 61 2" xfId="29646"/>
    <cellStyle name="쉼표 [0] 61 3" xfId="29647"/>
    <cellStyle name="쉼표 [0] 61_분양(100%)" xfId="39363"/>
    <cellStyle name="쉼표 [0] 62" xfId="29648"/>
    <cellStyle name="쉼표 [0] 62 2" xfId="29649"/>
    <cellStyle name="쉼표 [0] 62 3" xfId="29650"/>
    <cellStyle name="쉼표 [0] 62_분양(100%)" xfId="39364"/>
    <cellStyle name="쉼표 [0] 63" xfId="29651"/>
    <cellStyle name="쉼표 [0] 63 2" xfId="29652"/>
    <cellStyle name="쉼표 [0] 63_분양(100%)" xfId="39365"/>
    <cellStyle name="쉼표 [0] 64" xfId="29653"/>
    <cellStyle name="쉼표 [0] 64 2" xfId="29654"/>
    <cellStyle name="쉼표 [0] 64_분양(100%)" xfId="39366"/>
    <cellStyle name="쉼표 [0] 65" xfId="29655"/>
    <cellStyle name="쉼표 [0] 65 2" xfId="29656"/>
    <cellStyle name="쉼표 [0] 65_분양(100%)" xfId="39367"/>
    <cellStyle name="쉼표 [0] 66" xfId="29657"/>
    <cellStyle name="쉼표 [0] 66 2" xfId="29658"/>
    <cellStyle name="쉼표 [0] 66_분양(100%)" xfId="39368"/>
    <cellStyle name="쉼표 [0] 67" xfId="29659"/>
    <cellStyle name="쉼표 [0] 67 2" xfId="29660"/>
    <cellStyle name="쉼표 [0] 67_분양(100%)" xfId="39369"/>
    <cellStyle name="쉼표 [0] 68" xfId="29661"/>
    <cellStyle name="쉼표 [0] 68 2" xfId="29662"/>
    <cellStyle name="쉼표 [0] 68_분양(100%)" xfId="39370"/>
    <cellStyle name="쉼표 [0] 69" xfId="29663"/>
    <cellStyle name="쉼표 [0] 69 2" xfId="29664"/>
    <cellStyle name="쉼표 [0] 69_분양(100%)" xfId="39371"/>
    <cellStyle name="쉼표 [0] 7" xfId="526"/>
    <cellStyle name="쉼표 [0] 7 10" xfId="29665"/>
    <cellStyle name="쉼표 [0] 7 11" xfId="29666"/>
    <cellStyle name="쉼표 [0] 7 12" xfId="29667"/>
    <cellStyle name="쉼표 [0] 7 13" xfId="29668"/>
    <cellStyle name="쉼표 [0] 7 14" xfId="29669"/>
    <cellStyle name="쉼표 [0] 7 15" xfId="29670"/>
    <cellStyle name="쉼표 [0] 7 16" xfId="29671"/>
    <cellStyle name="쉼표 [0] 7 17" xfId="29672"/>
    <cellStyle name="쉼표 [0] 7 18" xfId="29673"/>
    <cellStyle name="쉼표 [0] 7 19" xfId="29674"/>
    <cellStyle name="쉼표 [0] 7 2" xfId="601"/>
    <cellStyle name="쉼표 [0] 7 20" xfId="29675"/>
    <cellStyle name="쉼표 [0] 7 21" xfId="29676"/>
    <cellStyle name="쉼표 [0] 7 22" xfId="29677"/>
    <cellStyle name="쉼표 [0] 7 23" xfId="29678"/>
    <cellStyle name="쉼표 [0] 7 24" xfId="29679"/>
    <cellStyle name="쉼표 [0] 7 25" xfId="29680"/>
    <cellStyle name="쉼표 [0] 7 26" xfId="29681"/>
    <cellStyle name="쉼표 [0] 7 27" xfId="29682"/>
    <cellStyle name="쉼표 [0] 7 28" xfId="29683"/>
    <cellStyle name="쉼표 [0] 7 29" xfId="29684"/>
    <cellStyle name="쉼표 [0] 7 3" xfId="4384"/>
    <cellStyle name="쉼표 [0] 7 30" xfId="29685"/>
    <cellStyle name="쉼표 [0] 7 31" xfId="29686"/>
    <cellStyle name="쉼표 [0] 7 32" xfId="29687"/>
    <cellStyle name="쉼표 [0] 7 33" xfId="29688"/>
    <cellStyle name="쉼표 [0] 7 34" xfId="29689"/>
    <cellStyle name="쉼표 [0] 7 35" xfId="29690"/>
    <cellStyle name="쉼표 [0] 7 36" xfId="29691"/>
    <cellStyle name="쉼표 [0] 7 37" xfId="29692"/>
    <cellStyle name="쉼표 [0] 7 38" xfId="29693"/>
    <cellStyle name="쉼표 [0] 7 39" xfId="29694"/>
    <cellStyle name="쉼표 [0] 7 4" xfId="29695"/>
    <cellStyle name="쉼표 [0] 7 40" xfId="29696"/>
    <cellStyle name="쉼표 [0] 7 41" xfId="29697"/>
    <cellStyle name="쉼표 [0] 7 42" xfId="29698"/>
    <cellStyle name="쉼표 [0] 7 43" xfId="29699"/>
    <cellStyle name="쉼표 [0] 7 44" xfId="29700"/>
    <cellStyle name="쉼표 [0] 7 45" xfId="29701"/>
    <cellStyle name="쉼표 [0] 7 46" xfId="29702"/>
    <cellStyle name="쉼표 [0] 7 47" xfId="29703"/>
    <cellStyle name="쉼표 [0] 7 48" xfId="29704"/>
    <cellStyle name="쉼표 [0] 7 49" xfId="29705"/>
    <cellStyle name="쉼표 [0] 7 5" xfId="29706"/>
    <cellStyle name="쉼표 [0] 7 50" xfId="29707"/>
    <cellStyle name="쉼표 [0] 7 51" xfId="29708"/>
    <cellStyle name="쉼표 [0] 7 52" xfId="29709"/>
    <cellStyle name="쉼표 [0] 7 53" xfId="29710"/>
    <cellStyle name="쉼표 [0] 7 54" xfId="29711"/>
    <cellStyle name="쉼표 [0] 7 55" xfId="29712"/>
    <cellStyle name="쉼표 [0] 7 6" xfId="29713"/>
    <cellStyle name="쉼표 [0] 7 7" xfId="29714"/>
    <cellStyle name="쉼표 [0] 7 8" xfId="29715"/>
    <cellStyle name="쉼표 [0] 7 9" xfId="29716"/>
    <cellStyle name="쉼표 [0] 7_분양(100%)" xfId="39372"/>
    <cellStyle name="쉼표 [0] 70" xfId="29717"/>
    <cellStyle name="쉼표 [0] 70 2" xfId="29718"/>
    <cellStyle name="쉼표 [0] 70_분양(100%)" xfId="39373"/>
    <cellStyle name="쉼표 [0] 71" xfId="29719"/>
    <cellStyle name="쉼표 [0] 71 2" xfId="29720"/>
    <cellStyle name="쉼표 [0] 71_분양(100%)" xfId="39374"/>
    <cellStyle name="쉼표 [0] 72" xfId="29721"/>
    <cellStyle name="쉼표 [0] 72 2" xfId="29722"/>
    <cellStyle name="쉼표 [0] 72_분양(100%)" xfId="39375"/>
    <cellStyle name="쉼표 [0] 73" xfId="29723"/>
    <cellStyle name="쉼표 [0] 73 2" xfId="29724"/>
    <cellStyle name="쉼표 [0] 73_분양(100%)" xfId="39376"/>
    <cellStyle name="쉼표 [0] 74" xfId="29725"/>
    <cellStyle name="쉼표 [0] 74 2" xfId="29726"/>
    <cellStyle name="쉼표 [0] 74_분양(100%)" xfId="39377"/>
    <cellStyle name="쉼표 [0] 75" xfId="29727"/>
    <cellStyle name="쉼표 [0] 75 2" xfId="29728"/>
    <cellStyle name="쉼표 [0] 75_분양(100%)" xfId="39378"/>
    <cellStyle name="쉼표 [0] 76" xfId="29729"/>
    <cellStyle name="쉼표 [0] 76 2" xfId="29730"/>
    <cellStyle name="쉼표 [0] 76_분양(100%)" xfId="39379"/>
    <cellStyle name="쉼표 [0] 77" xfId="29731"/>
    <cellStyle name="쉼표 [0] 77 2" xfId="29732"/>
    <cellStyle name="쉼표 [0] 77_분양(100%)" xfId="39380"/>
    <cellStyle name="쉼표 [0] 78" xfId="29733"/>
    <cellStyle name="쉼표 [0] 78 2" xfId="29734"/>
    <cellStyle name="쉼표 [0] 78_분양(100%)" xfId="39381"/>
    <cellStyle name="쉼표 [0] 79" xfId="29735"/>
    <cellStyle name="쉼표 [0] 79 2" xfId="29736"/>
    <cellStyle name="쉼표 [0] 79_분양(100%)" xfId="39382"/>
    <cellStyle name="쉼표 [0] 8" xfId="530"/>
    <cellStyle name="쉼표 [0] 8 2" xfId="587"/>
    <cellStyle name="쉼표 [0] 8 2 2" xfId="3185"/>
    <cellStyle name="쉼표 [0] 8 2 2 2" xfId="3877"/>
    <cellStyle name="쉼표 [0] 8 2 2 2 2" xfId="4945"/>
    <cellStyle name="쉼표 [0] 8 2 2 3" xfId="4599"/>
    <cellStyle name="쉼표 [0] 8 2 2_분양(100%)" xfId="39385"/>
    <cellStyle name="쉼표 [0] 8 2 3" xfId="3878"/>
    <cellStyle name="쉼표 [0] 8 2 3 2" xfId="4946"/>
    <cellStyle name="쉼표 [0] 8 2 4" xfId="4442"/>
    <cellStyle name="쉼표 [0] 8 2_분양(100%)" xfId="39384"/>
    <cellStyle name="쉼표 [0] 8 3" xfId="3137"/>
    <cellStyle name="쉼표 [0] 8 3 2" xfId="3879"/>
    <cellStyle name="쉼표 [0] 8 3 2 2" xfId="4947"/>
    <cellStyle name="쉼표 [0] 8 3 3" xfId="4552"/>
    <cellStyle name="쉼표 [0] 8 3_분양(100%)" xfId="39386"/>
    <cellStyle name="쉼표 [0] 8 4" xfId="3880"/>
    <cellStyle name="쉼표 [0] 8 4 2" xfId="4948"/>
    <cellStyle name="쉼표 [0] 8 5" xfId="4427"/>
    <cellStyle name="쉼표 [0] 8_분양(100%)" xfId="39383"/>
    <cellStyle name="쉼표 [0] 80" xfId="29737"/>
    <cellStyle name="쉼표 [0] 80 2" xfId="29738"/>
    <cellStyle name="쉼표 [0] 80_분양(100%)" xfId="39387"/>
    <cellStyle name="쉼표 [0] 81" xfId="29739"/>
    <cellStyle name="쉼표 [0] 81 2" xfId="29740"/>
    <cellStyle name="쉼표 [0] 81_분양(100%)" xfId="39388"/>
    <cellStyle name="쉼표 [0] 82" xfId="29741"/>
    <cellStyle name="쉼표 [0] 82 2" xfId="29742"/>
    <cellStyle name="쉼표 [0] 82_분양(100%)" xfId="39389"/>
    <cellStyle name="쉼표 [0] 83" xfId="29743"/>
    <cellStyle name="쉼표 [0] 83 2" xfId="29744"/>
    <cellStyle name="쉼표 [0] 83_분양(100%)" xfId="39390"/>
    <cellStyle name="쉼표 [0] 84" xfId="29745"/>
    <cellStyle name="쉼표 [0] 84 2" xfId="29746"/>
    <cellStyle name="쉼표 [0] 84_분양(100%)" xfId="39391"/>
    <cellStyle name="쉼표 [0] 85" xfId="29747"/>
    <cellStyle name="쉼표 [0] 85 2" xfId="29748"/>
    <cellStyle name="쉼표 [0] 85_분양(100%)" xfId="39392"/>
    <cellStyle name="쉼표 [0] 86" xfId="29749"/>
    <cellStyle name="쉼표 [0] 86 2" xfId="29750"/>
    <cellStyle name="쉼표 [0] 86_분양(100%)" xfId="39393"/>
    <cellStyle name="쉼표 [0] 87" xfId="29751"/>
    <cellStyle name="쉼표 [0] 87 2" xfId="29752"/>
    <cellStyle name="쉼표 [0] 87_분양(100%)" xfId="39394"/>
    <cellStyle name="쉼표 [0] 88" xfId="29753"/>
    <cellStyle name="쉼표 [0] 88 2" xfId="29754"/>
    <cellStyle name="쉼표 [0] 88_분양(100%)" xfId="39395"/>
    <cellStyle name="쉼표 [0] 89" xfId="29755"/>
    <cellStyle name="쉼표 [0] 89 2" xfId="29756"/>
    <cellStyle name="쉼표 [0] 89_분양(100%)" xfId="39396"/>
    <cellStyle name="쉼표 [0] 9" xfId="257"/>
    <cellStyle name="쉼표 [0] 9 2" xfId="4385"/>
    <cellStyle name="쉼표 [0] 9 3" xfId="4386"/>
    <cellStyle name="쉼표 [0] 9 4" xfId="29757"/>
    <cellStyle name="쉼표 [0] 9_분양(100%)" xfId="39397"/>
    <cellStyle name="쉼표 [0] 90" xfId="29758"/>
    <cellStyle name="쉼표 [0] 90 2" xfId="29759"/>
    <cellStyle name="쉼표 [0] 90_분양(100%)" xfId="39398"/>
    <cellStyle name="쉼표 [0] 91" xfId="29760"/>
    <cellStyle name="쉼표 [0] 91 2" xfId="29761"/>
    <cellStyle name="쉼표 [0] 91_분양(100%)" xfId="39399"/>
    <cellStyle name="쉼표 [0] 92" xfId="29762"/>
    <cellStyle name="쉼표 [0] 92 2" xfId="29763"/>
    <cellStyle name="쉼표 [0] 92_분양(100%)" xfId="39400"/>
    <cellStyle name="쉼표 [0] 93" xfId="29764"/>
    <cellStyle name="쉼표 [0] 93 2" xfId="29765"/>
    <cellStyle name="쉼표 [0] 93_분양(100%)" xfId="39401"/>
    <cellStyle name="쉼표 [0] 94" xfId="29766"/>
    <cellStyle name="쉼표 [0] 94 2" xfId="29767"/>
    <cellStyle name="쉼표 [0] 94_분양(100%)" xfId="39402"/>
    <cellStyle name="쉼표 [0] 95" xfId="29768"/>
    <cellStyle name="쉼표 [0] 95 2" xfId="29769"/>
    <cellStyle name="쉼표 [0] 95_분양(100%)" xfId="39403"/>
    <cellStyle name="쉼표 [0] 96" xfId="29770"/>
    <cellStyle name="쉼표 [0] 96 2" xfId="29771"/>
    <cellStyle name="쉼표 [0] 96_분양(100%)" xfId="39404"/>
    <cellStyle name="쉼표 [0] 97" xfId="29772"/>
    <cellStyle name="쉼표 [0] 97 2" xfId="29773"/>
    <cellStyle name="쉼표 [0] 97_분양(100%)" xfId="39405"/>
    <cellStyle name="쉼표 [0] 98" xfId="29774"/>
    <cellStyle name="쉼표 [0] 98 2" xfId="29775"/>
    <cellStyle name="쉼표 [0] 98_분양(100%)" xfId="39406"/>
    <cellStyle name="쉼표 [0] 99" xfId="29776"/>
    <cellStyle name="쉼표 [0] 99 2" xfId="29777"/>
    <cellStyle name="쉼표 [0] 99_분양(100%)" xfId="39407"/>
    <cellStyle name="쉼표 2" xfId="29778"/>
    <cellStyle name="쉼표 2 2" xfId="29779"/>
    <cellStyle name="쉼표 2 3" xfId="29780"/>
    <cellStyle name="쉼표 2_분양(100%)" xfId="39408"/>
    <cellStyle name="스타일 1" xfId="7"/>
    <cellStyle name="스타일 1 2" xfId="684"/>
    <cellStyle name="스타일 1 3" xfId="4387"/>
    <cellStyle name="스타일 1_분양(100%)" xfId="39409"/>
    <cellStyle name="스타일 10" xfId="29781"/>
    <cellStyle name="스타일 11" xfId="29782"/>
    <cellStyle name="스타일 12" xfId="29783"/>
    <cellStyle name="스타일 12 2" xfId="29784"/>
    <cellStyle name="스타일 12 3" xfId="29785"/>
    <cellStyle name="스타일 12_분양(100%)" xfId="39410"/>
    <cellStyle name="스타일 13" xfId="29786"/>
    <cellStyle name="스타일 13 2" xfId="29787"/>
    <cellStyle name="스타일 13 3" xfId="29788"/>
    <cellStyle name="스타일 13_분양(100%)" xfId="39411"/>
    <cellStyle name="스타일 14" xfId="29789"/>
    <cellStyle name="스타일 14 2" xfId="29790"/>
    <cellStyle name="스타일 14 3" xfId="29791"/>
    <cellStyle name="스타일 14_분양(100%)" xfId="39412"/>
    <cellStyle name="스타일 15" xfId="29792"/>
    <cellStyle name="스타일 15 2" xfId="29793"/>
    <cellStyle name="스타일 15 3" xfId="29794"/>
    <cellStyle name="스타일 15_분양(100%)" xfId="39413"/>
    <cellStyle name="스타일 16" xfId="29795"/>
    <cellStyle name="스타일 17" xfId="29796"/>
    <cellStyle name="스타일 18" xfId="29797"/>
    <cellStyle name="스타일 19" xfId="29798"/>
    <cellStyle name="스타일 19 2" xfId="29799"/>
    <cellStyle name="스타일 19 3" xfId="29800"/>
    <cellStyle name="스타일 19_분양(100%)" xfId="39414"/>
    <cellStyle name="스타일 2" xfId="4388"/>
    <cellStyle name="스타일 2 2" xfId="29801"/>
    <cellStyle name="스타일 2 3" xfId="29802"/>
    <cellStyle name="스타일 2_분양(100%)" xfId="39415"/>
    <cellStyle name="스타일 20" xfId="29803"/>
    <cellStyle name="스타일 21" xfId="29804"/>
    <cellStyle name="스타일 22" xfId="29805"/>
    <cellStyle name="스타일 23" xfId="29806"/>
    <cellStyle name="스타일 24" xfId="29807"/>
    <cellStyle name="스타일 25" xfId="29808"/>
    <cellStyle name="스타일 26" xfId="29809"/>
    <cellStyle name="스타일 27" xfId="29810"/>
    <cellStyle name="스타일 28" xfId="29811"/>
    <cellStyle name="스타일 29" xfId="29812"/>
    <cellStyle name="스타일 3" xfId="4389"/>
    <cellStyle name="스타일 3 2" xfId="29813"/>
    <cellStyle name="스타일 3 3" xfId="29814"/>
    <cellStyle name="스타일 3_분양(100%)" xfId="39416"/>
    <cellStyle name="스타일 30" xfId="29815"/>
    <cellStyle name="스타일 31" xfId="29816"/>
    <cellStyle name="스타일 32" xfId="29817"/>
    <cellStyle name="스타일 33" xfId="29818"/>
    <cellStyle name="스타일 34" xfId="29819"/>
    <cellStyle name="스타일 35" xfId="29820"/>
    <cellStyle name="스타일 36" xfId="29821"/>
    <cellStyle name="스타일 37" xfId="29822"/>
    <cellStyle name="스타일 38" xfId="29823"/>
    <cellStyle name="스타일 39" xfId="29824"/>
    <cellStyle name="스타일 4" xfId="4390"/>
    <cellStyle name="스타일 4 2" xfId="29825"/>
    <cellStyle name="스타일 4 3" xfId="29826"/>
    <cellStyle name="스타일 4_분양(100%)" xfId="39417"/>
    <cellStyle name="스타일 40" xfId="29827"/>
    <cellStyle name="스타일 41" xfId="29828"/>
    <cellStyle name="스타일 5" xfId="4391"/>
    <cellStyle name="스타일 5 2" xfId="29829"/>
    <cellStyle name="스타일 5 3" xfId="29830"/>
    <cellStyle name="스타일 5_분양(100%)" xfId="39418"/>
    <cellStyle name="스타일 6" xfId="29831"/>
    <cellStyle name="스타일 7" xfId="29832"/>
    <cellStyle name="스타일 7 2" xfId="29833"/>
    <cellStyle name="스타일 7 3" xfId="29834"/>
    <cellStyle name="스타일 7_분양(100%)" xfId="39419"/>
    <cellStyle name="스타일 8" xfId="29835"/>
    <cellStyle name="스타일 8 2" xfId="29836"/>
    <cellStyle name="스타일 8 3" xfId="29837"/>
    <cellStyle name="스타일 8_분양(100%)" xfId="39420"/>
    <cellStyle name="스타일 9" xfId="29838"/>
    <cellStyle name="승수" xfId="29839"/>
    <cellStyle name="승수 2" xfId="29840"/>
    <cellStyle name="승수_분양(100%)" xfId="39421"/>
    <cellStyle name="식" xfId="258"/>
    <cellStyle name="식_(문원고기만)MODEL0318" xfId="29841"/>
    <cellStyle name="식_(문원고기만)MODEL0318 2" xfId="29842"/>
    <cellStyle name="식_(문원고기만)MODEL0318 2_분양(100%)" xfId="39424"/>
    <cellStyle name="식_(문원고기만)MODEL0318_112504_CN FM_보장조정_협약변경-재조달순-rv1" xfId="29843"/>
    <cellStyle name="식_(문원고기만)MODEL0318_112504_CN FM_보장조정_협약변경-재조달순-rv1 2" xfId="29844"/>
    <cellStyle name="식_(문원고기만)MODEL0318_112504_CN FM_보장조정_협약변경-재조달순-rv1 2_분양(100%)" xfId="39426"/>
    <cellStyle name="식_(문원고기만)MODEL0318_112504_CN FM_보장조정_협약변경-재조달순-rv1_분양(100%)" xfId="39425"/>
    <cellStyle name="식_(문원고기만)MODEL0318_CN Financial Model-090704-4%" xfId="29845"/>
    <cellStyle name="식_(문원고기만)MODEL0318_CN Financial Model-090704-4% 2" xfId="29846"/>
    <cellStyle name="식_(문원고기만)MODEL0318_CN Financial Model-090704-4% 2_분양(100%)" xfId="39428"/>
    <cellStyle name="식_(문원고기만)MODEL0318_CN Financial Model-090704-4%_분양(100%)" xfId="39427"/>
    <cellStyle name="식_(문원고기만)MODEL0318_CN Financial Model-102004" xfId="29847"/>
    <cellStyle name="식_(문원고기만)MODEL0318_CN Financial Model-102004 2" xfId="29848"/>
    <cellStyle name="식_(문원고기만)MODEL0318_CN Financial Model-102004 2_분양(100%)" xfId="39430"/>
    <cellStyle name="식_(문원고기만)MODEL0318_CN Financial Model-102004_분양(100%)" xfId="39429"/>
    <cellStyle name="식_(문원고기만)MODEL0318_분양(100%)" xfId="39423"/>
    <cellStyle name="식_(제출용)재무모델_(가칭)영신개발관리(주)" xfId="259"/>
    <cellStyle name="식_(제출용)재무모델_(가칭)영신개발관리(주)_재무모델_김천하수관거_0221" xfId="260"/>
    <cellStyle name="식_(제출용)재무모델_(가칭)영신개발관리(주)_재무모델_김천하수관거_0222" xfId="261"/>
    <cellStyle name="식_(제출용)재무모델_(가칭)영신개발관리(주)_재무모델_김천하수관거_0224" xfId="262"/>
    <cellStyle name="식_(제출용)재무모델_(가칭)영신개발관리(주)_재무모델_김천하수관거_부속작업중" xfId="263"/>
    <cellStyle name="식_1. 청주 부대비용(운영기간중)" xfId="264"/>
    <cellStyle name="식_1. 청주 부대비용(운영기간중)_FS_Undur Naran_ver6.1" xfId="29849"/>
    <cellStyle name="식_1. 청주 부대비용(운영기간중)_FS_Undur Naran_ver6.1_분양(100%)" xfId="39432"/>
    <cellStyle name="식_1. 청주 부대비용(운영기간중)_FS_UndurNaran_Gold_2.0_NGH" xfId="29850"/>
    <cellStyle name="식_1. 청주 부대비용(운영기간중)_FS_UndurNaran_Gold_2.0_NGH_분양(100%)" xfId="39433"/>
    <cellStyle name="식_1. 청주 부대비용(운영기간중)_분양(100%)" xfId="39431"/>
    <cellStyle name="식_1. 청주 부대비용(운영기간중)_인플레이션&amp;상대가치법&amp;WACC서칭_국가별 구분" xfId="29851"/>
    <cellStyle name="식_1. 청주 부대비용(운영기간중)_인플레이션&amp;상대가치법&amp;WACC서칭_국가별 구분_분양(100%)" xfId="39434"/>
    <cellStyle name="식_1. 청주 부대비용(운영기간중)_장흥 운영기간중 비용-rev" xfId="29852"/>
    <cellStyle name="식_1. 청주 부대비용(운영기간중)_장흥 운영기간중 비용-rev 2" xfId="29853"/>
    <cellStyle name="식_1. 청주 부대비용(운영기간중)_장흥 운영기간중 비용-rev 2_분양(100%)" xfId="39436"/>
    <cellStyle name="식_1. 청주 부대비용(운영기간중)_장흥 운영기간중 비용-rev_김천 운영기간중 비용2007.2.18(홍_수정)" xfId="29854"/>
    <cellStyle name="식_1. 청주 부대비용(운영기간중)_장흥 운영기간중 비용-rev_김천 운영기간중 비용2007.2.18(홍_수정) 2" xfId="29855"/>
    <cellStyle name="식_1. 청주 부대비용(운영기간중)_장흥 운영기간중 비용-rev_김천 운영기간중 비용2007.2.18(홍_수정) 2_분양(100%)" xfId="39438"/>
    <cellStyle name="식_1. 청주 부대비용(운영기간중)_장흥 운영기간중 비용-rev_김천 운영기간중 비용2007.2.18(홍_수정)_분양(100%)" xfId="39437"/>
    <cellStyle name="식_1. 청주 부대비용(운영기간중)_장흥 운영기간중 비용-rev_분양(100%)" xfId="39435"/>
    <cellStyle name="식_1. 청주 부대비용(운영기간중)_재무모델_김천하수관거_0221" xfId="265"/>
    <cellStyle name="식_1. 청주 부대비용(운영기간중)_재무모델_김천하수관거_0222" xfId="266"/>
    <cellStyle name="식_1. 청주 부대비용(운영기간중)_재무모델_김천하수관거_0224" xfId="267"/>
    <cellStyle name="식_1. 청주 부대비용(운영기간중)_재무모델_김천하수관거_부속작업중" xfId="268"/>
    <cellStyle name="식_1.부대비용(운영기간중)050217" xfId="269"/>
    <cellStyle name="식_1.부대비용(운영기간중)050217_FS_Undur Naran_ver6.1" xfId="29856"/>
    <cellStyle name="식_1.부대비용(운영기간중)050217_FS_Undur Naran_ver6.1_분양(100%)" xfId="39440"/>
    <cellStyle name="식_1.부대비용(운영기간중)050217_FS_UndurNaran_Gold_2.0_NGH" xfId="29857"/>
    <cellStyle name="식_1.부대비용(운영기간중)050217_FS_UndurNaran_Gold_2.0_NGH_분양(100%)" xfId="39441"/>
    <cellStyle name="식_1.부대비용(운영기간중)050217_분양(100%)" xfId="39439"/>
    <cellStyle name="식_1.부대비용(운영기간중)050217_인플레이션&amp;상대가치법&amp;WACC서칭_국가별 구분" xfId="29858"/>
    <cellStyle name="식_1.부대비용(운영기간중)050217_인플레이션&amp;상대가치법&amp;WACC서칭_국가별 구분_분양(100%)" xfId="39442"/>
    <cellStyle name="식_1.부대비용(운영기간중)050217_장흥 운영기간중 비용-rev" xfId="29859"/>
    <cellStyle name="식_1.부대비용(운영기간중)050217_장흥 운영기간중 비용-rev 2" xfId="29860"/>
    <cellStyle name="식_1.부대비용(운영기간중)050217_장흥 운영기간중 비용-rev 2_분양(100%)" xfId="39444"/>
    <cellStyle name="식_1.부대비용(운영기간중)050217_장흥 운영기간중 비용-rev_김천 운영기간중 비용2007.2.18(홍_수정)" xfId="29861"/>
    <cellStyle name="식_1.부대비용(운영기간중)050217_장흥 운영기간중 비용-rev_김천 운영기간중 비용2007.2.18(홍_수정) 2" xfId="29862"/>
    <cellStyle name="식_1.부대비용(운영기간중)050217_장흥 운영기간중 비용-rev_김천 운영기간중 비용2007.2.18(홍_수정) 2_분양(100%)" xfId="39446"/>
    <cellStyle name="식_1.부대비용(운영기간중)050217_장흥 운영기간중 비용-rev_김천 운영기간중 비용2007.2.18(홍_수정)_분양(100%)" xfId="39445"/>
    <cellStyle name="식_1.부대비용(운영기간중)050217_장흥 운영기간중 비용-rev_분양(100%)" xfId="39443"/>
    <cellStyle name="식_1.부대비용(운영기간중)050217_재무모델_김천하수관거_0221" xfId="270"/>
    <cellStyle name="식_1.부대비용(운영기간중)050217_재무모델_김천하수관거_0222" xfId="271"/>
    <cellStyle name="식_1.부대비용(운영기간중)050217_재무모델_김천하수관거_0224" xfId="272"/>
    <cellStyle name="식_1.부대비용(운영기간중)050217_재무모델_김천하수관거_부속작업중" xfId="273"/>
    <cellStyle name="식_30년간운영비용(총괄)(백데이터)" xfId="29863"/>
    <cellStyle name="식_30년간운영비용(총괄)(백데이터) 2" xfId="29864"/>
    <cellStyle name="식_30년간운영비용(총괄)(백데이터) 2_분양(100%)" xfId="39448"/>
    <cellStyle name="식_30년간운영비용(총괄)(백데이터)_~6652857" xfId="29865"/>
    <cellStyle name="식_30년간운영비용(총괄)(백데이터)_~6652857 2" xfId="29866"/>
    <cellStyle name="식_30년간운영비용(총괄)(백데이터)_~6652857 2_분양(100%)" xfId="39450"/>
    <cellStyle name="식_30년간운영비용(총괄)(백데이터)_~6652857_분양(100%)" xfId="39449"/>
    <cellStyle name="식_30년간운영비용(총괄)(백데이터)_분양(100%)" xfId="39447"/>
    <cellStyle name="식_6. 전력비 총괄(2004.3.16)" xfId="274"/>
    <cellStyle name="식_6. 전력비 총괄(2004.3.16)_FS_MS STP_092005_v7" xfId="29867"/>
    <cellStyle name="식_6. 전력비 총괄(2004.3.16)_FS_MS STP_092005_v7 2" xfId="29868"/>
    <cellStyle name="식_6. 전력비 총괄(2004.3.16)_FS_MS STP_092005_v7 2_분양(100%)" xfId="39453"/>
    <cellStyle name="식_6. 전력비 총괄(2004.3.16)_FS_MS STP_092005_v7_분양(100%)" xfId="39452"/>
    <cellStyle name="식_6. 전력비 총괄(2004.3.16)_FS_MS STP_092005_v8" xfId="29869"/>
    <cellStyle name="식_6. 전력비 총괄(2004.3.16)_FS_MS STP_092005_v8 2" xfId="29870"/>
    <cellStyle name="식_6. 전력비 총괄(2004.3.16)_FS_MS STP_092005_v8 2_분양(100%)" xfId="39455"/>
    <cellStyle name="식_6. 전력비 총괄(2004.3.16)_FS_MS STP_092005_v8_분양(100%)" xfId="39454"/>
    <cellStyle name="식_6. 전력비 총괄(2004.3.16)_FS_Undur Naran_ver6.1" xfId="29871"/>
    <cellStyle name="식_6. 전력비 총괄(2004.3.16)_FS_Undur Naran_ver6.1_분양(100%)" xfId="39456"/>
    <cellStyle name="식_6. 전력비 총괄(2004.3.16)_FS_UndurNaran_Gold_2.0_NGH" xfId="29872"/>
    <cellStyle name="식_6. 전력비 총괄(2004.3.16)_FS_UndurNaran_Gold_2.0_NGH_분양(100%)" xfId="39457"/>
    <cellStyle name="식_6. 전력비 총괄(2004.3.16)_분양(100%)" xfId="39451"/>
    <cellStyle name="식_6. 전력비 총괄(2004.3.16)_인플레이션&amp;상대가치법&amp;WACC서칭_국가별 구분" xfId="29873"/>
    <cellStyle name="식_6. 전력비 총괄(2004.3.16)_인플레이션&amp;상대가치법&amp;WACC서칭_국가별 구분_분양(100%)" xfId="39458"/>
    <cellStyle name="식_6. 전력비 총괄(2004.3.16)_장흥 운영기간중 비용-rev" xfId="29874"/>
    <cellStyle name="식_6. 전력비 총괄(2004.3.16)_장흥 운영기간중 비용-rev 2" xfId="29875"/>
    <cellStyle name="식_6. 전력비 총괄(2004.3.16)_장흥 운영기간중 비용-rev 2_분양(100%)" xfId="39460"/>
    <cellStyle name="식_6. 전력비 총괄(2004.3.16)_장흥 운영기간중 비용-rev_김천 운영기간중 비용2007.2.18(홍_수정)" xfId="29876"/>
    <cellStyle name="식_6. 전력비 총괄(2004.3.16)_장흥 운영기간중 비용-rev_김천 운영기간중 비용2007.2.18(홍_수정) 2" xfId="29877"/>
    <cellStyle name="식_6. 전력비 총괄(2004.3.16)_장흥 운영기간중 비용-rev_김천 운영기간중 비용2007.2.18(홍_수정) 2_분양(100%)" xfId="39462"/>
    <cellStyle name="식_6. 전력비 총괄(2004.3.16)_장흥 운영기간중 비용-rev_김천 운영기간중 비용2007.2.18(홍_수정)_분양(100%)" xfId="39461"/>
    <cellStyle name="식_6. 전력비 총괄(2004.3.16)_장흥 운영기간중 비용-rev_분양(100%)" xfId="39459"/>
    <cellStyle name="식_6. 전력비 총괄(2004.3.16)_재무모델_김천하수관거_0221" xfId="275"/>
    <cellStyle name="식_6. 전력비 총괄(2004.3.16)_재무모델_김천하수관거_0222" xfId="276"/>
    <cellStyle name="식_6. 전력비 총괄(2004.3.16)_재무모델_김천하수관거_0224" xfId="277"/>
    <cellStyle name="식_6. 전력비 총괄(2004.3.16)_재무모델_김천하수관거_부속작업중" xfId="278"/>
    <cellStyle name="식_6-1. 전력부하 집계표(최종)" xfId="279"/>
    <cellStyle name="식_6-1. 전력부하 집계표(최종)_FS_MS STP_092005_v7" xfId="29878"/>
    <cellStyle name="식_6-1. 전력부하 집계표(최종)_FS_MS STP_092005_v7 2" xfId="29879"/>
    <cellStyle name="식_6-1. 전력부하 집계표(최종)_FS_MS STP_092005_v7 2_분양(100%)" xfId="39465"/>
    <cellStyle name="식_6-1. 전력부하 집계표(최종)_FS_MS STP_092005_v7_분양(100%)" xfId="39464"/>
    <cellStyle name="식_6-1. 전력부하 집계표(최종)_FS_MS STP_092005_v8" xfId="29880"/>
    <cellStyle name="식_6-1. 전력부하 집계표(최종)_FS_MS STP_092005_v8 2" xfId="29881"/>
    <cellStyle name="식_6-1. 전력부하 집계표(최종)_FS_MS STP_092005_v8 2_분양(100%)" xfId="39467"/>
    <cellStyle name="식_6-1. 전력부하 집계표(최종)_FS_MS STP_092005_v8_분양(100%)" xfId="39466"/>
    <cellStyle name="식_6-1. 전력부하 집계표(최종)_FS_Undur Naran_ver6.1" xfId="29882"/>
    <cellStyle name="식_6-1. 전력부하 집계표(최종)_FS_Undur Naran_ver6.1_분양(100%)" xfId="39468"/>
    <cellStyle name="식_6-1. 전력부하 집계표(최종)_FS_UndurNaran_Gold_2.0_NGH" xfId="29883"/>
    <cellStyle name="식_6-1. 전력부하 집계표(최종)_FS_UndurNaran_Gold_2.0_NGH_분양(100%)" xfId="39469"/>
    <cellStyle name="식_6-1. 전력부하 집계표(최종)_분양(100%)" xfId="39463"/>
    <cellStyle name="식_6-1. 전력부하 집계표(최종)_인플레이션&amp;상대가치법&amp;WACC서칭_국가별 구분" xfId="29884"/>
    <cellStyle name="식_6-1. 전력부하 집계표(최종)_인플레이션&amp;상대가치법&amp;WACC서칭_국가별 구분_분양(100%)" xfId="39470"/>
    <cellStyle name="식_6-1. 전력부하 집계표(최종)_장흥 운영기간중 비용-rev" xfId="29885"/>
    <cellStyle name="식_6-1. 전력부하 집계표(최종)_장흥 운영기간중 비용-rev 2" xfId="29886"/>
    <cellStyle name="식_6-1. 전력부하 집계표(최종)_장흥 운영기간중 비용-rev 2_분양(100%)" xfId="39472"/>
    <cellStyle name="식_6-1. 전력부하 집계표(최종)_장흥 운영기간중 비용-rev_김천 운영기간중 비용2007.2.18(홍_수정)" xfId="29887"/>
    <cellStyle name="식_6-1. 전력부하 집계표(최종)_장흥 운영기간중 비용-rev_김천 운영기간중 비용2007.2.18(홍_수정) 2" xfId="29888"/>
    <cellStyle name="식_6-1. 전력부하 집계표(최종)_장흥 운영기간중 비용-rev_김천 운영기간중 비용2007.2.18(홍_수정) 2_분양(100%)" xfId="39474"/>
    <cellStyle name="식_6-1. 전력부하 집계표(최종)_장흥 운영기간중 비용-rev_김천 운영기간중 비용2007.2.18(홍_수정)_분양(100%)" xfId="39473"/>
    <cellStyle name="식_6-1. 전력부하 집계표(최종)_장흥 운영기간중 비용-rev_분양(100%)" xfId="39471"/>
    <cellStyle name="식_6-1. 전력부하 집계표(최종)_재무모델_김천하수관거_0221" xfId="280"/>
    <cellStyle name="식_6-1. 전력부하 집계표(최종)_재무모델_김천하수관거_0222" xfId="281"/>
    <cellStyle name="식_6-1. 전력부하 집계표(최종)_재무모델_김천하수관거_0224" xfId="282"/>
    <cellStyle name="식_6-1. 전력부하 집계표(최종)_재무모델_김천하수관거_부속작업중" xfId="283"/>
    <cellStyle name="식_Book1" xfId="29889"/>
    <cellStyle name="식_Book1 2" xfId="29890"/>
    <cellStyle name="식_Book1 2_분양(100%)" xfId="39476"/>
    <cellStyle name="식_Book1_분양(100%)" xfId="39475"/>
    <cellStyle name="식_Book1_장흥 운영기간중 비용-rev" xfId="29891"/>
    <cellStyle name="식_Book1_장흥 운영기간중 비용-rev 2" xfId="29892"/>
    <cellStyle name="식_Book1_장흥 운영기간중 비용-rev 2_분양(100%)" xfId="39478"/>
    <cellStyle name="식_Book1_장흥 운영기간중 비용-rev_김천 운영기간중 비용2007.2.18(홍_수정)" xfId="29893"/>
    <cellStyle name="식_Book1_장흥 운영기간중 비용-rev_김천 운영기간중 비용2007.2.18(홍_수정) 2" xfId="29894"/>
    <cellStyle name="식_Book1_장흥 운영기간중 비용-rev_김천 운영기간중 비용2007.2.18(홍_수정) 2_분양(100%)" xfId="39480"/>
    <cellStyle name="식_Book1_장흥 운영기간중 비용-rev_김천 운영기간중 비용2007.2.18(홍_수정)_분양(100%)" xfId="39479"/>
    <cellStyle name="식_Book1_장흥 운영기간중 비용-rev_분양(100%)" xfId="39477"/>
    <cellStyle name="식_BTL_전북대생활관_073105_v29" xfId="29895"/>
    <cellStyle name="식_BTL_전북대생활관_073105_v29 2" xfId="29896"/>
    <cellStyle name="식_BTL_전북대생활관_073105_v29 2_분양(100%)" xfId="39482"/>
    <cellStyle name="식_BTL_전북대생활관_073105_v29_BTL_전북대생활관_0780105_v35" xfId="29897"/>
    <cellStyle name="식_BTL_전북대생활관_073105_v29_BTL_전북대생활관_0780105_v35 2" xfId="29898"/>
    <cellStyle name="식_BTL_전북대생활관_073105_v29_BTL_전북대생활관_0780105_v35 2_분양(100%)" xfId="39484"/>
    <cellStyle name="식_BTL_전북대생활관_073105_v29_BTL_전북대생활관_0780105_v35_FS_MS STP_091205_v1" xfId="29899"/>
    <cellStyle name="식_BTL_전북대생활관_073105_v29_BTL_전북대생활관_0780105_v35_FS_MS STP_091205_v1 2" xfId="29900"/>
    <cellStyle name="식_BTL_전북대생활관_073105_v29_BTL_전북대생활관_0780105_v35_FS_MS STP_091205_v1 2_분양(100%)" xfId="39486"/>
    <cellStyle name="식_BTL_전북대생활관_073105_v29_BTL_전북대생활관_0780105_v35_FS_MS STP_091205_v1_FS_MS STP_092005_v7" xfId="29901"/>
    <cellStyle name="식_BTL_전북대생활관_073105_v29_BTL_전북대생활관_0780105_v35_FS_MS STP_091205_v1_FS_MS STP_092005_v7 2" xfId="29902"/>
    <cellStyle name="식_BTL_전북대생활관_073105_v29_BTL_전북대생활관_0780105_v35_FS_MS STP_091205_v1_FS_MS STP_092005_v7 2_분양(100%)" xfId="39488"/>
    <cellStyle name="식_BTL_전북대생활관_073105_v29_BTL_전북대생활관_0780105_v35_FS_MS STP_091205_v1_FS_MS STP_092005_v7_분양(100%)" xfId="39487"/>
    <cellStyle name="식_BTL_전북대생활관_073105_v29_BTL_전북대생활관_0780105_v35_FS_MS STP_091205_v1_FS_MS STP_092005_v8" xfId="29903"/>
    <cellStyle name="식_BTL_전북대생활관_073105_v29_BTL_전북대생활관_0780105_v35_FS_MS STP_091205_v1_FS_MS STP_092005_v8 2" xfId="29904"/>
    <cellStyle name="식_BTL_전북대생활관_073105_v29_BTL_전북대생활관_0780105_v35_FS_MS STP_091205_v1_FS_MS STP_092005_v8 2_분양(100%)" xfId="39490"/>
    <cellStyle name="식_BTL_전북대생활관_073105_v29_BTL_전북대생활관_0780105_v35_FS_MS STP_091205_v1_FS_MS STP_092005_v8_분양(100%)" xfId="39489"/>
    <cellStyle name="식_BTL_전북대생활관_073105_v29_BTL_전북대생활관_0780105_v35_FS_MS STP_091205_v1_분양(100%)" xfId="39485"/>
    <cellStyle name="식_BTL_전북대생활관_073105_v29_BTL_전북대생활관_0780105_v35_FS_MS STP_091305_v1" xfId="29905"/>
    <cellStyle name="식_BTL_전북대생활관_073105_v29_BTL_전북대생활관_0780105_v35_FS_MS STP_091305_v1 2" xfId="29906"/>
    <cellStyle name="식_BTL_전북대생활관_073105_v29_BTL_전북대생활관_0780105_v35_FS_MS STP_091305_v1 2_분양(100%)" xfId="39492"/>
    <cellStyle name="식_BTL_전북대생활관_073105_v29_BTL_전북대생활관_0780105_v35_FS_MS STP_091305_v1_FS_MS STP_092005_v7" xfId="29907"/>
    <cellStyle name="식_BTL_전북대생활관_073105_v29_BTL_전북대생활관_0780105_v35_FS_MS STP_091305_v1_FS_MS STP_092005_v7 2" xfId="29908"/>
    <cellStyle name="식_BTL_전북대생활관_073105_v29_BTL_전북대생활관_0780105_v35_FS_MS STP_091305_v1_FS_MS STP_092005_v7 2_분양(100%)" xfId="39494"/>
    <cellStyle name="식_BTL_전북대생활관_073105_v29_BTL_전북대생활관_0780105_v35_FS_MS STP_091305_v1_FS_MS STP_092005_v7_분양(100%)" xfId="39493"/>
    <cellStyle name="식_BTL_전북대생활관_073105_v29_BTL_전북대생활관_0780105_v35_FS_MS STP_091305_v1_FS_MS STP_092005_v8" xfId="29909"/>
    <cellStyle name="식_BTL_전북대생활관_073105_v29_BTL_전북대생활관_0780105_v35_FS_MS STP_091305_v1_FS_MS STP_092005_v8 2" xfId="29910"/>
    <cellStyle name="식_BTL_전북대생활관_073105_v29_BTL_전북대생활관_0780105_v35_FS_MS STP_091305_v1_FS_MS STP_092005_v8 2_분양(100%)" xfId="39496"/>
    <cellStyle name="식_BTL_전북대생활관_073105_v29_BTL_전북대생활관_0780105_v35_FS_MS STP_091305_v1_FS_MS STP_092005_v8_분양(100%)" xfId="39495"/>
    <cellStyle name="식_BTL_전북대생활관_073105_v29_BTL_전북대생활관_0780105_v35_FS_MS STP_091305_v1_분양(100%)" xfId="39491"/>
    <cellStyle name="식_BTL_전북대생활관_073105_v29_BTL_전북대생활관_0780105_v35_FS_MS STP_091505_v5" xfId="29911"/>
    <cellStyle name="식_BTL_전북대생활관_073105_v29_BTL_전북대생활관_0780105_v35_FS_MS STP_091505_v5 2" xfId="29912"/>
    <cellStyle name="식_BTL_전북대생활관_073105_v29_BTL_전북대생활관_0780105_v35_FS_MS STP_091505_v5 2_분양(100%)" xfId="39498"/>
    <cellStyle name="식_BTL_전북대생활관_073105_v29_BTL_전북대생활관_0780105_v35_FS_MS STP_091505_v5_FS_MS STP_092005_v7" xfId="29913"/>
    <cellStyle name="식_BTL_전북대생활관_073105_v29_BTL_전북대생활관_0780105_v35_FS_MS STP_091505_v5_FS_MS STP_092005_v7 2" xfId="29914"/>
    <cellStyle name="식_BTL_전북대생활관_073105_v29_BTL_전북대생활관_0780105_v35_FS_MS STP_091505_v5_FS_MS STP_092005_v7 2_분양(100%)" xfId="39500"/>
    <cellStyle name="식_BTL_전북대생활관_073105_v29_BTL_전북대생활관_0780105_v35_FS_MS STP_091505_v5_FS_MS STP_092005_v7_분양(100%)" xfId="39499"/>
    <cellStyle name="식_BTL_전북대생활관_073105_v29_BTL_전북대생활관_0780105_v35_FS_MS STP_091505_v5_FS_MS STP_092005_v8" xfId="29915"/>
    <cellStyle name="식_BTL_전북대생활관_073105_v29_BTL_전북대생활관_0780105_v35_FS_MS STP_091505_v5_FS_MS STP_092005_v8 2" xfId="29916"/>
    <cellStyle name="식_BTL_전북대생활관_073105_v29_BTL_전북대생활관_0780105_v35_FS_MS STP_091505_v5_FS_MS STP_092005_v8 2_분양(100%)" xfId="39502"/>
    <cellStyle name="식_BTL_전북대생활관_073105_v29_BTL_전북대생활관_0780105_v35_FS_MS STP_091505_v5_FS_MS STP_092005_v8_분양(100%)" xfId="39501"/>
    <cellStyle name="식_BTL_전북대생활관_073105_v29_BTL_전북대생활관_0780105_v35_FS_MS STP_091505_v5_분양(100%)" xfId="39497"/>
    <cellStyle name="식_BTL_전북대생활관_073105_v29_BTL_전북대생활관_0780105_v35_논산시하수관거BTL사업_재무모델_논산관거관리(주)" xfId="29917"/>
    <cellStyle name="식_BTL_전북대생활관_073105_v29_BTL_전북대생활관_0780105_v35_논산시하수관거BTL사업_재무모델_논산관거관리(주) 2" xfId="29918"/>
    <cellStyle name="식_BTL_전북대생활관_073105_v29_BTL_전북대생활관_0780105_v35_논산시하수관거BTL사업_재무모델_논산관거관리(주) 2_분양(100%)" xfId="39504"/>
    <cellStyle name="식_BTL_전북대생활관_073105_v29_BTL_전북대생활관_0780105_v35_논산시하수관거BTL사업_재무모델_논산관거관리(주)_FS_MS STP_092005_v7" xfId="29919"/>
    <cellStyle name="식_BTL_전북대생활관_073105_v29_BTL_전북대생활관_0780105_v35_논산시하수관거BTL사업_재무모델_논산관거관리(주)_FS_MS STP_092005_v7 2" xfId="29920"/>
    <cellStyle name="식_BTL_전북대생활관_073105_v29_BTL_전북대생활관_0780105_v35_논산시하수관거BTL사업_재무모델_논산관거관리(주)_FS_MS STP_092005_v7 2_분양(100%)" xfId="39506"/>
    <cellStyle name="식_BTL_전북대생활관_073105_v29_BTL_전북대생활관_0780105_v35_논산시하수관거BTL사업_재무모델_논산관거관리(주)_FS_MS STP_092005_v7_분양(100%)" xfId="39505"/>
    <cellStyle name="식_BTL_전북대생활관_073105_v29_BTL_전북대생활관_0780105_v35_논산시하수관거BTL사업_재무모델_논산관거관리(주)_FS_MS STP_092005_v8" xfId="29921"/>
    <cellStyle name="식_BTL_전북대생활관_073105_v29_BTL_전북대생활관_0780105_v35_논산시하수관거BTL사업_재무모델_논산관거관리(주)_FS_MS STP_092005_v8 2" xfId="29922"/>
    <cellStyle name="식_BTL_전북대생활관_073105_v29_BTL_전북대생활관_0780105_v35_논산시하수관거BTL사업_재무모델_논산관거관리(주)_FS_MS STP_092005_v8 2_분양(100%)" xfId="39508"/>
    <cellStyle name="식_BTL_전북대생활관_073105_v29_BTL_전북대생활관_0780105_v35_논산시하수관거BTL사업_재무모델_논산관거관리(주)_FS_MS STP_092005_v8_분양(100%)" xfId="39507"/>
    <cellStyle name="식_BTL_전북대생활관_073105_v29_BTL_전북대생활관_0780105_v35_논산시하수관거BTL사업_재무모델_논산관거관리(주)_분양(100%)" xfId="39503"/>
    <cellStyle name="식_BTL_전북대생활관_073105_v29_BTL_전북대생활관_0780105_v35_분양(100%)" xfId="39483"/>
    <cellStyle name="식_BTL_전북대생활관_073105_v29_FS_MS STP_092005_v7" xfId="29923"/>
    <cellStyle name="식_BTL_전북대생활관_073105_v29_FS_MS STP_092005_v7 2" xfId="29924"/>
    <cellStyle name="식_BTL_전북대생활관_073105_v29_FS_MS STP_092005_v7 2_분양(100%)" xfId="39510"/>
    <cellStyle name="식_BTL_전북대생활관_073105_v29_FS_MS STP_092005_v7_분양(100%)" xfId="39509"/>
    <cellStyle name="식_BTL_전북대생활관_073105_v29_FS_MS STP_092005_v8" xfId="29925"/>
    <cellStyle name="식_BTL_전북대생활관_073105_v29_FS_MS STP_092005_v8 2" xfId="29926"/>
    <cellStyle name="식_BTL_전북대생활관_073105_v29_FS_MS STP_092005_v8 2_분양(100%)" xfId="39512"/>
    <cellStyle name="식_BTL_전북대생활관_073105_v29_FS_MS STP_092005_v8_분양(100%)" xfId="39511"/>
    <cellStyle name="식_BTL_전북대생활관_073105_v29_논산-2-1" xfId="29927"/>
    <cellStyle name="식_BTL_전북대생활관_073105_v29_논산-2-1 2" xfId="29928"/>
    <cellStyle name="식_BTL_전북대생활관_073105_v29_논산-2-1 2_분양(100%)" xfId="39514"/>
    <cellStyle name="식_BTL_전북대생활관_073105_v29_논산-2-1_FS_MS STP_091205_v1" xfId="29929"/>
    <cellStyle name="식_BTL_전북대생활관_073105_v29_논산-2-1_FS_MS STP_091205_v1 2" xfId="29930"/>
    <cellStyle name="식_BTL_전북대생활관_073105_v29_논산-2-1_FS_MS STP_091205_v1 2_분양(100%)" xfId="39516"/>
    <cellStyle name="식_BTL_전북대생활관_073105_v29_논산-2-1_FS_MS STP_091205_v1_FS_MS STP_092005_v7" xfId="29931"/>
    <cellStyle name="식_BTL_전북대생활관_073105_v29_논산-2-1_FS_MS STP_091205_v1_FS_MS STP_092005_v7 2" xfId="29932"/>
    <cellStyle name="식_BTL_전북대생활관_073105_v29_논산-2-1_FS_MS STP_091205_v1_FS_MS STP_092005_v7 2_분양(100%)" xfId="39518"/>
    <cellStyle name="식_BTL_전북대생활관_073105_v29_논산-2-1_FS_MS STP_091205_v1_FS_MS STP_092005_v7_분양(100%)" xfId="39517"/>
    <cellStyle name="식_BTL_전북대생활관_073105_v29_논산-2-1_FS_MS STP_091205_v1_FS_MS STP_092005_v8" xfId="29933"/>
    <cellStyle name="식_BTL_전북대생활관_073105_v29_논산-2-1_FS_MS STP_091205_v1_FS_MS STP_092005_v8 2" xfId="29934"/>
    <cellStyle name="식_BTL_전북대생활관_073105_v29_논산-2-1_FS_MS STP_091205_v1_FS_MS STP_092005_v8 2_분양(100%)" xfId="39520"/>
    <cellStyle name="식_BTL_전북대생활관_073105_v29_논산-2-1_FS_MS STP_091205_v1_FS_MS STP_092005_v8_분양(100%)" xfId="39519"/>
    <cellStyle name="식_BTL_전북대생활관_073105_v29_논산-2-1_FS_MS STP_091205_v1_분양(100%)" xfId="39515"/>
    <cellStyle name="식_BTL_전북대생활관_073105_v29_논산-2-1_FS_MS STP_091305_v1" xfId="29935"/>
    <cellStyle name="식_BTL_전북대생활관_073105_v29_논산-2-1_FS_MS STP_091305_v1 2" xfId="29936"/>
    <cellStyle name="식_BTL_전북대생활관_073105_v29_논산-2-1_FS_MS STP_091305_v1 2_분양(100%)" xfId="39522"/>
    <cellStyle name="식_BTL_전북대생활관_073105_v29_논산-2-1_FS_MS STP_091305_v1_FS_MS STP_092005_v7" xfId="29937"/>
    <cellStyle name="식_BTL_전북대생활관_073105_v29_논산-2-1_FS_MS STP_091305_v1_FS_MS STP_092005_v7 2" xfId="29938"/>
    <cellStyle name="식_BTL_전북대생활관_073105_v29_논산-2-1_FS_MS STP_091305_v1_FS_MS STP_092005_v7 2_분양(100%)" xfId="39524"/>
    <cellStyle name="식_BTL_전북대생활관_073105_v29_논산-2-1_FS_MS STP_091305_v1_FS_MS STP_092005_v7_분양(100%)" xfId="39523"/>
    <cellStyle name="식_BTL_전북대생활관_073105_v29_논산-2-1_FS_MS STP_091305_v1_FS_MS STP_092005_v8" xfId="29939"/>
    <cellStyle name="식_BTL_전북대생활관_073105_v29_논산-2-1_FS_MS STP_091305_v1_FS_MS STP_092005_v8 2" xfId="29940"/>
    <cellStyle name="식_BTL_전북대생활관_073105_v29_논산-2-1_FS_MS STP_091305_v1_FS_MS STP_092005_v8 2_분양(100%)" xfId="39526"/>
    <cellStyle name="식_BTL_전북대생활관_073105_v29_논산-2-1_FS_MS STP_091305_v1_FS_MS STP_092005_v8_분양(100%)" xfId="39525"/>
    <cellStyle name="식_BTL_전북대생활관_073105_v29_논산-2-1_FS_MS STP_091305_v1_분양(100%)" xfId="39521"/>
    <cellStyle name="식_BTL_전북대생활관_073105_v29_논산-2-1_FS_MS STP_091505_v5" xfId="29941"/>
    <cellStyle name="식_BTL_전북대생활관_073105_v29_논산-2-1_FS_MS STP_091505_v5 2" xfId="29942"/>
    <cellStyle name="식_BTL_전북대생활관_073105_v29_논산-2-1_FS_MS STP_091505_v5 2_분양(100%)" xfId="39528"/>
    <cellStyle name="식_BTL_전북대생활관_073105_v29_논산-2-1_FS_MS STP_091505_v5_FS_MS STP_092005_v7" xfId="29943"/>
    <cellStyle name="식_BTL_전북대생활관_073105_v29_논산-2-1_FS_MS STP_091505_v5_FS_MS STP_092005_v7 2" xfId="29944"/>
    <cellStyle name="식_BTL_전북대생활관_073105_v29_논산-2-1_FS_MS STP_091505_v5_FS_MS STP_092005_v7 2_분양(100%)" xfId="39530"/>
    <cellStyle name="식_BTL_전북대생활관_073105_v29_논산-2-1_FS_MS STP_091505_v5_FS_MS STP_092005_v7_분양(100%)" xfId="39529"/>
    <cellStyle name="식_BTL_전북대생활관_073105_v29_논산-2-1_FS_MS STP_091505_v5_FS_MS STP_092005_v8" xfId="29945"/>
    <cellStyle name="식_BTL_전북대생활관_073105_v29_논산-2-1_FS_MS STP_091505_v5_FS_MS STP_092005_v8 2" xfId="29946"/>
    <cellStyle name="식_BTL_전북대생활관_073105_v29_논산-2-1_FS_MS STP_091505_v5_FS_MS STP_092005_v8 2_분양(100%)" xfId="39532"/>
    <cellStyle name="식_BTL_전북대생활관_073105_v29_논산-2-1_FS_MS STP_091505_v5_FS_MS STP_092005_v8_분양(100%)" xfId="39531"/>
    <cellStyle name="식_BTL_전북대생활관_073105_v29_논산-2-1_FS_MS STP_091505_v5_분양(100%)" xfId="39527"/>
    <cellStyle name="식_BTL_전북대생활관_073105_v29_논산-2-1_논산시하수관거BTL사업_재무모델_논산관거관리(주)" xfId="29947"/>
    <cellStyle name="식_BTL_전북대생활관_073105_v29_논산-2-1_논산시하수관거BTL사업_재무모델_논산관거관리(주) 2" xfId="29948"/>
    <cellStyle name="식_BTL_전북대생활관_073105_v29_논산-2-1_논산시하수관거BTL사업_재무모델_논산관거관리(주) 2_분양(100%)" xfId="39534"/>
    <cellStyle name="식_BTL_전북대생활관_073105_v29_논산-2-1_논산시하수관거BTL사업_재무모델_논산관거관리(주)_FS_MS STP_092005_v7" xfId="29949"/>
    <cellStyle name="식_BTL_전북대생활관_073105_v29_논산-2-1_논산시하수관거BTL사업_재무모델_논산관거관리(주)_FS_MS STP_092005_v7 2" xfId="29950"/>
    <cellStyle name="식_BTL_전북대생활관_073105_v29_논산-2-1_논산시하수관거BTL사업_재무모델_논산관거관리(주)_FS_MS STP_092005_v7 2_분양(100%)" xfId="39536"/>
    <cellStyle name="식_BTL_전북대생활관_073105_v29_논산-2-1_논산시하수관거BTL사업_재무모델_논산관거관리(주)_FS_MS STP_092005_v7_분양(100%)" xfId="39535"/>
    <cellStyle name="식_BTL_전북대생활관_073105_v29_논산-2-1_논산시하수관거BTL사업_재무모델_논산관거관리(주)_FS_MS STP_092005_v8" xfId="29951"/>
    <cellStyle name="식_BTL_전북대생활관_073105_v29_논산-2-1_논산시하수관거BTL사업_재무모델_논산관거관리(주)_FS_MS STP_092005_v8 2" xfId="29952"/>
    <cellStyle name="식_BTL_전북대생활관_073105_v29_논산-2-1_논산시하수관거BTL사업_재무모델_논산관거관리(주)_FS_MS STP_092005_v8 2_분양(100%)" xfId="39538"/>
    <cellStyle name="식_BTL_전북대생활관_073105_v29_논산-2-1_논산시하수관거BTL사업_재무모델_논산관거관리(주)_FS_MS STP_092005_v8_분양(100%)" xfId="39537"/>
    <cellStyle name="식_BTL_전북대생활관_073105_v29_논산-2-1_논산시하수관거BTL사업_재무모델_논산관거관리(주)_분양(100%)" xfId="39533"/>
    <cellStyle name="식_BTL_전북대생활관_073105_v29_논산-2-1_분양(100%)" xfId="39513"/>
    <cellStyle name="식_BTL_전북대생활관_073105_v29_논산-4" xfId="29953"/>
    <cellStyle name="식_BTL_전북대생활관_073105_v29_논산-4 2" xfId="29954"/>
    <cellStyle name="식_BTL_전북대생활관_073105_v29_논산-4 2_분양(100%)" xfId="39540"/>
    <cellStyle name="식_BTL_전북대생활관_073105_v29_논산-4_FS_MS STP_091205_v1" xfId="29955"/>
    <cellStyle name="식_BTL_전북대생활관_073105_v29_논산-4_FS_MS STP_091205_v1 2" xfId="29956"/>
    <cellStyle name="식_BTL_전북대생활관_073105_v29_논산-4_FS_MS STP_091205_v1 2_분양(100%)" xfId="39542"/>
    <cellStyle name="식_BTL_전북대생활관_073105_v29_논산-4_FS_MS STP_091205_v1_FS_MS STP_092005_v7" xfId="29957"/>
    <cellStyle name="식_BTL_전북대생활관_073105_v29_논산-4_FS_MS STP_091205_v1_FS_MS STP_092005_v7 2" xfId="29958"/>
    <cellStyle name="식_BTL_전북대생활관_073105_v29_논산-4_FS_MS STP_091205_v1_FS_MS STP_092005_v7 2_분양(100%)" xfId="39544"/>
    <cellStyle name="식_BTL_전북대생활관_073105_v29_논산-4_FS_MS STP_091205_v1_FS_MS STP_092005_v7_분양(100%)" xfId="39543"/>
    <cellStyle name="식_BTL_전북대생활관_073105_v29_논산-4_FS_MS STP_091205_v1_FS_MS STP_092005_v8" xfId="29959"/>
    <cellStyle name="식_BTL_전북대생활관_073105_v29_논산-4_FS_MS STP_091205_v1_FS_MS STP_092005_v8 2" xfId="29960"/>
    <cellStyle name="식_BTL_전북대생활관_073105_v29_논산-4_FS_MS STP_091205_v1_FS_MS STP_092005_v8 2_분양(100%)" xfId="39546"/>
    <cellStyle name="식_BTL_전북대생활관_073105_v29_논산-4_FS_MS STP_091205_v1_FS_MS STP_092005_v8_분양(100%)" xfId="39545"/>
    <cellStyle name="식_BTL_전북대생활관_073105_v29_논산-4_FS_MS STP_091205_v1_분양(100%)" xfId="39541"/>
    <cellStyle name="식_BTL_전북대생활관_073105_v29_논산-4_FS_MS STP_091305_v1" xfId="29961"/>
    <cellStyle name="식_BTL_전북대생활관_073105_v29_논산-4_FS_MS STP_091305_v1 2" xfId="29962"/>
    <cellStyle name="식_BTL_전북대생활관_073105_v29_논산-4_FS_MS STP_091305_v1 2_분양(100%)" xfId="39548"/>
    <cellStyle name="식_BTL_전북대생활관_073105_v29_논산-4_FS_MS STP_091305_v1_FS_MS STP_092005_v7" xfId="29963"/>
    <cellStyle name="식_BTL_전북대생활관_073105_v29_논산-4_FS_MS STP_091305_v1_FS_MS STP_092005_v7 2" xfId="29964"/>
    <cellStyle name="식_BTL_전북대생활관_073105_v29_논산-4_FS_MS STP_091305_v1_FS_MS STP_092005_v7 2_분양(100%)" xfId="39550"/>
    <cellStyle name="식_BTL_전북대생활관_073105_v29_논산-4_FS_MS STP_091305_v1_FS_MS STP_092005_v7_분양(100%)" xfId="39549"/>
    <cellStyle name="식_BTL_전북대생활관_073105_v29_논산-4_FS_MS STP_091305_v1_FS_MS STP_092005_v8" xfId="29965"/>
    <cellStyle name="식_BTL_전북대생활관_073105_v29_논산-4_FS_MS STP_091305_v1_FS_MS STP_092005_v8 2" xfId="29966"/>
    <cellStyle name="식_BTL_전북대생활관_073105_v29_논산-4_FS_MS STP_091305_v1_FS_MS STP_092005_v8 2_분양(100%)" xfId="39552"/>
    <cellStyle name="식_BTL_전북대생활관_073105_v29_논산-4_FS_MS STP_091305_v1_FS_MS STP_092005_v8_분양(100%)" xfId="39551"/>
    <cellStyle name="식_BTL_전북대생활관_073105_v29_논산-4_FS_MS STP_091305_v1_분양(100%)" xfId="39547"/>
    <cellStyle name="식_BTL_전북대생활관_073105_v29_논산-4_FS_MS STP_091505_v5" xfId="29967"/>
    <cellStyle name="식_BTL_전북대생활관_073105_v29_논산-4_FS_MS STP_091505_v5 2" xfId="29968"/>
    <cellStyle name="식_BTL_전북대생활관_073105_v29_논산-4_FS_MS STP_091505_v5 2_분양(100%)" xfId="39554"/>
    <cellStyle name="식_BTL_전북대생활관_073105_v29_논산-4_FS_MS STP_091505_v5_FS_MS STP_092005_v7" xfId="29969"/>
    <cellStyle name="식_BTL_전북대생활관_073105_v29_논산-4_FS_MS STP_091505_v5_FS_MS STP_092005_v7 2" xfId="29970"/>
    <cellStyle name="식_BTL_전북대생활관_073105_v29_논산-4_FS_MS STP_091505_v5_FS_MS STP_092005_v7 2_분양(100%)" xfId="39556"/>
    <cellStyle name="식_BTL_전북대생활관_073105_v29_논산-4_FS_MS STP_091505_v5_FS_MS STP_092005_v7_분양(100%)" xfId="39555"/>
    <cellStyle name="식_BTL_전북대생활관_073105_v29_논산-4_FS_MS STP_091505_v5_FS_MS STP_092005_v8" xfId="29971"/>
    <cellStyle name="식_BTL_전북대생활관_073105_v29_논산-4_FS_MS STP_091505_v5_FS_MS STP_092005_v8 2" xfId="29972"/>
    <cellStyle name="식_BTL_전북대생활관_073105_v29_논산-4_FS_MS STP_091505_v5_FS_MS STP_092005_v8 2_분양(100%)" xfId="39558"/>
    <cellStyle name="식_BTL_전북대생활관_073105_v29_논산-4_FS_MS STP_091505_v5_FS_MS STP_092005_v8_분양(100%)" xfId="39557"/>
    <cellStyle name="식_BTL_전북대생활관_073105_v29_논산-4_FS_MS STP_091505_v5_분양(100%)" xfId="39553"/>
    <cellStyle name="식_BTL_전북대생활관_073105_v29_논산-4_논산시하수관거BTL사업_재무모델_논산관거관리(주)" xfId="29973"/>
    <cellStyle name="식_BTL_전북대생활관_073105_v29_논산-4_논산시하수관거BTL사업_재무모델_논산관거관리(주) 2" xfId="29974"/>
    <cellStyle name="식_BTL_전북대생활관_073105_v29_논산-4_논산시하수관거BTL사업_재무모델_논산관거관리(주) 2_분양(100%)" xfId="39560"/>
    <cellStyle name="식_BTL_전북대생활관_073105_v29_논산-4_논산시하수관거BTL사업_재무모델_논산관거관리(주)_FS_MS STP_092005_v7" xfId="29975"/>
    <cellStyle name="식_BTL_전북대생활관_073105_v29_논산-4_논산시하수관거BTL사업_재무모델_논산관거관리(주)_FS_MS STP_092005_v7 2" xfId="29976"/>
    <cellStyle name="식_BTL_전북대생활관_073105_v29_논산-4_논산시하수관거BTL사업_재무모델_논산관거관리(주)_FS_MS STP_092005_v7 2_분양(100%)" xfId="39562"/>
    <cellStyle name="식_BTL_전북대생활관_073105_v29_논산-4_논산시하수관거BTL사업_재무모델_논산관거관리(주)_FS_MS STP_092005_v7_분양(100%)" xfId="39561"/>
    <cellStyle name="식_BTL_전북대생활관_073105_v29_논산-4_논산시하수관거BTL사업_재무모델_논산관거관리(주)_FS_MS STP_092005_v8" xfId="29977"/>
    <cellStyle name="식_BTL_전북대생활관_073105_v29_논산-4_논산시하수관거BTL사업_재무모델_논산관거관리(주)_FS_MS STP_092005_v8 2" xfId="29978"/>
    <cellStyle name="식_BTL_전북대생활관_073105_v29_논산-4_논산시하수관거BTL사업_재무모델_논산관거관리(주)_FS_MS STP_092005_v8 2_분양(100%)" xfId="39564"/>
    <cellStyle name="식_BTL_전북대생활관_073105_v29_논산-4_논산시하수관거BTL사업_재무모델_논산관거관리(주)_FS_MS STP_092005_v8_분양(100%)" xfId="39563"/>
    <cellStyle name="식_BTL_전북대생활관_073105_v29_논산-4_논산시하수관거BTL사업_재무모델_논산관거관리(주)_분양(100%)" xfId="39559"/>
    <cellStyle name="식_BTL_전북대생활관_073105_v29_논산-4_분양(100%)" xfId="39539"/>
    <cellStyle name="식_BTL_전북대생활관_073105_v29_분양(100%)" xfId="39481"/>
    <cellStyle name="식_CN Financial Model v11" xfId="29979"/>
    <cellStyle name="식_CN Financial Model v11 2" xfId="29980"/>
    <cellStyle name="식_CN Financial Model v11 2_분양(100%)" xfId="39566"/>
    <cellStyle name="식_CN Financial Model v11_112504_CN FM_보장조정_협약변경-재조달순-rv1" xfId="29981"/>
    <cellStyle name="식_CN Financial Model v11_112504_CN FM_보장조정_협약변경-재조달순-rv1 2" xfId="29982"/>
    <cellStyle name="식_CN Financial Model v11_112504_CN FM_보장조정_협약변경-재조달순-rv1 2_분양(100%)" xfId="39568"/>
    <cellStyle name="식_CN Financial Model v11_112504_CN FM_보장조정_협약변경-재조달순-rv1_분양(100%)" xfId="39567"/>
    <cellStyle name="식_CN Financial Model v11_CN Financial Model-090704-4%" xfId="29983"/>
    <cellStyle name="식_CN Financial Model v11_CN Financial Model-090704-4% 2" xfId="29984"/>
    <cellStyle name="식_CN Financial Model v11_CN Financial Model-090704-4% 2_분양(100%)" xfId="39570"/>
    <cellStyle name="식_CN Financial Model v11_CN Financial Model-090704-4%_분양(100%)" xfId="39569"/>
    <cellStyle name="식_CN Financial Model v11_CN Financial Model-102004" xfId="29985"/>
    <cellStyle name="식_CN Financial Model v11_CN Financial Model-102004 2" xfId="29986"/>
    <cellStyle name="식_CN Financial Model v11_CN Financial Model-102004 2_분양(100%)" xfId="39572"/>
    <cellStyle name="식_CN Financial Model v11_CN Financial Model-102004_분양(100%)" xfId="39571"/>
    <cellStyle name="식_CN Financial Model v11_분양(100%)" xfId="39565"/>
    <cellStyle name="식_CN Financial Model-정부제출-062504-기준모델" xfId="29987"/>
    <cellStyle name="식_CN Financial Model-정부제출-062504-기준모델 2" xfId="29988"/>
    <cellStyle name="식_CN Financial Model-정부제출-062504-기준모델 2_분양(100%)" xfId="39574"/>
    <cellStyle name="식_CN Financial Model-정부제출-062504-기준모델_112504_CN FM_보장조정_협약변경-재조달순-rv1" xfId="29989"/>
    <cellStyle name="식_CN Financial Model-정부제출-062504-기준모델_112504_CN FM_보장조정_협약변경-재조달순-rv1 2" xfId="29990"/>
    <cellStyle name="식_CN Financial Model-정부제출-062504-기준모델_112504_CN FM_보장조정_협약변경-재조달순-rv1 2_분양(100%)" xfId="39576"/>
    <cellStyle name="식_CN Financial Model-정부제출-062504-기준모델_112504_CN FM_보장조정_협약변경-재조달순-rv1_분양(100%)" xfId="39575"/>
    <cellStyle name="식_CN Financial Model-정부제출-062504-기준모델_CN Financial Model-090704-4%" xfId="29991"/>
    <cellStyle name="식_CN Financial Model-정부제출-062504-기준모델_CN Financial Model-090704-4% 2" xfId="29992"/>
    <cellStyle name="식_CN Financial Model-정부제출-062504-기준모델_CN Financial Model-090704-4% 2_분양(100%)" xfId="39578"/>
    <cellStyle name="식_CN Financial Model-정부제출-062504-기준모델_CN Financial Model-090704-4%_분양(100%)" xfId="39577"/>
    <cellStyle name="식_CN Financial Model-정부제출-062504-기준모델_CN Financial Model-102004" xfId="29993"/>
    <cellStyle name="식_CN Financial Model-정부제출-062504-기준모델_CN Financial Model-102004 2" xfId="29994"/>
    <cellStyle name="식_CN Financial Model-정부제출-062504-기준모델_CN Financial Model-102004 2_분양(100%)" xfId="39580"/>
    <cellStyle name="식_CN Financial Model-정부제출-062504-기준모델_CN Financial Model-102004_분양(100%)" xfId="39579"/>
    <cellStyle name="식_CN Financial Model-정부제출-062504-기준모델_분양(100%)" xfId="39573"/>
    <cellStyle name="식_CN Pjt Valuation_0520" xfId="29995"/>
    <cellStyle name="식_CN Pjt Valuation_0520 2" xfId="29996"/>
    <cellStyle name="식_CN Pjt Valuation_0520 2_분양(100%)" xfId="39582"/>
    <cellStyle name="식_CN Pjt Valuation_0520_112504_CN FM_보장조정_협약변경-재조달순-rv1" xfId="29997"/>
    <cellStyle name="식_CN Pjt Valuation_0520_112504_CN FM_보장조정_협약변경-재조달순-rv1 2" xfId="29998"/>
    <cellStyle name="식_CN Pjt Valuation_0520_112504_CN FM_보장조정_협약변경-재조달순-rv1 2_분양(100%)" xfId="39584"/>
    <cellStyle name="식_CN Pjt Valuation_0520_112504_CN FM_보장조정_협약변경-재조달순-rv1_분양(100%)" xfId="39583"/>
    <cellStyle name="식_CN Pjt Valuation_0520_CN Financial Model-090704-4%" xfId="29999"/>
    <cellStyle name="식_CN Pjt Valuation_0520_CN Financial Model-090704-4% 2" xfId="30000"/>
    <cellStyle name="식_CN Pjt Valuation_0520_CN Financial Model-090704-4% 2_분양(100%)" xfId="39586"/>
    <cellStyle name="식_CN Pjt Valuation_0520_CN Financial Model-090704-4%_분양(100%)" xfId="39585"/>
    <cellStyle name="식_CN Pjt Valuation_0520_CN Financial Model-102004" xfId="30001"/>
    <cellStyle name="식_CN Pjt Valuation_0520_CN Financial Model-102004 2" xfId="30002"/>
    <cellStyle name="식_CN Pjt Valuation_0520_CN Financial Model-102004 2_분양(100%)" xfId="39588"/>
    <cellStyle name="식_CN Pjt Valuation_0520_CN Financial Model-102004_분양(100%)" xfId="39587"/>
    <cellStyle name="식_CN Pjt Valuation_0520_분양(100%)" xfId="39581"/>
    <cellStyle name="식_C-PROJECT FINANCIAL MODEL_0704" xfId="30003"/>
    <cellStyle name="식_C-PROJECT FINANCIAL MODEL_0704 2" xfId="30004"/>
    <cellStyle name="식_C-PROJECT FINANCIAL MODEL_0704 2_분양(100%)" xfId="39590"/>
    <cellStyle name="식_C-PROJECT FINANCIAL MODEL_0704_112504_CN FM_보장조정_협약변경-재조달순-rv1" xfId="30005"/>
    <cellStyle name="식_C-PROJECT FINANCIAL MODEL_0704_112504_CN FM_보장조정_협약변경-재조달순-rv1 2" xfId="30006"/>
    <cellStyle name="식_C-PROJECT FINANCIAL MODEL_0704_112504_CN FM_보장조정_협약변경-재조달순-rv1 2_분양(100%)" xfId="39592"/>
    <cellStyle name="식_C-PROJECT FINANCIAL MODEL_0704_112504_CN FM_보장조정_협약변경-재조달순-rv1_분양(100%)" xfId="39591"/>
    <cellStyle name="식_C-PROJECT FINANCIAL MODEL_0704_CN Financial Model-090704-4%" xfId="30007"/>
    <cellStyle name="식_C-PROJECT FINANCIAL MODEL_0704_CN Financial Model-090704-4% 2" xfId="30008"/>
    <cellStyle name="식_C-PROJECT FINANCIAL MODEL_0704_CN Financial Model-090704-4% 2_분양(100%)" xfId="39594"/>
    <cellStyle name="식_C-PROJECT FINANCIAL MODEL_0704_CN Financial Model-090704-4%_분양(100%)" xfId="39593"/>
    <cellStyle name="식_C-PROJECT FINANCIAL MODEL_0704_CN Financial Model-102004" xfId="30009"/>
    <cellStyle name="식_C-PROJECT FINANCIAL MODEL_0704_CN Financial Model-102004 2" xfId="30010"/>
    <cellStyle name="식_C-PROJECT FINANCIAL MODEL_0704_CN Financial Model-102004 2_분양(100%)" xfId="39596"/>
    <cellStyle name="식_C-PROJECT FINANCIAL MODEL_0704_CN Financial Model-102004_분양(100%)" xfId="39595"/>
    <cellStyle name="식_C-PROJECT FINANCIAL MODEL_0704_분양(100%)" xfId="39589"/>
    <cellStyle name="식_C-PROJECT_0722_pm2" xfId="30011"/>
    <cellStyle name="식_C-PROJECT_0722_pm2 2" xfId="30012"/>
    <cellStyle name="식_C-PROJECT_0722_pm2 2_분양(100%)" xfId="39598"/>
    <cellStyle name="식_C-PROJECT_0722_pm2_112504_CN FM_보장조정_협약변경-재조달순-rv1" xfId="30013"/>
    <cellStyle name="식_C-PROJECT_0722_pm2_112504_CN FM_보장조정_협약변경-재조달순-rv1 2" xfId="30014"/>
    <cellStyle name="식_C-PROJECT_0722_pm2_112504_CN FM_보장조정_협약변경-재조달순-rv1 2_분양(100%)" xfId="39600"/>
    <cellStyle name="식_C-PROJECT_0722_pm2_112504_CN FM_보장조정_협약변경-재조달순-rv1_분양(100%)" xfId="39599"/>
    <cellStyle name="식_C-PROJECT_0722_pm2_CN Financial Model-090704-4%" xfId="30015"/>
    <cellStyle name="식_C-PROJECT_0722_pm2_CN Financial Model-090704-4% 2" xfId="30016"/>
    <cellStyle name="식_C-PROJECT_0722_pm2_CN Financial Model-090704-4% 2_분양(100%)" xfId="39602"/>
    <cellStyle name="식_C-PROJECT_0722_pm2_CN Financial Model-090704-4%_분양(100%)" xfId="39601"/>
    <cellStyle name="식_C-PROJECT_0722_pm2_CN Financial Model-102004" xfId="30017"/>
    <cellStyle name="식_C-PROJECT_0722_pm2_CN Financial Model-102004 2" xfId="30018"/>
    <cellStyle name="식_C-PROJECT_0722_pm2_CN Financial Model-102004 2_분양(100%)" xfId="39604"/>
    <cellStyle name="식_C-PROJECT_0722_pm2_CN Financial Model-102004_분양(100%)" xfId="39603"/>
    <cellStyle name="식_C-PROJECT_0722_pm2_분양(100%)" xfId="39597"/>
    <cellStyle name="식_C-PROJECT_0801" xfId="30019"/>
    <cellStyle name="식_C-PROJECT_0801 2" xfId="30020"/>
    <cellStyle name="식_C-PROJECT_0801 2_분양(100%)" xfId="39606"/>
    <cellStyle name="식_C-PROJECT_0801_112504_CN FM_보장조정_협약변경-재조달순-rv1" xfId="30021"/>
    <cellStyle name="식_C-PROJECT_0801_112504_CN FM_보장조정_협약변경-재조달순-rv1 2" xfId="30022"/>
    <cellStyle name="식_C-PROJECT_0801_112504_CN FM_보장조정_협약변경-재조달순-rv1 2_분양(100%)" xfId="39608"/>
    <cellStyle name="식_C-PROJECT_0801_112504_CN FM_보장조정_협약변경-재조달순-rv1_분양(100%)" xfId="39607"/>
    <cellStyle name="식_C-PROJECT_0801_CN Financial Model-090704-4%" xfId="30023"/>
    <cellStyle name="식_C-PROJECT_0801_CN Financial Model-090704-4% 2" xfId="30024"/>
    <cellStyle name="식_C-PROJECT_0801_CN Financial Model-090704-4% 2_분양(100%)" xfId="39610"/>
    <cellStyle name="식_C-PROJECT_0801_CN Financial Model-090704-4%_분양(100%)" xfId="39609"/>
    <cellStyle name="식_C-PROJECT_0801_CN Financial Model-102004" xfId="30025"/>
    <cellStyle name="식_C-PROJECT_0801_CN Financial Model-102004 2" xfId="30026"/>
    <cellStyle name="식_C-PROJECT_0801_CN Financial Model-102004 2_분양(100%)" xfId="39612"/>
    <cellStyle name="식_C-PROJECT_0801_CN Financial Model-102004_분양(100%)" xfId="39611"/>
    <cellStyle name="식_C-PROJECT_0801_분양(100%)" xfId="39605"/>
    <cellStyle name="식_Financial model_(가칭)경남e-스쿨주식회사" xfId="284"/>
    <cellStyle name="식_Financial model_(가칭)경남e-스쿨주식회사_재무모델_김천하수관거_0221" xfId="285"/>
    <cellStyle name="식_Financial model_(가칭)경남e-스쿨주식회사_재무모델_김천하수관거_0222" xfId="286"/>
    <cellStyle name="식_Financial model_(가칭)경남e-스쿨주식회사_재무모델_김천하수관거_0224" xfId="287"/>
    <cellStyle name="식_Financial model_(가칭)경남e-스쿨주식회사_재무모델_김천하수관거_부속작업중" xfId="288"/>
    <cellStyle name="식_Financial model_중리초 외 4개교(백)" xfId="289"/>
    <cellStyle name="식_Financial model_중리초 외 4개교(백)_재무모델_김천하수관거_0221" xfId="290"/>
    <cellStyle name="식_Financial model_중리초 외 4개교(백)_재무모델_김천하수관거_0222" xfId="291"/>
    <cellStyle name="식_Financial model_중리초 외 4개교(백)_재무모델_김천하수관거_0224" xfId="292"/>
    <cellStyle name="식_Financial model_중리초 외 4개교(백)_재무모델_김천하수관거_부속작업중" xfId="293"/>
    <cellStyle name="식_FinancialModel1108(2)" xfId="294"/>
    <cellStyle name="식_FinancialModel1108(2) 2" xfId="30027"/>
    <cellStyle name="식_FinancialModel1108(2) 2_분양(100%)" xfId="39614"/>
    <cellStyle name="식_FinancialModel1108(2)_112504_CN FM_보장조정_협약변경-재조달순-rv1" xfId="30028"/>
    <cellStyle name="식_FinancialModel1108(2)_112504_CN FM_보장조정_협약변경-재조달순-rv1 2" xfId="30029"/>
    <cellStyle name="식_FinancialModel1108(2)_112504_CN FM_보장조정_협약변경-재조달순-rv1 2_분양(100%)" xfId="39616"/>
    <cellStyle name="식_FinancialModel1108(2)_112504_CN FM_보장조정_협약변경-재조달순-rv1_분양(100%)" xfId="39615"/>
    <cellStyle name="식_FinancialModel1108(2)_CN Financial Model-090704-4%" xfId="30030"/>
    <cellStyle name="식_FinancialModel1108(2)_CN Financial Model-090704-4% 2" xfId="30031"/>
    <cellStyle name="식_FinancialModel1108(2)_CN Financial Model-090704-4% 2_분양(100%)" xfId="39618"/>
    <cellStyle name="식_FinancialModel1108(2)_CN Financial Model-090704-4%_분양(100%)" xfId="39617"/>
    <cellStyle name="식_FinancialModel1108(2)_CN Financial Model-102004" xfId="30032"/>
    <cellStyle name="식_FinancialModel1108(2)_CN Financial Model-102004 2" xfId="30033"/>
    <cellStyle name="식_FinancialModel1108(2)_CN Financial Model-102004 2_분양(100%)" xfId="39620"/>
    <cellStyle name="식_FinancialModel1108(2)_CN Financial Model-102004_분양(100%)" xfId="39619"/>
    <cellStyle name="식_FinancialModel1108(2)_분양(100%)" xfId="39613"/>
    <cellStyle name="식_FinancialModel1108(2)_재무모델_김천하수관거_0221" xfId="295"/>
    <cellStyle name="식_FinancialModel1108(2)_재무모델_김천하수관거_0222" xfId="296"/>
    <cellStyle name="식_FinancialModel1108(2)_재무모델_김천하수관거_0224" xfId="297"/>
    <cellStyle name="식_FinancialModel1108(2)_재무모델_김천하수관거_부속작업중" xfId="298"/>
    <cellStyle name="식_FS_## STP PJT_070805_v1" xfId="30034"/>
    <cellStyle name="식_FS_## STP PJT_070805_v1 2" xfId="30035"/>
    <cellStyle name="식_FS_## STP PJT_070805_v1 2_분양(100%)" xfId="39622"/>
    <cellStyle name="식_FS_## STP PJT_070805_v1_FS_MS STP_092005_v7" xfId="30036"/>
    <cellStyle name="식_FS_## STP PJT_070805_v1_FS_MS STP_092005_v7 2" xfId="30037"/>
    <cellStyle name="식_FS_## STP PJT_070805_v1_FS_MS STP_092005_v7 2_분양(100%)" xfId="39624"/>
    <cellStyle name="식_FS_## STP PJT_070805_v1_FS_MS STP_092005_v7_분양(100%)" xfId="39623"/>
    <cellStyle name="식_FS_## STP PJT_070805_v1_FS_MS STP_092005_v8" xfId="30038"/>
    <cellStyle name="식_FS_## STP PJT_070805_v1_FS_MS STP_092005_v8 2" xfId="30039"/>
    <cellStyle name="식_FS_## STP PJT_070805_v1_FS_MS STP_092005_v8 2_분양(100%)" xfId="39626"/>
    <cellStyle name="식_FS_## STP PJT_070805_v1_FS_MS STP_092005_v8_분양(100%)" xfId="39625"/>
    <cellStyle name="식_FS_## STP PJT_070805_v1_분양(100%)" xfId="39621"/>
    <cellStyle name="식_FS_BTL_전북대_072105_v1" xfId="30040"/>
    <cellStyle name="식_FS_BTL_전북대_072105_v1 2" xfId="30041"/>
    <cellStyle name="식_FS_BTL_전북대_072105_v1 2_분양(100%)" xfId="39628"/>
    <cellStyle name="식_FS_BTL_전북대_072105_v1_BTL_전북대생활관_073105_v29" xfId="30042"/>
    <cellStyle name="식_FS_BTL_전북대_072105_v1_BTL_전북대생활관_073105_v29 2" xfId="30043"/>
    <cellStyle name="식_FS_BTL_전북대_072105_v1_BTL_전북대생활관_073105_v29 2_분양(100%)" xfId="39630"/>
    <cellStyle name="식_FS_BTL_전북대_072105_v1_BTL_전북대생활관_073105_v29_BTL_전북대생활관_0780105_v35" xfId="30044"/>
    <cellStyle name="식_FS_BTL_전북대_072105_v1_BTL_전북대생활관_073105_v29_BTL_전북대생활관_0780105_v35 2" xfId="30045"/>
    <cellStyle name="식_FS_BTL_전북대_072105_v1_BTL_전북대생활관_073105_v29_BTL_전북대생활관_0780105_v35 2_분양(100%)" xfId="39632"/>
    <cellStyle name="식_FS_BTL_전북대_072105_v1_BTL_전북대생활관_073105_v29_BTL_전북대생활관_0780105_v35_FS_MS STP_091205_v1" xfId="30046"/>
    <cellStyle name="식_FS_BTL_전북대_072105_v1_BTL_전북대생활관_073105_v29_BTL_전북대생활관_0780105_v35_FS_MS STP_091205_v1 2" xfId="30047"/>
    <cellStyle name="식_FS_BTL_전북대_072105_v1_BTL_전북대생활관_073105_v29_BTL_전북대생활관_0780105_v35_FS_MS STP_091205_v1 2_분양(100%)" xfId="39634"/>
    <cellStyle name="식_FS_BTL_전북대_072105_v1_BTL_전북대생활관_073105_v29_BTL_전북대생활관_0780105_v35_FS_MS STP_091205_v1_FS_MS STP_092005_v7" xfId="30048"/>
    <cellStyle name="식_FS_BTL_전북대_072105_v1_BTL_전북대생활관_073105_v29_BTL_전북대생활관_0780105_v35_FS_MS STP_091205_v1_FS_MS STP_092005_v7 2" xfId="30049"/>
    <cellStyle name="식_FS_BTL_전북대_072105_v1_BTL_전북대생활관_073105_v29_BTL_전북대생활관_0780105_v35_FS_MS STP_091205_v1_FS_MS STP_092005_v7 2_분양(100%)" xfId="39636"/>
    <cellStyle name="식_FS_BTL_전북대_072105_v1_BTL_전북대생활관_073105_v29_BTL_전북대생활관_0780105_v35_FS_MS STP_091205_v1_FS_MS STP_092005_v7_분양(100%)" xfId="39635"/>
    <cellStyle name="식_FS_BTL_전북대_072105_v1_BTL_전북대생활관_073105_v29_BTL_전북대생활관_0780105_v35_FS_MS STP_091205_v1_FS_MS STP_092005_v8" xfId="30050"/>
    <cellStyle name="식_FS_BTL_전북대_072105_v1_BTL_전북대생활관_073105_v29_BTL_전북대생활관_0780105_v35_FS_MS STP_091205_v1_FS_MS STP_092005_v8 2" xfId="30051"/>
    <cellStyle name="식_FS_BTL_전북대_072105_v1_BTL_전북대생활관_073105_v29_BTL_전북대생활관_0780105_v35_FS_MS STP_091205_v1_FS_MS STP_092005_v8 2_분양(100%)" xfId="39638"/>
    <cellStyle name="식_FS_BTL_전북대_072105_v1_BTL_전북대생활관_073105_v29_BTL_전북대생활관_0780105_v35_FS_MS STP_091205_v1_FS_MS STP_092005_v8_분양(100%)" xfId="39637"/>
    <cellStyle name="식_FS_BTL_전북대_072105_v1_BTL_전북대생활관_073105_v29_BTL_전북대생활관_0780105_v35_FS_MS STP_091205_v1_분양(100%)" xfId="39633"/>
    <cellStyle name="식_FS_BTL_전북대_072105_v1_BTL_전북대생활관_073105_v29_BTL_전북대생활관_0780105_v35_FS_MS STP_091305_v1" xfId="30052"/>
    <cellStyle name="식_FS_BTL_전북대_072105_v1_BTL_전북대생활관_073105_v29_BTL_전북대생활관_0780105_v35_FS_MS STP_091305_v1 2" xfId="30053"/>
    <cellStyle name="식_FS_BTL_전북대_072105_v1_BTL_전북대생활관_073105_v29_BTL_전북대생활관_0780105_v35_FS_MS STP_091305_v1 2_분양(100%)" xfId="39640"/>
    <cellStyle name="식_FS_BTL_전북대_072105_v1_BTL_전북대생활관_073105_v29_BTL_전북대생활관_0780105_v35_FS_MS STP_091305_v1_FS_MS STP_092005_v7" xfId="30054"/>
    <cellStyle name="식_FS_BTL_전북대_072105_v1_BTL_전북대생활관_073105_v29_BTL_전북대생활관_0780105_v35_FS_MS STP_091305_v1_FS_MS STP_092005_v7 2" xfId="30055"/>
    <cellStyle name="식_FS_BTL_전북대_072105_v1_BTL_전북대생활관_073105_v29_BTL_전북대생활관_0780105_v35_FS_MS STP_091305_v1_FS_MS STP_092005_v7 2_분양(100%)" xfId="39642"/>
    <cellStyle name="식_FS_BTL_전북대_072105_v1_BTL_전북대생활관_073105_v29_BTL_전북대생활관_0780105_v35_FS_MS STP_091305_v1_FS_MS STP_092005_v7_분양(100%)" xfId="39641"/>
    <cellStyle name="식_FS_BTL_전북대_072105_v1_BTL_전북대생활관_073105_v29_BTL_전북대생활관_0780105_v35_FS_MS STP_091305_v1_FS_MS STP_092005_v8" xfId="30056"/>
    <cellStyle name="식_FS_BTL_전북대_072105_v1_BTL_전북대생활관_073105_v29_BTL_전북대생활관_0780105_v35_FS_MS STP_091305_v1_FS_MS STP_092005_v8 2" xfId="30057"/>
    <cellStyle name="식_FS_BTL_전북대_072105_v1_BTL_전북대생활관_073105_v29_BTL_전북대생활관_0780105_v35_FS_MS STP_091305_v1_FS_MS STP_092005_v8 2_분양(100%)" xfId="39644"/>
    <cellStyle name="식_FS_BTL_전북대_072105_v1_BTL_전북대생활관_073105_v29_BTL_전북대생활관_0780105_v35_FS_MS STP_091305_v1_FS_MS STP_092005_v8_분양(100%)" xfId="39643"/>
    <cellStyle name="식_FS_BTL_전북대_072105_v1_BTL_전북대생활관_073105_v29_BTL_전북대생활관_0780105_v35_FS_MS STP_091305_v1_분양(100%)" xfId="39639"/>
    <cellStyle name="식_FS_BTL_전북대_072105_v1_BTL_전북대생활관_073105_v29_BTL_전북대생활관_0780105_v35_FS_MS STP_091505_v5" xfId="30058"/>
    <cellStyle name="식_FS_BTL_전북대_072105_v1_BTL_전북대생활관_073105_v29_BTL_전북대생활관_0780105_v35_FS_MS STP_091505_v5 2" xfId="30059"/>
    <cellStyle name="식_FS_BTL_전북대_072105_v1_BTL_전북대생활관_073105_v29_BTL_전북대생활관_0780105_v35_FS_MS STP_091505_v5 2_분양(100%)" xfId="39646"/>
    <cellStyle name="식_FS_BTL_전북대_072105_v1_BTL_전북대생활관_073105_v29_BTL_전북대생활관_0780105_v35_FS_MS STP_091505_v5_FS_MS STP_092005_v7" xfId="30060"/>
    <cellStyle name="식_FS_BTL_전북대_072105_v1_BTL_전북대생활관_073105_v29_BTL_전북대생활관_0780105_v35_FS_MS STP_091505_v5_FS_MS STP_092005_v7 2" xfId="30061"/>
    <cellStyle name="식_FS_BTL_전북대_072105_v1_BTL_전북대생활관_073105_v29_BTL_전북대생활관_0780105_v35_FS_MS STP_091505_v5_FS_MS STP_092005_v7 2_분양(100%)" xfId="39648"/>
    <cellStyle name="식_FS_BTL_전북대_072105_v1_BTL_전북대생활관_073105_v29_BTL_전북대생활관_0780105_v35_FS_MS STP_091505_v5_FS_MS STP_092005_v7_분양(100%)" xfId="39647"/>
    <cellStyle name="식_FS_BTL_전북대_072105_v1_BTL_전북대생활관_073105_v29_BTL_전북대생활관_0780105_v35_FS_MS STP_091505_v5_FS_MS STP_092005_v8" xfId="30062"/>
    <cellStyle name="식_FS_BTL_전북대_072105_v1_BTL_전북대생활관_073105_v29_BTL_전북대생활관_0780105_v35_FS_MS STP_091505_v5_FS_MS STP_092005_v8 2" xfId="30063"/>
    <cellStyle name="식_FS_BTL_전북대_072105_v1_BTL_전북대생활관_073105_v29_BTL_전북대생활관_0780105_v35_FS_MS STP_091505_v5_FS_MS STP_092005_v8 2_분양(100%)" xfId="39650"/>
    <cellStyle name="식_FS_BTL_전북대_072105_v1_BTL_전북대생활관_073105_v29_BTL_전북대생활관_0780105_v35_FS_MS STP_091505_v5_FS_MS STP_092005_v8_분양(100%)" xfId="39649"/>
    <cellStyle name="식_FS_BTL_전북대_072105_v1_BTL_전북대생활관_073105_v29_BTL_전북대생활관_0780105_v35_FS_MS STP_091505_v5_분양(100%)" xfId="39645"/>
    <cellStyle name="식_FS_BTL_전북대_072105_v1_BTL_전북대생활관_073105_v29_BTL_전북대생활관_0780105_v35_논산시하수관거BTL사업_재무모델_논산관거관리(주)" xfId="30064"/>
    <cellStyle name="식_FS_BTL_전북대_072105_v1_BTL_전북대생활관_073105_v29_BTL_전북대생활관_0780105_v35_논산시하수관거BTL사업_재무모델_논산관거관리(주) 2" xfId="30065"/>
    <cellStyle name="식_FS_BTL_전북대_072105_v1_BTL_전북대생활관_073105_v29_BTL_전북대생활관_0780105_v35_논산시하수관거BTL사업_재무모델_논산관거관리(주) 2_분양(100%)" xfId="39652"/>
    <cellStyle name="식_FS_BTL_전북대_072105_v1_BTL_전북대생활관_073105_v29_BTL_전북대생활관_0780105_v35_논산시하수관거BTL사업_재무모델_논산관거관리(주)_FS_MS STP_092005_v7" xfId="30066"/>
    <cellStyle name="식_FS_BTL_전북대_072105_v1_BTL_전북대생활관_073105_v29_BTL_전북대생활관_0780105_v35_논산시하수관거BTL사업_재무모델_논산관거관리(주)_FS_MS STP_092005_v7 2" xfId="30067"/>
    <cellStyle name="식_FS_BTL_전북대_072105_v1_BTL_전북대생활관_073105_v29_BTL_전북대생활관_0780105_v35_논산시하수관거BTL사업_재무모델_논산관거관리(주)_FS_MS STP_092005_v7 2_분양(100%)" xfId="39654"/>
    <cellStyle name="식_FS_BTL_전북대_072105_v1_BTL_전북대생활관_073105_v29_BTL_전북대생활관_0780105_v35_논산시하수관거BTL사업_재무모델_논산관거관리(주)_FS_MS STP_092005_v7_분양(100%)" xfId="39653"/>
    <cellStyle name="식_FS_BTL_전북대_072105_v1_BTL_전북대생활관_073105_v29_BTL_전북대생활관_0780105_v35_논산시하수관거BTL사업_재무모델_논산관거관리(주)_FS_MS STP_092005_v8" xfId="30068"/>
    <cellStyle name="식_FS_BTL_전북대_072105_v1_BTL_전북대생활관_073105_v29_BTL_전북대생활관_0780105_v35_논산시하수관거BTL사업_재무모델_논산관거관리(주)_FS_MS STP_092005_v8 2" xfId="30069"/>
    <cellStyle name="식_FS_BTL_전북대_072105_v1_BTL_전북대생활관_073105_v29_BTL_전북대생활관_0780105_v35_논산시하수관거BTL사업_재무모델_논산관거관리(주)_FS_MS STP_092005_v8 2_분양(100%)" xfId="39656"/>
    <cellStyle name="식_FS_BTL_전북대_072105_v1_BTL_전북대생활관_073105_v29_BTL_전북대생활관_0780105_v35_논산시하수관거BTL사업_재무모델_논산관거관리(주)_FS_MS STP_092005_v8_분양(100%)" xfId="39655"/>
    <cellStyle name="식_FS_BTL_전북대_072105_v1_BTL_전북대생활관_073105_v29_BTL_전북대생활관_0780105_v35_논산시하수관거BTL사업_재무모델_논산관거관리(주)_분양(100%)" xfId="39651"/>
    <cellStyle name="식_FS_BTL_전북대_072105_v1_BTL_전북대생활관_073105_v29_BTL_전북대생활관_0780105_v35_분양(100%)" xfId="39631"/>
    <cellStyle name="식_FS_BTL_전북대_072105_v1_BTL_전북대생활관_073105_v29_FS_MS STP_092005_v7" xfId="30070"/>
    <cellStyle name="식_FS_BTL_전북대_072105_v1_BTL_전북대생활관_073105_v29_FS_MS STP_092005_v7 2" xfId="30071"/>
    <cellStyle name="식_FS_BTL_전북대_072105_v1_BTL_전북대생활관_073105_v29_FS_MS STP_092005_v7 2_분양(100%)" xfId="39658"/>
    <cellStyle name="식_FS_BTL_전북대_072105_v1_BTL_전북대생활관_073105_v29_FS_MS STP_092005_v7_분양(100%)" xfId="39657"/>
    <cellStyle name="식_FS_BTL_전북대_072105_v1_BTL_전북대생활관_073105_v29_FS_MS STP_092005_v8" xfId="30072"/>
    <cellStyle name="식_FS_BTL_전북대_072105_v1_BTL_전북대생활관_073105_v29_FS_MS STP_092005_v8 2" xfId="30073"/>
    <cellStyle name="식_FS_BTL_전북대_072105_v1_BTL_전북대생활관_073105_v29_FS_MS STP_092005_v8 2_분양(100%)" xfId="39660"/>
    <cellStyle name="식_FS_BTL_전북대_072105_v1_BTL_전북대생활관_073105_v29_FS_MS STP_092005_v8_분양(100%)" xfId="39659"/>
    <cellStyle name="식_FS_BTL_전북대_072105_v1_BTL_전북대생활관_073105_v29_논산-2-1" xfId="30074"/>
    <cellStyle name="식_FS_BTL_전북대_072105_v1_BTL_전북대생활관_073105_v29_논산-2-1 2" xfId="30075"/>
    <cellStyle name="식_FS_BTL_전북대_072105_v1_BTL_전북대생활관_073105_v29_논산-2-1 2_분양(100%)" xfId="39662"/>
    <cellStyle name="식_FS_BTL_전북대_072105_v1_BTL_전북대생활관_073105_v29_논산-2-1_FS_MS STP_091205_v1" xfId="30076"/>
    <cellStyle name="식_FS_BTL_전북대_072105_v1_BTL_전북대생활관_073105_v29_논산-2-1_FS_MS STP_091205_v1 2" xfId="30077"/>
    <cellStyle name="식_FS_BTL_전북대_072105_v1_BTL_전북대생활관_073105_v29_논산-2-1_FS_MS STP_091205_v1 2_분양(100%)" xfId="39664"/>
    <cellStyle name="식_FS_BTL_전북대_072105_v1_BTL_전북대생활관_073105_v29_논산-2-1_FS_MS STP_091205_v1_FS_MS STP_092005_v7" xfId="30078"/>
    <cellStyle name="식_FS_BTL_전북대_072105_v1_BTL_전북대생활관_073105_v29_논산-2-1_FS_MS STP_091205_v1_FS_MS STP_092005_v7 2" xfId="30079"/>
    <cellStyle name="식_FS_BTL_전북대_072105_v1_BTL_전북대생활관_073105_v29_논산-2-1_FS_MS STP_091205_v1_FS_MS STP_092005_v7 2_분양(100%)" xfId="39666"/>
    <cellStyle name="식_FS_BTL_전북대_072105_v1_BTL_전북대생활관_073105_v29_논산-2-1_FS_MS STP_091205_v1_FS_MS STP_092005_v7_분양(100%)" xfId="39665"/>
    <cellStyle name="식_FS_BTL_전북대_072105_v1_BTL_전북대생활관_073105_v29_논산-2-1_FS_MS STP_091205_v1_FS_MS STP_092005_v8" xfId="30080"/>
    <cellStyle name="식_FS_BTL_전북대_072105_v1_BTL_전북대생활관_073105_v29_논산-2-1_FS_MS STP_091205_v1_FS_MS STP_092005_v8 2" xfId="30081"/>
    <cellStyle name="식_FS_BTL_전북대_072105_v1_BTL_전북대생활관_073105_v29_논산-2-1_FS_MS STP_091205_v1_FS_MS STP_092005_v8 2_분양(100%)" xfId="39668"/>
    <cellStyle name="식_FS_BTL_전북대_072105_v1_BTL_전북대생활관_073105_v29_논산-2-1_FS_MS STP_091205_v1_FS_MS STP_092005_v8_분양(100%)" xfId="39667"/>
    <cellStyle name="식_FS_BTL_전북대_072105_v1_BTL_전북대생활관_073105_v29_논산-2-1_FS_MS STP_091205_v1_분양(100%)" xfId="39663"/>
    <cellStyle name="식_FS_BTL_전북대_072105_v1_BTL_전북대생활관_073105_v29_논산-2-1_FS_MS STP_091305_v1" xfId="30082"/>
    <cellStyle name="식_FS_BTL_전북대_072105_v1_BTL_전북대생활관_073105_v29_논산-2-1_FS_MS STP_091305_v1 2" xfId="30083"/>
    <cellStyle name="식_FS_BTL_전북대_072105_v1_BTL_전북대생활관_073105_v29_논산-2-1_FS_MS STP_091305_v1 2_분양(100%)" xfId="39670"/>
    <cellStyle name="식_FS_BTL_전북대_072105_v1_BTL_전북대생활관_073105_v29_논산-2-1_FS_MS STP_091305_v1_FS_MS STP_092005_v7" xfId="30084"/>
    <cellStyle name="식_FS_BTL_전북대_072105_v1_BTL_전북대생활관_073105_v29_논산-2-1_FS_MS STP_091305_v1_FS_MS STP_092005_v7 2" xfId="30085"/>
    <cellStyle name="식_FS_BTL_전북대_072105_v1_BTL_전북대생활관_073105_v29_논산-2-1_FS_MS STP_091305_v1_FS_MS STP_092005_v7 2_분양(100%)" xfId="39672"/>
    <cellStyle name="식_FS_BTL_전북대_072105_v1_BTL_전북대생활관_073105_v29_논산-2-1_FS_MS STP_091305_v1_FS_MS STP_092005_v7_분양(100%)" xfId="39671"/>
    <cellStyle name="식_FS_BTL_전북대_072105_v1_BTL_전북대생활관_073105_v29_논산-2-1_FS_MS STP_091305_v1_FS_MS STP_092005_v8" xfId="30086"/>
    <cellStyle name="식_FS_BTL_전북대_072105_v1_BTL_전북대생활관_073105_v29_논산-2-1_FS_MS STP_091305_v1_FS_MS STP_092005_v8 2" xfId="30087"/>
    <cellStyle name="식_FS_BTL_전북대_072105_v1_BTL_전북대생활관_073105_v29_논산-2-1_FS_MS STP_091305_v1_FS_MS STP_092005_v8 2_분양(100%)" xfId="39674"/>
    <cellStyle name="식_FS_BTL_전북대_072105_v1_BTL_전북대생활관_073105_v29_논산-2-1_FS_MS STP_091305_v1_FS_MS STP_092005_v8_분양(100%)" xfId="39673"/>
    <cellStyle name="식_FS_BTL_전북대_072105_v1_BTL_전북대생활관_073105_v29_논산-2-1_FS_MS STP_091305_v1_분양(100%)" xfId="39669"/>
    <cellStyle name="식_FS_BTL_전북대_072105_v1_BTL_전북대생활관_073105_v29_논산-2-1_FS_MS STP_091505_v5" xfId="30088"/>
    <cellStyle name="식_FS_BTL_전북대_072105_v1_BTL_전북대생활관_073105_v29_논산-2-1_FS_MS STP_091505_v5 2" xfId="30089"/>
    <cellStyle name="식_FS_BTL_전북대_072105_v1_BTL_전북대생활관_073105_v29_논산-2-1_FS_MS STP_091505_v5 2_분양(100%)" xfId="39676"/>
    <cellStyle name="식_FS_BTL_전북대_072105_v1_BTL_전북대생활관_073105_v29_논산-2-1_FS_MS STP_091505_v5_FS_MS STP_092005_v7" xfId="30090"/>
    <cellStyle name="식_FS_BTL_전북대_072105_v1_BTL_전북대생활관_073105_v29_논산-2-1_FS_MS STP_091505_v5_FS_MS STP_092005_v7 2" xfId="30091"/>
    <cellStyle name="식_FS_BTL_전북대_072105_v1_BTL_전북대생활관_073105_v29_논산-2-1_FS_MS STP_091505_v5_FS_MS STP_092005_v7 2_분양(100%)" xfId="39678"/>
    <cellStyle name="식_FS_BTL_전북대_072105_v1_BTL_전북대생활관_073105_v29_논산-2-1_FS_MS STP_091505_v5_FS_MS STP_092005_v7_분양(100%)" xfId="39677"/>
    <cellStyle name="식_FS_BTL_전북대_072105_v1_BTL_전북대생활관_073105_v29_논산-2-1_FS_MS STP_091505_v5_FS_MS STP_092005_v8" xfId="30092"/>
    <cellStyle name="식_FS_BTL_전북대_072105_v1_BTL_전북대생활관_073105_v29_논산-2-1_FS_MS STP_091505_v5_FS_MS STP_092005_v8 2" xfId="30093"/>
    <cellStyle name="식_FS_BTL_전북대_072105_v1_BTL_전북대생활관_073105_v29_논산-2-1_FS_MS STP_091505_v5_FS_MS STP_092005_v8 2_분양(100%)" xfId="39680"/>
    <cellStyle name="식_FS_BTL_전북대_072105_v1_BTL_전북대생활관_073105_v29_논산-2-1_FS_MS STP_091505_v5_FS_MS STP_092005_v8_분양(100%)" xfId="39679"/>
    <cellStyle name="식_FS_BTL_전북대_072105_v1_BTL_전북대생활관_073105_v29_논산-2-1_FS_MS STP_091505_v5_분양(100%)" xfId="39675"/>
    <cellStyle name="식_FS_BTL_전북대_072105_v1_BTL_전북대생활관_073105_v29_논산-2-1_논산시하수관거BTL사업_재무모델_논산관거관리(주)" xfId="30094"/>
    <cellStyle name="식_FS_BTL_전북대_072105_v1_BTL_전북대생활관_073105_v29_논산-2-1_논산시하수관거BTL사업_재무모델_논산관거관리(주) 2" xfId="30095"/>
    <cellStyle name="식_FS_BTL_전북대_072105_v1_BTL_전북대생활관_073105_v29_논산-2-1_논산시하수관거BTL사업_재무모델_논산관거관리(주) 2_분양(100%)" xfId="39682"/>
    <cellStyle name="식_FS_BTL_전북대_072105_v1_BTL_전북대생활관_073105_v29_논산-2-1_논산시하수관거BTL사업_재무모델_논산관거관리(주)_FS_MS STP_092005_v7" xfId="30096"/>
    <cellStyle name="식_FS_BTL_전북대_072105_v1_BTL_전북대생활관_073105_v29_논산-2-1_논산시하수관거BTL사업_재무모델_논산관거관리(주)_FS_MS STP_092005_v7 2" xfId="30097"/>
    <cellStyle name="식_FS_BTL_전북대_072105_v1_BTL_전북대생활관_073105_v29_논산-2-1_논산시하수관거BTL사업_재무모델_논산관거관리(주)_FS_MS STP_092005_v7 2_분양(100%)" xfId="39684"/>
    <cellStyle name="식_FS_BTL_전북대_072105_v1_BTL_전북대생활관_073105_v29_논산-2-1_논산시하수관거BTL사업_재무모델_논산관거관리(주)_FS_MS STP_092005_v7_분양(100%)" xfId="39683"/>
    <cellStyle name="식_FS_BTL_전북대_072105_v1_BTL_전북대생활관_073105_v29_논산-2-1_논산시하수관거BTL사업_재무모델_논산관거관리(주)_FS_MS STP_092005_v8" xfId="30098"/>
    <cellStyle name="식_FS_BTL_전북대_072105_v1_BTL_전북대생활관_073105_v29_논산-2-1_논산시하수관거BTL사업_재무모델_논산관거관리(주)_FS_MS STP_092005_v8 2" xfId="30099"/>
    <cellStyle name="식_FS_BTL_전북대_072105_v1_BTL_전북대생활관_073105_v29_논산-2-1_논산시하수관거BTL사업_재무모델_논산관거관리(주)_FS_MS STP_092005_v8 2_분양(100%)" xfId="39686"/>
    <cellStyle name="식_FS_BTL_전북대_072105_v1_BTL_전북대생활관_073105_v29_논산-2-1_논산시하수관거BTL사업_재무모델_논산관거관리(주)_FS_MS STP_092005_v8_분양(100%)" xfId="39685"/>
    <cellStyle name="식_FS_BTL_전북대_072105_v1_BTL_전북대생활관_073105_v29_논산-2-1_논산시하수관거BTL사업_재무모델_논산관거관리(주)_분양(100%)" xfId="39681"/>
    <cellStyle name="식_FS_BTL_전북대_072105_v1_BTL_전북대생활관_073105_v29_논산-2-1_분양(100%)" xfId="39661"/>
    <cellStyle name="식_FS_BTL_전북대_072105_v1_BTL_전북대생활관_073105_v29_논산-4" xfId="30100"/>
    <cellStyle name="식_FS_BTL_전북대_072105_v1_BTL_전북대생활관_073105_v29_논산-4 2" xfId="30101"/>
    <cellStyle name="식_FS_BTL_전북대_072105_v1_BTL_전북대생활관_073105_v29_논산-4 2_분양(100%)" xfId="39688"/>
    <cellStyle name="식_FS_BTL_전북대_072105_v1_BTL_전북대생활관_073105_v29_논산-4_FS_MS STP_091205_v1" xfId="30102"/>
    <cellStyle name="식_FS_BTL_전북대_072105_v1_BTL_전북대생활관_073105_v29_논산-4_FS_MS STP_091205_v1 2" xfId="30103"/>
    <cellStyle name="식_FS_BTL_전북대_072105_v1_BTL_전북대생활관_073105_v29_논산-4_FS_MS STP_091205_v1 2_분양(100%)" xfId="39690"/>
    <cellStyle name="식_FS_BTL_전북대_072105_v1_BTL_전북대생활관_073105_v29_논산-4_FS_MS STP_091205_v1_FS_MS STP_092005_v7" xfId="30104"/>
    <cellStyle name="식_FS_BTL_전북대_072105_v1_BTL_전북대생활관_073105_v29_논산-4_FS_MS STP_091205_v1_FS_MS STP_092005_v7 2" xfId="30105"/>
    <cellStyle name="식_FS_BTL_전북대_072105_v1_BTL_전북대생활관_073105_v29_논산-4_FS_MS STP_091205_v1_FS_MS STP_092005_v7 2_분양(100%)" xfId="39692"/>
    <cellStyle name="식_FS_BTL_전북대_072105_v1_BTL_전북대생활관_073105_v29_논산-4_FS_MS STP_091205_v1_FS_MS STP_092005_v7_분양(100%)" xfId="39691"/>
    <cellStyle name="식_FS_BTL_전북대_072105_v1_BTL_전북대생활관_073105_v29_논산-4_FS_MS STP_091205_v1_FS_MS STP_092005_v8" xfId="30106"/>
    <cellStyle name="식_FS_BTL_전북대_072105_v1_BTL_전북대생활관_073105_v29_논산-4_FS_MS STP_091205_v1_FS_MS STP_092005_v8 2" xfId="30107"/>
    <cellStyle name="식_FS_BTL_전북대_072105_v1_BTL_전북대생활관_073105_v29_논산-4_FS_MS STP_091205_v1_FS_MS STP_092005_v8 2_분양(100%)" xfId="39694"/>
    <cellStyle name="식_FS_BTL_전북대_072105_v1_BTL_전북대생활관_073105_v29_논산-4_FS_MS STP_091205_v1_FS_MS STP_092005_v8_분양(100%)" xfId="39693"/>
    <cellStyle name="식_FS_BTL_전북대_072105_v1_BTL_전북대생활관_073105_v29_논산-4_FS_MS STP_091205_v1_분양(100%)" xfId="39689"/>
    <cellStyle name="식_FS_BTL_전북대_072105_v1_BTL_전북대생활관_073105_v29_논산-4_FS_MS STP_091305_v1" xfId="30108"/>
    <cellStyle name="식_FS_BTL_전북대_072105_v1_BTL_전북대생활관_073105_v29_논산-4_FS_MS STP_091305_v1 2" xfId="30109"/>
    <cellStyle name="식_FS_BTL_전북대_072105_v1_BTL_전북대생활관_073105_v29_논산-4_FS_MS STP_091305_v1 2_분양(100%)" xfId="39696"/>
    <cellStyle name="식_FS_BTL_전북대_072105_v1_BTL_전북대생활관_073105_v29_논산-4_FS_MS STP_091305_v1_FS_MS STP_092005_v7" xfId="30110"/>
    <cellStyle name="식_FS_BTL_전북대_072105_v1_BTL_전북대생활관_073105_v29_논산-4_FS_MS STP_091305_v1_FS_MS STP_092005_v7 2" xfId="30111"/>
    <cellStyle name="식_FS_BTL_전북대_072105_v1_BTL_전북대생활관_073105_v29_논산-4_FS_MS STP_091305_v1_FS_MS STP_092005_v7 2_분양(100%)" xfId="39698"/>
    <cellStyle name="식_FS_BTL_전북대_072105_v1_BTL_전북대생활관_073105_v29_논산-4_FS_MS STP_091305_v1_FS_MS STP_092005_v7_분양(100%)" xfId="39697"/>
    <cellStyle name="식_FS_BTL_전북대_072105_v1_BTL_전북대생활관_073105_v29_논산-4_FS_MS STP_091305_v1_FS_MS STP_092005_v8" xfId="30112"/>
    <cellStyle name="식_FS_BTL_전북대_072105_v1_BTL_전북대생활관_073105_v29_논산-4_FS_MS STP_091305_v1_FS_MS STP_092005_v8 2" xfId="30113"/>
    <cellStyle name="식_FS_BTL_전북대_072105_v1_BTL_전북대생활관_073105_v29_논산-4_FS_MS STP_091305_v1_FS_MS STP_092005_v8 2_분양(100%)" xfId="39700"/>
    <cellStyle name="식_FS_BTL_전북대_072105_v1_BTL_전북대생활관_073105_v29_논산-4_FS_MS STP_091305_v1_FS_MS STP_092005_v8_분양(100%)" xfId="39699"/>
    <cellStyle name="식_FS_BTL_전북대_072105_v1_BTL_전북대생활관_073105_v29_논산-4_FS_MS STP_091305_v1_분양(100%)" xfId="39695"/>
    <cellStyle name="식_FS_BTL_전북대_072105_v1_BTL_전북대생활관_073105_v29_논산-4_FS_MS STP_091505_v5" xfId="30114"/>
    <cellStyle name="식_FS_BTL_전북대_072105_v1_BTL_전북대생활관_073105_v29_논산-4_FS_MS STP_091505_v5 2" xfId="30115"/>
    <cellStyle name="식_FS_BTL_전북대_072105_v1_BTL_전북대생활관_073105_v29_논산-4_FS_MS STP_091505_v5 2_분양(100%)" xfId="39702"/>
    <cellStyle name="식_FS_BTL_전북대_072105_v1_BTL_전북대생활관_073105_v29_논산-4_FS_MS STP_091505_v5_FS_MS STP_092005_v7" xfId="30116"/>
    <cellStyle name="식_FS_BTL_전북대_072105_v1_BTL_전북대생활관_073105_v29_논산-4_FS_MS STP_091505_v5_FS_MS STP_092005_v7 2" xfId="30117"/>
    <cellStyle name="식_FS_BTL_전북대_072105_v1_BTL_전북대생활관_073105_v29_논산-4_FS_MS STP_091505_v5_FS_MS STP_092005_v7 2_분양(100%)" xfId="39704"/>
    <cellStyle name="식_FS_BTL_전북대_072105_v1_BTL_전북대생활관_073105_v29_논산-4_FS_MS STP_091505_v5_FS_MS STP_092005_v7_분양(100%)" xfId="39703"/>
    <cellStyle name="식_FS_BTL_전북대_072105_v1_BTL_전북대생활관_073105_v29_논산-4_FS_MS STP_091505_v5_FS_MS STP_092005_v8" xfId="30118"/>
    <cellStyle name="식_FS_BTL_전북대_072105_v1_BTL_전북대생활관_073105_v29_논산-4_FS_MS STP_091505_v5_FS_MS STP_092005_v8 2" xfId="30119"/>
    <cellStyle name="식_FS_BTL_전북대_072105_v1_BTL_전북대생활관_073105_v29_논산-4_FS_MS STP_091505_v5_FS_MS STP_092005_v8 2_분양(100%)" xfId="39706"/>
    <cellStyle name="식_FS_BTL_전북대_072105_v1_BTL_전북대생활관_073105_v29_논산-4_FS_MS STP_091505_v5_FS_MS STP_092005_v8_분양(100%)" xfId="39705"/>
    <cellStyle name="식_FS_BTL_전북대_072105_v1_BTL_전북대생활관_073105_v29_논산-4_FS_MS STP_091505_v5_분양(100%)" xfId="39701"/>
    <cellStyle name="식_FS_BTL_전북대_072105_v1_BTL_전북대생활관_073105_v29_논산-4_논산시하수관거BTL사업_재무모델_논산관거관리(주)" xfId="30120"/>
    <cellStyle name="식_FS_BTL_전북대_072105_v1_BTL_전북대생활관_073105_v29_논산-4_논산시하수관거BTL사업_재무모델_논산관거관리(주) 2" xfId="30121"/>
    <cellStyle name="식_FS_BTL_전북대_072105_v1_BTL_전북대생활관_073105_v29_논산-4_논산시하수관거BTL사업_재무모델_논산관거관리(주) 2_분양(100%)" xfId="39708"/>
    <cellStyle name="식_FS_BTL_전북대_072105_v1_BTL_전북대생활관_073105_v29_논산-4_논산시하수관거BTL사업_재무모델_논산관거관리(주)_FS_MS STP_092005_v7" xfId="30122"/>
    <cellStyle name="식_FS_BTL_전북대_072105_v1_BTL_전북대생활관_073105_v29_논산-4_논산시하수관거BTL사업_재무모델_논산관거관리(주)_FS_MS STP_092005_v7 2" xfId="30123"/>
    <cellStyle name="식_FS_BTL_전북대_072105_v1_BTL_전북대생활관_073105_v29_논산-4_논산시하수관거BTL사업_재무모델_논산관거관리(주)_FS_MS STP_092005_v7 2_분양(100%)" xfId="39710"/>
    <cellStyle name="식_FS_BTL_전북대_072105_v1_BTL_전북대생활관_073105_v29_논산-4_논산시하수관거BTL사업_재무모델_논산관거관리(주)_FS_MS STP_092005_v7_분양(100%)" xfId="39709"/>
    <cellStyle name="식_FS_BTL_전북대_072105_v1_BTL_전북대생활관_073105_v29_논산-4_논산시하수관거BTL사업_재무모델_논산관거관리(주)_FS_MS STP_092005_v8" xfId="30124"/>
    <cellStyle name="식_FS_BTL_전북대_072105_v1_BTL_전북대생활관_073105_v29_논산-4_논산시하수관거BTL사업_재무모델_논산관거관리(주)_FS_MS STP_092005_v8 2" xfId="30125"/>
    <cellStyle name="식_FS_BTL_전북대_072105_v1_BTL_전북대생활관_073105_v29_논산-4_논산시하수관거BTL사업_재무모델_논산관거관리(주)_FS_MS STP_092005_v8 2_분양(100%)" xfId="39712"/>
    <cellStyle name="식_FS_BTL_전북대_072105_v1_BTL_전북대생활관_073105_v29_논산-4_논산시하수관거BTL사업_재무모델_논산관거관리(주)_FS_MS STP_092005_v8_분양(100%)" xfId="39711"/>
    <cellStyle name="식_FS_BTL_전북대_072105_v1_BTL_전북대생활관_073105_v29_논산-4_논산시하수관거BTL사업_재무모델_논산관거관리(주)_분양(100%)" xfId="39707"/>
    <cellStyle name="식_FS_BTL_전북대_072105_v1_BTL_전북대생활관_073105_v29_논산-4_분양(100%)" xfId="39687"/>
    <cellStyle name="식_FS_BTL_전북대_072105_v1_BTL_전북대생활관_073105_v29_분양(100%)" xfId="39629"/>
    <cellStyle name="식_FS_BTL_전북대_072105_v1_FS_MS STP_091205_v1" xfId="30126"/>
    <cellStyle name="식_FS_BTL_전북대_072105_v1_FS_MS STP_091205_v1 2" xfId="30127"/>
    <cellStyle name="식_FS_BTL_전북대_072105_v1_FS_MS STP_091205_v1 2_분양(100%)" xfId="39714"/>
    <cellStyle name="식_FS_BTL_전북대_072105_v1_FS_MS STP_091205_v1_FS_MS STP_092005_v7" xfId="30128"/>
    <cellStyle name="식_FS_BTL_전북대_072105_v1_FS_MS STP_091205_v1_FS_MS STP_092005_v7 2" xfId="30129"/>
    <cellStyle name="식_FS_BTL_전북대_072105_v1_FS_MS STP_091205_v1_FS_MS STP_092005_v7 2_분양(100%)" xfId="39716"/>
    <cellStyle name="식_FS_BTL_전북대_072105_v1_FS_MS STP_091205_v1_FS_MS STP_092005_v7_분양(100%)" xfId="39715"/>
    <cellStyle name="식_FS_BTL_전북대_072105_v1_FS_MS STP_091205_v1_FS_MS STP_092005_v8" xfId="30130"/>
    <cellStyle name="식_FS_BTL_전북대_072105_v1_FS_MS STP_091205_v1_FS_MS STP_092005_v8 2" xfId="30131"/>
    <cellStyle name="식_FS_BTL_전북대_072105_v1_FS_MS STP_091205_v1_FS_MS STP_092005_v8 2_분양(100%)" xfId="39718"/>
    <cellStyle name="식_FS_BTL_전북대_072105_v1_FS_MS STP_091205_v1_FS_MS STP_092005_v8_분양(100%)" xfId="39717"/>
    <cellStyle name="식_FS_BTL_전북대_072105_v1_FS_MS STP_091205_v1_분양(100%)" xfId="39713"/>
    <cellStyle name="식_FS_BTL_전북대_072105_v1_FS_MS STP_091305_v1" xfId="30132"/>
    <cellStyle name="식_FS_BTL_전북대_072105_v1_FS_MS STP_091305_v1 2" xfId="30133"/>
    <cellStyle name="식_FS_BTL_전북대_072105_v1_FS_MS STP_091305_v1 2_분양(100%)" xfId="39720"/>
    <cellStyle name="식_FS_BTL_전북대_072105_v1_FS_MS STP_091305_v1_FS_MS STP_092005_v7" xfId="30134"/>
    <cellStyle name="식_FS_BTL_전북대_072105_v1_FS_MS STP_091305_v1_FS_MS STP_092005_v7 2" xfId="30135"/>
    <cellStyle name="식_FS_BTL_전북대_072105_v1_FS_MS STP_091305_v1_FS_MS STP_092005_v7 2_분양(100%)" xfId="39722"/>
    <cellStyle name="식_FS_BTL_전북대_072105_v1_FS_MS STP_091305_v1_FS_MS STP_092005_v7_분양(100%)" xfId="39721"/>
    <cellStyle name="식_FS_BTL_전북대_072105_v1_FS_MS STP_091305_v1_FS_MS STP_092005_v8" xfId="30136"/>
    <cellStyle name="식_FS_BTL_전북대_072105_v1_FS_MS STP_091305_v1_FS_MS STP_092005_v8 2" xfId="30137"/>
    <cellStyle name="식_FS_BTL_전북대_072105_v1_FS_MS STP_091305_v1_FS_MS STP_092005_v8 2_분양(100%)" xfId="39724"/>
    <cellStyle name="식_FS_BTL_전북대_072105_v1_FS_MS STP_091305_v1_FS_MS STP_092005_v8_분양(100%)" xfId="39723"/>
    <cellStyle name="식_FS_BTL_전북대_072105_v1_FS_MS STP_091305_v1_분양(100%)" xfId="39719"/>
    <cellStyle name="식_FS_BTL_전북대_072105_v1_FS_MS STP_091505_v5" xfId="30138"/>
    <cellStyle name="식_FS_BTL_전북대_072105_v1_FS_MS STP_091505_v5 2" xfId="30139"/>
    <cellStyle name="식_FS_BTL_전북대_072105_v1_FS_MS STP_091505_v5 2_분양(100%)" xfId="39726"/>
    <cellStyle name="식_FS_BTL_전북대_072105_v1_FS_MS STP_091505_v5_FS_MS STP_092005_v7" xfId="30140"/>
    <cellStyle name="식_FS_BTL_전북대_072105_v1_FS_MS STP_091505_v5_FS_MS STP_092005_v7 2" xfId="30141"/>
    <cellStyle name="식_FS_BTL_전북대_072105_v1_FS_MS STP_091505_v5_FS_MS STP_092005_v7 2_분양(100%)" xfId="39728"/>
    <cellStyle name="식_FS_BTL_전북대_072105_v1_FS_MS STP_091505_v5_FS_MS STP_092005_v7_분양(100%)" xfId="39727"/>
    <cellStyle name="식_FS_BTL_전북대_072105_v1_FS_MS STP_091505_v5_FS_MS STP_092005_v8" xfId="30142"/>
    <cellStyle name="식_FS_BTL_전북대_072105_v1_FS_MS STP_091505_v5_FS_MS STP_092005_v8 2" xfId="30143"/>
    <cellStyle name="식_FS_BTL_전북대_072105_v1_FS_MS STP_091505_v5_FS_MS STP_092005_v8 2_분양(100%)" xfId="39730"/>
    <cellStyle name="식_FS_BTL_전북대_072105_v1_FS_MS STP_091505_v5_FS_MS STP_092005_v8_분양(100%)" xfId="39729"/>
    <cellStyle name="식_FS_BTL_전북대_072105_v1_FS_MS STP_091505_v5_분양(100%)" xfId="39725"/>
    <cellStyle name="식_FS_BTL_전북대_072105_v1_논산시하수관거BTL사업_재무모델_논산관거관리(주)" xfId="30144"/>
    <cellStyle name="식_FS_BTL_전북대_072105_v1_논산시하수관거BTL사업_재무모델_논산관거관리(주) 2" xfId="30145"/>
    <cellStyle name="식_FS_BTL_전북대_072105_v1_논산시하수관거BTL사업_재무모델_논산관거관리(주) 2_분양(100%)" xfId="39732"/>
    <cellStyle name="식_FS_BTL_전북대_072105_v1_논산시하수관거BTL사업_재무모델_논산관거관리(주)_FS_MS STP_092005_v7" xfId="30146"/>
    <cellStyle name="식_FS_BTL_전북대_072105_v1_논산시하수관거BTL사업_재무모델_논산관거관리(주)_FS_MS STP_092005_v7 2" xfId="30147"/>
    <cellStyle name="식_FS_BTL_전북대_072105_v1_논산시하수관거BTL사업_재무모델_논산관거관리(주)_FS_MS STP_092005_v7 2_분양(100%)" xfId="39734"/>
    <cellStyle name="식_FS_BTL_전북대_072105_v1_논산시하수관거BTL사업_재무모델_논산관거관리(주)_FS_MS STP_092005_v7_분양(100%)" xfId="39733"/>
    <cellStyle name="식_FS_BTL_전북대_072105_v1_논산시하수관거BTL사업_재무모델_논산관거관리(주)_FS_MS STP_092005_v8" xfId="30148"/>
    <cellStyle name="식_FS_BTL_전북대_072105_v1_논산시하수관거BTL사업_재무모델_논산관거관리(주)_FS_MS STP_092005_v8 2" xfId="30149"/>
    <cellStyle name="식_FS_BTL_전북대_072105_v1_논산시하수관거BTL사업_재무모델_논산관거관리(주)_FS_MS STP_092005_v8 2_분양(100%)" xfId="39736"/>
    <cellStyle name="식_FS_BTL_전북대_072105_v1_논산시하수관거BTL사업_재무모델_논산관거관리(주)_FS_MS STP_092005_v8_분양(100%)" xfId="39735"/>
    <cellStyle name="식_FS_BTL_전북대_072105_v1_논산시하수관거BTL사업_재무모델_논산관거관리(주)_분양(100%)" xfId="39731"/>
    <cellStyle name="식_FS_BTL_전북대_072105_v1_분양(100%)" xfId="39627"/>
    <cellStyle name="식_FS_JH STP PJT_v5" xfId="30150"/>
    <cellStyle name="식_FS_JH STP PJT_v5 2" xfId="30151"/>
    <cellStyle name="식_FS_JH STP PJT_v5 2_분양(100%)" xfId="39738"/>
    <cellStyle name="식_FS_JH STP PJT_v5_분양(100%)" xfId="39737"/>
    <cellStyle name="식_FS_JHSTPPJT_012507_v31" xfId="30152"/>
    <cellStyle name="식_FS_JHSTPPJT_012507_v31 2" xfId="30153"/>
    <cellStyle name="식_FS_JHSTPPJT_012507_v31 2_분양(100%)" xfId="39740"/>
    <cellStyle name="식_FS_JHSTPPJT_012507_v31_분양(100%)" xfId="39739"/>
    <cellStyle name="식_FS_KJ STP PJT_070406_v2" xfId="30154"/>
    <cellStyle name="식_FS_KJ STP PJT_070406_v2 2" xfId="30155"/>
    <cellStyle name="식_FS_KJ STP PJT_070406_v2 2_분양(100%)" xfId="39742"/>
    <cellStyle name="식_FS_KJ STP PJT_070406_v2_FS_KJ STP PJT_071006" xfId="30156"/>
    <cellStyle name="식_FS_KJ STP PJT_070406_v2_FS_KJ STP PJT_071006 2" xfId="30157"/>
    <cellStyle name="식_FS_KJ STP PJT_070406_v2_FS_KJ STP PJT_071006 2_분양(100%)" xfId="39744"/>
    <cellStyle name="식_FS_KJ STP PJT_070406_v2_FS_KJ STP PJT_071006_FS_JH STP PJT_v5" xfId="30158"/>
    <cellStyle name="식_FS_KJ STP PJT_070406_v2_FS_KJ STP PJT_071006_FS_JH STP PJT_v5 2" xfId="30159"/>
    <cellStyle name="식_FS_KJ STP PJT_070406_v2_FS_KJ STP PJT_071006_FS_JH STP PJT_v5 2_분양(100%)" xfId="39746"/>
    <cellStyle name="식_FS_KJ STP PJT_070406_v2_FS_KJ STP PJT_071006_FS_JH STP PJT_v5_분양(100%)" xfId="39745"/>
    <cellStyle name="식_FS_KJ STP PJT_070406_v2_FS_KJ STP PJT_071006_FS_JHSTPPJT_012507_v31" xfId="30160"/>
    <cellStyle name="식_FS_KJ STP PJT_070406_v2_FS_KJ STP PJT_071006_FS_JHSTPPJT_012507_v31 2" xfId="30161"/>
    <cellStyle name="식_FS_KJ STP PJT_070406_v2_FS_KJ STP PJT_071006_FS_JHSTPPJT_012507_v31 2_분양(100%)" xfId="39748"/>
    <cellStyle name="식_FS_KJ STP PJT_070406_v2_FS_KJ STP PJT_071006_FS_JHSTPPJT_012507_v31_분양(100%)" xfId="39747"/>
    <cellStyle name="식_FS_KJ STP PJT_070406_v2_FS_KJ STP PJT_071006_FS_KJ STP PJT_071406_v2" xfId="30162"/>
    <cellStyle name="식_FS_KJ STP PJT_070406_v2_FS_KJ STP PJT_071006_FS_KJ STP PJT_071406_v2 2" xfId="30163"/>
    <cellStyle name="식_FS_KJ STP PJT_070406_v2_FS_KJ STP PJT_071006_FS_KJ STP PJT_071406_v2 2_분양(100%)" xfId="39750"/>
    <cellStyle name="식_FS_KJ STP PJT_070406_v2_FS_KJ STP PJT_071006_FS_KJ STP PJT_071406_v2_분양(100%)" xfId="39749"/>
    <cellStyle name="식_FS_KJ STP PJT_070406_v2_FS_KJ STP PJT_071006_분양(100%)" xfId="39743"/>
    <cellStyle name="식_FS_KJ STP PJT_070406_v2_분양(100%)" xfId="39741"/>
    <cellStyle name="식_FS_KJ STP PJT_070706_v3" xfId="30164"/>
    <cellStyle name="식_FS_KJ STP PJT_070706_v3 2" xfId="30165"/>
    <cellStyle name="식_FS_KJ STP PJT_070706_v3 2_분양(100%)" xfId="39752"/>
    <cellStyle name="식_FS_KJ STP PJT_070706_v3_FS_KJ STP PJT_071006" xfId="30166"/>
    <cellStyle name="식_FS_KJ STP PJT_070706_v3_FS_KJ STP PJT_071006 2" xfId="30167"/>
    <cellStyle name="식_FS_KJ STP PJT_070706_v3_FS_KJ STP PJT_071006 2_분양(100%)" xfId="39754"/>
    <cellStyle name="식_FS_KJ STP PJT_070706_v3_FS_KJ STP PJT_071006_FS_JH STP PJT_v5" xfId="30168"/>
    <cellStyle name="식_FS_KJ STP PJT_070706_v3_FS_KJ STP PJT_071006_FS_JH STP PJT_v5 2" xfId="30169"/>
    <cellStyle name="식_FS_KJ STP PJT_070706_v3_FS_KJ STP PJT_071006_FS_JH STP PJT_v5 2_분양(100%)" xfId="39756"/>
    <cellStyle name="식_FS_KJ STP PJT_070706_v3_FS_KJ STP PJT_071006_FS_JH STP PJT_v5_분양(100%)" xfId="39755"/>
    <cellStyle name="식_FS_KJ STP PJT_070706_v3_FS_KJ STP PJT_071006_FS_JHSTPPJT_012507_v31" xfId="30170"/>
    <cellStyle name="식_FS_KJ STP PJT_070706_v3_FS_KJ STP PJT_071006_FS_JHSTPPJT_012507_v31 2" xfId="30171"/>
    <cellStyle name="식_FS_KJ STP PJT_070706_v3_FS_KJ STP PJT_071006_FS_JHSTPPJT_012507_v31 2_분양(100%)" xfId="39758"/>
    <cellStyle name="식_FS_KJ STP PJT_070706_v3_FS_KJ STP PJT_071006_FS_JHSTPPJT_012507_v31_분양(100%)" xfId="39757"/>
    <cellStyle name="식_FS_KJ STP PJT_070706_v3_FS_KJ STP PJT_071006_FS_KJ STP PJT_071406_v2" xfId="30172"/>
    <cellStyle name="식_FS_KJ STP PJT_070706_v3_FS_KJ STP PJT_071006_FS_KJ STP PJT_071406_v2 2" xfId="30173"/>
    <cellStyle name="식_FS_KJ STP PJT_070706_v3_FS_KJ STP PJT_071006_FS_KJ STP PJT_071406_v2 2_분양(100%)" xfId="39760"/>
    <cellStyle name="식_FS_KJ STP PJT_070706_v3_FS_KJ STP PJT_071006_FS_KJ STP PJT_071406_v2_분양(100%)" xfId="39759"/>
    <cellStyle name="식_FS_KJ STP PJT_070706_v3_FS_KJ STP PJT_071006_분양(100%)" xfId="39753"/>
    <cellStyle name="식_FS_KJ STP PJT_070706_v3_분양(100%)" xfId="39751"/>
    <cellStyle name="식_FS_KJ STP PJT_071006" xfId="30174"/>
    <cellStyle name="식_FS_KJ STP PJT_071006 2" xfId="30175"/>
    <cellStyle name="식_FS_KJ STP PJT_071006 2_분양(100%)" xfId="39762"/>
    <cellStyle name="식_FS_KJ STP PJT_071006_FS_KJ STP PJT_071006" xfId="30176"/>
    <cellStyle name="식_FS_KJ STP PJT_071006_FS_KJ STP PJT_071006 2" xfId="30177"/>
    <cellStyle name="식_FS_KJ STP PJT_071006_FS_KJ STP PJT_071006 2_분양(100%)" xfId="39764"/>
    <cellStyle name="식_FS_KJ STP PJT_071006_FS_KJ STP PJT_071006_FS_JH STP PJT_v5" xfId="30178"/>
    <cellStyle name="식_FS_KJ STP PJT_071006_FS_KJ STP PJT_071006_FS_JH STP PJT_v5 2" xfId="30179"/>
    <cellStyle name="식_FS_KJ STP PJT_071006_FS_KJ STP PJT_071006_FS_JH STP PJT_v5 2_분양(100%)" xfId="39766"/>
    <cellStyle name="식_FS_KJ STP PJT_071006_FS_KJ STP PJT_071006_FS_JH STP PJT_v5_분양(100%)" xfId="39765"/>
    <cellStyle name="식_FS_KJ STP PJT_071006_FS_KJ STP PJT_071006_FS_JHSTPPJT_012507_v31" xfId="30180"/>
    <cellStyle name="식_FS_KJ STP PJT_071006_FS_KJ STP PJT_071006_FS_JHSTPPJT_012507_v31 2" xfId="30181"/>
    <cellStyle name="식_FS_KJ STP PJT_071006_FS_KJ STP PJT_071006_FS_JHSTPPJT_012507_v31 2_분양(100%)" xfId="39768"/>
    <cellStyle name="식_FS_KJ STP PJT_071006_FS_KJ STP PJT_071006_FS_JHSTPPJT_012507_v31_분양(100%)" xfId="39767"/>
    <cellStyle name="식_FS_KJ STP PJT_071006_FS_KJ STP PJT_071006_FS_KJ STP PJT_071406_v2" xfId="30182"/>
    <cellStyle name="식_FS_KJ STP PJT_071006_FS_KJ STP PJT_071006_FS_KJ STP PJT_071406_v2 2" xfId="30183"/>
    <cellStyle name="식_FS_KJ STP PJT_071006_FS_KJ STP PJT_071006_FS_KJ STP PJT_071406_v2 2_분양(100%)" xfId="39770"/>
    <cellStyle name="식_FS_KJ STP PJT_071006_FS_KJ STP PJT_071006_FS_KJ STP PJT_071406_v2_분양(100%)" xfId="39769"/>
    <cellStyle name="식_FS_KJ STP PJT_071006_FS_KJ STP PJT_071006_분양(100%)" xfId="39763"/>
    <cellStyle name="식_FS_KJ STP PJT_071006_분양(100%)" xfId="39761"/>
    <cellStyle name="식_FS_KJ STP PJT_071406_v2" xfId="30184"/>
    <cellStyle name="식_FS_KJ STP PJT_071406_v2 2" xfId="30185"/>
    <cellStyle name="식_FS_KJ STP PJT_071406_v2 2_분양(100%)" xfId="39772"/>
    <cellStyle name="식_FS_KJ STP PJT_071406_v2_분양(100%)" xfId="39771"/>
    <cellStyle name="식_FS_MS STP_091205_v1" xfId="30186"/>
    <cellStyle name="식_FS_MS STP_091205_v1 2" xfId="30187"/>
    <cellStyle name="식_FS_MS STP_091205_v1 2_분양(100%)" xfId="39774"/>
    <cellStyle name="식_FS_MS STP_091205_v1_FS_MS STP_092005_v7" xfId="30188"/>
    <cellStyle name="식_FS_MS STP_091205_v1_FS_MS STP_092005_v7 2" xfId="30189"/>
    <cellStyle name="식_FS_MS STP_091205_v1_FS_MS STP_092005_v7 2_분양(100%)" xfId="39776"/>
    <cellStyle name="식_FS_MS STP_091205_v1_FS_MS STP_092005_v7_분양(100%)" xfId="39775"/>
    <cellStyle name="식_FS_MS STP_091205_v1_FS_MS STP_092005_v8" xfId="30190"/>
    <cellStyle name="식_FS_MS STP_091205_v1_FS_MS STP_092005_v8 2" xfId="30191"/>
    <cellStyle name="식_FS_MS STP_091205_v1_FS_MS STP_092005_v8 2_분양(100%)" xfId="39778"/>
    <cellStyle name="식_FS_MS STP_091205_v1_FS_MS STP_092005_v8_분양(100%)" xfId="39777"/>
    <cellStyle name="식_FS_MS STP_091205_v1_분양(100%)" xfId="39773"/>
    <cellStyle name="식_FS_MS STP_091305_v1" xfId="30192"/>
    <cellStyle name="식_FS_MS STP_091305_v1 2" xfId="30193"/>
    <cellStyle name="식_FS_MS STP_091305_v1 2_분양(100%)" xfId="39780"/>
    <cellStyle name="식_FS_MS STP_091305_v1_FS_MS STP_092005_v7" xfId="30194"/>
    <cellStyle name="식_FS_MS STP_091305_v1_FS_MS STP_092005_v7 2" xfId="30195"/>
    <cellStyle name="식_FS_MS STP_091305_v1_FS_MS STP_092005_v7 2_분양(100%)" xfId="39782"/>
    <cellStyle name="식_FS_MS STP_091305_v1_FS_MS STP_092005_v7_분양(100%)" xfId="39781"/>
    <cellStyle name="식_FS_MS STP_091305_v1_FS_MS STP_092005_v8" xfId="30196"/>
    <cellStyle name="식_FS_MS STP_091305_v1_FS_MS STP_092005_v8 2" xfId="30197"/>
    <cellStyle name="식_FS_MS STP_091305_v1_FS_MS STP_092005_v8 2_분양(100%)" xfId="39784"/>
    <cellStyle name="식_FS_MS STP_091305_v1_FS_MS STP_092005_v8_분양(100%)" xfId="39783"/>
    <cellStyle name="식_FS_MS STP_091305_v1_분양(100%)" xfId="39779"/>
    <cellStyle name="식_FS_MS STP_091505_v5" xfId="30198"/>
    <cellStyle name="식_FS_MS STP_091505_v5 2" xfId="30199"/>
    <cellStyle name="식_FS_MS STP_091505_v5 2_분양(100%)" xfId="39786"/>
    <cellStyle name="식_FS_MS STP_091505_v5_FS_MS STP_092005_v7" xfId="30200"/>
    <cellStyle name="식_FS_MS STP_091505_v5_FS_MS STP_092005_v7 2" xfId="30201"/>
    <cellStyle name="식_FS_MS STP_091505_v5_FS_MS STP_092005_v7 2_분양(100%)" xfId="39788"/>
    <cellStyle name="식_FS_MS STP_091505_v5_FS_MS STP_092005_v7_분양(100%)" xfId="39787"/>
    <cellStyle name="식_FS_MS STP_091505_v5_FS_MS STP_092005_v8" xfId="30202"/>
    <cellStyle name="식_FS_MS STP_091505_v5_FS_MS STP_092005_v8 2" xfId="30203"/>
    <cellStyle name="식_FS_MS STP_091505_v5_FS_MS STP_092005_v8 2_분양(100%)" xfId="39790"/>
    <cellStyle name="식_FS_MS STP_091505_v5_FS_MS STP_092005_v8_분양(100%)" xfId="39789"/>
    <cellStyle name="식_FS_MS STP_091505_v5_분양(100%)" xfId="39785"/>
    <cellStyle name="식_FS_SW STP Pjt_051505_v22_Final" xfId="30204"/>
    <cellStyle name="식_FS_SW STP Pjt_051505_v22_Final 2" xfId="30205"/>
    <cellStyle name="식_FS_SW STP Pjt_051505_v22_Final 2_분양(100%)" xfId="39792"/>
    <cellStyle name="식_FS_SW STP Pjt_051505_v22_Final_FS_MS STP_092005_v7" xfId="30206"/>
    <cellStyle name="식_FS_SW STP Pjt_051505_v22_Final_FS_MS STP_092005_v7 2" xfId="30207"/>
    <cellStyle name="식_FS_SW STP Pjt_051505_v22_Final_FS_MS STP_092005_v7 2_분양(100%)" xfId="39794"/>
    <cellStyle name="식_FS_SW STP Pjt_051505_v22_Final_FS_MS STP_092005_v7_분양(100%)" xfId="39793"/>
    <cellStyle name="식_FS_SW STP Pjt_051505_v22_Final_FS_MS STP_092005_v8" xfId="30208"/>
    <cellStyle name="식_FS_SW STP Pjt_051505_v22_Final_FS_MS STP_092005_v8 2" xfId="30209"/>
    <cellStyle name="식_FS_SW STP Pjt_051505_v22_Final_FS_MS STP_092005_v8 2_분양(100%)" xfId="39796"/>
    <cellStyle name="식_FS_SW STP Pjt_051505_v22_Final_FS_MS STP_092005_v8_분양(100%)" xfId="39795"/>
    <cellStyle name="식_FS_SW STP Pjt_051505_v22_Final_분양(100%)" xfId="39791"/>
    <cellStyle name="식_FS_Undur Naran_ver6.1" xfId="30210"/>
    <cellStyle name="식_FS_Undur Naran_ver6.1_분양(100%)" xfId="39797"/>
    <cellStyle name="식_FS_UndurNaran_Gold_2.0_NGH" xfId="30211"/>
    <cellStyle name="식_FS_UndurNaran_Gold_2.0_NGH_분양(100%)" xfId="39798"/>
    <cellStyle name="식_I-Pjt Fm(1028)" xfId="30212"/>
    <cellStyle name="식_I-Pjt Fm(1028) 2" xfId="30213"/>
    <cellStyle name="식_I-Pjt Fm(1028) 2_분양(100%)" xfId="39800"/>
    <cellStyle name="식_I-Pjt Fm(1028)_112504_CN FM_보장조정_협약변경-재조달순-rv1" xfId="30214"/>
    <cellStyle name="식_I-Pjt Fm(1028)_112504_CN FM_보장조정_협약변경-재조달순-rv1 2" xfId="30215"/>
    <cellStyle name="식_I-Pjt Fm(1028)_112504_CN FM_보장조정_협약변경-재조달순-rv1 2_분양(100%)" xfId="39802"/>
    <cellStyle name="식_I-Pjt Fm(1028)_112504_CN FM_보장조정_협약변경-재조달순-rv1_분양(100%)" xfId="39801"/>
    <cellStyle name="식_I-Pjt Fm(1028)_CN Financial Model-090704-4%" xfId="30216"/>
    <cellStyle name="식_I-Pjt Fm(1028)_CN Financial Model-090704-4% 2" xfId="30217"/>
    <cellStyle name="식_I-Pjt Fm(1028)_CN Financial Model-090704-4% 2_분양(100%)" xfId="39804"/>
    <cellStyle name="식_I-Pjt Fm(1028)_CN Financial Model-090704-4%_분양(100%)" xfId="39803"/>
    <cellStyle name="식_I-Pjt Fm(1028)_CN Financial Model-102004" xfId="30218"/>
    <cellStyle name="식_I-Pjt Fm(1028)_CN Financial Model-102004 2" xfId="30219"/>
    <cellStyle name="식_I-Pjt Fm(1028)_CN Financial Model-102004 2_분양(100%)" xfId="39806"/>
    <cellStyle name="식_I-Pjt Fm(1028)_CN Financial Model-102004_분양(100%)" xfId="39805"/>
    <cellStyle name="식_I-Pjt Fm(1028)_분양(100%)" xfId="39799"/>
    <cellStyle name="식_I-Pjt Fm(1031)" xfId="30220"/>
    <cellStyle name="식_I-Pjt Fm(1031) 2" xfId="30221"/>
    <cellStyle name="식_I-Pjt Fm(1031) 2_분양(100%)" xfId="39808"/>
    <cellStyle name="식_I-Pjt Fm(1031)_112504_CN FM_보장조정_협약변경-재조달순-rv1" xfId="30222"/>
    <cellStyle name="식_I-Pjt Fm(1031)_112504_CN FM_보장조정_협약변경-재조달순-rv1 2" xfId="30223"/>
    <cellStyle name="식_I-Pjt Fm(1031)_112504_CN FM_보장조정_협약변경-재조달순-rv1 2_분양(100%)" xfId="39810"/>
    <cellStyle name="식_I-Pjt Fm(1031)_112504_CN FM_보장조정_협약변경-재조달순-rv1_분양(100%)" xfId="39809"/>
    <cellStyle name="식_I-Pjt Fm(1031)_CN Financial Model-090704-4%" xfId="30224"/>
    <cellStyle name="식_I-Pjt Fm(1031)_CN Financial Model-090704-4% 2" xfId="30225"/>
    <cellStyle name="식_I-Pjt Fm(1031)_CN Financial Model-090704-4% 2_분양(100%)" xfId="39812"/>
    <cellStyle name="식_I-Pjt Fm(1031)_CN Financial Model-090704-4%_분양(100%)" xfId="39811"/>
    <cellStyle name="식_I-Pjt Fm(1031)_CN Financial Model-102004" xfId="30226"/>
    <cellStyle name="식_I-Pjt Fm(1031)_CN Financial Model-102004 2" xfId="30227"/>
    <cellStyle name="식_I-Pjt Fm(1031)_CN Financial Model-102004 2_분양(100%)" xfId="39814"/>
    <cellStyle name="식_I-Pjt Fm(1031)_CN Financial Model-102004_분양(100%)" xfId="39813"/>
    <cellStyle name="식_I-Pjt Fm(1031)_분양(100%)" xfId="39807"/>
    <cellStyle name="식_model 기본품의 01-11-30" xfId="30228"/>
    <cellStyle name="식_model 기본품의 01-11-30 2" xfId="30229"/>
    <cellStyle name="식_model 기본품의 01-11-30 2_분양(100%)" xfId="39816"/>
    <cellStyle name="식_model 기본품의 01-11-30_112504_CN FM_보장조정_협약변경-재조달순-rv1" xfId="30230"/>
    <cellStyle name="식_model 기본품의 01-11-30_112504_CN FM_보장조정_협약변경-재조달순-rv1 2" xfId="30231"/>
    <cellStyle name="식_model 기본품의 01-11-30_112504_CN FM_보장조정_협약변경-재조달순-rv1 2_분양(100%)" xfId="39818"/>
    <cellStyle name="식_model 기본품의 01-11-30_112504_CN FM_보장조정_협약변경-재조달순-rv1_분양(100%)" xfId="39817"/>
    <cellStyle name="식_model 기본품의 01-11-30_CN Financial Model-090704-4%" xfId="30232"/>
    <cellStyle name="식_model 기본품의 01-11-30_CN Financial Model-090704-4% 2" xfId="30233"/>
    <cellStyle name="식_model 기본품의 01-11-30_CN Financial Model-090704-4% 2_분양(100%)" xfId="39820"/>
    <cellStyle name="식_model 기본품의 01-11-30_CN Financial Model-090704-4%_분양(100%)" xfId="39819"/>
    <cellStyle name="식_model 기본품의 01-11-30_CN Financial Model-102004" xfId="30234"/>
    <cellStyle name="식_model 기본품의 01-11-30_CN Financial Model-102004 2" xfId="30235"/>
    <cellStyle name="식_model 기본품의 01-11-30_CN Financial Model-102004 2_분양(100%)" xfId="39822"/>
    <cellStyle name="식_model 기본품의 01-11-30_CN Financial Model-102004_분양(100%)" xfId="39821"/>
    <cellStyle name="식_model 기본품의 01-11-30_분양(100%)" xfId="39815"/>
    <cellStyle name="식_MODEL_0117" xfId="30236"/>
    <cellStyle name="식_MODEL_0117 2" xfId="30237"/>
    <cellStyle name="식_MODEL_0117 2_분양(100%)" xfId="39824"/>
    <cellStyle name="식_MODEL_0117_112504_CN FM_보장조정_협약변경-재조달순-rv1" xfId="30238"/>
    <cellStyle name="식_MODEL_0117_112504_CN FM_보장조정_협약변경-재조달순-rv1 2" xfId="30239"/>
    <cellStyle name="식_MODEL_0117_112504_CN FM_보장조정_협약변경-재조달순-rv1 2_분양(100%)" xfId="39826"/>
    <cellStyle name="식_MODEL_0117_112504_CN FM_보장조정_협약변경-재조달순-rv1_분양(100%)" xfId="39825"/>
    <cellStyle name="식_MODEL_0117_CN Financial Model-090704-4%" xfId="30240"/>
    <cellStyle name="식_MODEL_0117_CN Financial Model-090704-4% 2" xfId="30241"/>
    <cellStyle name="식_MODEL_0117_CN Financial Model-090704-4% 2_분양(100%)" xfId="39828"/>
    <cellStyle name="식_MODEL_0117_CN Financial Model-090704-4%_분양(100%)" xfId="39827"/>
    <cellStyle name="식_MODEL_0117_CN Financial Model-102004" xfId="30242"/>
    <cellStyle name="식_MODEL_0117_CN Financial Model-102004 2" xfId="30243"/>
    <cellStyle name="식_MODEL_0117_CN Financial Model-102004 2_분양(100%)" xfId="39830"/>
    <cellStyle name="식_MODEL_0117_CN Financial Model-102004_분양(100%)" xfId="39829"/>
    <cellStyle name="식_MODEL_0117_분양(100%)" xfId="39823"/>
    <cellStyle name="식_MODEL_0118" xfId="30244"/>
    <cellStyle name="식_MODEL_0118 2" xfId="30245"/>
    <cellStyle name="식_MODEL_0118 2_분양(100%)" xfId="39832"/>
    <cellStyle name="식_MODEL_0118_112504_CN FM_보장조정_협약변경-재조달순-rv1" xfId="30246"/>
    <cellStyle name="식_MODEL_0118_112504_CN FM_보장조정_협약변경-재조달순-rv1 2" xfId="30247"/>
    <cellStyle name="식_MODEL_0118_112504_CN FM_보장조정_협약변경-재조달순-rv1 2_분양(100%)" xfId="39834"/>
    <cellStyle name="식_MODEL_0118_112504_CN FM_보장조정_협약변경-재조달순-rv1_분양(100%)" xfId="39833"/>
    <cellStyle name="식_MODEL_0118_CN Financial Model-090704-4%" xfId="30248"/>
    <cellStyle name="식_MODEL_0118_CN Financial Model-090704-4% 2" xfId="30249"/>
    <cellStyle name="식_MODEL_0118_CN Financial Model-090704-4% 2_분양(100%)" xfId="39836"/>
    <cellStyle name="식_MODEL_0118_CN Financial Model-090704-4%_분양(100%)" xfId="39835"/>
    <cellStyle name="식_MODEL_0118_CN Financial Model-102004" xfId="30250"/>
    <cellStyle name="식_MODEL_0118_CN Financial Model-102004 2" xfId="30251"/>
    <cellStyle name="식_MODEL_0118_CN Financial Model-102004 2_분양(100%)" xfId="39838"/>
    <cellStyle name="식_MODEL_0118_CN Financial Model-102004_분양(100%)" xfId="39837"/>
    <cellStyle name="식_MODEL_0118_분양(100%)" xfId="39831"/>
    <cellStyle name="식_MODEL0205" xfId="30252"/>
    <cellStyle name="식_MODEL0205 2" xfId="30253"/>
    <cellStyle name="식_MODEL0205 2_분양(100%)" xfId="39840"/>
    <cellStyle name="식_MODEL0205_112504_CN FM_보장조정_협약변경-재조달순-rv1" xfId="30254"/>
    <cellStyle name="식_MODEL0205_112504_CN FM_보장조정_협약변경-재조달순-rv1 2" xfId="30255"/>
    <cellStyle name="식_MODEL0205_112504_CN FM_보장조정_협약변경-재조달순-rv1 2_분양(100%)" xfId="39842"/>
    <cellStyle name="식_MODEL0205_112504_CN FM_보장조정_협약변경-재조달순-rv1_분양(100%)" xfId="39841"/>
    <cellStyle name="식_MODEL0205_CN Financial Model-090704-4%" xfId="30256"/>
    <cellStyle name="식_MODEL0205_CN Financial Model-090704-4% 2" xfId="30257"/>
    <cellStyle name="식_MODEL0205_CN Financial Model-090704-4% 2_분양(100%)" xfId="39844"/>
    <cellStyle name="식_MODEL0205_CN Financial Model-090704-4%_분양(100%)" xfId="39843"/>
    <cellStyle name="식_MODEL0205_CN Financial Model-102004" xfId="30258"/>
    <cellStyle name="식_MODEL0205_CN Financial Model-102004 2" xfId="30259"/>
    <cellStyle name="식_MODEL0205_CN Financial Model-102004 2_분양(100%)" xfId="39846"/>
    <cellStyle name="식_MODEL0205_CN Financial Model-102004_분양(100%)" xfId="39845"/>
    <cellStyle name="식_MODEL0205_분양(100%)" xfId="39839"/>
    <cellStyle name="식_MODEL0209" xfId="30260"/>
    <cellStyle name="식_MODEL0209 2" xfId="30261"/>
    <cellStyle name="식_MODEL0209 2_분양(100%)" xfId="39848"/>
    <cellStyle name="식_MODEL0209_112504_CN FM_보장조정_협약변경-재조달순-rv1" xfId="30262"/>
    <cellStyle name="식_MODEL0209_112504_CN FM_보장조정_협약변경-재조달순-rv1 2" xfId="30263"/>
    <cellStyle name="식_MODEL0209_112504_CN FM_보장조정_협약변경-재조달순-rv1 2_분양(100%)" xfId="39850"/>
    <cellStyle name="식_MODEL0209_112504_CN FM_보장조정_협약변경-재조달순-rv1_분양(100%)" xfId="39849"/>
    <cellStyle name="식_MODEL0209_CN Financial Model-090704-4%" xfId="30264"/>
    <cellStyle name="식_MODEL0209_CN Financial Model-090704-4% 2" xfId="30265"/>
    <cellStyle name="식_MODEL0209_CN Financial Model-090704-4% 2_분양(100%)" xfId="39852"/>
    <cellStyle name="식_MODEL0209_CN Financial Model-090704-4%_분양(100%)" xfId="39851"/>
    <cellStyle name="식_MODEL0209_CN Financial Model-102004" xfId="30266"/>
    <cellStyle name="식_MODEL0209_CN Financial Model-102004 2" xfId="30267"/>
    <cellStyle name="식_MODEL0209_CN Financial Model-102004 2_분양(100%)" xfId="39854"/>
    <cellStyle name="식_MODEL0209_CN Financial Model-102004_분양(100%)" xfId="39853"/>
    <cellStyle name="식_MODEL0209_분양(100%)" xfId="39847"/>
    <cellStyle name="식_MODEL0221" xfId="30268"/>
    <cellStyle name="식_MODEL0221 2" xfId="30269"/>
    <cellStyle name="식_MODEL0221 2_분양(100%)" xfId="39856"/>
    <cellStyle name="식_MODEL0221_112504_CN FM_보장조정_협약변경-재조달순-rv1" xfId="30270"/>
    <cellStyle name="식_MODEL0221_112504_CN FM_보장조정_협약변경-재조달순-rv1 2" xfId="30271"/>
    <cellStyle name="식_MODEL0221_112504_CN FM_보장조정_협약변경-재조달순-rv1 2_분양(100%)" xfId="39858"/>
    <cellStyle name="식_MODEL0221_112504_CN FM_보장조정_협약변경-재조달순-rv1_분양(100%)" xfId="39857"/>
    <cellStyle name="식_MODEL0221_CN Financial Model-090704-4%" xfId="30272"/>
    <cellStyle name="식_MODEL0221_CN Financial Model-090704-4% 2" xfId="30273"/>
    <cellStyle name="식_MODEL0221_CN Financial Model-090704-4% 2_분양(100%)" xfId="39860"/>
    <cellStyle name="식_MODEL0221_CN Financial Model-090704-4%_분양(100%)" xfId="39859"/>
    <cellStyle name="식_MODEL0221_CN Financial Model-102004" xfId="30274"/>
    <cellStyle name="식_MODEL0221_CN Financial Model-102004 2" xfId="30275"/>
    <cellStyle name="식_MODEL0221_CN Financial Model-102004 2_분양(100%)" xfId="39862"/>
    <cellStyle name="식_MODEL0221_CN Financial Model-102004_분양(100%)" xfId="39861"/>
    <cellStyle name="식_MODEL0221_분양(100%)" xfId="39855"/>
    <cellStyle name="식_MODEL0309" xfId="30276"/>
    <cellStyle name="식_MODEL0309 2" xfId="30277"/>
    <cellStyle name="식_MODEL0309 2_분양(100%)" xfId="39864"/>
    <cellStyle name="식_MODEL0309_112504_CN FM_보장조정_협약변경-재조달순-rv1" xfId="30278"/>
    <cellStyle name="식_MODEL0309_112504_CN FM_보장조정_협약변경-재조달순-rv1 2" xfId="30279"/>
    <cellStyle name="식_MODEL0309_112504_CN FM_보장조정_협약변경-재조달순-rv1 2_분양(100%)" xfId="39866"/>
    <cellStyle name="식_MODEL0309_112504_CN FM_보장조정_협약변경-재조달순-rv1_분양(100%)" xfId="39865"/>
    <cellStyle name="식_MODEL0309_CN Financial Model-090704-4%" xfId="30280"/>
    <cellStyle name="식_MODEL0309_CN Financial Model-090704-4% 2" xfId="30281"/>
    <cellStyle name="식_MODEL0309_CN Financial Model-090704-4% 2_분양(100%)" xfId="39868"/>
    <cellStyle name="식_MODEL0309_CN Financial Model-090704-4%_분양(100%)" xfId="39867"/>
    <cellStyle name="식_MODEL0309_CN Financial Model-102004" xfId="30282"/>
    <cellStyle name="식_MODEL0309_CN Financial Model-102004 2" xfId="30283"/>
    <cellStyle name="식_MODEL0309_CN Financial Model-102004 2_분양(100%)" xfId="39870"/>
    <cellStyle name="식_MODEL0309_CN Financial Model-102004_분양(100%)" xfId="39869"/>
    <cellStyle name="식_MODEL0309_분양(100%)" xfId="39863"/>
    <cellStyle name="식_MODEL0316" xfId="30284"/>
    <cellStyle name="식_MODEL0316 2" xfId="30285"/>
    <cellStyle name="식_MODEL0316 2_분양(100%)" xfId="39872"/>
    <cellStyle name="식_MODEL0316_112504_CN FM_보장조정_협약변경-재조달순-rv1" xfId="30286"/>
    <cellStyle name="식_MODEL0316_112504_CN FM_보장조정_협약변경-재조달순-rv1 2" xfId="30287"/>
    <cellStyle name="식_MODEL0316_112504_CN FM_보장조정_협약변경-재조달순-rv1 2_분양(100%)" xfId="39874"/>
    <cellStyle name="식_MODEL0316_112504_CN FM_보장조정_협약변경-재조달순-rv1_분양(100%)" xfId="39873"/>
    <cellStyle name="식_MODEL0316_CN Financial Model-090704-4%" xfId="30288"/>
    <cellStyle name="식_MODEL0316_CN Financial Model-090704-4% 2" xfId="30289"/>
    <cellStyle name="식_MODEL0316_CN Financial Model-090704-4% 2_분양(100%)" xfId="39876"/>
    <cellStyle name="식_MODEL0316_CN Financial Model-090704-4%_분양(100%)" xfId="39875"/>
    <cellStyle name="식_MODEL0316_CN Financial Model-102004" xfId="30290"/>
    <cellStyle name="식_MODEL0316_CN Financial Model-102004 2" xfId="30291"/>
    <cellStyle name="식_MODEL0316_CN Financial Model-102004 2_분양(100%)" xfId="39878"/>
    <cellStyle name="식_MODEL0316_CN Financial Model-102004_분양(100%)" xfId="39877"/>
    <cellStyle name="식_MODEL0316_분양(100%)" xfId="39871"/>
    <cellStyle name="식_MODEL0318" xfId="30292"/>
    <cellStyle name="식_MODEL0318 2" xfId="30293"/>
    <cellStyle name="식_MODEL0318 2_분양(100%)" xfId="39880"/>
    <cellStyle name="식_MODEL0318_112504_CN FM_보장조정_협약변경-재조달순-rv1" xfId="30294"/>
    <cellStyle name="식_MODEL0318_112504_CN FM_보장조정_협약변경-재조달순-rv1 2" xfId="30295"/>
    <cellStyle name="식_MODEL0318_112504_CN FM_보장조정_협약변경-재조달순-rv1 2_분양(100%)" xfId="39882"/>
    <cellStyle name="식_MODEL0318_112504_CN FM_보장조정_협약변경-재조달순-rv1_분양(100%)" xfId="39881"/>
    <cellStyle name="식_MODEL0318_CN Financial Model-090704-4%" xfId="30296"/>
    <cellStyle name="식_MODEL0318_CN Financial Model-090704-4% 2" xfId="30297"/>
    <cellStyle name="식_MODEL0318_CN Financial Model-090704-4% 2_분양(100%)" xfId="39884"/>
    <cellStyle name="식_MODEL0318_CN Financial Model-090704-4%_분양(100%)" xfId="39883"/>
    <cellStyle name="식_MODEL0318_CN Financial Model-102004" xfId="30298"/>
    <cellStyle name="식_MODEL0318_CN Financial Model-102004 2" xfId="30299"/>
    <cellStyle name="식_MODEL0318_CN Financial Model-102004 2_분양(100%)" xfId="39886"/>
    <cellStyle name="식_MODEL0318_CN Financial Model-102004_분양(100%)" xfId="39885"/>
    <cellStyle name="식_MODEL0318_분양(100%)" xfId="39879"/>
    <cellStyle name="식_MODEL0320-1" xfId="30300"/>
    <cellStyle name="식_MODEL0320-1 2" xfId="30301"/>
    <cellStyle name="식_MODEL0320-1 2_분양(100%)" xfId="39888"/>
    <cellStyle name="식_MODEL0320-1_112504_CN FM_보장조정_협약변경-재조달순-rv1" xfId="30302"/>
    <cellStyle name="식_MODEL0320-1_112504_CN FM_보장조정_협약변경-재조달순-rv1 2" xfId="30303"/>
    <cellStyle name="식_MODEL0320-1_112504_CN FM_보장조정_협약변경-재조달순-rv1 2_분양(100%)" xfId="39890"/>
    <cellStyle name="식_MODEL0320-1_112504_CN FM_보장조정_협약변경-재조달순-rv1_분양(100%)" xfId="39889"/>
    <cellStyle name="식_MODEL0320-1_CN Financial Model-090704-4%" xfId="30304"/>
    <cellStyle name="식_MODEL0320-1_CN Financial Model-090704-4% 2" xfId="30305"/>
    <cellStyle name="식_MODEL0320-1_CN Financial Model-090704-4% 2_분양(100%)" xfId="39892"/>
    <cellStyle name="식_MODEL0320-1_CN Financial Model-090704-4%_분양(100%)" xfId="39891"/>
    <cellStyle name="식_MODEL0320-1_CN Financial Model-102004" xfId="30306"/>
    <cellStyle name="식_MODEL0320-1_CN Financial Model-102004 2" xfId="30307"/>
    <cellStyle name="식_MODEL0320-1_CN Financial Model-102004 2_분양(100%)" xfId="39894"/>
    <cellStyle name="식_MODEL0320-1_CN Financial Model-102004_분양(100%)" xfId="39893"/>
    <cellStyle name="식_MODEL0320-1_분양(100%)" xfId="39887"/>
    <cellStyle name="식_MODEL0321" xfId="30308"/>
    <cellStyle name="식_MODEL0321 2" xfId="30309"/>
    <cellStyle name="식_MODEL0321 2_분양(100%)" xfId="39896"/>
    <cellStyle name="식_MODEL0321_112504_CN FM_보장조정_협약변경-재조달순-rv1" xfId="30310"/>
    <cellStyle name="식_MODEL0321_112504_CN FM_보장조정_협약변경-재조달순-rv1 2" xfId="30311"/>
    <cellStyle name="식_MODEL0321_112504_CN FM_보장조정_협약변경-재조달순-rv1 2_분양(100%)" xfId="39898"/>
    <cellStyle name="식_MODEL0321_112504_CN FM_보장조정_협약변경-재조달순-rv1_분양(100%)" xfId="39897"/>
    <cellStyle name="식_MODEL0321_CN Financial Model-090704-4%" xfId="30312"/>
    <cellStyle name="식_MODEL0321_CN Financial Model-090704-4% 2" xfId="30313"/>
    <cellStyle name="식_MODEL0321_CN Financial Model-090704-4% 2_분양(100%)" xfId="39900"/>
    <cellStyle name="식_MODEL0321_CN Financial Model-090704-4%_분양(100%)" xfId="39899"/>
    <cellStyle name="식_MODEL0321_CN Financial Model-102004" xfId="30314"/>
    <cellStyle name="식_MODEL0321_CN Financial Model-102004 2" xfId="30315"/>
    <cellStyle name="식_MODEL0321_CN Financial Model-102004 2_분양(100%)" xfId="39902"/>
    <cellStyle name="식_MODEL0321_CN Financial Model-102004_분양(100%)" xfId="39901"/>
    <cellStyle name="식_MODEL0321_분양(100%)" xfId="39895"/>
    <cellStyle name="식_MODEL0328" xfId="30316"/>
    <cellStyle name="식_MODEL0328 2" xfId="30317"/>
    <cellStyle name="식_MODEL0328 2_분양(100%)" xfId="39904"/>
    <cellStyle name="식_MODEL0328_112504_CN FM_보장조정_협약변경-재조달순-rv1" xfId="30318"/>
    <cellStyle name="식_MODEL0328_112504_CN FM_보장조정_협약변경-재조달순-rv1 2" xfId="30319"/>
    <cellStyle name="식_MODEL0328_112504_CN FM_보장조정_협약변경-재조달순-rv1 2_분양(100%)" xfId="39906"/>
    <cellStyle name="식_MODEL0328_112504_CN FM_보장조정_협약변경-재조달순-rv1_분양(100%)" xfId="39905"/>
    <cellStyle name="식_MODEL0328_CN Financial Model-090704-4%" xfId="30320"/>
    <cellStyle name="식_MODEL0328_CN Financial Model-090704-4% 2" xfId="30321"/>
    <cellStyle name="식_MODEL0328_CN Financial Model-090704-4% 2_분양(100%)" xfId="39908"/>
    <cellStyle name="식_MODEL0328_CN Financial Model-090704-4%_분양(100%)" xfId="39907"/>
    <cellStyle name="식_MODEL0328_CN Financial Model-102004" xfId="30322"/>
    <cellStyle name="식_MODEL0328_CN Financial Model-102004 2" xfId="30323"/>
    <cellStyle name="식_MODEL0328_CN Financial Model-102004 2_분양(100%)" xfId="39910"/>
    <cellStyle name="식_MODEL0328_CN Financial Model-102004_분양(100%)" xfId="39909"/>
    <cellStyle name="식_MODEL0328_분양(100%)" xfId="39903"/>
    <cellStyle name="식_MODEL정말최종" xfId="30324"/>
    <cellStyle name="식_MODEL정말최종 2" xfId="30325"/>
    <cellStyle name="식_MODEL정말최종 2_분양(100%)" xfId="39912"/>
    <cellStyle name="식_MODEL정말최종_112504_CN FM_보장조정_협약변경-재조달순-rv1" xfId="30326"/>
    <cellStyle name="식_MODEL정말최종_112504_CN FM_보장조정_협약변경-재조달순-rv1 2" xfId="30327"/>
    <cellStyle name="식_MODEL정말최종_112504_CN FM_보장조정_협약변경-재조달순-rv1 2_분양(100%)" xfId="39914"/>
    <cellStyle name="식_MODEL정말최종_112504_CN FM_보장조정_협약변경-재조달순-rv1_분양(100%)" xfId="39913"/>
    <cellStyle name="식_MODEL정말최종_CN Financial Model-090704-4%" xfId="30328"/>
    <cellStyle name="식_MODEL정말최종_CN Financial Model-090704-4% 2" xfId="30329"/>
    <cellStyle name="식_MODEL정말최종_CN Financial Model-090704-4% 2_분양(100%)" xfId="39916"/>
    <cellStyle name="식_MODEL정말최종_CN Financial Model-090704-4%_분양(100%)" xfId="39915"/>
    <cellStyle name="식_MODEL정말최종_CN Financial Model-102004" xfId="30330"/>
    <cellStyle name="식_MODEL정말최종_CN Financial Model-102004 2" xfId="30331"/>
    <cellStyle name="식_MODEL정말최종_CN Financial Model-102004 2_분양(100%)" xfId="39918"/>
    <cellStyle name="식_MODEL정말최종_CN Financial Model-102004_분양(100%)" xfId="39917"/>
    <cellStyle name="식_MODEL정말최종_분양(100%)" xfId="39911"/>
    <cellStyle name="식_MODEL최종" xfId="30332"/>
    <cellStyle name="식_MODEL최종 2" xfId="30333"/>
    <cellStyle name="식_MODEL최종 2_분양(100%)" xfId="39920"/>
    <cellStyle name="식_MODEL최종_112504_CN FM_보장조정_협약변경-재조달순-rv1" xfId="30334"/>
    <cellStyle name="식_MODEL최종_112504_CN FM_보장조정_협약변경-재조달순-rv1 2" xfId="30335"/>
    <cellStyle name="식_MODEL최종_112504_CN FM_보장조정_협약변경-재조달순-rv1 2_분양(100%)" xfId="39922"/>
    <cellStyle name="식_MODEL최종_112504_CN FM_보장조정_협약변경-재조달순-rv1_분양(100%)" xfId="39921"/>
    <cellStyle name="식_MODEL최종_CN Financial Model-090704-4%" xfId="30336"/>
    <cellStyle name="식_MODEL최종_CN Financial Model-090704-4% 2" xfId="30337"/>
    <cellStyle name="식_MODEL최종_CN Financial Model-090704-4% 2_분양(100%)" xfId="39924"/>
    <cellStyle name="식_MODEL최종_CN Financial Model-090704-4%_분양(100%)" xfId="39923"/>
    <cellStyle name="식_MODEL최종_CN Financial Model-102004" xfId="30338"/>
    <cellStyle name="식_MODEL최종_CN Financial Model-102004 2" xfId="30339"/>
    <cellStyle name="식_MODEL최종_CN Financial Model-102004 2_분양(100%)" xfId="39926"/>
    <cellStyle name="식_MODEL최종_CN Financial Model-102004_분양(100%)" xfId="39925"/>
    <cellStyle name="식_MODEL최종_분양(100%)" xfId="39919"/>
    <cellStyle name="식_NA Hiway Pjt Valuation(통행료 2년마다 인상)" xfId="30340"/>
    <cellStyle name="식_NA Hiway Pjt Valuation(통행료 2년마다 인상) 2" xfId="30341"/>
    <cellStyle name="식_NA Hiway Pjt Valuation(통행료 2년마다 인상) 2_분양(100%)" xfId="39928"/>
    <cellStyle name="식_NA Hiway Pjt Valuation(통행료 2년마다 인상)_112504_CN FM_보장조정_협약변경-재조달순-rv1" xfId="30342"/>
    <cellStyle name="식_NA Hiway Pjt Valuation(통행료 2년마다 인상)_112504_CN FM_보장조정_협약변경-재조달순-rv1 2" xfId="30343"/>
    <cellStyle name="식_NA Hiway Pjt Valuation(통행료 2년마다 인상)_112504_CN FM_보장조정_협약변경-재조달순-rv1 2_분양(100%)" xfId="39930"/>
    <cellStyle name="식_NA Hiway Pjt Valuation(통행료 2년마다 인상)_112504_CN FM_보장조정_협약변경-재조달순-rv1_분양(100%)" xfId="39929"/>
    <cellStyle name="식_NA Hiway Pjt Valuation(통행료 2년마다 인상)_CN Financial Model-090704-4%" xfId="30344"/>
    <cellStyle name="식_NA Hiway Pjt Valuation(통행료 2년마다 인상)_CN Financial Model-090704-4% 2" xfId="30345"/>
    <cellStyle name="식_NA Hiway Pjt Valuation(통행료 2년마다 인상)_CN Financial Model-090704-4% 2_분양(100%)" xfId="39932"/>
    <cellStyle name="식_NA Hiway Pjt Valuation(통행료 2년마다 인상)_CN Financial Model-090704-4%_분양(100%)" xfId="39931"/>
    <cellStyle name="식_NA Hiway Pjt Valuation(통행료 2년마다 인상)_CN Financial Model-102004" xfId="30346"/>
    <cellStyle name="식_NA Hiway Pjt Valuation(통행료 2년마다 인상)_CN Financial Model-102004 2" xfId="30347"/>
    <cellStyle name="식_NA Hiway Pjt Valuation(통행료 2년마다 인상)_CN Financial Model-102004 2_분양(100%)" xfId="39934"/>
    <cellStyle name="식_NA Hiway Pjt Valuation(통행료 2년마다 인상)_CN Financial Model-102004_분양(100%)" xfId="39933"/>
    <cellStyle name="식_NA Hiway Pjt Valuation(통행료 2년마다 인상)_분양(100%)" xfId="39927"/>
    <cellStyle name="식_ROE" xfId="30348"/>
    <cellStyle name="식_ROE 2" xfId="30349"/>
    <cellStyle name="식_ROE 2_분양(100%)" xfId="39936"/>
    <cellStyle name="식_ROE_112504_CN FM_보장조정_협약변경-재조달순-rv1" xfId="30350"/>
    <cellStyle name="식_ROE_112504_CN FM_보장조정_협약변경-재조달순-rv1 2" xfId="30351"/>
    <cellStyle name="식_ROE_112504_CN FM_보장조정_협약변경-재조달순-rv1 2_분양(100%)" xfId="39938"/>
    <cellStyle name="식_ROE_112504_CN FM_보장조정_협약변경-재조달순-rv1_분양(100%)" xfId="39937"/>
    <cellStyle name="식_ROE_CN Financial Model-090704-4%" xfId="30352"/>
    <cellStyle name="식_ROE_CN Financial Model-090704-4% 2" xfId="30353"/>
    <cellStyle name="식_ROE_CN Financial Model-090704-4% 2_분양(100%)" xfId="39940"/>
    <cellStyle name="식_ROE_CN Financial Model-090704-4%_분양(100%)" xfId="39939"/>
    <cellStyle name="식_ROE_CN Financial Model-102004" xfId="30354"/>
    <cellStyle name="식_ROE_CN Financial Model-102004 2" xfId="30355"/>
    <cellStyle name="식_ROE_CN Financial Model-102004 2_분양(100%)" xfId="39942"/>
    <cellStyle name="식_ROE_CN Financial Model-102004_분양(100%)" xfId="39941"/>
    <cellStyle name="식_ROE_분양(100%)" xfId="39935"/>
    <cellStyle name="식_Valuation(예비투자설명회)_0228" xfId="30356"/>
    <cellStyle name="식_Valuation(예비투자설명회)_0228 2" xfId="30357"/>
    <cellStyle name="식_Valuation(예비투자설명회)_0228 2_분양(100%)" xfId="39944"/>
    <cellStyle name="식_Valuation(예비투자설명회)_0228_112504_CN FM_보장조정_협약변경-재조달순-rv1" xfId="30358"/>
    <cellStyle name="식_Valuation(예비투자설명회)_0228_112504_CN FM_보장조정_협약변경-재조달순-rv1 2" xfId="30359"/>
    <cellStyle name="식_Valuation(예비투자설명회)_0228_112504_CN FM_보장조정_협약변경-재조달순-rv1 2_분양(100%)" xfId="39946"/>
    <cellStyle name="식_Valuation(예비투자설명회)_0228_112504_CN FM_보장조정_협약변경-재조달순-rv1_분양(100%)" xfId="39945"/>
    <cellStyle name="식_Valuation(예비투자설명회)_0228_CN Financial Model-090704-4%" xfId="30360"/>
    <cellStyle name="식_Valuation(예비투자설명회)_0228_CN Financial Model-090704-4% 2" xfId="30361"/>
    <cellStyle name="식_Valuation(예비투자설명회)_0228_CN Financial Model-090704-4% 2_분양(100%)" xfId="39948"/>
    <cellStyle name="식_Valuation(예비투자설명회)_0228_CN Financial Model-090704-4%_분양(100%)" xfId="39947"/>
    <cellStyle name="식_Valuation(예비투자설명회)_0228_CN Financial Model-102004" xfId="30362"/>
    <cellStyle name="식_Valuation(예비투자설명회)_0228_CN Financial Model-102004 2" xfId="30363"/>
    <cellStyle name="식_Valuation(예비투자설명회)_0228_CN Financial Model-102004 2_분양(100%)" xfId="39950"/>
    <cellStyle name="식_Valuation(예비투자설명회)_0228_CN Financial Model-102004_분양(100%)" xfId="39949"/>
    <cellStyle name="식_Valuation(예비투자설명회)_0228_분양(100%)" xfId="39943"/>
    <cellStyle name="식_Y-Pjt(FncMdl)_0912AM" xfId="30364"/>
    <cellStyle name="식_Y-Pjt(FncMdl)_0912AM 2" xfId="30365"/>
    <cellStyle name="식_Y-Pjt(FncMdl)_0912AM 2_분양(100%)" xfId="39952"/>
    <cellStyle name="식_Y-Pjt(FncMdl)_0912AM_112504_CN FM_보장조정_협약변경-재조달순-rv1" xfId="30366"/>
    <cellStyle name="식_Y-Pjt(FncMdl)_0912AM_112504_CN FM_보장조정_협약변경-재조달순-rv1 2" xfId="30367"/>
    <cellStyle name="식_Y-Pjt(FncMdl)_0912AM_112504_CN FM_보장조정_협약변경-재조달순-rv1 2_분양(100%)" xfId="39954"/>
    <cellStyle name="식_Y-Pjt(FncMdl)_0912AM_112504_CN FM_보장조정_협약변경-재조달순-rv1_분양(100%)" xfId="39953"/>
    <cellStyle name="식_Y-Pjt(FncMdl)_0912AM_CN Financial Model-090704-4%" xfId="30368"/>
    <cellStyle name="식_Y-Pjt(FncMdl)_0912AM_CN Financial Model-090704-4% 2" xfId="30369"/>
    <cellStyle name="식_Y-Pjt(FncMdl)_0912AM_CN Financial Model-090704-4% 2_분양(100%)" xfId="39956"/>
    <cellStyle name="식_Y-Pjt(FncMdl)_0912AM_CN Financial Model-090704-4%_분양(100%)" xfId="39955"/>
    <cellStyle name="식_Y-Pjt(FncMdl)_0912AM_CN Financial Model-102004" xfId="30370"/>
    <cellStyle name="식_Y-Pjt(FncMdl)_0912AM_CN Financial Model-102004 2" xfId="30371"/>
    <cellStyle name="식_Y-Pjt(FncMdl)_0912AM_CN Financial Model-102004 2_분양(100%)" xfId="39958"/>
    <cellStyle name="식_Y-Pjt(FncMdl)_0912AM_CN Financial Model-102004_분양(100%)" xfId="39957"/>
    <cellStyle name="식_Y-Pjt(FncMdl)_0912AM_분양(100%)" xfId="39951"/>
    <cellStyle name="식_Y-Pjt_0905(PM4)" xfId="30372"/>
    <cellStyle name="식_Y-Pjt_0905(PM4) 2" xfId="30373"/>
    <cellStyle name="식_Y-Pjt_0905(PM4) 2_분양(100%)" xfId="39960"/>
    <cellStyle name="식_Y-Pjt_0905(PM4)_112504_CN FM_보장조정_협약변경-재조달순-rv1" xfId="30374"/>
    <cellStyle name="식_Y-Pjt_0905(PM4)_112504_CN FM_보장조정_협약변경-재조달순-rv1 2" xfId="30375"/>
    <cellStyle name="식_Y-Pjt_0905(PM4)_112504_CN FM_보장조정_협약변경-재조달순-rv1 2_분양(100%)" xfId="39962"/>
    <cellStyle name="식_Y-Pjt_0905(PM4)_112504_CN FM_보장조정_협약변경-재조달순-rv1_분양(100%)" xfId="39961"/>
    <cellStyle name="식_Y-Pjt_0905(PM4)_CN Financial Model-090704-4%" xfId="30376"/>
    <cellStyle name="식_Y-Pjt_0905(PM4)_CN Financial Model-090704-4% 2" xfId="30377"/>
    <cellStyle name="식_Y-Pjt_0905(PM4)_CN Financial Model-090704-4% 2_분양(100%)" xfId="39964"/>
    <cellStyle name="식_Y-Pjt_0905(PM4)_CN Financial Model-090704-4%_분양(100%)" xfId="39963"/>
    <cellStyle name="식_Y-Pjt_0905(PM4)_CN Financial Model-102004" xfId="30378"/>
    <cellStyle name="식_Y-Pjt_0905(PM4)_CN Financial Model-102004 2" xfId="30379"/>
    <cellStyle name="식_Y-Pjt_0905(PM4)_CN Financial Model-102004 2_분양(100%)" xfId="39966"/>
    <cellStyle name="식_Y-Pjt_0905(PM4)_CN Financial Model-102004_분양(100%)" xfId="39965"/>
    <cellStyle name="식_Y-Pjt_0905(PM4)_분양(100%)" xfId="39959"/>
    <cellStyle name="식_Y-Pjt_0906(AM10)" xfId="30380"/>
    <cellStyle name="식_Y-Pjt_0906(AM10) 2" xfId="30381"/>
    <cellStyle name="식_Y-Pjt_0906(AM10) 2_분양(100%)" xfId="39968"/>
    <cellStyle name="식_Y-Pjt_0906(AM10)_112504_CN FM_보장조정_협약변경-재조달순-rv1" xfId="30382"/>
    <cellStyle name="식_Y-Pjt_0906(AM10)_112504_CN FM_보장조정_협약변경-재조달순-rv1 2" xfId="30383"/>
    <cellStyle name="식_Y-Pjt_0906(AM10)_112504_CN FM_보장조정_협약변경-재조달순-rv1 2_분양(100%)" xfId="39970"/>
    <cellStyle name="식_Y-Pjt_0906(AM10)_112504_CN FM_보장조정_협약변경-재조달순-rv1_분양(100%)" xfId="39969"/>
    <cellStyle name="식_Y-Pjt_0906(AM10)_CN Financial Model-090704-4%" xfId="30384"/>
    <cellStyle name="식_Y-Pjt_0906(AM10)_CN Financial Model-090704-4% 2" xfId="30385"/>
    <cellStyle name="식_Y-Pjt_0906(AM10)_CN Financial Model-090704-4% 2_분양(100%)" xfId="39972"/>
    <cellStyle name="식_Y-Pjt_0906(AM10)_CN Financial Model-090704-4%_분양(100%)" xfId="39971"/>
    <cellStyle name="식_Y-Pjt_0906(AM10)_CN Financial Model-102004" xfId="30386"/>
    <cellStyle name="식_Y-Pjt_0906(AM10)_CN Financial Model-102004 2" xfId="30387"/>
    <cellStyle name="식_Y-Pjt_0906(AM10)_CN Financial Model-102004 2_분양(100%)" xfId="39974"/>
    <cellStyle name="식_Y-Pjt_0906(AM10)_CN Financial Model-102004_분양(100%)" xfId="39973"/>
    <cellStyle name="식_Y-Pjt_0906(AM10)_분양(100%)" xfId="39967"/>
    <cellStyle name="식_Y-PROJECT_0812" xfId="30388"/>
    <cellStyle name="식_Y-PROJECT_0812 2" xfId="30389"/>
    <cellStyle name="식_Y-PROJECT_0812 2_분양(100%)" xfId="39976"/>
    <cellStyle name="식_Y-PROJECT_0812_112504_CN FM_보장조정_협약변경-재조달순-rv1" xfId="30390"/>
    <cellStyle name="식_Y-PROJECT_0812_112504_CN FM_보장조정_협약변경-재조달순-rv1 2" xfId="30391"/>
    <cellStyle name="식_Y-PROJECT_0812_112504_CN FM_보장조정_협약변경-재조달순-rv1 2_분양(100%)" xfId="39978"/>
    <cellStyle name="식_Y-PROJECT_0812_112504_CN FM_보장조정_협약변경-재조달순-rv1_분양(100%)" xfId="39977"/>
    <cellStyle name="식_Y-PROJECT_0812_CN Financial Model-090704-4%" xfId="30392"/>
    <cellStyle name="식_Y-PROJECT_0812_CN Financial Model-090704-4% 2" xfId="30393"/>
    <cellStyle name="식_Y-PROJECT_0812_CN Financial Model-090704-4% 2_분양(100%)" xfId="39980"/>
    <cellStyle name="식_Y-PROJECT_0812_CN Financial Model-090704-4%_분양(100%)" xfId="39979"/>
    <cellStyle name="식_Y-PROJECT_0812_CN Financial Model-102004" xfId="30394"/>
    <cellStyle name="식_Y-PROJECT_0812_CN Financial Model-102004 2" xfId="30395"/>
    <cellStyle name="식_Y-PROJECT_0812_CN Financial Model-102004 2_분양(100%)" xfId="39982"/>
    <cellStyle name="식_Y-PROJECT_0812_CN Financial Model-102004_분양(100%)" xfId="39981"/>
    <cellStyle name="식_Y-PROJECT_0812_분양(100%)" xfId="39975"/>
    <cellStyle name="식_Y-PROJECT_0813_PM10" xfId="30396"/>
    <cellStyle name="식_Y-PROJECT_0813_PM10 2" xfId="30397"/>
    <cellStyle name="식_Y-PROJECT_0813_PM10 2_분양(100%)" xfId="39984"/>
    <cellStyle name="식_Y-PROJECT_0813_PM10_112504_CN FM_보장조정_협약변경-재조달순-rv1" xfId="30398"/>
    <cellStyle name="식_Y-PROJECT_0813_PM10_112504_CN FM_보장조정_협약변경-재조달순-rv1 2" xfId="30399"/>
    <cellStyle name="식_Y-PROJECT_0813_PM10_112504_CN FM_보장조정_협약변경-재조달순-rv1 2_분양(100%)" xfId="39986"/>
    <cellStyle name="식_Y-PROJECT_0813_PM10_112504_CN FM_보장조정_협약변경-재조달순-rv1_분양(100%)" xfId="39985"/>
    <cellStyle name="식_Y-PROJECT_0813_PM10_CN Financial Model-090704-4%" xfId="30400"/>
    <cellStyle name="식_Y-PROJECT_0813_PM10_CN Financial Model-090704-4% 2" xfId="30401"/>
    <cellStyle name="식_Y-PROJECT_0813_PM10_CN Financial Model-090704-4% 2_분양(100%)" xfId="39988"/>
    <cellStyle name="식_Y-PROJECT_0813_PM10_CN Financial Model-090704-4%_분양(100%)" xfId="39987"/>
    <cellStyle name="식_Y-PROJECT_0813_PM10_CN Financial Model-102004" xfId="30402"/>
    <cellStyle name="식_Y-PROJECT_0813_PM10_CN Financial Model-102004 2" xfId="30403"/>
    <cellStyle name="식_Y-PROJECT_0813_PM10_CN Financial Model-102004 2_분양(100%)" xfId="39990"/>
    <cellStyle name="식_Y-PROJECT_0813_PM10_CN Financial Model-102004_분양(100%)" xfId="39989"/>
    <cellStyle name="식_Y-PROJECT_0813_PM10_분양(100%)" xfId="39983"/>
    <cellStyle name="식_Y-PROJECT_0820(PM7)" xfId="30404"/>
    <cellStyle name="식_Y-PROJECT_0820(PM7) 2" xfId="30405"/>
    <cellStyle name="식_Y-PROJECT_0820(PM7) 2_분양(100%)" xfId="39992"/>
    <cellStyle name="식_Y-PROJECT_0820(PM7)_112504_CN FM_보장조정_협약변경-재조달순-rv1" xfId="30406"/>
    <cellStyle name="식_Y-PROJECT_0820(PM7)_112504_CN FM_보장조정_협약변경-재조달순-rv1 2" xfId="30407"/>
    <cellStyle name="식_Y-PROJECT_0820(PM7)_112504_CN FM_보장조정_협약변경-재조달순-rv1 2_분양(100%)" xfId="39994"/>
    <cellStyle name="식_Y-PROJECT_0820(PM7)_112504_CN FM_보장조정_협약변경-재조달순-rv1_분양(100%)" xfId="39993"/>
    <cellStyle name="식_Y-PROJECT_0820(PM7)_CN Financial Model-090704-4%" xfId="30408"/>
    <cellStyle name="식_Y-PROJECT_0820(PM7)_CN Financial Model-090704-4% 2" xfId="30409"/>
    <cellStyle name="식_Y-PROJECT_0820(PM7)_CN Financial Model-090704-4% 2_분양(100%)" xfId="39996"/>
    <cellStyle name="식_Y-PROJECT_0820(PM7)_CN Financial Model-090704-4%_분양(100%)" xfId="39995"/>
    <cellStyle name="식_Y-PROJECT_0820(PM7)_CN Financial Model-102004" xfId="30410"/>
    <cellStyle name="식_Y-PROJECT_0820(PM7)_CN Financial Model-102004 2" xfId="30411"/>
    <cellStyle name="식_Y-PROJECT_0820(PM7)_CN Financial Model-102004 2_분양(100%)" xfId="39998"/>
    <cellStyle name="식_Y-PROJECT_0820(PM7)_CN Financial Model-102004_분양(100%)" xfId="39997"/>
    <cellStyle name="식_Y-PROJECT_0820(PM7)_분양(100%)" xfId="39991"/>
    <cellStyle name="식_건설기간중대안2최종" xfId="30412"/>
    <cellStyle name="식_건설기간중대안2최종 2" xfId="30413"/>
    <cellStyle name="식_건설기간중대안2최종 2_분양(100%)" xfId="40000"/>
    <cellStyle name="식_건설기간중대안2최종_112504_CN FM_보장조정_협약변경-재조달순-rv1" xfId="30414"/>
    <cellStyle name="식_건설기간중대안2최종_112504_CN FM_보장조정_협약변경-재조달순-rv1 2" xfId="30415"/>
    <cellStyle name="식_건설기간중대안2최종_112504_CN FM_보장조정_협약변경-재조달순-rv1 2_분양(100%)" xfId="40002"/>
    <cellStyle name="식_건설기간중대안2최종_112504_CN FM_보장조정_협약변경-재조달순-rv1_분양(100%)" xfId="40001"/>
    <cellStyle name="식_건설기간중대안2최종_CN Financial Model-090704-4%" xfId="30416"/>
    <cellStyle name="식_건설기간중대안2최종_CN Financial Model-090704-4% 2" xfId="30417"/>
    <cellStyle name="식_건설기간중대안2최종_CN Financial Model-090704-4% 2_분양(100%)" xfId="40004"/>
    <cellStyle name="식_건설기간중대안2최종_CN Financial Model-090704-4%_분양(100%)" xfId="40003"/>
    <cellStyle name="식_건설기간중대안2최종_CN Financial Model-102004" xfId="30418"/>
    <cellStyle name="식_건설기간중대안2최종_CN Financial Model-102004 2" xfId="30419"/>
    <cellStyle name="식_건설기간중대안2최종_CN Financial Model-102004 2_분양(100%)" xfId="40006"/>
    <cellStyle name="식_건설기간중대안2최종_CN Financial Model-102004_분양(100%)" xfId="40005"/>
    <cellStyle name="식_건설기간중대안2최종_분양(100%)" xfId="39999"/>
    <cellStyle name="식_경기도수성0319" xfId="30420"/>
    <cellStyle name="식_경기도수성0319 2" xfId="30421"/>
    <cellStyle name="식_경기도수성0319 2_분양(100%)" xfId="40008"/>
    <cellStyle name="식_경기도수성0319_112504_CN FM_보장조정_협약변경-재조달순-rv1" xfId="30422"/>
    <cellStyle name="식_경기도수성0319_112504_CN FM_보장조정_협약변경-재조달순-rv1 2" xfId="30423"/>
    <cellStyle name="식_경기도수성0319_112504_CN FM_보장조정_협약변경-재조달순-rv1 2_분양(100%)" xfId="40010"/>
    <cellStyle name="식_경기도수성0319_112504_CN FM_보장조정_협약변경-재조달순-rv1_분양(100%)" xfId="40009"/>
    <cellStyle name="식_경기도수성0319_CN Financial Model-090704-4%" xfId="30424"/>
    <cellStyle name="식_경기도수성0319_CN Financial Model-090704-4% 2" xfId="30425"/>
    <cellStyle name="식_경기도수성0319_CN Financial Model-090704-4% 2_분양(100%)" xfId="40012"/>
    <cellStyle name="식_경기도수성0319_CN Financial Model-090704-4%_분양(100%)" xfId="40011"/>
    <cellStyle name="식_경기도수성0319_CN Financial Model-102004" xfId="30426"/>
    <cellStyle name="식_경기도수성0319_CN Financial Model-102004 2" xfId="30427"/>
    <cellStyle name="식_경기도수성0319_CN Financial Model-102004 2_분양(100%)" xfId="40014"/>
    <cellStyle name="식_경기도수성0319_CN Financial Model-102004_분양(100%)" xfId="40013"/>
    <cellStyle name="식_경기도수성0319_분양(100%)" xfId="40007"/>
    <cellStyle name="식_광명 지역난방 민간투자사업 재무모델_0619" xfId="30428"/>
    <cellStyle name="식_광명 지역난방 민간투자사업 재무모델_0619 2" xfId="30429"/>
    <cellStyle name="식_광명 지역난방 민간투자사업 재무모델_0619 2_분양(100%)" xfId="40016"/>
    <cellStyle name="식_광명 지역난방 민간투자사업 재무모델_0619_112504_CN FM_보장조정_협약변경-재조달순-rv1" xfId="30430"/>
    <cellStyle name="식_광명 지역난방 민간투자사업 재무모델_0619_112504_CN FM_보장조정_협약변경-재조달순-rv1 2" xfId="30431"/>
    <cellStyle name="식_광명 지역난방 민간투자사업 재무모델_0619_112504_CN FM_보장조정_협약변경-재조달순-rv1 2_분양(100%)" xfId="40018"/>
    <cellStyle name="식_광명 지역난방 민간투자사업 재무모델_0619_112504_CN FM_보장조정_협약변경-재조달순-rv1_분양(100%)" xfId="40017"/>
    <cellStyle name="식_광명 지역난방 민간투자사업 재무모델_0619_CN Financial Model-090704-4%" xfId="30432"/>
    <cellStyle name="식_광명 지역난방 민간투자사업 재무모델_0619_CN Financial Model-090704-4% 2" xfId="30433"/>
    <cellStyle name="식_광명 지역난방 민간투자사업 재무모델_0619_CN Financial Model-090704-4% 2_분양(100%)" xfId="40020"/>
    <cellStyle name="식_광명 지역난방 민간투자사업 재무모델_0619_CN Financial Model-090704-4%_분양(100%)" xfId="40019"/>
    <cellStyle name="식_광명 지역난방 민간투자사업 재무모델_0619_CN Financial Model-102004" xfId="30434"/>
    <cellStyle name="식_광명 지역난방 민간투자사업 재무모델_0619_CN Financial Model-102004 2" xfId="30435"/>
    <cellStyle name="식_광명 지역난방 민간투자사업 재무모델_0619_CN Financial Model-102004 2_분양(100%)" xfId="40022"/>
    <cellStyle name="식_광명 지역난방 민간투자사업 재무모델_0619_CN Financial Model-102004_분양(100%)" xfId="40021"/>
    <cellStyle name="식_광명 지역난방 민간투자사업 재무모델_0619_분양(100%)" xfId="40015"/>
    <cellStyle name="식_교통운영비변경(1109)-강남순환" xfId="30436"/>
    <cellStyle name="식_교통운영비변경(1109)-강남순환 2" xfId="30437"/>
    <cellStyle name="식_교통운영비변경(1109)-강남순환 2_분양(100%)" xfId="40024"/>
    <cellStyle name="식_교통운영비변경(1109)-강남순환_112504_CN FM_보장조정_협약변경-재조달순-rv1" xfId="30438"/>
    <cellStyle name="식_교통운영비변경(1109)-강남순환_112504_CN FM_보장조정_협약변경-재조달순-rv1 2" xfId="30439"/>
    <cellStyle name="식_교통운영비변경(1109)-강남순환_112504_CN FM_보장조정_협약변경-재조달순-rv1 2_분양(100%)" xfId="40026"/>
    <cellStyle name="식_교통운영비변경(1109)-강남순환_112504_CN FM_보장조정_협약변경-재조달순-rv1_분양(100%)" xfId="40025"/>
    <cellStyle name="식_교통운영비변경(1109)-강남순환_CN Financial Model-090704-4%" xfId="30440"/>
    <cellStyle name="식_교통운영비변경(1109)-강남순환_CN Financial Model-090704-4% 2" xfId="30441"/>
    <cellStyle name="식_교통운영비변경(1109)-강남순환_CN Financial Model-090704-4% 2_분양(100%)" xfId="40028"/>
    <cellStyle name="식_교통운영비변경(1109)-강남순환_CN Financial Model-090704-4%_분양(100%)" xfId="40027"/>
    <cellStyle name="식_교통운영비변경(1109)-강남순환_CN Financial Model-102004" xfId="30442"/>
    <cellStyle name="식_교통운영비변경(1109)-강남순환_CN Financial Model-102004 2" xfId="30443"/>
    <cellStyle name="식_교통운영비변경(1109)-강남순환_CN Financial Model-102004 2_분양(100%)" xfId="40030"/>
    <cellStyle name="식_교통운영비변경(1109)-강남순환_CN Financial Model-102004_분양(100%)" xfId="40029"/>
    <cellStyle name="식_교통운영비변경(1109)-강남순환_분양(100%)" xfId="40023"/>
    <cellStyle name="식_김천 운영기간중 비용2007.2.18(홍_수정)" xfId="30444"/>
    <cellStyle name="식_김천 운영기간중 비용2007.2.18(홍_수정) 2" xfId="30445"/>
    <cellStyle name="식_김천 운영기간중 비용2007.2.18(홍_수정) 2_분양(100%)" xfId="40032"/>
    <cellStyle name="식_김천 운영기간중 비용2007.2.18(홍_수정)_분양(100%)" xfId="40031"/>
    <cellStyle name="식_논산시하수관거BTL사업_재무모델_논산관거관리(주)" xfId="30446"/>
    <cellStyle name="식_논산시하수관거BTL사업_재무모델_논산관거관리(주) 2" xfId="30447"/>
    <cellStyle name="식_논산시하수관거BTL사업_재무모델_논산관거관리(주) 2_분양(100%)" xfId="40034"/>
    <cellStyle name="식_논산시하수관거BTL사업_재무모델_논산관거관리(주)_FS_MS STP_092005_v7" xfId="30448"/>
    <cellStyle name="식_논산시하수관거BTL사업_재무모델_논산관거관리(주)_FS_MS STP_092005_v7 2" xfId="30449"/>
    <cellStyle name="식_논산시하수관거BTL사업_재무모델_논산관거관리(주)_FS_MS STP_092005_v7 2_분양(100%)" xfId="40036"/>
    <cellStyle name="식_논산시하수관거BTL사업_재무모델_논산관거관리(주)_FS_MS STP_092005_v7_분양(100%)" xfId="40035"/>
    <cellStyle name="식_논산시하수관거BTL사업_재무모델_논산관거관리(주)_FS_MS STP_092005_v8" xfId="30450"/>
    <cellStyle name="식_논산시하수관거BTL사업_재무모델_논산관거관리(주)_FS_MS STP_092005_v8 2" xfId="30451"/>
    <cellStyle name="식_논산시하수관거BTL사업_재무모델_논산관거관리(주)_FS_MS STP_092005_v8 2_분양(100%)" xfId="40038"/>
    <cellStyle name="식_논산시하수관거BTL사업_재무모델_논산관거관리(주)_FS_MS STP_092005_v8_분양(100%)" xfId="40037"/>
    <cellStyle name="식_논산시하수관거BTL사업_재무모델_논산관거관리(주)_분양(100%)" xfId="40033"/>
    <cellStyle name="식_대안1(1129)" xfId="30452"/>
    <cellStyle name="식_대안1(1129) 2" xfId="30453"/>
    <cellStyle name="식_대안1(1129) 2_분양(100%)" xfId="40040"/>
    <cellStyle name="식_대안1(1129)_112504_CN FM_보장조정_협약변경-재조달순-rv1" xfId="30454"/>
    <cellStyle name="식_대안1(1129)_112504_CN FM_보장조정_협약변경-재조달순-rv1 2" xfId="30455"/>
    <cellStyle name="식_대안1(1129)_112504_CN FM_보장조정_협약변경-재조달순-rv1 2_분양(100%)" xfId="40042"/>
    <cellStyle name="식_대안1(1129)_112504_CN FM_보장조정_협약변경-재조달순-rv1_분양(100%)" xfId="40041"/>
    <cellStyle name="식_대안1(1129)_CN Financial Model-090704-4%" xfId="30456"/>
    <cellStyle name="식_대안1(1129)_CN Financial Model-090704-4% 2" xfId="30457"/>
    <cellStyle name="식_대안1(1129)_CN Financial Model-090704-4% 2_분양(100%)" xfId="40044"/>
    <cellStyle name="식_대안1(1129)_CN Financial Model-090704-4%_분양(100%)" xfId="40043"/>
    <cellStyle name="식_대안1(1129)_CN Financial Model-102004" xfId="30458"/>
    <cellStyle name="식_대안1(1129)_CN Financial Model-102004 2" xfId="30459"/>
    <cellStyle name="식_대안1(1129)_CN Financial Model-102004 2_분양(100%)" xfId="40046"/>
    <cellStyle name="식_대안1(1129)_CN Financial Model-102004_분양(100%)" xfId="40045"/>
    <cellStyle name="식_대안1(1129)_분양(100%)" xfId="40039"/>
    <cellStyle name="식_대안2(1201)" xfId="30460"/>
    <cellStyle name="식_대안2(1201) 2" xfId="30461"/>
    <cellStyle name="식_대안2(1201) 2_분양(100%)" xfId="40048"/>
    <cellStyle name="식_대안2(1201)_112504_CN FM_보장조정_협약변경-재조달순-rv1" xfId="30462"/>
    <cellStyle name="식_대안2(1201)_112504_CN FM_보장조정_협약변경-재조달순-rv1 2" xfId="30463"/>
    <cellStyle name="식_대안2(1201)_112504_CN FM_보장조정_협약변경-재조달순-rv1 2_분양(100%)" xfId="40050"/>
    <cellStyle name="식_대안2(1201)_112504_CN FM_보장조정_협약변경-재조달순-rv1_분양(100%)" xfId="40049"/>
    <cellStyle name="식_대안2(1201)_CN Financial Model-090704-4%" xfId="30464"/>
    <cellStyle name="식_대안2(1201)_CN Financial Model-090704-4% 2" xfId="30465"/>
    <cellStyle name="식_대안2(1201)_CN Financial Model-090704-4% 2_분양(100%)" xfId="40052"/>
    <cellStyle name="식_대안2(1201)_CN Financial Model-090704-4%_분양(100%)" xfId="40051"/>
    <cellStyle name="식_대안2(1201)_CN Financial Model-102004" xfId="30466"/>
    <cellStyle name="식_대안2(1201)_CN Financial Model-102004 2" xfId="30467"/>
    <cellStyle name="식_대안2(1201)_CN Financial Model-102004 2_분양(100%)" xfId="40054"/>
    <cellStyle name="식_대안2(1201)_CN Financial Model-102004_분양(100%)" xfId="40053"/>
    <cellStyle name="식_대안2(1201)_분양(100%)" xfId="40047"/>
    <cellStyle name="식_마산 부대비용(분기포함-1 운영기간중)" xfId="30468"/>
    <cellStyle name="식_마산 부대비용(분기포함-1 운영기간중) 2" xfId="30469"/>
    <cellStyle name="식_마산 부대비용(분기포함-1 운영기간중) 2_분양(100%)" xfId="40056"/>
    <cellStyle name="식_마산 부대비용(분기포함-1 운영기간중)_분양(100%)" xfId="40055"/>
    <cellStyle name="식_마산 부대비용(분기포함-1 운영기간중)_장흥 운영기간중 비용-rev" xfId="30470"/>
    <cellStyle name="식_마산 부대비용(분기포함-1 운영기간중)_장흥 운영기간중 비용-rev 2" xfId="30471"/>
    <cellStyle name="식_마산 부대비용(분기포함-1 운영기간중)_장흥 운영기간중 비용-rev 2_분양(100%)" xfId="40058"/>
    <cellStyle name="식_마산 부대비용(분기포함-1 운영기간중)_장흥 운영기간중 비용-rev_김천 운영기간중 비용2007.2.18(홍_수정)" xfId="30472"/>
    <cellStyle name="식_마산 부대비용(분기포함-1 운영기간중)_장흥 운영기간중 비용-rev_김천 운영기간중 비용2007.2.18(홍_수정) 2" xfId="30473"/>
    <cellStyle name="식_마산 부대비용(분기포함-1 운영기간중)_장흥 운영기간중 비용-rev_김천 운영기간중 비용2007.2.18(홍_수정) 2_분양(100%)" xfId="40060"/>
    <cellStyle name="식_마산 부대비용(분기포함-1 운영기간중)_장흥 운영기간중 비용-rev_김천 운영기간중 비용2007.2.18(홍_수정)_분양(100%)" xfId="40059"/>
    <cellStyle name="식_마산 부대비용(분기포함-1 운영기간중)_장흥 운영기간중 비용-rev_분양(100%)" xfId="40057"/>
    <cellStyle name="식_모델제세공과금(0424)-1100원" xfId="30474"/>
    <cellStyle name="식_모델제세공과금(0424)-1100원 2" xfId="30475"/>
    <cellStyle name="식_모델제세공과금(0424)-1100원 2_분양(100%)" xfId="40062"/>
    <cellStyle name="식_모델제세공과금(0424)-1100원_분양(100%)" xfId="40061"/>
    <cellStyle name="식_별첨자료" xfId="30476"/>
    <cellStyle name="식_별첨자료 2" xfId="30477"/>
    <cellStyle name="식_별첨자료 2_분양(100%)" xfId="40064"/>
    <cellStyle name="식_별첨자료(수정)" xfId="30478"/>
    <cellStyle name="식_별첨자료(수정) 2" xfId="30479"/>
    <cellStyle name="식_별첨자료(수정) 2_분양(100%)" xfId="40066"/>
    <cellStyle name="식_별첨자료(수정)_~6652857" xfId="30480"/>
    <cellStyle name="식_별첨자료(수정)_~6652857 2" xfId="30481"/>
    <cellStyle name="식_별첨자료(수정)_~6652857 2_분양(100%)" xfId="40068"/>
    <cellStyle name="식_별첨자료(수정)_~6652857_분양(100%)" xfId="40067"/>
    <cellStyle name="식_별첨자료(수정)_112504_CN FM_보장조정_협약변경-재조달순-rv1" xfId="30482"/>
    <cellStyle name="식_별첨자료(수정)_112504_CN FM_보장조정_협약변경-재조달순-rv1 2" xfId="30483"/>
    <cellStyle name="식_별첨자료(수정)_112504_CN FM_보장조정_협약변경-재조달순-rv1 2_분양(100%)" xfId="40070"/>
    <cellStyle name="식_별첨자료(수정)_112504_CN FM_보장조정_협약변경-재조달순-rv1_~6652857" xfId="30484"/>
    <cellStyle name="식_별첨자료(수정)_112504_CN FM_보장조정_협약변경-재조달순-rv1_~6652857 2" xfId="30485"/>
    <cellStyle name="식_별첨자료(수정)_112504_CN FM_보장조정_협약변경-재조달순-rv1_~6652857 2_분양(100%)" xfId="40072"/>
    <cellStyle name="식_별첨자료(수정)_112504_CN FM_보장조정_협약변경-재조달순-rv1_~6652857_분양(100%)" xfId="40071"/>
    <cellStyle name="식_별첨자료(수정)_112504_CN FM_보장조정_협약변경-재조달순-rv1_분양(100%)" xfId="40069"/>
    <cellStyle name="식_별첨자료(수정)_CN Financial Model-090704-4%" xfId="30486"/>
    <cellStyle name="식_별첨자료(수정)_CN Financial Model-090704-4% 2" xfId="30487"/>
    <cellStyle name="식_별첨자료(수정)_CN Financial Model-090704-4% 2_분양(100%)" xfId="40074"/>
    <cellStyle name="식_별첨자료(수정)_CN Financial Model-090704-4%_~6652857" xfId="30488"/>
    <cellStyle name="식_별첨자료(수정)_CN Financial Model-090704-4%_~6652857 2" xfId="30489"/>
    <cellStyle name="식_별첨자료(수정)_CN Financial Model-090704-4%_~6652857 2_분양(100%)" xfId="40076"/>
    <cellStyle name="식_별첨자료(수정)_CN Financial Model-090704-4%_~6652857_분양(100%)" xfId="40075"/>
    <cellStyle name="식_별첨자료(수정)_CN Financial Model-090704-4%_분양(100%)" xfId="40073"/>
    <cellStyle name="식_별첨자료(수정)_CN Financial Model-102004" xfId="30490"/>
    <cellStyle name="식_별첨자료(수정)_CN Financial Model-102004 2" xfId="30491"/>
    <cellStyle name="식_별첨자료(수정)_CN Financial Model-102004 2_분양(100%)" xfId="40078"/>
    <cellStyle name="식_별첨자료(수정)_CN Financial Model-102004_~6652857" xfId="30492"/>
    <cellStyle name="식_별첨자료(수정)_CN Financial Model-102004_~6652857 2" xfId="30493"/>
    <cellStyle name="식_별첨자료(수정)_CN Financial Model-102004_~6652857 2_분양(100%)" xfId="40080"/>
    <cellStyle name="식_별첨자료(수정)_CN Financial Model-102004_~6652857_분양(100%)" xfId="40079"/>
    <cellStyle name="식_별첨자료(수정)_CN Financial Model-102004_분양(100%)" xfId="40077"/>
    <cellStyle name="식_별첨자료(수정)_분양(100%)" xfId="40065"/>
    <cellStyle name="식_별첨자료_~6652857" xfId="30494"/>
    <cellStyle name="식_별첨자료_~6652857 2" xfId="30495"/>
    <cellStyle name="식_별첨자료_~6652857 2_분양(100%)" xfId="40082"/>
    <cellStyle name="식_별첨자료_~6652857_분양(100%)" xfId="40081"/>
    <cellStyle name="식_별첨자료_112504_CN FM_보장조정_협약변경-재조달순-rv1" xfId="30496"/>
    <cellStyle name="식_별첨자료_112504_CN FM_보장조정_협약변경-재조달순-rv1 2" xfId="30497"/>
    <cellStyle name="식_별첨자료_112504_CN FM_보장조정_협약변경-재조달순-rv1 2_분양(100%)" xfId="40084"/>
    <cellStyle name="식_별첨자료_112504_CN FM_보장조정_협약변경-재조달순-rv1_~6652857" xfId="30498"/>
    <cellStyle name="식_별첨자료_112504_CN FM_보장조정_협약변경-재조달순-rv1_~6652857 2" xfId="30499"/>
    <cellStyle name="식_별첨자료_112504_CN FM_보장조정_협약변경-재조달순-rv1_~6652857 2_분양(100%)" xfId="40086"/>
    <cellStyle name="식_별첨자료_112504_CN FM_보장조정_협약변경-재조달순-rv1_~6652857_분양(100%)" xfId="40085"/>
    <cellStyle name="식_별첨자료_112504_CN FM_보장조정_협약변경-재조달순-rv1_분양(100%)" xfId="40083"/>
    <cellStyle name="식_별첨자료_CN Financial Model-090704-4%" xfId="30500"/>
    <cellStyle name="식_별첨자료_CN Financial Model-090704-4% 2" xfId="30501"/>
    <cellStyle name="식_별첨자료_CN Financial Model-090704-4% 2_분양(100%)" xfId="40088"/>
    <cellStyle name="식_별첨자료_CN Financial Model-090704-4%_~6652857" xfId="30502"/>
    <cellStyle name="식_별첨자료_CN Financial Model-090704-4%_~6652857 2" xfId="30503"/>
    <cellStyle name="식_별첨자료_CN Financial Model-090704-4%_~6652857 2_분양(100%)" xfId="40090"/>
    <cellStyle name="식_별첨자료_CN Financial Model-090704-4%_~6652857_분양(100%)" xfId="40089"/>
    <cellStyle name="식_별첨자료_CN Financial Model-090704-4%_분양(100%)" xfId="40087"/>
    <cellStyle name="식_별첨자료_CN Financial Model-102004" xfId="30504"/>
    <cellStyle name="식_별첨자료_CN Financial Model-102004 2" xfId="30505"/>
    <cellStyle name="식_별첨자료_CN Financial Model-102004 2_분양(100%)" xfId="40092"/>
    <cellStyle name="식_별첨자료_CN Financial Model-102004_~6652857" xfId="30506"/>
    <cellStyle name="식_별첨자료_CN Financial Model-102004_~6652857 2" xfId="30507"/>
    <cellStyle name="식_별첨자료_CN Financial Model-102004_~6652857 2_분양(100%)" xfId="40094"/>
    <cellStyle name="식_별첨자료_CN Financial Model-102004_~6652857_분양(100%)" xfId="40093"/>
    <cellStyle name="식_별첨자료_CN Financial Model-102004_분양(100%)" xfId="40091"/>
    <cellStyle name="식_별첨자료_분양(100%)" xfId="40063"/>
    <cellStyle name="식_분양(100%)" xfId="39422"/>
    <cellStyle name="식_사본 - MODEL_0105" xfId="30508"/>
    <cellStyle name="식_사본 - MODEL_0105 2" xfId="30509"/>
    <cellStyle name="식_사본 - MODEL_0105 2_분양(100%)" xfId="40096"/>
    <cellStyle name="식_사본 - MODEL_0105_112504_CN FM_보장조정_협약변경-재조달순-rv1" xfId="30510"/>
    <cellStyle name="식_사본 - MODEL_0105_112504_CN FM_보장조정_협약변경-재조달순-rv1 2" xfId="30511"/>
    <cellStyle name="식_사본 - MODEL_0105_112504_CN FM_보장조정_협약변경-재조달순-rv1 2_분양(100%)" xfId="40098"/>
    <cellStyle name="식_사본 - MODEL_0105_112504_CN FM_보장조정_협약변경-재조달순-rv1_분양(100%)" xfId="40097"/>
    <cellStyle name="식_사본 - MODEL_0105_CN Financial Model-090704-4%" xfId="30512"/>
    <cellStyle name="식_사본 - MODEL_0105_CN Financial Model-090704-4% 2" xfId="30513"/>
    <cellStyle name="식_사본 - MODEL_0105_CN Financial Model-090704-4% 2_분양(100%)" xfId="40100"/>
    <cellStyle name="식_사본 - MODEL_0105_CN Financial Model-090704-4%_분양(100%)" xfId="40099"/>
    <cellStyle name="식_사본 - MODEL_0105_CN Financial Model-102004" xfId="30514"/>
    <cellStyle name="식_사본 - MODEL_0105_CN Financial Model-102004 2" xfId="30515"/>
    <cellStyle name="식_사본 - MODEL_0105_CN Financial Model-102004 2_분양(100%)" xfId="40102"/>
    <cellStyle name="식_사본 - MODEL_0105_CN Financial Model-102004_분양(100%)" xfId="40101"/>
    <cellStyle name="식_사본 - MODEL_0105_분양(100%)" xfId="40095"/>
    <cellStyle name="식_사본 - 사본 - 사본 - MODEL_0105" xfId="30516"/>
    <cellStyle name="식_사본 - 사본 - 사본 - MODEL_0105 2" xfId="30517"/>
    <cellStyle name="식_사본 - 사본 - 사본 - MODEL_0105 2_분양(100%)" xfId="40104"/>
    <cellStyle name="식_사본 - 사본 - 사본 - MODEL_0105_112504_CN FM_보장조정_협약변경-재조달순-rv1" xfId="30518"/>
    <cellStyle name="식_사본 - 사본 - 사본 - MODEL_0105_112504_CN FM_보장조정_협약변경-재조달순-rv1 2" xfId="30519"/>
    <cellStyle name="식_사본 - 사본 - 사본 - MODEL_0105_112504_CN FM_보장조정_협약변경-재조달순-rv1 2_분양(100%)" xfId="40106"/>
    <cellStyle name="식_사본 - 사본 - 사본 - MODEL_0105_112504_CN FM_보장조정_협약변경-재조달순-rv1_분양(100%)" xfId="40105"/>
    <cellStyle name="식_사본 - 사본 - 사본 - MODEL_0105_CN Financial Model-090704-4%" xfId="30520"/>
    <cellStyle name="식_사본 - 사본 - 사본 - MODEL_0105_CN Financial Model-090704-4% 2" xfId="30521"/>
    <cellStyle name="식_사본 - 사본 - 사본 - MODEL_0105_CN Financial Model-090704-4% 2_분양(100%)" xfId="40108"/>
    <cellStyle name="식_사본 - 사본 - 사본 - MODEL_0105_CN Financial Model-090704-4%_분양(100%)" xfId="40107"/>
    <cellStyle name="식_사본 - 사본 - 사본 - MODEL_0105_CN Financial Model-102004" xfId="30522"/>
    <cellStyle name="식_사본 - 사본 - 사본 - MODEL_0105_CN Financial Model-102004 2" xfId="30523"/>
    <cellStyle name="식_사본 - 사본 - 사본 - MODEL_0105_CN Financial Model-102004 2_분양(100%)" xfId="40110"/>
    <cellStyle name="식_사본 - 사본 - 사본 - MODEL_0105_CN Financial Model-102004_분양(100%)" xfId="40109"/>
    <cellStyle name="식_사본 - 사본 - 사본 - MODEL_0105_분양(100%)" xfId="40103"/>
    <cellStyle name="식_수정(050815) 청주 부대비용(운영기간중)" xfId="30524"/>
    <cellStyle name="식_수정(050815) 청주 부대비용(운영기간중) 2" xfId="30525"/>
    <cellStyle name="식_수정(050815) 청주 부대비용(운영기간중) 2_분양(100%)" xfId="40112"/>
    <cellStyle name="식_수정(050815) 청주 부대비용(운영기간중)_분양(100%)" xfId="40111"/>
    <cellStyle name="식_수정(050815) 청주 부대비용(운영기간중)_장흥 운영기간중 비용-rev" xfId="30526"/>
    <cellStyle name="식_수정(050815) 청주 부대비용(운영기간중)_장흥 운영기간중 비용-rev 2" xfId="30527"/>
    <cellStyle name="식_수정(050815) 청주 부대비용(운영기간중)_장흥 운영기간중 비용-rev 2_분양(100%)" xfId="40114"/>
    <cellStyle name="식_수정(050815) 청주 부대비용(운영기간중)_장흥 운영기간중 비용-rev_김천 운영기간중 비용2007.2.18(홍_수정)" xfId="30528"/>
    <cellStyle name="식_수정(050815) 청주 부대비용(운영기간중)_장흥 운영기간중 비용-rev_김천 운영기간중 비용2007.2.18(홍_수정) 2" xfId="30529"/>
    <cellStyle name="식_수정(050815) 청주 부대비용(운영기간중)_장흥 운영기간중 비용-rev_김천 운영기간중 비용2007.2.18(홍_수정) 2_분양(100%)" xfId="40116"/>
    <cellStyle name="식_수정(050815) 청주 부대비용(운영기간중)_장흥 운영기간중 비용-rev_김천 운영기간중 비용2007.2.18(홍_수정)_분양(100%)" xfId="40115"/>
    <cellStyle name="식_수정(050815) 청주 부대비용(운영기간중)_장흥 운영기간중 비용-rev_분양(100%)" xfId="40113"/>
    <cellStyle name="식_수정(050815)청주 부대비용(주기별,운영기간중)" xfId="30530"/>
    <cellStyle name="식_수정(050815)청주 부대비용(주기별,운영기간중) 2" xfId="30531"/>
    <cellStyle name="식_수정(050815)청주 부대비용(주기별,운영기간중) 2_분양(100%)" xfId="40118"/>
    <cellStyle name="식_수정(050815)청주 부대비용(주기별,운영기간중)_분양(100%)" xfId="40117"/>
    <cellStyle name="식_수정(050815)청주 부대비용(주기별,운영기간중)_장흥 운영기간중 비용-rev" xfId="30532"/>
    <cellStyle name="식_수정(050815)청주 부대비용(주기별,운영기간중)_장흥 운영기간중 비용-rev 2" xfId="30533"/>
    <cellStyle name="식_수정(050815)청주 부대비용(주기별,운영기간중)_장흥 운영기간중 비용-rev 2_분양(100%)" xfId="40120"/>
    <cellStyle name="식_수정(050815)청주 부대비용(주기별,운영기간중)_장흥 운영기간중 비용-rev_김천 운영기간중 비용2007.2.18(홍_수정)" xfId="30534"/>
    <cellStyle name="식_수정(050815)청주 부대비용(주기별,운영기간중)_장흥 운영기간중 비용-rev_김천 운영기간중 비용2007.2.18(홍_수정) 2" xfId="30535"/>
    <cellStyle name="식_수정(050815)청주 부대비용(주기별,운영기간중)_장흥 운영기간중 비용-rev_김천 운영기간중 비용2007.2.18(홍_수정) 2_분양(100%)" xfId="40122"/>
    <cellStyle name="식_수정(050815)청주 부대비용(주기별,운영기간중)_장흥 운영기간중 비용-rev_김천 운영기간중 비용2007.2.18(홍_수정)_분양(100%)" xfId="40121"/>
    <cellStyle name="식_수정(050815)청주 부대비용(주기별,운영기간중)_장흥 운영기간중 비용-rev_분양(100%)" xfId="40119"/>
    <cellStyle name="식_양식" xfId="30536"/>
    <cellStyle name="식_양식 2" xfId="30537"/>
    <cellStyle name="식_양식 2_분양(100%)" xfId="40124"/>
    <cellStyle name="식_양식_112504_CN FM_보장조정_협약변경-재조달순-rv1" xfId="30538"/>
    <cellStyle name="식_양식_112504_CN FM_보장조정_협약변경-재조달순-rv1 2" xfId="30539"/>
    <cellStyle name="식_양식_112504_CN FM_보장조정_협약변경-재조달순-rv1 2_분양(100%)" xfId="40126"/>
    <cellStyle name="식_양식_112504_CN FM_보장조정_협약변경-재조달순-rv1_분양(100%)" xfId="40125"/>
    <cellStyle name="식_양식_CN Financial Model-090704-4%" xfId="30540"/>
    <cellStyle name="식_양식_CN Financial Model-090704-4% 2" xfId="30541"/>
    <cellStyle name="식_양식_CN Financial Model-090704-4% 2_분양(100%)" xfId="40128"/>
    <cellStyle name="식_양식_CN Financial Model-090704-4%_분양(100%)" xfId="40127"/>
    <cellStyle name="식_양식_CN Financial Model-102004" xfId="30542"/>
    <cellStyle name="식_양식_CN Financial Model-102004 2" xfId="30543"/>
    <cellStyle name="식_양식_CN Financial Model-102004 2_분양(100%)" xfId="40130"/>
    <cellStyle name="식_양식_CN Financial Model-102004_분양(100%)" xfId="40129"/>
    <cellStyle name="식_양식_분양(100%)" xfId="40123"/>
    <cellStyle name="식_용인 LRT_0619" xfId="30544"/>
    <cellStyle name="식_용인 LRT_0619 2" xfId="30545"/>
    <cellStyle name="식_용인 LRT_0619 2_분양(100%)" xfId="40132"/>
    <cellStyle name="식_용인 LRT_0619_112504_CN FM_보장조정_협약변경-재조달순-rv1" xfId="30546"/>
    <cellStyle name="식_용인 LRT_0619_112504_CN FM_보장조정_협약변경-재조달순-rv1 2" xfId="30547"/>
    <cellStyle name="식_용인 LRT_0619_112504_CN FM_보장조정_협약변경-재조달순-rv1 2_분양(100%)" xfId="40134"/>
    <cellStyle name="식_용인 LRT_0619_112504_CN FM_보장조정_협약변경-재조달순-rv1_분양(100%)" xfId="40133"/>
    <cellStyle name="식_용인 LRT_0619_CN Financial Model-090704-4%" xfId="30548"/>
    <cellStyle name="식_용인 LRT_0619_CN Financial Model-090704-4% 2" xfId="30549"/>
    <cellStyle name="식_용인 LRT_0619_CN Financial Model-090704-4% 2_분양(100%)" xfId="40136"/>
    <cellStyle name="식_용인 LRT_0619_CN Financial Model-090704-4%_분양(100%)" xfId="40135"/>
    <cellStyle name="식_용인 LRT_0619_CN Financial Model-102004" xfId="30550"/>
    <cellStyle name="식_용인 LRT_0619_CN Financial Model-102004 2" xfId="30551"/>
    <cellStyle name="식_용인 LRT_0619_CN Financial Model-102004 2_분양(100%)" xfId="40138"/>
    <cellStyle name="식_용인 LRT_0619_CN Financial Model-102004_분양(100%)" xfId="40137"/>
    <cellStyle name="식_용인 LRT_0619_분양(100%)" xfId="40131"/>
    <cellStyle name="식_용인 LRT_0619-2" xfId="30552"/>
    <cellStyle name="식_용인 LRT_0619-2 2" xfId="30553"/>
    <cellStyle name="식_용인 LRT_0619-2 2_분양(100%)" xfId="40140"/>
    <cellStyle name="식_용인 LRT_0619-2_112504_CN FM_보장조정_협약변경-재조달순-rv1" xfId="30554"/>
    <cellStyle name="식_용인 LRT_0619-2_112504_CN FM_보장조정_협약변경-재조달순-rv1 2" xfId="30555"/>
    <cellStyle name="식_용인 LRT_0619-2_112504_CN FM_보장조정_협약변경-재조달순-rv1 2_분양(100%)" xfId="40142"/>
    <cellStyle name="식_용인 LRT_0619-2_112504_CN FM_보장조정_협약변경-재조달순-rv1_분양(100%)" xfId="40141"/>
    <cellStyle name="식_용인 LRT_0619-2_CN Financial Model-090704-4%" xfId="30556"/>
    <cellStyle name="식_용인 LRT_0619-2_CN Financial Model-090704-4% 2" xfId="30557"/>
    <cellStyle name="식_용인 LRT_0619-2_CN Financial Model-090704-4% 2_분양(100%)" xfId="40144"/>
    <cellStyle name="식_용인 LRT_0619-2_CN Financial Model-090704-4%_분양(100%)" xfId="40143"/>
    <cellStyle name="식_용인 LRT_0619-2_CN Financial Model-102004" xfId="30558"/>
    <cellStyle name="식_용인 LRT_0619-2_CN Financial Model-102004 2" xfId="30559"/>
    <cellStyle name="식_용인 LRT_0619-2_CN Financial Model-102004 2_분양(100%)" xfId="40146"/>
    <cellStyle name="식_용인 LRT_0619-2_CN Financial Model-102004_분양(100%)" xfId="40145"/>
    <cellStyle name="식_용인 LRT_0619-2_분양(100%)" xfId="40139"/>
    <cellStyle name="식_용인 LRT_0620" xfId="30560"/>
    <cellStyle name="식_용인 LRT_0620 2" xfId="30561"/>
    <cellStyle name="식_용인 LRT_0620 2_분양(100%)" xfId="40148"/>
    <cellStyle name="식_용인 LRT_0620_112504_CN FM_보장조정_협약변경-재조달순-rv1" xfId="30562"/>
    <cellStyle name="식_용인 LRT_0620_112504_CN FM_보장조정_협약변경-재조달순-rv1 2" xfId="30563"/>
    <cellStyle name="식_용인 LRT_0620_112504_CN FM_보장조정_협약변경-재조달순-rv1 2_분양(100%)" xfId="40150"/>
    <cellStyle name="식_용인 LRT_0620_112504_CN FM_보장조정_협약변경-재조달순-rv1_분양(100%)" xfId="40149"/>
    <cellStyle name="식_용인 LRT_0620_CN Financial Model-090704-4%" xfId="30564"/>
    <cellStyle name="식_용인 LRT_0620_CN Financial Model-090704-4% 2" xfId="30565"/>
    <cellStyle name="식_용인 LRT_0620_CN Financial Model-090704-4% 2_분양(100%)" xfId="40152"/>
    <cellStyle name="식_용인 LRT_0620_CN Financial Model-090704-4%_분양(100%)" xfId="40151"/>
    <cellStyle name="식_용인 LRT_0620_CN Financial Model-102004" xfId="30566"/>
    <cellStyle name="식_용인 LRT_0620_CN Financial Model-102004 2" xfId="30567"/>
    <cellStyle name="식_용인 LRT_0620_CN Financial Model-102004 2_분양(100%)" xfId="40154"/>
    <cellStyle name="식_용인 LRT_0620_CN Financial Model-102004_분양(100%)" xfId="40153"/>
    <cellStyle name="식_용인 LRT_0620_분양(100%)" xfId="40147"/>
    <cellStyle name="식_용인 경량전철 민간투자사업 재무모델" xfId="30568"/>
    <cellStyle name="식_용인 경량전철 민간투자사업 재무모델 2" xfId="30569"/>
    <cellStyle name="식_용인 경량전철 민간투자사업 재무모델 2_분양(100%)" xfId="40156"/>
    <cellStyle name="식_용인 경량전철 민간투자사업 재무모델_112504_CN FM_보장조정_협약변경-재조달순-rv1" xfId="30570"/>
    <cellStyle name="식_용인 경량전철 민간투자사업 재무모델_112504_CN FM_보장조정_협약변경-재조달순-rv1 2" xfId="30571"/>
    <cellStyle name="식_용인 경량전철 민간투자사업 재무모델_112504_CN FM_보장조정_협약변경-재조달순-rv1 2_분양(100%)" xfId="40158"/>
    <cellStyle name="식_용인 경량전철 민간투자사업 재무모델_112504_CN FM_보장조정_협약변경-재조달순-rv1_분양(100%)" xfId="40157"/>
    <cellStyle name="식_용인 경량전철 민간투자사업 재무모델_CN Financial Model-090704-4%" xfId="30572"/>
    <cellStyle name="식_용인 경량전철 민간투자사업 재무모델_CN Financial Model-090704-4% 2" xfId="30573"/>
    <cellStyle name="식_용인 경량전철 민간투자사업 재무모델_CN Financial Model-090704-4% 2_분양(100%)" xfId="40160"/>
    <cellStyle name="식_용인 경량전철 민간투자사업 재무모델_CN Financial Model-090704-4%_분양(100%)" xfId="40159"/>
    <cellStyle name="식_용인 경량전철 민간투자사업 재무모델_CN Financial Model-102004" xfId="30574"/>
    <cellStyle name="식_용인 경량전철 민간투자사업 재무모델_CN Financial Model-102004 2" xfId="30575"/>
    <cellStyle name="식_용인 경량전철 민간투자사업 재무모델_CN Financial Model-102004 2_분양(100%)" xfId="40162"/>
    <cellStyle name="식_용인 경량전철 민간투자사업 재무모델_CN Financial Model-102004_분양(100%)" xfId="40161"/>
    <cellStyle name="식_용인 경량전철 민간투자사업 재무모델_분양(100%)" xfId="40155"/>
    <cellStyle name="식_운영설비비(고기리0320)" xfId="30576"/>
    <cellStyle name="식_운영설비비(고기리0320) 2" xfId="30577"/>
    <cellStyle name="식_운영설비비(고기리0320) 2_분양(100%)" xfId="40164"/>
    <cellStyle name="식_운영설비비(고기리0320)_112504_CN FM_보장조정_협약변경-재조달순-rv1" xfId="30578"/>
    <cellStyle name="식_운영설비비(고기리0320)_112504_CN FM_보장조정_협약변경-재조달순-rv1 2" xfId="30579"/>
    <cellStyle name="식_운영설비비(고기리0320)_112504_CN FM_보장조정_협약변경-재조달순-rv1 2_분양(100%)" xfId="40166"/>
    <cellStyle name="식_운영설비비(고기리0320)_112504_CN FM_보장조정_협약변경-재조달순-rv1_분양(100%)" xfId="40165"/>
    <cellStyle name="식_운영설비비(고기리0320)_CN Financial Model-090704-4%" xfId="30580"/>
    <cellStyle name="식_운영설비비(고기리0320)_CN Financial Model-090704-4% 2" xfId="30581"/>
    <cellStyle name="식_운영설비비(고기리0320)_CN Financial Model-090704-4% 2_분양(100%)" xfId="40168"/>
    <cellStyle name="식_운영설비비(고기리0320)_CN Financial Model-090704-4%_분양(100%)" xfId="40167"/>
    <cellStyle name="식_운영설비비(고기리0320)_CN Financial Model-102004" xfId="30582"/>
    <cellStyle name="식_운영설비비(고기리0320)_CN Financial Model-102004 2" xfId="30583"/>
    <cellStyle name="식_운영설비비(고기리0320)_CN Financial Model-102004 2_분양(100%)" xfId="40170"/>
    <cellStyle name="식_운영설비비(고기리0320)_CN Financial Model-102004_분양(100%)" xfId="40169"/>
    <cellStyle name="식_운영설비비(고기리0320)_분양(100%)" xfId="40163"/>
    <cellStyle name="식_인플레이션&amp;상대가치법&amp;WACC서칭_국가별 구분" xfId="30584"/>
    <cellStyle name="식_인플레이션&amp;상대가치법&amp;WACC서칭_국가별 구분_분양(100%)" xfId="40171"/>
    <cellStyle name="식_자금수지차 비교('06.10.18)" xfId="30585"/>
    <cellStyle name="식_자금수지차 비교('06.10.18) 2" xfId="30586"/>
    <cellStyle name="식_자금수지차 비교('06.10.18) 2_분양(100%)" xfId="40173"/>
    <cellStyle name="식_자금수지차 비교('06.10.18)_분양(100%)" xfId="40172"/>
    <cellStyle name="식_재무모델_김천하수관거_0221" xfId="299"/>
    <cellStyle name="식_재무모델_김천하수관거_0222" xfId="300"/>
    <cellStyle name="식_재무모델_김천하수관거_0224" xfId="301"/>
    <cellStyle name="식_재무모델_김천하수관거_부속작업중" xfId="302"/>
    <cellStyle name="식_재무모델_인천신현고외" xfId="303"/>
    <cellStyle name="식_재무모델_인천신현고외_재무모델_김천하수관거_0221" xfId="304"/>
    <cellStyle name="식_재무모델_인천신현고외_재무모델_김천하수관거_0222" xfId="305"/>
    <cellStyle name="식_재무모델_인천신현고외_재무모델_김천하수관거_0224" xfId="306"/>
    <cellStyle name="식_재무모델_인천신현고외_재무모델_김천하수관거_부속작업중" xfId="307"/>
    <cellStyle name="식_천안논산 Valuation_0426" xfId="30587"/>
    <cellStyle name="식_천안논산 Valuation_0426 2" xfId="30588"/>
    <cellStyle name="식_천안논산 Valuation_0426 2_분양(100%)" xfId="40175"/>
    <cellStyle name="식_천안논산 Valuation_0426_112504_CN FM_보장조정_협약변경-재조달순-rv1" xfId="30589"/>
    <cellStyle name="식_천안논산 Valuation_0426_112504_CN FM_보장조정_협약변경-재조달순-rv1 2" xfId="30590"/>
    <cellStyle name="식_천안논산 Valuation_0426_112504_CN FM_보장조정_협약변경-재조달순-rv1 2_분양(100%)" xfId="40177"/>
    <cellStyle name="식_천안논산 Valuation_0426_112504_CN FM_보장조정_협약변경-재조달순-rv1_분양(100%)" xfId="40176"/>
    <cellStyle name="식_천안논산 Valuation_0426_CN Financial Model-090704-4%" xfId="30591"/>
    <cellStyle name="식_천안논산 Valuation_0426_CN Financial Model-090704-4% 2" xfId="30592"/>
    <cellStyle name="식_천안논산 Valuation_0426_CN Financial Model-090704-4% 2_분양(100%)" xfId="40179"/>
    <cellStyle name="식_천안논산 Valuation_0426_CN Financial Model-090704-4%_분양(100%)" xfId="40178"/>
    <cellStyle name="식_천안논산 Valuation_0426_CN Financial Model-102004" xfId="30593"/>
    <cellStyle name="식_천안논산 Valuation_0426_CN Financial Model-102004 2" xfId="30594"/>
    <cellStyle name="식_천안논산 Valuation_0426_CN Financial Model-102004 2_분양(100%)" xfId="40181"/>
    <cellStyle name="식_천안논산 Valuation_0426_CN Financial Model-102004_분양(100%)" xfId="40180"/>
    <cellStyle name="식_천안논산 Valuation_0426_분양(100%)" xfId="40174"/>
    <cellStyle name="식_천안논산 Valuation_0428" xfId="30595"/>
    <cellStyle name="식_천안논산 Valuation_0428 2" xfId="30596"/>
    <cellStyle name="식_천안논산 Valuation_0428 2_분양(100%)" xfId="40183"/>
    <cellStyle name="식_천안논산 Valuation_0428_112504_CN FM_보장조정_협약변경-재조달순-rv1" xfId="30597"/>
    <cellStyle name="식_천안논산 Valuation_0428_112504_CN FM_보장조정_협약변경-재조달순-rv1 2" xfId="30598"/>
    <cellStyle name="식_천안논산 Valuation_0428_112504_CN FM_보장조정_협약변경-재조달순-rv1 2_분양(100%)" xfId="40185"/>
    <cellStyle name="식_천안논산 Valuation_0428_112504_CN FM_보장조정_협약변경-재조달순-rv1_분양(100%)" xfId="40184"/>
    <cellStyle name="식_천안논산 Valuation_0428_CN Financial Model-090704-4%" xfId="30599"/>
    <cellStyle name="식_천안논산 Valuation_0428_CN Financial Model-090704-4% 2" xfId="30600"/>
    <cellStyle name="식_천안논산 Valuation_0428_CN Financial Model-090704-4% 2_분양(100%)" xfId="40187"/>
    <cellStyle name="식_천안논산 Valuation_0428_CN Financial Model-090704-4%_분양(100%)" xfId="40186"/>
    <cellStyle name="식_천안논산 Valuation_0428_CN Financial Model-102004" xfId="30601"/>
    <cellStyle name="식_천안논산 Valuation_0428_CN Financial Model-102004 2" xfId="30602"/>
    <cellStyle name="식_천안논산 Valuation_0428_CN Financial Model-102004 2_분양(100%)" xfId="40189"/>
    <cellStyle name="식_천안논산 Valuation_0428_CN Financial Model-102004_분양(100%)" xfId="40188"/>
    <cellStyle name="식_천안논산 Valuation_0428_분양(100%)" xfId="40182"/>
    <cellStyle name="식_천안논산 Valuation_0430" xfId="30603"/>
    <cellStyle name="식_천안논산 Valuation_0430 2" xfId="30604"/>
    <cellStyle name="식_천안논산 Valuation_0430 2_분양(100%)" xfId="40191"/>
    <cellStyle name="식_천안논산 Valuation_0430_112504_CN FM_보장조정_협약변경-재조달순-rv1" xfId="30605"/>
    <cellStyle name="식_천안논산 Valuation_0430_112504_CN FM_보장조정_협약변경-재조달순-rv1 2" xfId="30606"/>
    <cellStyle name="식_천안논산 Valuation_0430_112504_CN FM_보장조정_협약변경-재조달순-rv1 2_분양(100%)" xfId="40193"/>
    <cellStyle name="식_천안논산 Valuation_0430_112504_CN FM_보장조정_협약변경-재조달순-rv1_분양(100%)" xfId="40192"/>
    <cellStyle name="식_천안논산 Valuation_0430_CN Financial Model-090704-4%" xfId="30607"/>
    <cellStyle name="식_천안논산 Valuation_0430_CN Financial Model-090704-4% 2" xfId="30608"/>
    <cellStyle name="식_천안논산 Valuation_0430_CN Financial Model-090704-4% 2_분양(100%)" xfId="40195"/>
    <cellStyle name="식_천안논산 Valuation_0430_CN Financial Model-090704-4%_분양(100%)" xfId="40194"/>
    <cellStyle name="식_천안논산 Valuation_0430_CN Financial Model-102004" xfId="30609"/>
    <cellStyle name="식_천안논산 Valuation_0430_CN Financial Model-102004 2" xfId="30610"/>
    <cellStyle name="식_천안논산 Valuation_0430_CN Financial Model-102004 2_분양(100%)" xfId="40197"/>
    <cellStyle name="식_천안논산 Valuation_0430_CN Financial Model-102004_분양(100%)" xfId="40196"/>
    <cellStyle name="식_천안논산 Valuation_0430_분양(100%)" xfId="40190"/>
    <cellStyle name="식_천안논산 Valuation_0502" xfId="30611"/>
    <cellStyle name="식_천안논산 Valuation_0502 2" xfId="30612"/>
    <cellStyle name="식_천안논산 Valuation_0502 2_분양(100%)" xfId="40199"/>
    <cellStyle name="식_천안논산 Valuation_0502_112504_CN FM_보장조정_협약변경-재조달순-rv1" xfId="30613"/>
    <cellStyle name="식_천안논산 Valuation_0502_112504_CN FM_보장조정_협약변경-재조달순-rv1 2" xfId="30614"/>
    <cellStyle name="식_천안논산 Valuation_0502_112504_CN FM_보장조정_협약변경-재조달순-rv1 2_분양(100%)" xfId="40201"/>
    <cellStyle name="식_천안논산 Valuation_0502_112504_CN FM_보장조정_협약변경-재조달순-rv1_분양(100%)" xfId="40200"/>
    <cellStyle name="식_천안논산 Valuation_0502_CN Financial Model-090704-4%" xfId="30615"/>
    <cellStyle name="식_천안논산 Valuation_0502_CN Financial Model-090704-4% 2" xfId="30616"/>
    <cellStyle name="식_천안논산 Valuation_0502_CN Financial Model-090704-4% 2_분양(100%)" xfId="40203"/>
    <cellStyle name="식_천안논산 Valuation_0502_CN Financial Model-090704-4%_분양(100%)" xfId="40202"/>
    <cellStyle name="식_천안논산 Valuation_0502_CN Financial Model-102004" xfId="30617"/>
    <cellStyle name="식_천안논산 Valuation_0502_CN Financial Model-102004 2" xfId="30618"/>
    <cellStyle name="식_천안논산 Valuation_0502_CN Financial Model-102004 2_분양(100%)" xfId="40205"/>
    <cellStyle name="식_천안논산 Valuation_0502_CN Financial Model-102004_분양(100%)" xfId="40204"/>
    <cellStyle name="식_천안논산 Valuation_0502_분양(100%)" xfId="40198"/>
    <cellStyle name="식_청주 부대비용(분기포함-1 운영기간중)" xfId="30619"/>
    <cellStyle name="식_청주 부대비용(분기포함-1 운영기간중) 2" xfId="30620"/>
    <cellStyle name="식_청주 부대비용(분기포함-1 운영기간중) 2_분양(100%)" xfId="40207"/>
    <cellStyle name="식_청주 부대비용(분기포함-1 운영기간중)_분양(100%)" xfId="40206"/>
    <cellStyle name="식_청주 부대비용(분기포함-1 운영기간중)_장흥 운영기간중 비용-rev" xfId="30621"/>
    <cellStyle name="식_청주 부대비용(분기포함-1 운영기간중)_장흥 운영기간중 비용-rev 2" xfId="30622"/>
    <cellStyle name="식_청주 부대비용(분기포함-1 운영기간중)_장흥 운영기간중 비용-rev 2_분양(100%)" xfId="40209"/>
    <cellStyle name="식_청주 부대비용(분기포함-1 운영기간중)_장흥 운영기간중 비용-rev_김천 운영기간중 비용2007.2.18(홍_수정)" xfId="30623"/>
    <cellStyle name="식_청주 부대비용(분기포함-1 운영기간중)_장흥 운영기간중 비용-rev_김천 운영기간중 비용2007.2.18(홍_수정) 2" xfId="30624"/>
    <cellStyle name="식_청주 부대비용(분기포함-1 운영기간중)_장흥 운영기간중 비용-rev_김천 운영기간중 비용2007.2.18(홍_수정) 2_분양(100%)" xfId="40211"/>
    <cellStyle name="식_청주 부대비용(분기포함-1 운영기간중)_장흥 운영기간중 비용-rev_김천 운영기간중 비용2007.2.18(홍_수정)_분양(100%)" xfId="40210"/>
    <cellStyle name="식_청주 부대비용(분기포함-1 운영기간중)_장흥 운영기간중 비용-rev_분양(100%)" xfId="40208"/>
    <cellStyle name="식_최종내부보고" xfId="30625"/>
    <cellStyle name="식_최종내부보고 2" xfId="30626"/>
    <cellStyle name="식_최종내부보고 2_분양(100%)" xfId="40213"/>
    <cellStyle name="식_최종내부보고_112504_CN FM_보장조정_협약변경-재조달순-rv1" xfId="30627"/>
    <cellStyle name="식_최종내부보고_112504_CN FM_보장조정_협약변경-재조달순-rv1 2" xfId="30628"/>
    <cellStyle name="식_최종내부보고_112504_CN FM_보장조정_협약변경-재조달순-rv1 2_분양(100%)" xfId="40215"/>
    <cellStyle name="식_최종내부보고_112504_CN FM_보장조정_협약변경-재조달순-rv1_분양(100%)" xfId="40214"/>
    <cellStyle name="식_최종내부보고_CN Financial Model-090704-4%" xfId="30629"/>
    <cellStyle name="식_최종내부보고_CN Financial Model-090704-4% 2" xfId="30630"/>
    <cellStyle name="식_최종내부보고_CN Financial Model-090704-4% 2_분양(100%)" xfId="40217"/>
    <cellStyle name="식_최종내부보고_CN Financial Model-090704-4%_분양(100%)" xfId="40216"/>
    <cellStyle name="식_최종내부보고_CN Financial Model-102004" xfId="30631"/>
    <cellStyle name="식_최종내부보고_CN Financial Model-102004 2" xfId="30632"/>
    <cellStyle name="식_최종내부보고_CN Financial Model-102004 2_분양(100%)" xfId="40219"/>
    <cellStyle name="식_최종내부보고_CN Financial Model-102004_분양(100%)" xfId="40218"/>
    <cellStyle name="식_최종내부보고_분양(100%)" xfId="40212"/>
    <cellStyle name="식_평택STP_01_09_27" xfId="308"/>
    <cellStyle name="식_평택STP_01_09_27 2" xfId="30633"/>
    <cellStyle name="식_평택STP_01_09_27 2_분양(100%)" xfId="40221"/>
    <cellStyle name="식_평택STP_01_09_27_112504_CN FM_보장조정_협약변경-재조달순-rv1" xfId="30634"/>
    <cellStyle name="식_평택STP_01_09_27_112504_CN FM_보장조정_협약변경-재조달순-rv1 2" xfId="30635"/>
    <cellStyle name="식_평택STP_01_09_27_112504_CN FM_보장조정_협약변경-재조달순-rv1 2_분양(100%)" xfId="40223"/>
    <cellStyle name="식_평택STP_01_09_27_112504_CN FM_보장조정_협약변경-재조달순-rv1_분양(100%)" xfId="40222"/>
    <cellStyle name="식_평택STP_01_09_27_CN Financial Model-090704-4%" xfId="30636"/>
    <cellStyle name="식_평택STP_01_09_27_CN Financial Model-090704-4% 2" xfId="30637"/>
    <cellStyle name="식_평택STP_01_09_27_CN Financial Model-090704-4% 2_분양(100%)" xfId="40225"/>
    <cellStyle name="식_평택STP_01_09_27_CN Financial Model-090704-4%_분양(100%)" xfId="40224"/>
    <cellStyle name="식_평택STP_01_09_27_CN Financial Model-102004" xfId="30638"/>
    <cellStyle name="식_평택STP_01_09_27_CN Financial Model-102004 2" xfId="30639"/>
    <cellStyle name="식_평택STP_01_09_27_CN Financial Model-102004 2_분양(100%)" xfId="40227"/>
    <cellStyle name="식_평택STP_01_09_27_CN Financial Model-102004_분양(100%)" xfId="40226"/>
    <cellStyle name="식_평택STP_01_09_27_FinancialModel1108" xfId="309"/>
    <cellStyle name="식_평택STP_01_09_27_FinancialModel1108 2" xfId="30640"/>
    <cellStyle name="식_평택STP_01_09_27_FinancialModel1108 2_분양(100%)" xfId="40229"/>
    <cellStyle name="식_평택STP_01_09_27_FinancialModel1108_(문원고기만)MODEL0318" xfId="30641"/>
    <cellStyle name="식_평택STP_01_09_27_FinancialModel1108_(문원고기만)MODEL0318 2" xfId="30642"/>
    <cellStyle name="식_평택STP_01_09_27_FinancialModel1108_(문원고기만)MODEL0318 2_분양(100%)" xfId="40231"/>
    <cellStyle name="식_평택STP_01_09_27_FinancialModel1108_(문원고기만)MODEL0318_112504_CN FM_보장조정_협약변경-재조달순-rv1" xfId="30643"/>
    <cellStyle name="식_평택STP_01_09_27_FinancialModel1108_(문원고기만)MODEL0318_112504_CN FM_보장조정_협약변경-재조달순-rv1 2" xfId="30644"/>
    <cellStyle name="식_평택STP_01_09_27_FinancialModel1108_(문원고기만)MODEL0318_112504_CN FM_보장조정_협약변경-재조달순-rv1 2_분양(100%)" xfId="40233"/>
    <cellStyle name="식_평택STP_01_09_27_FinancialModel1108_(문원고기만)MODEL0318_112504_CN FM_보장조정_협약변경-재조달순-rv1_분양(100%)" xfId="40232"/>
    <cellStyle name="식_평택STP_01_09_27_FinancialModel1108_(문원고기만)MODEL0318_CN Financial Model-090704-4%" xfId="30645"/>
    <cellStyle name="식_평택STP_01_09_27_FinancialModel1108_(문원고기만)MODEL0318_CN Financial Model-090704-4% 2" xfId="30646"/>
    <cellStyle name="식_평택STP_01_09_27_FinancialModel1108_(문원고기만)MODEL0318_CN Financial Model-090704-4% 2_분양(100%)" xfId="40235"/>
    <cellStyle name="식_평택STP_01_09_27_FinancialModel1108_(문원고기만)MODEL0318_CN Financial Model-090704-4%_분양(100%)" xfId="40234"/>
    <cellStyle name="식_평택STP_01_09_27_FinancialModel1108_(문원고기만)MODEL0318_CN Financial Model-102004" xfId="30647"/>
    <cellStyle name="식_평택STP_01_09_27_FinancialModel1108_(문원고기만)MODEL0318_CN Financial Model-102004 2" xfId="30648"/>
    <cellStyle name="식_평택STP_01_09_27_FinancialModel1108_(문원고기만)MODEL0318_CN Financial Model-102004 2_분양(100%)" xfId="40237"/>
    <cellStyle name="식_평택STP_01_09_27_FinancialModel1108_(문원고기만)MODEL0318_CN Financial Model-102004_분양(100%)" xfId="40236"/>
    <cellStyle name="식_평택STP_01_09_27_FinancialModel1108_(문원고기만)MODEL0318_분양(100%)" xfId="40230"/>
    <cellStyle name="식_평택STP_01_09_27_FinancialModel1108_(제출용)재무모델_(가칭)영신개발관리(주)" xfId="310"/>
    <cellStyle name="식_평택STP_01_09_27_FinancialModel1108_(제출용)재무모델_(가칭)영신개발관리(주)_재무모델_김천하수관거_0221" xfId="311"/>
    <cellStyle name="식_평택STP_01_09_27_FinancialModel1108_(제출용)재무모델_(가칭)영신개발관리(주)_재무모델_김천하수관거_0222" xfId="312"/>
    <cellStyle name="식_평택STP_01_09_27_FinancialModel1108_(제출용)재무모델_(가칭)영신개발관리(주)_재무모델_김천하수관거_0224" xfId="313"/>
    <cellStyle name="식_평택STP_01_09_27_FinancialModel1108_(제출용)재무모델_(가칭)영신개발관리(주)_재무모델_김천하수관거_부속작업중" xfId="314"/>
    <cellStyle name="식_평택STP_01_09_27_FinancialModel1108_CN Financial Model v11" xfId="30649"/>
    <cellStyle name="식_평택STP_01_09_27_FinancialModel1108_CN Financial Model v11 2" xfId="30650"/>
    <cellStyle name="식_평택STP_01_09_27_FinancialModel1108_CN Financial Model v11 2_분양(100%)" xfId="40239"/>
    <cellStyle name="식_평택STP_01_09_27_FinancialModel1108_CN Financial Model v11_112504_CN FM_보장조정_협약변경-재조달순-rv1" xfId="30651"/>
    <cellStyle name="식_평택STP_01_09_27_FinancialModel1108_CN Financial Model v11_112504_CN FM_보장조정_협약변경-재조달순-rv1 2" xfId="30652"/>
    <cellStyle name="식_평택STP_01_09_27_FinancialModel1108_CN Financial Model v11_112504_CN FM_보장조정_협약변경-재조달순-rv1 2_분양(100%)" xfId="40241"/>
    <cellStyle name="식_평택STP_01_09_27_FinancialModel1108_CN Financial Model v11_112504_CN FM_보장조정_협약변경-재조달순-rv1_분양(100%)" xfId="40240"/>
    <cellStyle name="식_평택STP_01_09_27_FinancialModel1108_CN Financial Model v11_CN Financial Model-090704-4%" xfId="30653"/>
    <cellStyle name="식_평택STP_01_09_27_FinancialModel1108_CN Financial Model v11_CN Financial Model-090704-4% 2" xfId="30654"/>
    <cellStyle name="식_평택STP_01_09_27_FinancialModel1108_CN Financial Model v11_CN Financial Model-090704-4% 2_분양(100%)" xfId="40243"/>
    <cellStyle name="식_평택STP_01_09_27_FinancialModel1108_CN Financial Model v11_CN Financial Model-090704-4%_분양(100%)" xfId="40242"/>
    <cellStyle name="식_평택STP_01_09_27_FinancialModel1108_CN Financial Model v11_CN Financial Model-102004" xfId="30655"/>
    <cellStyle name="식_평택STP_01_09_27_FinancialModel1108_CN Financial Model v11_CN Financial Model-102004 2" xfId="30656"/>
    <cellStyle name="식_평택STP_01_09_27_FinancialModel1108_CN Financial Model v11_CN Financial Model-102004 2_분양(100%)" xfId="40245"/>
    <cellStyle name="식_평택STP_01_09_27_FinancialModel1108_CN Financial Model v11_CN Financial Model-102004_분양(100%)" xfId="40244"/>
    <cellStyle name="식_평택STP_01_09_27_FinancialModel1108_CN Financial Model v11_분양(100%)" xfId="40238"/>
    <cellStyle name="식_평택STP_01_09_27_FinancialModel1108_CN Financial Model-정부제출-062504-기준모델" xfId="30657"/>
    <cellStyle name="식_평택STP_01_09_27_FinancialModel1108_CN Financial Model-정부제출-062504-기준모델 2" xfId="30658"/>
    <cellStyle name="식_평택STP_01_09_27_FinancialModel1108_CN Financial Model-정부제출-062504-기준모델 2_분양(100%)" xfId="40247"/>
    <cellStyle name="식_평택STP_01_09_27_FinancialModel1108_CN Financial Model-정부제출-062504-기준모델_112504_CN FM_보장조정_협약변경-재조달순-rv1" xfId="30659"/>
    <cellStyle name="식_평택STP_01_09_27_FinancialModel1108_CN Financial Model-정부제출-062504-기준모델_112504_CN FM_보장조정_협약변경-재조달순-rv1 2" xfId="30660"/>
    <cellStyle name="식_평택STP_01_09_27_FinancialModel1108_CN Financial Model-정부제출-062504-기준모델_112504_CN FM_보장조정_협약변경-재조달순-rv1 2_분양(100%)" xfId="40249"/>
    <cellStyle name="식_평택STP_01_09_27_FinancialModel1108_CN Financial Model-정부제출-062504-기준모델_112504_CN FM_보장조정_협약변경-재조달순-rv1_분양(100%)" xfId="40248"/>
    <cellStyle name="식_평택STP_01_09_27_FinancialModel1108_CN Financial Model-정부제출-062504-기준모델_CN Financial Model-090704-4%" xfId="30661"/>
    <cellStyle name="식_평택STP_01_09_27_FinancialModel1108_CN Financial Model-정부제출-062504-기준모델_CN Financial Model-090704-4% 2" xfId="30662"/>
    <cellStyle name="식_평택STP_01_09_27_FinancialModel1108_CN Financial Model-정부제출-062504-기준모델_CN Financial Model-090704-4% 2_분양(100%)" xfId="40251"/>
    <cellStyle name="식_평택STP_01_09_27_FinancialModel1108_CN Financial Model-정부제출-062504-기준모델_CN Financial Model-090704-4%_분양(100%)" xfId="40250"/>
    <cellStyle name="식_평택STP_01_09_27_FinancialModel1108_CN Financial Model-정부제출-062504-기준모델_CN Financial Model-102004" xfId="30663"/>
    <cellStyle name="식_평택STP_01_09_27_FinancialModel1108_CN Financial Model-정부제출-062504-기준모델_CN Financial Model-102004 2" xfId="30664"/>
    <cellStyle name="식_평택STP_01_09_27_FinancialModel1108_CN Financial Model-정부제출-062504-기준모델_CN Financial Model-102004 2_분양(100%)" xfId="40253"/>
    <cellStyle name="식_평택STP_01_09_27_FinancialModel1108_CN Financial Model-정부제출-062504-기준모델_CN Financial Model-102004_분양(100%)" xfId="40252"/>
    <cellStyle name="식_평택STP_01_09_27_FinancialModel1108_CN Financial Model-정부제출-062504-기준모델_분양(100%)" xfId="40246"/>
    <cellStyle name="식_평택STP_01_09_27_FinancialModel1108_CN Pjt Valuation_0520" xfId="30665"/>
    <cellStyle name="식_평택STP_01_09_27_FinancialModel1108_CN Pjt Valuation_0520 2" xfId="30666"/>
    <cellStyle name="식_평택STP_01_09_27_FinancialModel1108_CN Pjt Valuation_0520 2_분양(100%)" xfId="40255"/>
    <cellStyle name="식_평택STP_01_09_27_FinancialModel1108_CN Pjt Valuation_0520_112504_CN FM_보장조정_협약변경-재조달순-rv1" xfId="30667"/>
    <cellStyle name="식_평택STP_01_09_27_FinancialModel1108_CN Pjt Valuation_0520_112504_CN FM_보장조정_협약변경-재조달순-rv1 2" xfId="30668"/>
    <cellStyle name="식_평택STP_01_09_27_FinancialModel1108_CN Pjt Valuation_0520_112504_CN FM_보장조정_협약변경-재조달순-rv1 2_분양(100%)" xfId="40257"/>
    <cellStyle name="식_평택STP_01_09_27_FinancialModel1108_CN Pjt Valuation_0520_112504_CN FM_보장조정_협약변경-재조달순-rv1_분양(100%)" xfId="40256"/>
    <cellStyle name="식_평택STP_01_09_27_FinancialModel1108_CN Pjt Valuation_0520_CN Financial Model-090704-4%" xfId="30669"/>
    <cellStyle name="식_평택STP_01_09_27_FinancialModel1108_CN Pjt Valuation_0520_CN Financial Model-090704-4% 2" xfId="30670"/>
    <cellStyle name="식_평택STP_01_09_27_FinancialModel1108_CN Pjt Valuation_0520_CN Financial Model-090704-4% 2_분양(100%)" xfId="40259"/>
    <cellStyle name="식_평택STP_01_09_27_FinancialModel1108_CN Pjt Valuation_0520_CN Financial Model-090704-4%_분양(100%)" xfId="40258"/>
    <cellStyle name="식_평택STP_01_09_27_FinancialModel1108_CN Pjt Valuation_0520_CN Financial Model-102004" xfId="30671"/>
    <cellStyle name="식_평택STP_01_09_27_FinancialModel1108_CN Pjt Valuation_0520_CN Financial Model-102004 2" xfId="30672"/>
    <cellStyle name="식_평택STP_01_09_27_FinancialModel1108_CN Pjt Valuation_0520_CN Financial Model-102004 2_분양(100%)" xfId="40261"/>
    <cellStyle name="식_평택STP_01_09_27_FinancialModel1108_CN Pjt Valuation_0520_CN Financial Model-102004_분양(100%)" xfId="40260"/>
    <cellStyle name="식_평택STP_01_09_27_FinancialModel1108_CN Pjt Valuation_0520_분양(100%)" xfId="40254"/>
    <cellStyle name="식_평택STP_01_09_27_FinancialModel1108_C-PROJECT FINANCIAL MODEL_0704" xfId="30673"/>
    <cellStyle name="식_평택STP_01_09_27_FinancialModel1108_C-PROJECT FINANCIAL MODEL_0704 2" xfId="30674"/>
    <cellStyle name="식_평택STP_01_09_27_FinancialModel1108_C-PROJECT FINANCIAL MODEL_0704 2_분양(100%)" xfId="40263"/>
    <cellStyle name="식_평택STP_01_09_27_FinancialModel1108_C-PROJECT FINANCIAL MODEL_0704_112504_CN FM_보장조정_협약변경-재조달순-rv1" xfId="30675"/>
    <cellStyle name="식_평택STP_01_09_27_FinancialModel1108_C-PROJECT FINANCIAL MODEL_0704_112504_CN FM_보장조정_협약변경-재조달순-rv1 2" xfId="30676"/>
    <cellStyle name="식_평택STP_01_09_27_FinancialModel1108_C-PROJECT FINANCIAL MODEL_0704_112504_CN FM_보장조정_협약변경-재조달순-rv1 2_분양(100%)" xfId="40265"/>
    <cellStyle name="식_평택STP_01_09_27_FinancialModel1108_C-PROJECT FINANCIAL MODEL_0704_112504_CN FM_보장조정_협약변경-재조달순-rv1_분양(100%)" xfId="40264"/>
    <cellStyle name="식_평택STP_01_09_27_FinancialModel1108_C-PROJECT FINANCIAL MODEL_0704_CN Financial Model-090704-4%" xfId="30677"/>
    <cellStyle name="식_평택STP_01_09_27_FinancialModel1108_C-PROJECT FINANCIAL MODEL_0704_CN Financial Model-090704-4% 2" xfId="30678"/>
    <cellStyle name="식_평택STP_01_09_27_FinancialModel1108_C-PROJECT FINANCIAL MODEL_0704_CN Financial Model-090704-4% 2_분양(100%)" xfId="40267"/>
    <cellStyle name="식_평택STP_01_09_27_FinancialModel1108_C-PROJECT FINANCIAL MODEL_0704_CN Financial Model-090704-4%_분양(100%)" xfId="40266"/>
    <cellStyle name="식_평택STP_01_09_27_FinancialModel1108_C-PROJECT FINANCIAL MODEL_0704_CN Financial Model-102004" xfId="30679"/>
    <cellStyle name="식_평택STP_01_09_27_FinancialModel1108_C-PROJECT FINANCIAL MODEL_0704_CN Financial Model-102004 2" xfId="30680"/>
    <cellStyle name="식_평택STP_01_09_27_FinancialModel1108_C-PROJECT FINANCIAL MODEL_0704_CN Financial Model-102004 2_분양(100%)" xfId="40269"/>
    <cellStyle name="식_평택STP_01_09_27_FinancialModel1108_C-PROJECT FINANCIAL MODEL_0704_CN Financial Model-102004_분양(100%)" xfId="40268"/>
    <cellStyle name="식_평택STP_01_09_27_FinancialModel1108_C-PROJECT FINANCIAL MODEL_0704_분양(100%)" xfId="40262"/>
    <cellStyle name="식_평택STP_01_09_27_FinancialModel1108_C-PROJECT_0722_pm2" xfId="30681"/>
    <cellStyle name="식_평택STP_01_09_27_FinancialModel1108_C-PROJECT_0722_pm2 2" xfId="30682"/>
    <cellStyle name="식_평택STP_01_09_27_FinancialModel1108_C-PROJECT_0722_pm2 2_분양(100%)" xfId="40271"/>
    <cellStyle name="식_평택STP_01_09_27_FinancialModel1108_C-PROJECT_0722_pm2_112504_CN FM_보장조정_협약변경-재조달순-rv1" xfId="30683"/>
    <cellStyle name="식_평택STP_01_09_27_FinancialModel1108_C-PROJECT_0722_pm2_112504_CN FM_보장조정_협약변경-재조달순-rv1 2" xfId="30684"/>
    <cellStyle name="식_평택STP_01_09_27_FinancialModel1108_C-PROJECT_0722_pm2_112504_CN FM_보장조정_협약변경-재조달순-rv1 2_분양(100%)" xfId="40273"/>
    <cellStyle name="식_평택STP_01_09_27_FinancialModel1108_C-PROJECT_0722_pm2_112504_CN FM_보장조정_협약변경-재조달순-rv1_분양(100%)" xfId="40272"/>
    <cellStyle name="식_평택STP_01_09_27_FinancialModel1108_C-PROJECT_0722_pm2_CN Financial Model-090704-4%" xfId="30685"/>
    <cellStyle name="식_평택STP_01_09_27_FinancialModel1108_C-PROJECT_0722_pm2_CN Financial Model-090704-4% 2" xfId="30686"/>
    <cellStyle name="식_평택STP_01_09_27_FinancialModel1108_C-PROJECT_0722_pm2_CN Financial Model-090704-4% 2_분양(100%)" xfId="40275"/>
    <cellStyle name="식_평택STP_01_09_27_FinancialModel1108_C-PROJECT_0722_pm2_CN Financial Model-090704-4%_분양(100%)" xfId="40274"/>
    <cellStyle name="식_평택STP_01_09_27_FinancialModel1108_C-PROJECT_0722_pm2_CN Financial Model-102004" xfId="30687"/>
    <cellStyle name="식_평택STP_01_09_27_FinancialModel1108_C-PROJECT_0722_pm2_CN Financial Model-102004 2" xfId="30688"/>
    <cellStyle name="식_평택STP_01_09_27_FinancialModel1108_C-PROJECT_0722_pm2_CN Financial Model-102004 2_분양(100%)" xfId="40277"/>
    <cellStyle name="식_평택STP_01_09_27_FinancialModel1108_C-PROJECT_0722_pm2_CN Financial Model-102004_분양(100%)" xfId="40276"/>
    <cellStyle name="식_평택STP_01_09_27_FinancialModel1108_C-PROJECT_0722_pm2_분양(100%)" xfId="40270"/>
    <cellStyle name="식_평택STP_01_09_27_FinancialModel1108_C-PROJECT_0801" xfId="30689"/>
    <cellStyle name="식_평택STP_01_09_27_FinancialModel1108_C-PROJECT_0801 2" xfId="30690"/>
    <cellStyle name="식_평택STP_01_09_27_FinancialModel1108_C-PROJECT_0801 2_분양(100%)" xfId="40279"/>
    <cellStyle name="식_평택STP_01_09_27_FinancialModel1108_C-PROJECT_0801_112504_CN FM_보장조정_협약변경-재조달순-rv1" xfId="30691"/>
    <cellStyle name="식_평택STP_01_09_27_FinancialModel1108_C-PROJECT_0801_112504_CN FM_보장조정_협약변경-재조달순-rv1 2" xfId="30692"/>
    <cellStyle name="식_평택STP_01_09_27_FinancialModel1108_C-PROJECT_0801_112504_CN FM_보장조정_협약변경-재조달순-rv1 2_분양(100%)" xfId="40281"/>
    <cellStyle name="식_평택STP_01_09_27_FinancialModel1108_C-PROJECT_0801_112504_CN FM_보장조정_협약변경-재조달순-rv1_분양(100%)" xfId="40280"/>
    <cellStyle name="식_평택STP_01_09_27_FinancialModel1108_C-PROJECT_0801_CN Financial Model-090704-4%" xfId="30693"/>
    <cellStyle name="식_평택STP_01_09_27_FinancialModel1108_C-PROJECT_0801_CN Financial Model-090704-4% 2" xfId="30694"/>
    <cellStyle name="식_평택STP_01_09_27_FinancialModel1108_C-PROJECT_0801_CN Financial Model-090704-4% 2_분양(100%)" xfId="40283"/>
    <cellStyle name="식_평택STP_01_09_27_FinancialModel1108_C-PROJECT_0801_CN Financial Model-090704-4%_분양(100%)" xfId="40282"/>
    <cellStyle name="식_평택STP_01_09_27_FinancialModel1108_C-PROJECT_0801_CN Financial Model-102004" xfId="30695"/>
    <cellStyle name="식_평택STP_01_09_27_FinancialModel1108_C-PROJECT_0801_CN Financial Model-102004 2" xfId="30696"/>
    <cellStyle name="식_평택STP_01_09_27_FinancialModel1108_C-PROJECT_0801_CN Financial Model-102004 2_분양(100%)" xfId="40285"/>
    <cellStyle name="식_평택STP_01_09_27_FinancialModel1108_C-PROJECT_0801_CN Financial Model-102004_분양(100%)" xfId="40284"/>
    <cellStyle name="식_평택STP_01_09_27_FinancialModel1108_C-PROJECT_0801_분양(100%)" xfId="40278"/>
    <cellStyle name="식_평택STP_01_09_27_FinancialModel1108_Financial model_(가칭)경남e-스쿨주식회사" xfId="315"/>
    <cellStyle name="식_평택STP_01_09_27_FinancialModel1108_Financial model_(가칭)경남e-스쿨주식회사_재무모델_김천하수관거_0221" xfId="316"/>
    <cellStyle name="식_평택STP_01_09_27_FinancialModel1108_Financial model_(가칭)경남e-스쿨주식회사_재무모델_김천하수관거_0222" xfId="317"/>
    <cellStyle name="식_평택STP_01_09_27_FinancialModel1108_Financial model_(가칭)경남e-스쿨주식회사_재무모델_김천하수관거_0224" xfId="318"/>
    <cellStyle name="식_평택STP_01_09_27_FinancialModel1108_Financial model_(가칭)경남e-스쿨주식회사_재무모델_김천하수관거_부속작업중" xfId="319"/>
    <cellStyle name="식_평택STP_01_09_27_FinancialModel1108_Financial model_중리초 외 4개교(백)" xfId="320"/>
    <cellStyle name="식_평택STP_01_09_27_FinancialModel1108_Financial model_중리초 외 4개교(백)_재무모델_김천하수관거_0221" xfId="321"/>
    <cellStyle name="식_평택STP_01_09_27_FinancialModel1108_Financial model_중리초 외 4개교(백)_재무모델_김천하수관거_0222" xfId="322"/>
    <cellStyle name="식_평택STP_01_09_27_FinancialModel1108_Financial model_중리초 외 4개교(백)_재무모델_김천하수관거_0224" xfId="323"/>
    <cellStyle name="식_평택STP_01_09_27_FinancialModel1108_Financial model_중리초 외 4개교(백)_재무모델_김천하수관거_부속작업중" xfId="324"/>
    <cellStyle name="식_평택STP_01_09_27_FinancialModel1108_FinancialModel1108(2)" xfId="325"/>
    <cellStyle name="식_평택STP_01_09_27_FinancialModel1108_FinancialModel1108(2) 2" xfId="30697"/>
    <cellStyle name="식_평택STP_01_09_27_FinancialModel1108_FinancialModel1108(2) 2_분양(100%)" xfId="40287"/>
    <cellStyle name="식_평택STP_01_09_27_FinancialModel1108_FinancialModel1108(2)_112504_CN FM_보장조정_협약변경-재조달순-rv1" xfId="30698"/>
    <cellStyle name="식_평택STP_01_09_27_FinancialModel1108_FinancialModel1108(2)_112504_CN FM_보장조정_협약변경-재조달순-rv1 2" xfId="30699"/>
    <cellStyle name="식_평택STP_01_09_27_FinancialModel1108_FinancialModel1108(2)_112504_CN FM_보장조정_협약변경-재조달순-rv1 2_분양(100%)" xfId="40289"/>
    <cellStyle name="식_평택STP_01_09_27_FinancialModel1108_FinancialModel1108(2)_112504_CN FM_보장조정_협약변경-재조달순-rv1_분양(100%)" xfId="40288"/>
    <cellStyle name="식_평택STP_01_09_27_FinancialModel1108_FinancialModel1108(2)_CN Financial Model-090704-4%" xfId="30700"/>
    <cellStyle name="식_평택STP_01_09_27_FinancialModel1108_FinancialModel1108(2)_CN Financial Model-090704-4% 2" xfId="30701"/>
    <cellStyle name="식_평택STP_01_09_27_FinancialModel1108_FinancialModel1108(2)_CN Financial Model-090704-4% 2_분양(100%)" xfId="40291"/>
    <cellStyle name="식_평택STP_01_09_27_FinancialModel1108_FinancialModel1108(2)_CN Financial Model-090704-4%_분양(100%)" xfId="40290"/>
    <cellStyle name="식_평택STP_01_09_27_FinancialModel1108_FinancialModel1108(2)_CN Financial Model-102004" xfId="30702"/>
    <cellStyle name="식_평택STP_01_09_27_FinancialModel1108_FinancialModel1108(2)_CN Financial Model-102004 2" xfId="30703"/>
    <cellStyle name="식_평택STP_01_09_27_FinancialModel1108_FinancialModel1108(2)_CN Financial Model-102004 2_분양(100%)" xfId="40293"/>
    <cellStyle name="식_평택STP_01_09_27_FinancialModel1108_FinancialModel1108(2)_CN Financial Model-102004_분양(100%)" xfId="40292"/>
    <cellStyle name="식_평택STP_01_09_27_FinancialModel1108_FinancialModel1108(2)_분양(100%)" xfId="40286"/>
    <cellStyle name="식_평택STP_01_09_27_FinancialModel1108_FinancialModel1108(2)_재무모델_김천하수관거_0221" xfId="326"/>
    <cellStyle name="식_평택STP_01_09_27_FinancialModel1108_FinancialModel1108(2)_재무모델_김천하수관거_0222" xfId="327"/>
    <cellStyle name="식_평택STP_01_09_27_FinancialModel1108_FinancialModel1108(2)_재무모델_김천하수관거_0224" xfId="328"/>
    <cellStyle name="식_평택STP_01_09_27_FinancialModel1108_FinancialModel1108(2)_재무모델_김천하수관거_부속작업중" xfId="329"/>
    <cellStyle name="식_평택STP_01_09_27_FinancialModel1108_I-Pjt Fm(1028)" xfId="30704"/>
    <cellStyle name="식_평택STP_01_09_27_FinancialModel1108_I-Pjt Fm(1028) 2" xfId="30705"/>
    <cellStyle name="식_평택STP_01_09_27_FinancialModel1108_I-Pjt Fm(1028) 2_분양(100%)" xfId="40295"/>
    <cellStyle name="식_평택STP_01_09_27_FinancialModel1108_I-Pjt Fm(1028)_112504_CN FM_보장조정_협약변경-재조달순-rv1" xfId="30706"/>
    <cellStyle name="식_평택STP_01_09_27_FinancialModel1108_I-Pjt Fm(1028)_112504_CN FM_보장조정_협약변경-재조달순-rv1 2" xfId="30707"/>
    <cellStyle name="식_평택STP_01_09_27_FinancialModel1108_I-Pjt Fm(1028)_112504_CN FM_보장조정_협약변경-재조달순-rv1 2_분양(100%)" xfId="40297"/>
    <cellStyle name="식_평택STP_01_09_27_FinancialModel1108_I-Pjt Fm(1028)_112504_CN FM_보장조정_협약변경-재조달순-rv1_분양(100%)" xfId="40296"/>
    <cellStyle name="식_평택STP_01_09_27_FinancialModel1108_I-Pjt Fm(1028)_CN Financial Model-090704-4%" xfId="30708"/>
    <cellStyle name="식_평택STP_01_09_27_FinancialModel1108_I-Pjt Fm(1028)_CN Financial Model-090704-4% 2" xfId="30709"/>
    <cellStyle name="식_평택STP_01_09_27_FinancialModel1108_I-Pjt Fm(1028)_CN Financial Model-090704-4% 2_분양(100%)" xfId="40299"/>
    <cellStyle name="식_평택STP_01_09_27_FinancialModel1108_I-Pjt Fm(1028)_CN Financial Model-090704-4%_분양(100%)" xfId="40298"/>
    <cellStyle name="식_평택STP_01_09_27_FinancialModel1108_I-Pjt Fm(1028)_CN Financial Model-102004" xfId="30710"/>
    <cellStyle name="식_평택STP_01_09_27_FinancialModel1108_I-Pjt Fm(1028)_CN Financial Model-102004 2" xfId="30711"/>
    <cellStyle name="식_평택STP_01_09_27_FinancialModel1108_I-Pjt Fm(1028)_CN Financial Model-102004 2_분양(100%)" xfId="40301"/>
    <cellStyle name="식_평택STP_01_09_27_FinancialModel1108_I-Pjt Fm(1028)_CN Financial Model-102004_분양(100%)" xfId="40300"/>
    <cellStyle name="식_평택STP_01_09_27_FinancialModel1108_I-Pjt Fm(1028)_분양(100%)" xfId="40294"/>
    <cellStyle name="식_평택STP_01_09_27_FinancialModel1108_I-Pjt Fm(1031)" xfId="30712"/>
    <cellStyle name="식_평택STP_01_09_27_FinancialModel1108_I-Pjt Fm(1031) 2" xfId="30713"/>
    <cellStyle name="식_평택STP_01_09_27_FinancialModel1108_I-Pjt Fm(1031) 2_분양(100%)" xfId="40303"/>
    <cellStyle name="식_평택STP_01_09_27_FinancialModel1108_I-Pjt Fm(1031)_112504_CN FM_보장조정_협약변경-재조달순-rv1" xfId="30714"/>
    <cellStyle name="식_평택STP_01_09_27_FinancialModel1108_I-Pjt Fm(1031)_112504_CN FM_보장조정_협약변경-재조달순-rv1 2" xfId="30715"/>
    <cellStyle name="식_평택STP_01_09_27_FinancialModel1108_I-Pjt Fm(1031)_112504_CN FM_보장조정_협약변경-재조달순-rv1 2_분양(100%)" xfId="40305"/>
    <cellStyle name="식_평택STP_01_09_27_FinancialModel1108_I-Pjt Fm(1031)_112504_CN FM_보장조정_협약변경-재조달순-rv1_분양(100%)" xfId="40304"/>
    <cellStyle name="식_평택STP_01_09_27_FinancialModel1108_I-Pjt Fm(1031)_CN Financial Model-090704-4%" xfId="30716"/>
    <cellStyle name="식_평택STP_01_09_27_FinancialModel1108_I-Pjt Fm(1031)_CN Financial Model-090704-4% 2" xfId="30717"/>
    <cellStyle name="식_평택STP_01_09_27_FinancialModel1108_I-Pjt Fm(1031)_CN Financial Model-090704-4% 2_분양(100%)" xfId="40307"/>
    <cellStyle name="식_평택STP_01_09_27_FinancialModel1108_I-Pjt Fm(1031)_CN Financial Model-090704-4%_분양(100%)" xfId="40306"/>
    <cellStyle name="식_평택STP_01_09_27_FinancialModel1108_I-Pjt Fm(1031)_CN Financial Model-102004" xfId="30718"/>
    <cellStyle name="식_평택STP_01_09_27_FinancialModel1108_I-Pjt Fm(1031)_CN Financial Model-102004 2" xfId="30719"/>
    <cellStyle name="식_평택STP_01_09_27_FinancialModel1108_I-Pjt Fm(1031)_CN Financial Model-102004 2_분양(100%)" xfId="40309"/>
    <cellStyle name="식_평택STP_01_09_27_FinancialModel1108_I-Pjt Fm(1031)_CN Financial Model-102004_분양(100%)" xfId="40308"/>
    <cellStyle name="식_평택STP_01_09_27_FinancialModel1108_I-Pjt Fm(1031)_분양(100%)" xfId="40302"/>
    <cellStyle name="식_평택STP_01_09_27_FinancialModel1108_MODEL_0117" xfId="30720"/>
    <cellStyle name="식_평택STP_01_09_27_FinancialModel1108_MODEL_0117 2" xfId="30721"/>
    <cellStyle name="식_평택STP_01_09_27_FinancialModel1108_MODEL_0117 2_분양(100%)" xfId="40311"/>
    <cellStyle name="식_평택STP_01_09_27_FinancialModel1108_MODEL_0117_112504_CN FM_보장조정_협약변경-재조달순-rv1" xfId="30722"/>
    <cellStyle name="식_평택STP_01_09_27_FinancialModel1108_MODEL_0117_112504_CN FM_보장조정_협약변경-재조달순-rv1 2" xfId="30723"/>
    <cellStyle name="식_평택STP_01_09_27_FinancialModel1108_MODEL_0117_112504_CN FM_보장조정_협약변경-재조달순-rv1 2_분양(100%)" xfId="40313"/>
    <cellStyle name="식_평택STP_01_09_27_FinancialModel1108_MODEL_0117_112504_CN FM_보장조정_협약변경-재조달순-rv1_분양(100%)" xfId="40312"/>
    <cellStyle name="식_평택STP_01_09_27_FinancialModel1108_MODEL_0117_CN Financial Model-090704-4%" xfId="30724"/>
    <cellStyle name="식_평택STP_01_09_27_FinancialModel1108_MODEL_0117_CN Financial Model-090704-4% 2" xfId="30725"/>
    <cellStyle name="식_평택STP_01_09_27_FinancialModel1108_MODEL_0117_CN Financial Model-090704-4% 2_분양(100%)" xfId="40315"/>
    <cellStyle name="식_평택STP_01_09_27_FinancialModel1108_MODEL_0117_CN Financial Model-090704-4%_분양(100%)" xfId="40314"/>
    <cellStyle name="식_평택STP_01_09_27_FinancialModel1108_MODEL_0117_CN Financial Model-102004" xfId="30726"/>
    <cellStyle name="식_평택STP_01_09_27_FinancialModel1108_MODEL_0117_CN Financial Model-102004 2" xfId="30727"/>
    <cellStyle name="식_평택STP_01_09_27_FinancialModel1108_MODEL_0117_CN Financial Model-102004 2_분양(100%)" xfId="40317"/>
    <cellStyle name="식_평택STP_01_09_27_FinancialModel1108_MODEL_0117_CN Financial Model-102004_분양(100%)" xfId="40316"/>
    <cellStyle name="식_평택STP_01_09_27_FinancialModel1108_MODEL_0117_분양(100%)" xfId="40310"/>
    <cellStyle name="식_평택STP_01_09_27_FinancialModel1108_MODEL_0118" xfId="30728"/>
    <cellStyle name="식_평택STP_01_09_27_FinancialModel1108_MODEL_0118 2" xfId="30729"/>
    <cellStyle name="식_평택STP_01_09_27_FinancialModel1108_MODEL_0118 2_분양(100%)" xfId="40319"/>
    <cellStyle name="식_평택STP_01_09_27_FinancialModel1108_MODEL_0118_112504_CN FM_보장조정_협약변경-재조달순-rv1" xfId="30730"/>
    <cellStyle name="식_평택STP_01_09_27_FinancialModel1108_MODEL_0118_112504_CN FM_보장조정_협약변경-재조달순-rv1 2" xfId="30731"/>
    <cellStyle name="식_평택STP_01_09_27_FinancialModel1108_MODEL_0118_112504_CN FM_보장조정_협약변경-재조달순-rv1 2_분양(100%)" xfId="40321"/>
    <cellStyle name="식_평택STP_01_09_27_FinancialModel1108_MODEL_0118_112504_CN FM_보장조정_협약변경-재조달순-rv1_분양(100%)" xfId="40320"/>
    <cellStyle name="식_평택STP_01_09_27_FinancialModel1108_MODEL_0118_CN Financial Model-090704-4%" xfId="30732"/>
    <cellStyle name="식_평택STP_01_09_27_FinancialModel1108_MODEL_0118_CN Financial Model-090704-4% 2" xfId="30733"/>
    <cellStyle name="식_평택STP_01_09_27_FinancialModel1108_MODEL_0118_CN Financial Model-090704-4% 2_분양(100%)" xfId="40323"/>
    <cellStyle name="식_평택STP_01_09_27_FinancialModel1108_MODEL_0118_CN Financial Model-090704-4%_분양(100%)" xfId="40322"/>
    <cellStyle name="식_평택STP_01_09_27_FinancialModel1108_MODEL_0118_CN Financial Model-102004" xfId="30734"/>
    <cellStyle name="식_평택STP_01_09_27_FinancialModel1108_MODEL_0118_CN Financial Model-102004 2" xfId="30735"/>
    <cellStyle name="식_평택STP_01_09_27_FinancialModel1108_MODEL_0118_CN Financial Model-102004 2_분양(100%)" xfId="40325"/>
    <cellStyle name="식_평택STP_01_09_27_FinancialModel1108_MODEL_0118_CN Financial Model-102004_분양(100%)" xfId="40324"/>
    <cellStyle name="식_평택STP_01_09_27_FinancialModel1108_MODEL_0118_분양(100%)" xfId="40318"/>
    <cellStyle name="식_평택STP_01_09_27_FinancialModel1108_MODEL0205" xfId="30736"/>
    <cellStyle name="식_평택STP_01_09_27_FinancialModel1108_MODEL0205 2" xfId="30737"/>
    <cellStyle name="식_평택STP_01_09_27_FinancialModel1108_MODEL0205 2_분양(100%)" xfId="40327"/>
    <cellStyle name="식_평택STP_01_09_27_FinancialModel1108_MODEL0205_112504_CN FM_보장조정_협약변경-재조달순-rv1" xfId="30738"/>
    <cellStyle name="식_평택STP_01_09_27_FinancialModel1108_MODEL0205_112504_CN FM_보장조정_협약변경-재조달순-rv1 2" xfId="30739"/>
    <cellStyle name="식_평택STP_01_09_27_FinancialModel1108_MODEL0205_112504_CN FM_보장조정_협약변경-재조달순-rv1 2_분양(100%)" xfId="40329"/>
    <cellStyle name="식_평택STP_01_09_27_FinancialModel1108_MODEL0205_112504_CN FM_보장조정_협약변경-재조달순-rv1_분양(100%)" xfId="40328"/>
    <cellStyle name="식_평택STP_01_09_27_FinancialModel1108_MODEL0205_CN Financial Model-090704-4%" xfId="30740"/>
    <cellStyle name="식_평택STP_01_09_27_FinancialModel1108_MODEL0205_CN Financial Model-090704-4% 2" xfId="30741"/>
    <cellStyle name="식_평택STP_01_09_27_FinancialModel1108_MODEL0205_CN Financial Model-090704-4% 2_분양(100%)" xfId="40331"/>
    <cellStyle name="식_평택STP_01_09_27_FinancialModel1108_MODEL0205_CN Financial Model-090704-4%_분양(100%)" xfId="40330"/>
    <cellStyle name="식_평택STP_01_09_27_FinancialModel1108_MODEL0205_CN Financial Model-102004" xfId="30742"/>
    <cellStyle name="식_평택STP_01_09_27_FinancialModel1108_MODEL0205_CN Financial Model-102004 2" xfId="30743"/>
    <cellStyle name="식_평택STP_01_09_27_FinancialModel1108_MODEL0205_CN Financial Model-102004 2_분양(100%)" xfId="40333"/>
    <cellStyle name="식_평택STP_01_09_27_FinancialModel1108_MODEL0205_CN Financial Model-102004_분양(100%)" xfId="40332"/>
    <cellStyle name="식_평택STP_01_09_27_FinancialModel1108_MODEL0205_분양(100%)" xfId="40326"/>
    <cellStyle name="식_평택STP_01_09_27_FinancialModel1108_MODEL0209" xfId="30744"/>
    <cellStyle name="식_평택STP_01_09_27_FinancialModel1108_MODEL0209 2" xfId="30745"/>
    <cellStyle name="식_평택STP_01_09_27_FinancialModel1108_MODEL0209 2_분양(100%)" xfId="40335"/>
    <cellStyle name="식_평택STP_01_09_27_FinancialModel1108_MODEL0209_112504_CN FM_보장조정_협약변경-재조달순-rv1" xfId="30746"/>
    <cellStyle name="식_평택STP_01_09_27_FinancialModel1108_MODEL0209_112504_CN FM_보장조정_협약변경-재조달순-rv1 2" xfId="30747"/>
    <cellStyle name="식_평택STP_01_09_27_FinancialModel1108_MODEL0209_112504_CN FM_보장조정_협약변경-재조달순-rv1 2_분양(100%)" xfId="40337"/>
    <cellStyle name="식_평택STP_01_09_27_FinancialModel1108_MODEL0209_112504_CN FM_보장조정_협약변경-재조달순-rv1_분양(100%)" xfId="40336"/>
    <cellStyle name="식_평택STP_01_09_27_FinancialModel1108_MODEL0209_CN Financial Model-090704-4%" xfId="30748"/>
    <cellStyle name="식_평택STP_01_09_27_FinancialModel1108_MODEL0209_CN Financial Model-090704-4% 2" xfId="30749"/>
    <cellStyle name="식_평택STP_01_09_27_FinancialModel1108_MODEL0209_CN Financial Model-090704-4% 2_분양(100%)" xfId="40339"/>
    <cellStyle name="식_평택STP_01_09_27_FinancialModel1108_MODEL0209_CN Financial Model-090704-4%_분양(100%)" xfId="40338"/>
    <cellStyle name="식_평택STP_01_09_27_FinancialModel1108_MODEL0209_CN Financial Model-102004" xfId="30750"/>
    <cellStyle name="식_평택STP_01_09_27_FinancialModel1108_MODEL0209_CN Financial Model-102004 2" xfId="30751"/>
    <cellStyle name="식_평택STP_01_09_27_FinancialModel1108_MODEL0209_CN Financial Model-102004 2_분양(100%)" xfId="40341"/>
    <cellStyle name="식_평택STP_01_09_27_FinancialModel1108_MODEL0209_CN Financial Model-102004_분양(100%)" xfId="40340"/>
    <cellStyle name="식_평택STP_01_09_27_FinancialModel1108_MODEL0209_분양(100%)" xfId="40334"/>
    <cellStyle name="식_평택STP_01_09_27_FinancialModel1108_MODEL0221" xfId="30752"/>
    <cellStyle name="식_평택STP_01_09_27_FinancialModel1108_MODEL0221 2" xfId="30753"/>
    <cellStyle name="식_평택STP_01_09_27_FinancialModel1108_MODEL0221 2_분양(100%)" xfId="40343"/>
    <cellStyle name="식_평택STP_01_09_27_FinancialModel1108_MODEL0221_112504_CN FM_보장조정_협약변경-재조달순-rv1" xfId="30754"/>
    <cellStyle name="식_평택STP_01_09_27_FinancialModel1108_MODEL0221_112504_CN FM_보장조정_협약변경-재조달순-rv1 2" xfId="30755"/>
    <cellStyle name="식_평택STP_01_09_27_FinancialModel1108_MODEL0221_112504_CN FM_보장조정_협약변경-재조달순-rv1 2_분양(100%)" xfId="40345"/>
    <cellStyle name="식_평택STP_01_09_27_FinancialModel1108_MODEL0221_112504_CN FM_보장조정_협약변경-재조달순-rv1_분양(100%)" xfId="40344"/>
    <cellStyle name="식_평택STP_01_09_27_FinancialModel1108_MODEL0221_CN Financial Model-090704-4%" xfId="30756"/>
    <cellStyle name="식_평택STP_01_09_27_FinancialModel1108_MODEL0221_CN Financial Model-090704-4% 2" xfId="30757"/>
    <cellStyle name="식_평택STP_01_09_27_FinancialModel1108_MODEL0221_CN Financial Model-090704-4% 2_분양(100%)" xfId="40347"/>
    <cellStyle name="식_평택STP_01_09_27_FinancialModel1108_MODEL0221_CN Financial Model-090704-4%_분양(100%)" xfId="40346"/>
    <cellStyle name="식_평택STP_01_09_27_FinancialModel1108_MODEL0221_CN Financial Model-102004" xfId="30758"/>
    <cellStyle name="식_평택STP_01_09_27_FinancialModel1108_MODEL0221_CN Financial Model-102004 2" xfId="30759"/>
    <cellStyle name="식_평택STP_01_09_27_FinancialModel1108_MODEL0221_CN Financial Model-102004 2_분양(100%)" xfId="40349"/>
    <cellStyle name="식_평택STP_01_09_27_FinancialModel1108_MODEL0221_CN Financial Model-102004_분양(100%)" xfId="40348"/>
    <cellStyle name="식_평택STP_01_09_27_FinancialModel1108_MODEL0221_분양(100%)" xfId="40342"/>
    <cellStyle name="식_평택STP_01_09_27_FinancialModel1108_MODEL0309" xfId="30760"/>
    <cellStyle name="식_평택STP_01_09_27_FinancialModel1108_MODEL0309 2" xfId="30761"/>
    <cellStyle name="식_평택STP_01_09_27_FinancialModel1108_MODEL0309 2_분양(100%)" xfId="40351"/>
    <cellStyle name="식_평택STP_01_09_27_FinancialModel1108_MODEL0309_112504_CN FM_보장조정_협약변경-재조달순-rv1" xfId="30762"/>
    <cellStyle name="식_평택STP_01_09_27_FinancialModel1108_MODEL0309_112504_CN FM_보장조정_협약변경-재조달순-rv1 2" xfId="30763"/>
    <cellStyle name="식_평택STP_01_09_27_FinancialModel1108_MODEL0309_112504_CN FM_보장조정_협약변경-재조달순-rv1 2_분양(100%)" xfId="40353"/>
    <cellStyle name="식_평택STP_01_09_27_FinancialModel1108_MODEL0309_112504_CN FM_보장조정_협약변경-재조달순-rv1_분양(100%)" xfId="40352"/>
    <cellStyle name="식_평택STP_01_09_27_FinancialModel1108_MODEL0309_CN Financial Model-090704-4%" xfId="30764"/>
    <cellStyle name="식_평택STP_01_09_27_FinancialModel1108_MODEL0309_CN Financial Model-090704-4% 2" xfId="30765"/>
    <cellStyle name="식_평택STP_01_09_27_FinancialModel1108_MODEL0309_CN Financial Model-090704-4% 2_분양(100%)" xfId="40355"/>
    <cellStyle name="식_평택STP_01_09_27_FinancialModel1108_MODEL0309_CN Financial Model-090704-4%_분양(100%)" xfId="40354"/>
    <cellStyle name="식_평택STP_01_09_27_FinancialModel1108_MODEL0309_CN Financial Model-102004" xfId="30766"/>
    <cellStyle name="식_평택STP_01_09_27_FinancialModel1108_MODEL0309_CN Financial Model-102004 2" xfId="30767"/>
    <cellStyle name="식_평택STP_01_09_27_FinancialModel1108_MODEL0309_CN Financial Model-102004 2_분양(100%)" xfId="40357"/>
    <cellStyle name="식_평택STP_01_09_27_FinancialModel1108_MODEL0309_CN Financial Model-102004_분양(100%)" xfId="40356"/>
    <cellStyle name="식_평택STP_01_09_27_FinancialModel1108_MODEL0309_분양(100%)" xfId="40350"/>
    <cellStyle name="식_평택STP_01_09_27_FinancialModel1108_MODEL0316" xfId="30768"/>
    <cellStyle name="식_평택STP_01_09_27_FinancialModel1108_MODEL0316 2" xfId="30769"/>
    <cellStyle name="식_평택STP_01_09_27_FinancialModel1108_MODEL0316 2_분양(100%)" xfId="40359"/>
    <cellStyle name="식_평택STP_01_09_27_FinancialModel1108_MODEL0316_112504_CN FM_보장조정_협약변경-재조달순-rv1" xfId="30770"/>
    <cellStyle name="식_평택STP_01_09_27_FinancialModel1108_MODEL0316_112504_CN FM_보장조정_협약변경-재조달순-rv1 2" xfId="30771"/>
    <cellStyle name="식_평택STP_01_09_27_FinancialModel1108_MODEL0316_112504_CN FM_보장조정_협약변경-재조달순-rv1 2_분양(100%)" xfId="40361"/>
    <cellStyle name="식_평택STP_01_09_27_FinancialModel1108_MODEL0316_112504_CN FM_보장조정_협약변경-재조달순-rv1_분양(100%)" xfId="40360"/>
    <cellStyle name="식_평택STP_01_09_27_FinancialModel1108_MODEL0316_CN Financial Model-090704-4%" xfId="30772"/>
    <cellStyle name="식_평택STP_01_09_27_FinancialModel1108_MODEL0316_CN Financial Model-090704-4% 2" xfId="30773"/>
    <cellStyle name="식_평택STP_01_09_27_FinancialModel1108_MODEL0316_CN Financial Model-090704-4% 2_분양(100%)" xfId="40363"/>
    <cellStyle name="식_평택STP_01_09_27_FinancialModel1108_MODEL0316_CN Financial Model-090704-4%_분양(100%)" xfId="40362"/>
    <cellStyle name="식_평택STP_01_09_27_FinancialModel1108_MODEL0316_CN Financial Model-102004" xfId="30774"/>
    <cellStyle name="식_평택STP_01_09_27_FinancialModel1108_MODEL0316_CN Financial Model-102004 2" xfId="30775"/>
    <cellStyle name="식_평택STP_01_09_27_FinancialModel1108_MODEL0316_CN Financial Model-102004 2_분양(100%)" xfId="40365"/>
    <cellStyle name="식_평택STP_01_09_27_FinancialModel1108_MODEL0316_CN Financial Model-102004_분양(100%)" xfId="40364"/>
    <cellStyle name="식_평택STP_01_09_27_FinancialModel1108_MODEL0316_분양(100%)" xfId="40358"/>
    <cellStyle name="식_평택STP_01_09_27_FinancialModel1108_MODEL0318" xfId="30776"/>
    <cellStyle name="식_평택STP_01_09_27_FinancialModel1108_MODEL0318 2" xfId="30777"/>
    <cellStyle name="식_평택STP_01_09_27_FinancialModel1108_MODEL0318 2_분양(100%)" xfId="40367"/>
    <cellStyle name="식_평택STP_01_09_27_FinancialModel1108_MODEL0318_112504_CN FM_보장조정_협약변경-재조달순-rv1" xfId="30778"/>
    <cellStyle name="식_평택STP_01_09_27_FinancialModel1108_MODEL0318_112504_CN FM_보장조정_협약변경-재조달순-rv1 2" xfId="30779"/>
    <cellStyle name="식_평택STP_01_09_27_FinancialModel1108_MODEL0318_112504_CN FM_보장조정_협약변경-재조달순-rv1 2_분양(100%)" xfId="40369"/>
    <cellStyle name="식_평택STP_01_09_27_FinancialModel1108_MODEL0318_112504_CN FM_보장조정_협약변경-재조달순-rv1_분양(100%)" xfId="40368"/>
    <cellStyle name="식_평택STP_01_09_27_FinancialModel1108_MODEL0318_CN Financial Model-090704-4%" xfId="30780"/>
    <cellStyle name="식_평택STP_01_09_27_FinancialModel1108_MODEL0318_CN Financial Model-090704-4% 2" xfId="30781"/>
    <cellStyle name="식_평택STP_01_09_27_FinancialModel1108_MODEL0318_CN Financial Model-090704-4% 2_분양(100%)" xfId="40371"/>
    <cellStyle name="식_평택STP_01_09_27_FinancialModel1108_MODEL0318_CN Financial Model-090704-4%_분양(100%)" xfId="40370"/>
    <cellStyle name="식_평택STP_01_09_27_FinancialModel1108_MODEL0318_CN Financial Model-102004" xfId="30782"/>
    <cellStyle name="식_평택STP_01_09_27_FinancialModel1108_MODEL0318_CN Financial Model-102004 2" xfId="30783"/>
    <cellStyle name="식_평택STP_01_09_27_FinancialModel1108_MODEL0318_CN Financial Model-102004 2_분양(100%)" xfId="40373"/>
    <cellStyle name="식_평택STP_01_09_27_FinancialModel1108_MODEL0318_CN Financial Model-102004_분양(100%)" xfId="40372"/>
    <cellStyle name="식_평택STP_01_09_27_FinancialModel1108_MODEL0318_분양(100%)" xfId="40366"/>
    <cellStyle name="식_평택STP_01_09_27_FinancialModel1108_MODEL0320-1" xfId="30784"/>
    <cellStyle name="식_평택STP_01_09_27_FinancialModel1108_MODEL0320-1 2" xfId="30785"/>
    <cellStyle name="식_평택STP_01_09_27_FinancialModel1108_MODEL0320-1 2_분양(100%)" xfId="40375"/>
    <cellStyle name="식_평택STP_01_09_27_FinancialModel1108_MODEL0320-1_112504_CN FM_보장조정_협약변경-재조달순-rv1" xfId="30786"/>
    <cellStyle name="식_평택STP_01_09_27_FinancialModel1108_MODEL0320-1_112504_CN FM_보장조정_협약변경-재조달순-rv1 2" xfId="30787"/>
    <cellStyle name="식_평택STP_01_09_27_FinancialModel1108_MODEL0320-1_112504_CN FM_보장조정_협약변경-재조달순-rv1 2_분양(100%)" xfId="40377"/>
    <cellStyle name="식_평택STP_01_09_27_FinancialModel1108_MODEL0320-1_112504_CN FM_보장조정_협약변경-재조달순-rv1_분양(100%)" xfId="40376"/>
    <cellStyle name="식_평택STP_01_09_27_FinancialModel1108_MODEL0320-1_CN Financial Model-090704-4%" xfId="30788"/>
    <cellStyle name="식_평택STP_01_09_27_FinancialModel1108_MODEL0320-1_CN Financial Model-090704-4% 2" xfId="30789"/>
    <cellStyle name="식_평택STP_01_09_27_FinancialModel1108_MODEL0320-1_CN Financial Model-090704-4% 2_분양(100%)" xfId="40379"/>
    <cellStyle name="식_평택STP_01_09_27_FinancialModel1108_MODEL0320-1_CN Financial Model-090704-4%_분양(100%)" xfId="40378"/>
    <cellStyle name="식_평택STP_01_09_27_FinancialModel1108_MODEL0320-1_CN Financial Model-102004" xfId="30790"/>
    <cellStyle name="식_평택STP_01_09_27_FinancialModel1108_MODEL0320-1_CN Financial Model-102004 2" xfId="30791"/>
    <cellStyle name="식_평택STP_01_09_27_FinancialModel1108_MODEL0320-1_CN Financial Model-102004 2_분양(100%)" xfId="40381"/>
    <cellStyle name="식_평택STP_01_09_27_FinancialModel1108_MODEL0320-1_CN Financial Model-102004_분양(100%)" xfId="40380"/>
    <cellStyle name="식_평택STP_01_09_27_FinancialModel1108_MODEL0320-1_분양(100%)" xfId="40374"/>
    <cellStyle name="식_평택STP_01_09_27_FinancialModel1108_MODEL0321" xfId="30792"/>
    <cellStyle name="식_평택STP_01_09_27_FinancialModel1108_MODEL0321 2" xfId="30793"/>
    <cellStyle name="식_평택STP_01_09_27_FinancialModel1108_MODEL0321 2_분양(100%)" xfId="40383"/>
    <cellStyle name="식_평택STP_01_09_27_FinancialModel1108_MODEL0321_112504_CN FM_보장조정_협약변경-재조달순-rv1" xfId="30794"/>
    <cellStyle name="식_평택STP_01_09_27_FinancialModel1108_MODEL0321_112504_CN FM_보장조정_협약변경-재조달순-rv1 2" xfId="30795"/>
    <cellStyle name="식_평택STP_01_09_27_FinancialModel1108_MODEL0321_112504_CN FM_보장조정_협약변경-재조달순-rv1 2_분양(100%)" xfId="40385"/>
    <cellStyle name="식_평택STP_01_09_27_FinancialModel1108_MODEL0321_112504_CN FM_보장조정_협약변경-재조달순-rv1_분양(100%)" xfId="40384"/>
    <cellStyle name="식_평택STP_01_09_27_FinancialModel1108_MODEL0321_CN Financial Model-090704-4%" xfId="30796"/>
    <cellStyle name="식_평택STP_01_09_27_FinancialModel1108_MODEL0321_CN Financial Model-090704-4% 2" xfId="30797"/>
    <cellStyle name="식_평택STP_01_09_27_FinancialModel1108_MODEL0321_CN Financial Model-090704-4% 2_분양(100%)" xfId="40387"/>
    <cellStyle name="식_평택STP_01_09_27_FinancialModel1108_MODEL0321_CN Financial Model-090704-4%_분양(100%)" xfId="40386"/>
    <cellStyle name="식_평택STP_01_09_27_FinancialModel1108_MODEL0321_CN Financial Model-102004" xfId="30798"/>
    <cellStyle name="식_평택STP_01_09_27_FinancialModel1108_MODEL0321_CN Financial Model-102004 2" xfId="30799"/>
    <cellStyle name="식_평택STP_01_09_27_FinancialModel1108_MODEL0321_CN Financial Model-102004 2_분양(100%)" xfId="40389"/>
    <cellStyle name="식_평택STP_01_09_27_FinancialModel1108_MODEL0321_CN Financial Model-102004_분양(100%)" xfId="40388"/>
    <cellStyle name="식_평택STP_01_09_27_FinancialModel1108_MODEL0321_분양(100%)" xfId="40382"/>
    <cellStyle name="식_평택STP_01_09_27_FinancialModel1108_MODEL0328" xfId="30800"/>
    <cellStyle name="식_평택STP_01_09_27_FinancialModel1108_MODEL0328 2" xfId="30801"/>
    <cellStyle name="식_평택STP_01_09_27_FinancialModel1108_MODEL0328 2_분양(100%)" xfId="40391"/>
    <cellStyle name="식_평택STP_01_09_27_FinancialModel1108_MODEL0328_112504_CN FM_보장조정_협약변경-재조달순-rv1" xfId="30802"/>
    <cellStyle name="식_평택STP_01_09_27_FinancialModel1108_MODEL0328_112504_CN FM_보장조정_협약변경-재조달순-rv1 2" xfId="30803"/>
    <cellStyle name="식_평택STP_01_09_27_FinancialModel1108_MODEL0328_112504_CN FM_보장조정_협약변경-재조달순-rv1 2_분양(100%)" xfId="40393"/>
    <cellStyle name="식_평택STP_01_09_27_FinancialModel1108_MODEL0328_112504_CN FM_보장조정_협약변경-재조달순-rv1_분양(100%)" xfId="40392"/>
    <cellStyle name="식_평택STP_01_09_27_FinancialModel1108_MODEL0328_CN Financial Model-090704-4%" xfId="30804"/>
    <cellStyle name="식_평택STP_01_09_27_FinancialModel1108_MODEL0328_CN Financial Model-090704-4% 2" xfId="30805"/>
    <cellStyle name="식_평택STP_01_09_27_FinancialModel1108_MODEL0328_CN Financial Model-090704-4% 2_분양(100%)" xfId="40395"/>
    <cellStyle name="식_평택STP_01_09_27_FinancialModel1108_MODEL0328_CN Financial Model-090704-4%_분양(100%)" xfId="40394"/>
    <cellStyle name="식_평택STP_01_09_27_FinancialModel1108_MODEL0328_CN Financial Model-102004" xfId="30806"/>
    <cellStyle name="식_평택STP_01_09_27_FinancialModel1108_MODEL0328_CN Financial Model-102004 2" xfId="30807"/>
    <cellStyle name="식_평택STP_01_09_27_FinancialModel1108_MODEL0328_CN Financial Model-102004 2_분양(100%)" xfId="40397"/>
    <cellStyle name="식_평택STP_01_09_27_FinancialModel1108_MODEL0328_CN Financial Model-102004_분양(100%)" xfId="40396"/>
    <cellStyle name="식_평택STP_01_09_27_FinancialModel1108_MODEL0328_분양(100%)" xfId="40390"/>
    <cellStyle name="식_평택STP_01_09_27_FinancialModel1108_MODEL정말최종" xfId="30808"/>
    <cellStyle name="식_평택STP_01_09_27_FinancialModel1108_MODEL정말최종 2" xfId="30809"/>
    <cellStyle name="식_평택STP_01_09_27_FinancialModel1108_MODEL정말최종 2_분양(100%)" xfId="40399"/>
    <cellStyle name="식_평택STP_01_09_27_FinancialModel1108_MODEL정말최종_112504_CN FM_보장조정_협약변경-재조달순-rv1" xfId="30810"/>
    <cellStyle name="식_평택STP_01_09_27_FinancialModel1108_MODEL정말최종_112504_CN FM_보장조정_협약변경-재조달순-rv1 2" xfId="30811"/>
    <cellStyle name="식_평택STP_01_09_27_FinancialModel1108_MODEL정말최종_112504_CN FM_보장조정_협약변경-재조달순-rv1 2_분양(100%)" xfId="40401"/>
    <cellStyle name="식_평택STP_01_09_27_FinancialModel1108_MODEL정말최종_112504_CN FM_보장조정_협약변경-재조달순-rv1_분양(100%)" xfId="40400"/>
    <cellStyle name="식_평택STP_01_09_27_FinancialModel1108_MODEL정말최종_CN Financial Model-090704-4%" xfId="30812"/>
    <cellStyle name="식_평택STP_01_09_27_FinancialModel1108_MODEL정말최종_CN Financial Model-090704-4% 2" xfId="30813"/>
    <cellStyle name="식_평택STP_01_09_27_FinancialModel1108_MODEL정말최종_CN Financial Model-090704-4% 2_분양(100%)" xfId="40403"/>
    <cellStyle name="식_평택STP_01_09_27_FinancialModel1108_MODEL정말최종_CN Financial Model-090704-4%_분양(100%)" xfId="40402"/>
    <cellStyle name="식_평택STP_01_09_27_FinancialModel1108_MODEL정말최종_CN Financial Model-102004" xfId="30814"/>
    <cellStyle name="식_평택STP_01_09_27_FinancialModel1108_MODEL정말최종_CN Financial Model-102004 2" xfId="30815"/>
    <cellStyle name="식_평택STP_01_09_27_FinancialModel1108_MODEL정말최종_CN Financial Model-102004 2_분양(100%)" xfId="40405"/>
    <cellStyle name="식_평택STP_01_09_27_FinancialModel1108_MODEL정말최종_CN Financial Model-102004_분양(100%)" xfId="40404"/>
    <cellStyle name="식_평택STP_01_09_27_FinancialModel1108_MODEL정말최종_분양(100%)" xfId="40398"/>
    <cellStyle name="식_평택STP_01_09_27_FinancialModel1108_MODEL최종" xfId="30816"/>
    <cellStyle name="식_평택STP_01_09_27_FinancialModel1108_MODEL최종 2" xfId="30817"/>
    <cellStyle name="식_평택STP_01_09_27_FinancialModel1108_MODEL최종 2_분양(100%)" xfId="40407"/>
    <cellStyle name="식_평택STP_01_09_27_FinancialModel1108_MODEL최종_112504_CN FM_보장조정_협약변경-재조달순-rv1" xfId="30818"/>
    <cellStyle name="식_평택STP_01_09_27_FinancialModel1108_MODEL최종_112504_CN FM_보장조정_협약변경-재조달순-rv1 2" xfId="30819"/>
    <cellStyle name="식_평택STP_01_09_27_FinancialModel1108_MODEL최종_112504_CN FM_보장조정_협약변경-재조달순-rv1 2_분양(100%)" xfId="40409"/>
    <cellStyle name="식_평택STP_01_09_27_FinancialModel1108_MODEL최종_112504_CN FM_보장조정_협약변경-재조달순-rv1_분양(100%)" xfId="40408"/>
    <cellStyle name="식_평택STP_01_09_27_FinancialModel1108_MODEL최종_CN Financial Model-090704-4%" xfId="30820"/>
    <cellStyle name="식_평택STP_01_09_27_FinancialModel1108_MODEL최종_CN Financial Model-090704-4% 2" xfId="30821"/>
    <cellStyle name="식_평택STP_01_09_27_FinancialModel1108_MODEL최종_CN Financial Model-090704-4% 2_분양(100%)" xfId="40411"/>
    <cellStyle name="식_평택STP_01_09_27_FinancialModel1108_MODEL최종_CN Financial Model-090704-4%_분양(100%)" xfId="40410"/>
    <cellStyle name="식_평택STP_01_09_27_FinancialModel1108_MODEL최종_CN Financial Model-102004" xfId="30822"/>
    <cellStyle name="식_평택STP_01_09_27_FinancialModel1108_MODEL최종_CN Financial Model-102004 2" xfId="30823"/>
    <cellStyle name="식_평택STP_01_09_27_FinancialModel1108_MODEL최종_CN Financial Model-102004 2_분양(100%)" xfId="40413"/>
    <cellStyle name="식_평택STP_01_09_27_FinancialModel1108_MODEL최종_CN Financial Model-102004_분양(100%)" xfId="40412"/>
    <cellStyle name="식_평택STP_01_09_27_FinancialModel1108_MODEL최종_분양(100%)" xfId="40406"/>
    <cellStyle name="식_평택STP_01_09_27_FinancialModel1108_NA Hiway Pjt Valuation(통행료 2년마다 인상)" xfId="30824"/>
    <cellStyle name="식_평택STP_01_09_27_FinancialModel1108_NA Hiway Pjt Valuation(통행료 2년마다 인상) 2" xfId="30825"/>
    <cellStyle name="식_평택STP_01_09_27_FinancialModel1108_NA Hiway Pjt Valuation(통행료 2년마다 인상) 2_분양(100%)" xfId="40415"/>
    <cellStyle name="식_평택STP_01_09_27_FinancialModel1108_NA Hiway Pjt Valuation(통행료 2년마다 인상)_112504_CN FM_보장조정_협약변경-재조달순-rv1" xfId="30826"/>
    <cellStyle name="식_평택STP_01_09_27_FinancialModel1108_NA Hiway Pjt Valuation(통행료 2년마다 인상)_112504_CN FM_보장조정_협약변경-재조달순-rv1 2" xfId="30827"/>
    <cellStyle name="식_평택STP_01_09_27_FinancialModel1108_NA Hiway Pjt Valuation(통행료 2년마다 인상)_112504_CN FM_보장조정_협약변경-재조달순-rv1 2_분양(100%)" xfId="40417"/>
    <cellStyle name="식_평택STP_01_09_27_FinancialModel1108_NA Hiway Pjt Valuation(통행료 2년마다 인상)_112504_CN FM_보장조정_협약변경-재조달순-rv1_분양(100%)" xfId="40416"/>
    <cellStyle name="식_평택STP_01_09_27_FinancialModel1108_NA Hiway Pjt Valuation(통행료 2년마다 인상)_CN Financial Model-090704-4%" xfId="30828"/>
    <cellStyle name="식_평택STP_01_09_27_FinancialModel1108_NA Hiway Pjt Valuation(통행료 2년마다 인상)_CN Financial Model-090704-4% 2" xfId="30829"/>
    <cellStyle name="식_평택STP_01_09_27_FinancialModel1108_NA Hiway Pjt Valuation(통행료 2년마다 인상)_CN Financial Model-090704-4% 2_분양(100%)" xfId="40419"/>
    <cellStyle name="식_평택STP_01_09_27_FinancialModel1108_NA Hiway Pjt Valuation(통행료 2년마다 인상)_CN Financial Model-090704-4%_분양(100%)" xfId="40418"/>
    <cellStyle name="식_평택STP_01_09_27_FinancialModel1108_NA Hiway Pjt Valuation(통행료 2년마다 인상)_CN Financial Model-102004" xfId="30830"/>
    <cellStyle name="식_평택STP_01_09_27_FinancialModel1108_NA Hiway Pjt Valuation(통행료 2년마다 인상)_CN Financial Model-102004 2" xfId="30831"/>
    <cellStyle name="식_평택STP_01_09_27_FinancialModel1108_NA Hiway Pjt Valuation(통행료 2년마다 인상)_CN Financial Model-102004 2_분양(100%)" xfId="40421"/>
    <cellStyle name="식_평택STP_01_09_27_FinancialModel1108_NA Hiway Pjt Valuation(통행료 2년마다 인상)_CN Financial Model-102004_분양(100%)" xfId="40420"/>
    <cellStyle name="식_평택STP_01_09_27_FinancialModel1108_NA Hiway Pjt Valuation(통행료 2년마다 인상)_분양(100%)" xfId="40414"/>
    <cellStyle name="식_평택STP_01_09_27_FinancialModel1108_ROE" xfId="30832"/>
    <cellStyle name="식_평택STP_01_09_27_FinancialModel1108_ROE 2" xfId="30833"/>
    <cellStyle name="식_평택STP_01_09_27_FinancialModel1108_ROE 2_분양(100%)" xfId="40423"/>
    <cellStyle name="식_평택STP_01_09_27_FinancialModel1108_ROE_112504_CN FM_보장조정_협약변경-재조달순-rv1" xfId="30834"/>
    <cellStyle name="식_평택STP_01_09_27_FinancialModel1108_ROE_112504_CN FM_보장조정_협약변경-재조달순-rv1 2" xfId="30835"/>
    <cellStyle name="식_평택STP_01_09_27_FinancialModel1108_ROE_112504_CN FM_보장조정_협약변경-재조달순-rv1 2_분양(100%)" xfId="40425"/>
    <cellStyle name="식_평택STP_01_09_27_FinancialModel1108_ROE_112504_CN FM_보장조정_협약변경-재조달순-rv1_분양(100%)" xfId="40424"/>
    <cellStyle name="식_평택STP_01_09_27_FinancialModel1108_ROE_CN Financial Model-090704-4%" xfId="30836"/>
    <cellStyle name="식_평택STP_01_09_27_FinancialModel1108_ROE_CN Financial Model-090704-4% 2" xfId="30837"/>
    <cellStyle name="식_평택STP_01_09_27_FinancialModel1108_ROE_CN Financial Model-090704-4% 2_분양(100%)" xfId="40427"/>
    <cellStyle name="식_평택STP_01_09_27_FinancialModel1108_ROE_CN Financial Model-090704-4%_분양(100%)" xfId="40426"/>
    <cellStyle name="식_평택STP_01_09_27_FinancialModel1108_ROE_CN Financial Model-102004" xfId="30838"/>
    <cellStyle name="식_평택STP_01_09_27_FinancialModel1108_ROE_CN Financial Model-102004 2" xfId="30839"/>
    <cellStyle name="식_평택STP_01_09_27_FinancialModel1108_ROE_CN Financial Model-102004 2_분양(100%)" xfId="40429"/>
    <cellStyle name="식_평택STP_01_09_27_FinancialModel1108_ROE_CN Financial Model-102004_분양(100%)" xfId="40428"/>
    <cellStyle name="식_평택STP_01_09_27_FinancialModel1108_ROE_분양(100%)" xfId="40422"/>
    <cellStyle name="식_평택STP_01_09_27_FinancialModel1108_Valuation(예비투자설명회)_0228" xfId="30840"/>
    <cellStyle name="식_평택STP_01_09_27_FinancialModel1108_Valuation(예비투자설명회)_0228 2" xfId="30841"/>
    <cellStyle name="식_평택STP_01_09_27_FinancialModel1108_Valuation(예비투자설명회)_0228 2_분양(100%)" xfId="40431"/>
    <cellStyle name="식_평택STP_01_09_27_FinancialModel1108_Valuation(예비투자설명회)_0228_112504_CN FM_보장조정_협약변경-재조달순-rv1" xfId="30842"/>
    <cellStyle name="식_평택STP_01_09_27_FinancialModel1108_Valuation(예비투자설명회)_0228_112504_CN FM_보장조정_협약변경-재조달순-rv1 2" xfId="30843"/>
    <cellStyle name="식_평택STP_01_09_27_FinancialModel1108_Valuation(예비투자설명회)_0228_112504_CN FM_보장조정_협약변경-재조달순-rv1 2_분양(100%)" xfId="40433"/>
    <cellStyle name="식_평택STP_01_09_27_FinancialModel1108_Valuation(예비투자설명회)_0228_112504_CN FM_보장조정_협약변경-재조달순-rv1_분양(100%)" xfId="40432"/>
    <cellStyle name="식_평택STP_01_09_27_FinancialModel1108_Valuation(예비투자설명회)_0228_CN Financial Model-090704-4%" xfId="30844"/>
    <cellStyle name="식_평택STP_01_09_27_FinancialModel1108_Valuation(예비투자설명회)_0228_CN Financial Model-090704-4% 2" xfId="30845"/>
    <cellStyle name="식_평택STP_01_09_27_FinancialModel1108_Valuation(예비투자설명회)_0228_CN Financial Model-090704-4% 2_분양(100%)" xfId="40435"/>
    <cellStyle name="식_평택STP_01_09_27_FinancialModel1108_Valuation(예비투자설명회)_0228_CN Financial Model-090704-4%_분양(100%)" xfId="40434"/>
    <cellStyle name="식_평택STP_01_09_27_FinancialModel1108_Valuation(예비투자설명회)_0228_CN Financial Model-102004" xfId="30846"/>
    <cellStyle name="식_평택STP_01_09_27_FinancialModel1108_Valuation(예비투자설명회)_0228_CN Financial Model-102004 2" xfId="30847"/>
    <cellStyle name="식_평택STP_01_09_27_FinancialModel1108_Valuation(예비투자설명회)_0228_CN Financial Model-102004 2_분양(100%)" xfId="40437"/>
    <cellStyle name="식_평택STP_01_09_27_FinancialModel1108_Valuation(예비투자설명회)_0228_CN Financial Model-102004_분양(100%)" xfId="40436"/>
    <cellStyle name="식_평택STP_01_09_27_FinancialModel1108_Valuation(예비투자설명회)_0228_분양(100%)" xfId="40430"/>
    <cellStyle name="식_평택STP_01_09_27_FinancialModel1108_Y-Pjt(FncMdl)_0912AM" xfId="30848"/>
    <cellStyle name="식_평택STP_01_09_27_FinancialModel1108_Y-Pjt(FncMdl)_0912AM 2" xfId="30849"/>
    <cellStyle name="식_평택STP_01_09_27_FinancialModel1108_Y-Pjt(FncMdl)_0912AM 2_분양(100%)" xfId="40439"/>
    <cellStyle name="식_평택STP_01_09_27_FinancialModel1108_Y-Pjt(FncMdl)_0912AM_112504_CN FM_보장조정_협약변경-재조달순-rv1" xfId="30850"/>
    <cellStyle name="식_평택STP_01_09_27_FinancialModel1108_Y-Pjt(FncMdl)_0912AM_112504_CN FM_보장조정_협약변경-재조달순-rv1 2" xfId="30851"/>
    <cellStyle name="식_평택STP_01_09_27_FinancialModel1108_Y-Pjt(FncMdl)_0912AM_112504_CN FM_보장조정_협약변경-재조달순-rv1 2_분양(100%)" xfId="40441"/>
    <cellStyle name="식_평택STP_01_09_27_FinancialModel1108_Y-Pjt(FncMdl)_0912AM_112504_CN FM_보장조정_협약변경-재조달순-rv1_분양(100%)" xfId="40440"/>
    <cellStyle name="식_평택STP_01_09_27_FinancialModel1108_Y-Pjt(FncMdl)_0912AM_CN Financial Model-090704-4%" xfId="30852"/>
    <cellStyle name="식_평택STP_01_09_27_FinancialModel1108_Y-Pjt(FncMdl)_0912AM_CN Financial Model-090704-4% 2" xfId="30853"/>
    <cellStyle name="식_평택STP_01_09_27_FinancialModel1108_Y-Pjt(FncMdl)_0912AM_CN Financial Model-090704-4% 2_분양(100%)" xfId="40443"/>
    <cellStyle name="식_평택STP_01_09_27_FinancialModel1108_Y-Pjt(FncMdl)_0912AM_CN Financial Model-090704-4%_분양(100%)" xfId="40442"/>
    <cellStyle name="식_평택STP_01_09_27_FinancialModel1108_Y-Pjt(FncMdl)_0912AM_CN Financial Model-102004" xfId="30854"/>
    <cellStyle name="식_평택STP_01_09_27_FinancialModel1108_Y-Pjt(FncMdl)_0912AM_CN Financial Model-102004 2" xfId="30855"/>
    <cellStyle name="식_평택STP_01_09_27_FinancialModel1108_Y-Pjt(FncMdl)_0912AM_CN Financial Model-102004 2_분양(100%)" xfId="40445"/>
    <cellStyle name="식_평택STP_01_09_27_FinancialModel1108_Y-Pjt(FncMdl)_0912AM_CN Financial Model-102004_분양(100%)" xfId="40444"/>
    <cellStyle name="식_평택STP_01_09_27_FinancialModel1108_Y-Pjt(FncMdl)_0912AM_분양(100%)" xfId="40438"/>
    <cellStyle name="식_평택STP_01_09_27_FinancialModel1108_Y-Pjt_0905(PM4)" xfId="30856"/>
    <cellStyle name="식_평택STP_01_09_27_FinancialModel1108_Y-Pjt_0905(PM4) 2" xfId="30857"/>
    <cellStyle name="식_평택STP_01_09_27_FinancialModel1108_Y-Pjt_0905(PM4) 2_분양(100%)" xfId="40447"/>
    <cellStyle name="식_평택STP_01_09_27_FinancialModel1108_Y-Pjt_0905(PM4)_112504_CN FM_보장조정_협약변경-재조달순-rv1" xfId="30858"/>
    <cellStyle name="식_평택STP_01_09_27_FinancialModel1108_Y-Pjt_0905(PM4)_112504_CN FM_보장조정_협약변경-재조달순-rv1 2" xfId="30859"/>
    <cellStyle name="식_평택STP_01_09_27_FinancialModel1108_Y-Pjt_0905(PM4)_112504_CN FM_보장조정_협약변경-재조달순-rv1 2_분양(100%)" xfId="40449"/>
    <cellStyle name="식_평택STP_01_09_27_FinancialModel1108_Y-Pjt_0905(PM4)_112504_CN FM_보장조정_협약변경-재조달순-rv1_분양(100%)" xfId="40448"/>
    <cellStyle name="식_평택STP_01_09_27_FinancialModel1108_Y-Pjt_0905(PM4)_CN Financial Model-090704-4%" xfId="30860"/>
    <cellStyle name="식_평택STP_01_09_27_FinancialModel1108_Y-Pjt_0905(PM4)_CN Financial Model-090704-4% 2" xfId="30861"/>
    <cellStyle name="식_평택STP_01_09_27_FinancialModel1108_Y-Pjt_0905(PM4)_CN Financial Model-090704-4% 2_분양(100%)" xfId="40451"/>
    <cellStyle name="식_평택STP_01_09_27_FinancialModel1108_Y-Pjt_0905(PM4)_CN Financial Model-090704-4%_분양(100%)" xfId="40450"/>
    <cellStyle name="식_평택STP_01_09_27_FinancialModel1108_Y-Pjt_0905(PM4)_CN Financial Model-102004" xfId="30862"/>
    <cellStyle name="식_평택STP_01_09_27_FinancialModel1108_Y-Pjt_0905(PM4)_CN Financial Model-102004 2" xfId="30863"/>
    <cellStyle name="식_평택STP_01_09_27_FinancialModel1108_Y-Pjt_0905(PM4)_CN Financial Model-102004 2_분양(100%)" xfId="40453"/>
    <cellStyle name="식_평택STP_01_09_27_FinancialModel1108_Y-Pjt_0905(PM4)_CN Financial Model-102004_분양(100%)" xfId="40452"/>
    <cellStyle name="식_평택STP_01_09_27_FinancialModel1108_Y-Pjt_0905(PM4)_분양(100%)" xfId="40446"/>
    <cellStyle name="식_평택STP_01_09_27_FinancialModel1108_Y-Pjt_0906(AM10)" xfId="30864"/>
    <cellStyle name="식_평택STP_01_09_27_FinancialModel1108_Y-Pjt_0906(AM10) 2" xfId="30865"/>
    <cellStyle name="식_평택STP_01_09_27_FinancialModel1108_Y-Pjt_0906(AM10) 2_분양(100%)" xfId="40455"/>
    <cellStyle name="식_평택STP_01_09_27_FinancialModel1108_Y-Pjt_0906(AM10)_112504_CN FM_보장조정_협약변경-재조달순-rv1" xfId="30866"/>
    <cellStyle name="식_평택STP_01_09_27_FinancialModel1108_Y-Pjt_0906(AM10)_112504_CN FM_보장조정_협약변경-재조달순-rv1 2" xfId="30867"/>
    <cellStyle name="식_평택STP_01_09_27_FinancialModel1108_Y-Pjt_0906(AM10)_112504_CN FM_보장조정_협약변경-재조달순-rv1 2_분양(100%)" xfId="40457"/>
    <cellStyle name="식_평택STP_01_09_27_FinancialModel1108_Y-Pjt_0906(AM10)_112504_CN FM_보장조정_협약변경-재조달순-rv1_분양(100%)" xfId="40456"/>
    <cellStyle name="식_평택STP_01_09_27_FinancialModel1108_Y-Pjt_0906(AM10)_CN Financial Model-090704-4%" xfId="30868"/>
    <cellStyle name="식_평택STP_01_09_27_FinancialModel1108_Y-Pjt_0906(AM10)_CN Financial Model-090704-4% 2" xfId="30869"/>
    <cellStyle name="식_평택STP_01_09_27_FinancialModel1108_Y-Pjt_0906(AM10)_CN Financial Model-090704-4% 2_분양(100%)" xfId="40459"/>
    <cellStyle name="식_평택STP_01_09_27_FinancialModel1108_Y-Pjt_0906(AM10)_CN Financial Model-090704-4%_분양(100%)" xfId="40458"/>
    <cellStyle name="식_평택STP_01_09_27_FinancialModel1108_Y-Pjt_0906(AM10)_CN Financial Model-102004" xfId="30870"/>
    <cellStyle name="식_평택STP_01_09_27_FinancialModel1108_Y-Pjt_0906(AM10)_CN Financial Model-102004 2" xfId="30871"/>
    <cellStyle name="식_평택STP_01_09_27_FinancialModel1108_Y-Pjt_0906(AM10)_CN Financial Model-102004 2_분양(100%)" xfId="40461"/>
    <cellStyle name="식_평택STP_01_09_27_FinancialModel1108_Y-Pjt_0906(AM10)_CN Financial Model-102004_분양(100%)" xfId="40460"/>
    <cellStyle name="식_평택STP_01_09_27_FinancialModel1108_Y-Pjt_0906(AM10)_분양(100%)" xfId="40454"/>
    <cellStyle name="식_평택STP_01_09_27_FinancialModel1108_Y-PROJECT_0812" xfId="30872"/>
    <cellStyle name="식_평택STP_01_09_27_FinancialModel1108_Y-PROJECT_0812 2" xfId="30873"/>
    <cellStyle name="식_평택STP_01_09_27_FinancialModel1108_Y-PROJECT_0812 2_분양(100%)" xfId="40463"/>
    <cellStyle name="식_평택STP_01_09_27_FinancialModel1108_Y-PROJECT_0812_112504_CN FM_보장조정_협약변경-재조달순-rv1" xfId="30874"/>
    <cellStyle name="식_평택STP_01_09_27_FinancialModel1108_Y-PROJECT_0812_112504_CN FM_보장조정_협약변경-재조달순-rv1 2" xfId="30875"/>
    <cellStyle name="식_평택STP_01_09_27_FinancialModel1108_Y-PROJECT_0812_112504_CN FM_보장조정_협약변경-재조달순-rv1 2_분양(100%)" xfId="40465"/>
    <cellStyle name="식_평택STP_01_09_27_FinancialModel1108_Y-PROJECT_0812_112504_CN FM_보장조정_협약변경-재조달순-rv1_분양(100%)" xfId="40464"/>
    <cellStyle name="식_평택STP_01_09_27_FinancialModel1108_Y-PROJECT_0812_CN Financial Model-090704-4%" xfId="30876"/>
    <cellStyle name="식_평택STP_01_09_27_FinancialModel1108_Y-PROJECT_0812_CN Financial Model-090704-4% 2" xfId="30877"/>
    <cellStyle name="식_평택STP_01_09_27_FinancialModel1108_Y-PROJECT_0812_CN Financial Model-090704-4% 2_분양(100%)" xfId="40467"/>
    <cellStyle name="식_평택STP_01_09_27_FinancialModel1108_Y-PROJECT_0812_CN Financial Model-090704-4%_분양(100%)" xfId="40466"/>
    <cellStyle name="식_평택STP_01_09_27_FinancialModel1108_Y-PROJECT_0812_CN Financial Model-102004" xfId="30878"/>
    <cellStyle name="식_평택STP_01_09_27_FinancialModel1108_Y-PROJECT_0812_CN Financial Model-102004 2" xfId="30879"/>
    <cellStyle name="식_평택STP_01_09_27_FinancialModel1108_Y-PROJECT_0812_CN Financial Model-102004 2_분양(100%)" xfId="40469"/>
    <cellStyle name="식_평택STP_01_09_27_FinancialModel1108_Y-PROJECT_0812_CN Financial Model-102004_분양(100%)" xfId="40468"/>
    <cellStyle name="식_평택STP_01_09_27_FinancialModel1108_Y-PROJECT_0812_분양(100%)" xfId="40462"/>
    <cellStyle name="식_평택STP_01_09_27_FinancialModel1108_Y-PROJECT_0813_PM10" xfId="30880"/>
    <cellStyle name="식_평택STP_01_09_27_FinancialModel1108_Y-PROJECT_0813_PM10 2" xfId="30881"/>
    <cellStyle name="식_평택STP_01_09_27_FinancialModel1108_Y-PROJECT_0813_PM10 2_분양(100%)" xfId="40471"/>
    <cellStyle name="식_평택STP_01_09_27_FinancialModel1108_Y-PROJECT_0813_PM10_112504_CN FM_보장조정_협약변경-재조달순-rv1" xfId="30882"/>
    <cellStyle name="식_평택STP_01_09_27_FinancialModel1108_Y-PROJECT_0813_PM10_112504_CN FM_보장조정_협약변경-재조달순-rv1 2" xfId="30883"/>
    <cellStyle name="식_평택STP_01_09_27_FinancialModel1108_Y-PROJECT_0813_PM10_112504_CN FM_보장조정_협약변경-재조달순-rv1 2_분양(100%)" xfId="40473"/>
    <cellStyle name="식_평택STP_01_09_27_FinancialModel1108_Y-PROJECT_0813_PM10_112504_CN FM_보장조정_협약변경-재조달순-rv1_분양(100%)" xfId="40472"/>
    <cellStyle name="식_평택STP_01_09_27_FinancialModel1108_Y-PROJECT_0813_PM10_CN Financial Model-090704-4%" xfId="30884"/>
    <cellStyle name="식_평택STP_01_09_27_FinancialModel1108_Y-PROJECT_0813_PM10_CN Financial Model-090704-4% 2" xfId="30885"/>
    <cellStyle name="식_평택STP_01_09_27_FinancialModel1108_Y-PROJECT_0813_PM10_CN Financial Model-090704-4% 2_분양(100%)" xfId="40475"/>
    <cellStyle name="식_평택STP_01_09_27_FinancialModel1108_Y-PROJECT_0813_PM10_CN Financial Model-090704-4%_분양(100%)" xfId="40474"/>
    <cellStyle name="식_평택STP_01_09_27_FinancialModel1108_Y-PROJECT_0813_PM10_CN Financial Model-102004" xfId="30886"/>
    <cellStyle name="식_평택STP_01_09_27_FinancialModel1108_Y-PROJECT_0813_PM10_CN Financial Model-102004 2" xfId="30887"/>
    <cellStyle name="식_평택STP_01_09_27_FinancialModel1108_Y-PROJECT_0813_PM10_CN Financial Model-102004 2_분양(100%)" xfId="40477"/>
    <cellStyle name="식_평택STP_01_09_27_FinancialModel1108_Y-PROJECT_0813_PM10_CN Financial Model-102004_분양(100%)" xfId="40476"/>
    <cellStyle name="식_평택STP_01_09_27_FinancialModel1108_Y-PROJECT_0813_PM10_분양(100%)" xfId="40470"/>
    <cellStyle name="식_평택STP_01_09_27_FinancialModel1108_Y-PROJECT_0820(PM7)" xfId="30888"/>
    <cellStyle name="식_평택STP_01_09_27_FinancialModel1108_Y-PROJECT_0820(PM7) 2" xfId="30889"/>
    <cellStyle name="식_평택STP_01_09_27_FinancialModel1108_Y-PROJECT_0820(PM7) 2_분양(100%)" xfId="40479"/>
    <cellStyle name="식_평택STP_01_09_27_FinancialModel1108_Y-PROJECT_0820(PM7)_112504_CN FM_보장조정_협약변경-재조달순-rv1" xfId="30890"/>
    <cellStyle name="식_평택STP_01_09_27_FinancialModel1108_Y-PROJECT_0820(PM7)_112504_CN FM_보장조정_협약변경-재조달순-rv1 2" xfId="30891"/>
    <cellStyle name="식_평택STP_01_09_27_FinancialModel1108_Y-PROJECT_0820(PM7)_112504_CN FM_보장조정_협약변경-재조달순-rv1 2_분양(100%)" xfId="40481"/>
    <cellStyle name="식_평택STP_01_09_27_FinancialModel1108_Y-PROJECT_0820(PM7)_112504_CN FM_보장조정_협약변경-재조달순-rv1_분양(100%)" xfId="40480"/>
    <cellStyle name="식_평택STP_01_09_27_FinancialModel1108_Y-PROJECT_0820(PM7)_CN Financial Model-090704-4%" xfId="30892"/>
    <cellStyle name="식_평택STP_01_09_27_FinancialModel1108_Y-PROJECT_0820(PM7)_CN Financial Model-090704-4% 2" xfId="30893"/>
    <cellStyle name="식_평택STP_01_09_27_FinancialModel1108_Y-PROJECT_0820(PM7)_CN Financial Model-090704-4% 2_분양(100%)" xfId="40483"/>
    <cellStyle name="식_평택STP_01_09_27_FinancialModel1108_Y-PROJECT_0820(PM7)_CN Financial Model-090704-4%_분양(100%)" xfId="40482"/>
    <cellStyle name="식_평택STP_01_09_27_FinancialModel1108_Y-PROJECT_0820(PM7)_CN Financial Model-102004" xfId="30894"/>
    <cellStyle name="식_평택STP_01_09_27_FinancialModel1108_Y-PROJECT_0820(PM7)_CN Financial Model-102004 2" xfId="30895"/>
    <cellStyle name="식_평택STP_01_09_27_FinancialModel1108_Y-PROJECT_0820(PM7)_CN Financial Model-102004 2_분양(100%)" xfId="40485"/>
    <cellStyle name="식_평택STP_01_09_27_FinancialModel1108_Y-PROJECT_0820(PM7)_CN Financial Model-102004_분양(100%)" xfId="40484"/>
    <cellStyle name="식_평택STP_01_09_27_FinancialModel1108_Y-PROJECT_0820(PM7)_분양(100%)" xfId="40478"/>
    <cellStyle name="식_평택STP_01_09_27_FinancialModel1108_건설기간중대안2최종" xfId="30896"/>
    <cellStyle name="식_평택STP_01_09_27_FinancialModel1108_건설기간중대안2최종 2" xfId="30897"/>
    <cellStyle name="식_평택STP_01_09_27_FinancialModel1108_건설기간중대안2최종 2_분양(100%)" xfId="40487"/>
    <cellStyle name="식_평택STP_01_09_27_FinancialModel1108_건설기간중대안2최종_112504_CN FM_보장조정_협약변경-재조달순-rv1" xfId="30898"/>
    <cellStyle name="식_평택STP_01_09_27_FinancialModel1108_건설기간중대안2최종_112504_CN FM_보장조정_협약변경-재조달순-rv1 2" xfId="30899"/>
    <cellStyle name="식_평택STP_01_09_27_FinancialModel1108_건설기간중대안2최종_112504_CN FM_보장조정_협약변경-재조달순-rv1 2_분양(100%)" xfId="40489"/>
    <cellStyle name="식_평택STP_01_09_27_FinancialModel1108_건설기간중대안2최종_112504_CN FM_보장조정_협약변경-재조달순-rv1_분양(100%)" xfId="40488"/>
    <cellStyle name="식_평택STP_01_09_27_FinancialModel1108_건설기간중대안2최종_CN Financial Model-090704-4%" xfId="30900"/>
    <cellStyle name="식_평택STP_01_09_27_FinancialModel1108_건설기간중대안2최종_CN Financial Model-090704-4% 2" xfId="30901"/>
    <cellStyle name="식_평택STP_01_09_27_FinancialModel1108_건설기간중대안2최종_CN Financial Model-090704-4% 2_분양(100%)" xfId="40491"/>
    <cellStyle name="식_평택STP_01_09_27_FinancialModel1108_건설기간중대안2최종_CN Financial Model-090704-4%_분양(100%)" xfId="40490"/>
    <cellStyle name="식_평택STP_01_09_27_FinancialModel1108_건설기간중대안2최종_CN Financial Model-102004" xfId="30902"/>
    <cellStyle name="식_평택STP_01_09_27_FinancialModel1108_건설기간중대안2최종_CN Financial Model-102004 2" xfId="30903"/>
    <cellStyle name="식_평택STP_01_09_27_FinancialModel1108_건설기간중대안2최종_CN Financial Model-102004 2_분양(100%)" xfId="40493"/>
    <cellStyle name="식_평택STP_01_09_27_FinancialModel1108_건설기간중대안2최종_CN Financial Model-102004_분양(100%)" xfId="40492"/>
    <cellStyle name="식_평택STP_01_09_27_FinancialModel1108_건설기간중대안2최종_분양(100%)" xfId="40486"/>
    <cellStyle name="식_평택STP_01_09_27_FinancialModel1108_경기도수성0319" xfId="30904"/>
    <cellStyle name="식_평택STP_01_09_27_FinancialModel1108_경기도수성0319 2" xfId="30905"/>
    <cellStyle name="식_평택STP_01_09_27_FinancialModel1108_경기도수성0319 2_분양(100%)" xfId="40495"/>
    <cellStyle name="식_평택STP_01_09_27_FinancialModel1108_경기도수성0319_112504_CN FM_보장조정_협약변경-재조달순-rv1" xfId="30906"/>
    <cellStyle name="식_평택STP_01_09_27_FinancialModel1108_경기도수성0319_112504_CN FM_보장조정_협약변경-재조달순-rv1 2" xfId="30907"/>
    <cellStyle name="식_평택STP_01_09_27_FinancialModel1108_경기도수성0319_112504_CN FM_보장조정_협약변경-재조달순-rv1 2_분양(100%)" xfId="40497"/>
    <cellStyle name="식_평택STP_01_09_27_FinancialModel1108_경기도수성0319_112504_CN FM_보장조정_협약변경-재조달순-rv1_분양(100%)" xfId="40496"/>
    <cellStyle name="식_평택STP_01_09_27_FinancialModel1108_경기도수성0319_CN Financial Model-090704-4%" xfId="30908"/>
    <cellStyle name="식_평택STP_01_09_27_FinancialModel1108_경기도수성0319_CN Financial Model-090704-4% 2" xfId="30909"/>
    <cellStyle name="식_평택STP_01_09_27_FinancialModel1108_경기도수성0319_CN Financial Model-090704-4% 2_분양(100%)" xfId="40499"/>
    <cellStyle name="식_평택STP_01_09_27_FinancialModel1108_경기도수성0319_CN Financial Model-090704-4%_분양(100%)" xfId="40498"/>
    <cellStyle name="식_평택STP_01_09_27_FinancialModel1108_경기도수성0319_CN Financial Model-102004" xfId="30910"/>
    <cellStyle name="식_평택STP_01_09_27_FinancialModel1108_경기도수성0319_CN Financial Model-102004 2" xfId="30911"/>
    <cellStyle name="식_평택STP_01_09_27_FinancialModel1108_경기도수성0319_CN Financial Model-102004 2_분양(100%)" xfId="40501"/>
    <cellStyle name="식_평택STP_01_09_27_FinancialModel1108_경기도수성0319_CN Financial Model-102004_분양(100%)" xfId="40500"/>
    <cellStyle name="식_평택STP_01_09_27_FinancialModel1108_경기도수성0319_분양(100%)" xfId="40494"/>
    <cellStyle name="식_평택STP_01_09_27_FinancialModel1108_광명 지역난방 민간투자사업 재무모델_0619" xfId="30912"/>
    <cellStyle name="식_평택STP_01_09_27_FinancialModel1108_광명 지역난방 민간투자사업 재무모델_0619 2" xfId="30913"/>
    <cellStyle name="식_평택STP_01_09_27_FinancialModel1108_광명 지역난방 민간투자사업 재무모델_0619 2_분양(100%)" xfId="40503"/>
    <cellStyle name="식_평택STP_01_09_27_FinancialModel1108_광명 지역난방 민간투자사업 재무모델_0619_112504_CN FM_보장조정_협약변경-재조달순-rv1" xfId="30914"/>
    <cellStyle name="식_평택STP_01_09_27_FinancialModel1108_광명 지역난방 민간투자사업 재무모델_0619_112504_CN FM_보장조정_협약변경-재조달순-rv1 2" xfId="30915"/>
    <cellStyle name="식_평택STP_01_09_27_FinancialModel1108_광명 지역난방 민간투자사업 재무모델_0619_112504_CN FM_보장조정_협약변경-재조달순-rv1 2_분양(100%)" xfId="40505"/>
    <cellStyle name="식_평택STP_01_09_27_FinancialModel1108_광명 지역난방 민간투자사업 재무모델_0619_112504_CN FM_보장조정_협약변경-재조달순-rv1_분양(100%)" xfId="40504"/>
    <cellStyle name="식_평택STP_01_09_27_FinancialModel1108_광명 지역난방 민간투자사업 재무모델_0619_CN Financial Model-090704-4%" xfId="30916"/>
    <cellStyle name="식_평택STP_01_09_27_FinancialModel1108_광명 지역난방 민간투자사업 재무모델_0619_CN Financial Model-090704-4% 2" xfId="30917"/>
    <cellStyle name="식_평택STP_01_09_27_FinancialModel1108_광명 지역난방 민간투자사업 재무모델_0619_CN Financial Model-090704-4% 2_분양(100%)" xfId="40507"/>
    <cellStyle name="식_평택STP_01_09_27_FinancialModel1108_광명 지역난방 민간투자사업 재무모델_0619_CN Financial Model-090704-4%_분양(100%)" xfId="40506"/>
    <cellStyle name="식_평택STP_01_09_27_FinancialModel1108_광명 지역난방 민간투자사업 재무모델_0619_CN Financial Model-102004" xfId="30918"/>
    <cellStyle name="식_평택STP_01_09_27_FinancialModel1108_광명 지역난방 민간투자사업 재무모델_0619_CN Financial Model-102004 2" xfId="30919"/>
    <cellStyle name="식_평택STP_01_09_27_FinancialModel1108_광명 지역난방 민간투자사업 재무모델_0619_CN Financial Model-102004 2_분양(100%)" xfId="40509"/>
    <cellStyle name="식_평택STP_01_09_27_FinancialModel1108_광명 지역난방 민간투자사업 재무모델_0619_CN Financial Model-102004_분양(100%)" xfId="40508"/>
    <cellStyle name="식_평택STP_01_09_27_FinancialModel1108_광명 지역난방 민간투자사업 재무모델_0619_분양(100%)" xfId="40502"/>
    <cellStyle name="식_평택STP_01_09_27_FinancialModel1108_대안1(1129)" xfId="30920"/>
    <cellStyle name="식_평택STP_01_09_27_FinancialModel1108_대안1(1129) 2" xfId="30921"/>
    <cellStyle name="식_평택STP_01_09_27_FinancialModel1108_대안1(1129) 2_분양(100%)" xfId="40511"/>
    <cellStyle name="식_평택STP_01_09_27_FinancialModel1108_대안1(1129)_112504_CN FM_보장조정_협약변경-재조달순-rv1" xfId="30922"/>
    <cellStyle name="식_평택STP_01_09_27_FinancialModel1108_대안1(1129)_112504_CN FM_보장조정_협약변경-재조달순-rv1 2" xfId="30923"/>
    <cellStyle name="식_평택STP_01_09_27_FinancialModel1108_대안1(1129)_112504_CN FM_보장조정_협약변경-재조달순-rv1 2_분양(100%)" xfId="40513"/>
    <cellStyle name="식_평택STP_01_09_27_FinancialModel1108_대안1(1129)_112504_CN FM_보장조정_협약변경-재조달순-rv1_분양(100%)" xfId="40512"/>
    <cellStyle name="식_평택STP_01_09_27_FinancialModel1108_대안1(1129)_CN Financial Model-090704-4%" xfId="30924"/>
    <cellStyle name="식_평택STP_01_09_27_FinancialModel1108_대안1(1129)_CN Financial Model-090704-4% 2" xfId="30925"/>
    <cellStyle name="식_평택STP_01_09_27_FinancialModel1108_대안1(1129)_CN Financial Model-090704-4% 2_분양(100%)" xfId="40515"/>
    <cellStyle name="식_평택STP_01_09_27_FinancialModel1108_대안1(1129)_CN Financial Model-090704-4%_분양(100%)" xfId="40514"/>
    <cellStyle name="식_평택STP_01_09_27_FinancialModel1108_대안1(1129)_CN Financial Model-102004" xfId="30926"/>
    <cellStyle name="식_평택STP_01_09_27_FinancialModel1108_대안1(1129)_CN Financial Model-102004 2" xfId="30927"/>
    <cellStyle name="식_평택STP_01_09_27_FinancialModel1108_대안1(1129)_CN Financial Model-102004 2_분양(100%)" xfId="40517"/>
    <cellStyle name="식_평택STP_01_09_27_FinancialModel1108_대안1(1129)_CN Financial Model-102004_분양(100%)" xfId="40516"/>
    <cellStyle name="식_평택STP_01_09_27_FinancialModel1108_대안1(1129)_분양(100%)" xfId="40510"/>
    <cellStyle name="식_평택STP_01_09_27_FinancialModel1108_대안2(1201)" xfId="30928"/>
    <cellStyle name="식_평택STP_01_09_27_FinancialModel1108_대안2(1201) 2" xfId="30929"/>
    <cellStyle name="식_평택STP_01_09_27_FinancialModel1108_대안2(1201) 2_분양(100%)" xfId="40519"/>
    <cellStyle name="식_평택STP_01_09_27_FinancialModel1108_대안2(1201)_112504_CN FM_보장조정_협약변경-재조달순-rv1" xfId="30930"/>
    <cellStyle name="식_평택STP_01_09_27_FinancialModel1108_대안2(1201)_112504_CN FM_보장조정_협약변경-재조달순-rv1 2" xfId="30931"/>
    <cellStyle name="식_평택STP_01_09_27_FinancialModel1108_대안2(1201)_112504_CN FM_보장조정_협약변경-재조달순-rv1 2_분양(100%)" xfId="40521"/>
    <cellStyle name="식_평택STP_01_09_27_FinancialModel1108_대안2(1201)_112504_CN FM_보장조정_협약변경-재조달순-rv1_분양(100%)" xfId="40520"/>
    <cellStyle name="식_평택STP_01_09_27_FinancialModel1108_대안2(1201)_CN Financial Model-090704-4%" xfId="30932"/>
    <cellStyle name="식_평택STP_01_09_27_FinancialModel1108_대안2(1201)_CN Financial Model-090704-4% 2" xfId="30933"/>
    <cellStyle name="식_평택STP_01_09_27_FinancialModel1108_대안2(1201)_CN Financial Model-090704-4% 2_분양(100%)" xfId="40523"/>
    <cellStyle name="식_평택STP_01_09_27_FinancialModel1108_대안2(1201)_CN Financial Model-090704-4%_분양(100%)" xfId="40522"/>
    <cellStyle name="식_평택STP_01_09_27_FinancialModel1108_대안2(1201)_CN Financial Model-102004" xfId="30934"/>
    <cellStyle name="식_평택STP_01_09_27_FinancialModel1108_대안2(1201)_CN Financial Model-102004 2" xfId="30935"/>
    <cellStyle name="식_평택STP_01_09_27_FinancialModel1108_대안2(1201)_CN Financial Model-102004 2_분양(100%)" xfId="40525"/>
    <cellStyle name="식_평택STP_01_09_27_FinancialModel1108_대안2(1201)_CN Financial Model-102004_분양(100%)" xfId="40524"/>
    <cellStyle name="식_평택STP_01_09_27_FinancialModel1108_대안2(1201)_분양(100%)" xfId="40518"/>
    <cellStyle name="식_평택STP_01_09_27_FinancialModel1108_분양(100%)" xfId="40228"/>
    <cellStyle name="식_평택STP_01_09_27_FinancialModel1108_사본 - MODEL_0105" xfId="30936"/>
    <cellStyle name="식_평택STP_01_09_27_FinancialModel1108_사본 - MODEL_0105 2" xfId="30937"/>
    <cellStyle name="식_평택STP_01_09_27_FinancialModel1108_사본 - MODEL_0105 2_분양(100%)" xfId="40527"/>
    <cellStyle name="식_평택STP_01_09_27_FinancialModel1108_사본 - MODEL_0105_112504_CN FM_보장조정_협약변경-재조달순-rv1" xfId="30938"/>
    <cellStyle name="식_평택STP_01_09_27_FinancialModel1108_사본 - MODEL_0105_112504_CN FM_보장조정_협약변경-재조달순-rv1 2" xfId="30939"/>
    <cellStyle name="식_평택STP_01_09_27_FinancialModel1108_사본 - MODEL_0105_112504_CN FM_보장조정_협약변경-재조달순-rv1 2_분양(100%)" xfId="40529"/>
    <cellStyle name="식_평택STP_01_09_27_FinancialModel1108_사본 - MODEL_0105_112504_CN FM_보장조정_협약변경-재조달순-rv1_분양(100%)" xfId="40528"/>
    <cellStyle name="식_평택STP_01_09_27_FinancialModel1108_사본 - MODEL_0105_CN Financial Model-090704-4%" xfId="30940"/>
    <cellStyle name="식_평택STP_01_09_27_FinancialModel1108_사본 - MODEL_0105_CN Financial Model-090704-4% 2" xfId="30941"/>
    <cellStyle name="식_평택STP_01_09_27_FinancialModel1108_사본 - MODEL_0105_CN Financial Model-090704-4% 2_분양(100%)" xfId="40531"/>
    <cellStyle name="식_평택STP_01_09_27_FinancialModel1108_사본 - MODEL_0105_CN Financial Model-090704-4%_분양(100%)" xfId="40530"/>
    <cellStyle name="식_평택STP_01_09_27_FinancialModel1108_사본 - MODEL_0105_CN Financial Model-102004" xfId="30942"/>
    <cellStyle name="식_평택STP_01_09_27_FinancialModel1108_사본 - MODEL_0105_CN Financial Model-102004 2" xfId="30943"/>
    <cellStyle name="식_평택STP_01_09_27_FinancialModel1108_사본 - MODEL_0105_CN Financial Model-102004 2_분양(100%)" xfId="40533"/>
    <cellStyle name="식_평택STP_01_09_27_FinancialModel1108_사본 - MODEL_0105_CN Financial Model-102004_분양(100%)" xfId="40532"/>
    <cellStyle name="식_평택STP_01_09_27_FinancialModel1108_사본 - MODEL_0105_분양(100%)" xfId="40526"/>
    <cellStyle name="식_평택STP_01_09_27_FinancialModel1108_사본 - 사본 - 사본 - MODEL_0105" xfId="30944"/>
    <cellStyle name="식_평택STP_01_09_27_FinancialModel1108_사본 - 사본 - 사본 - MODEL_0105 2" xfId="30945"/>
    <cellStyle name="식_평택STP_01_09_27_FinancialModel1108_사본 - 사본 - 사본 - MODEL_0105 2_분양(100%)" xfId="40535"/>
    <cellStyle name="식_평택STP_01_09_27_FinancialModel1108_사본 - 사본 - 사본 - MODEL_0105_112504_CN FM_보장조정_협약변경-재조달순-rv1" xfId="30946"/>
    <cellStyle name="식_평택STP_01_09_27_FinancialModel1108_사본 - 사본 - 사본 - MODEL_0105_112504_CN FM_보장조정_협약변경-재조달순-rv1 2" xfId="30947"/>
    <cellStyle name="식_평택STP_01_09_27_FinancialModel1108_사본 - 사본 - 사본 - MODEL_0105_112504_CN FM_보장조정_협약변경-재조달순-rv1 2_분양(100%)" xfId="40537"/>
    <cellStyle name="식_평택STP_01_09_27_FinancialModel1108_사본 - 사본 - 사본 - MODEL_0105_112504_CN FM_보장조정_협약변경-재조달순-rv1_분양(100%)" xfId="40536"/>
    <cellStyle name="식_평택STP_01_09_27_FinancialModel1108_사본 - 사본 - 사본 - MODEL_0105_CN Financial Model-090704-4%" xfId="30948"/>
    <cellStyle name="식_평택STP_01_09_27_FinancialModel1108_사본 - 사본 - 사본 - MODEL_0105_CN Financial Model-090704-4% 2" xfId="30949"/>
    <cellStyle name="식_평택STP_01_09_27_FinancialModel1108_사본 - 사본 - 사본 - MODEL_0105_CN Financial Model-090704-4% 2_분양(100%)" xfId="40539"/>
    <cellStyle name="식_평택STP_01_09_27_FinancialModel1108_사본 - 사본 - 사본 - MODEL_0105_CN Financial Model-090704-4%_분양(100%)" xfId="40538"/>
    <cellStyle name="식_평택STP_01_09_27_FinancialModel1108_사본 - 사본 - 사본 - MODEL_0105_CN Financial Model-102004" xfId="30950"/>
    <cellStyle name="식_평택STP_01_09_27_FinancialModel1108_사본 - 사본 - 사본 - MODEL_0105_CN Financial Model-102004 2" xfId="30951"/>
    <cellStyle name="식_평택STP_01_09_27_FinancialModel1108_사본 - 사본 - 사본 - MODEL_0105_CN Financial Model-102004 2_분양(100%)" xfId="40541"/>
    <cellStyle name="식_평택STP_01_09_27_FinancialModel1108_사본 - 사본 - 사본 - MODEL_0105_CN Financial Model-102004_분양(100%)" xfId="40540"/>
    <cellStyle name="식_평택STP_01_09_27_FinancialModel1108_사본 - 사본 - 사본 - MODEL_0105_분양(100%)" xfId="40534"/>
    <cellStyle name="식_평택STP_01_09_27_FinancialModel1108_양식" xfId="30952"/>
    <cellStyle name="식_평택STP_01_09_27_FinancialModel1108_양식 2" xfId="30953"/>
    <cellStyle name="식_평택STP_01_09_27_FinancialModel1108_양식 2_분양(100%)" xfId="40543"/>
    <cellStyle name="식_평택STP_01_09_27_FinancialModel1108_양식_112504_CN FM_보장조정_협약변경-재조달순-rv1" xfId="30954"/>
    <cellStyle name="식_평택STP_01_09_27_FinancialModel1108_양식_112504_CN FM_보장조정_협약변경-재조달순-rv1 2" xfId="30955"/>
    <cellStyle name="식_평택STP_01_09_27_FinancialModel1108_양식_112504_CN FM_보장조정_협약변경-재조달순-rv1 2_분양(100%)" xfId="40545"/>
    <cellStyle name="식_평택STP_01_09_27_FinancialModel1108_양식_112504_CN FM_보장조정_협약변경-재조달순-rv1_분양(100%)" xfId="40544"/>
    <cellStyle name="식_평택STP_01_09_27_FinancialModel1108_양식_CN Financial Model-090704-4%" xfId="30956"/>
    <cellStyle name="식_평택STP_01_09_27_FinancialModel1108_양식_CN Financial Model-090704-4% 2" xfId="30957"/>
    <cellStyle name="식_평택STP_01_09_27_FinancialModel1108_양식_CN Financial Model-090704-4% 2_분양(100%)" xfId="40547"/>
    <cellStyle name="식_평택STP_01_09_27_FinancialModel1108_양식_CN Financial Model-090704-4%_분양(100%)" xfId="40546"/>
    <cellStyle name="식_평택STP_01_09_27_FinancialModel1108_양식_CN Financial Model-102004" xfId="30958"/>
    <cellStyle name="식_평택STP_01_09_27_FinancialModel1108_양식_CN Financial Model-102004 2" xfId="30959"/>
    <cellStyle name="식_평택STP_01_09_27_FinancialModel1108_양식_CN Financial Model-102004 2_분양(100%)" xfId="40549"/>
    <cellStyle name="식_평택STP_01_09_27_FinancialModel1108_양식_CN Financial Model-102004_분양(100%)" xfId="40548"/>
    <cellStyle name="식_평택STP_01_09_27_FinancialModel1108_양식_분양(100%)" xfId="40542"/>
    <cellStyle name="식_평택STP_01_09_27_FinancialModel1108_용인 LRT_0619" xfId="30960"/>
    <cellStyle name="식_평택STP_01_09_27_FinancialModel1108_용인 LRT_0619 2" xfId="30961"/>
    <cellStyle name="식_평택STP_01_09_27_FinancialModel1108_용인 LRT_0619 2_분양(100%)" xfId="40551"/>
    <cellStyle name="식_평택STP_01_09_27_FinancialModel1108_용인 LRT_0619_112504_CN FM_보장조정_협약변경-재조달순-rv1" xfId="30962"/>
    <cellStyle name="식_평택STP_01_09_27_FinancialModel1108_용인 LRT_0619_112504_CN FM_보장조정_협약변경-재조달순-rv1 2" xfId="30963"/>
    <cellStyle name="식_평택STP_01_09_27_FinancialModel1108_용인 LRT_0619_112504_CN FM_보장조정_협약변경-재조달순-rv1 2_분양(100%)" xfId="40553"/>
    <cellStyle name="식_평택STP_01_09_27_FinancialModel1108_용인 LRT_0619_112504_CN FM_보장조정_협약변경-재조달순-rv1_분양(100%)" xfId="40552"/>
    <cellStyle name="식_평택STP_01_09_27_FinancialModel1108_용인 LRT_0619_CN Financial Model-090704-4%" xfId="30964"/>
    <cellStyle name="식_평택STP_01_09_27_FinancialModel1108_용인 LRT_0619_CN Financial Model-090704-4% 2" xfId="30965"/>
    <cellStyle name="식_평택STP_01_09_27_FinancialModel1108_용인 LRT_0619_CN Financial Model-090704-4% 2_분양(100%)" xfId="40555"/>
    <cellStyle name="식_평택STP_01_09_27_FinancialModel1108_용인 LRT_0619_CN Financial Model-090704-4%_분양(100%)" xfId="40554"/>
    <cellStyle name="식_평택STP_01_09_27_FinancialModel1108_용인 LRT_0619_CN Financial Model-102004" xfId="30966"/>
    <cellStyle name="식_평택STP_01_09_27_FinancialModel1108_용인 LRT_0619_CN Financial Model-102004 2" xfId="30967"/>
    <cellStyle name="식_평택STP_01_09_27_FinancialModel1108_용인 LRT_0619_CN Financial Model-102004 2_분양(100%)" xfId="40557"/>
    <cellStyle name="식_평택STP_01_09_27_FinancialModel1108_용인 LRT_0619_CN Financial Model-102004_분양(100%)" xfId="40556"/>
    <cellStyle name="식_평택STP_01_09_27_FinancialModel1108_용인 LRT_0619_분양(100%)" xfId="40550"/>
    <cellStyle name="식_평택STP_01_09_27_FinancialModel1108_용인 LRT_0619-2" xfId="30968"/>
    <cellStyle name="식_평택STP_01_09_27_FinancialModel1108_용인 LRT_0619-2 2" xfId="30969"/>
    <cellStyle name="식_평택STP_01_09_27_FinancialModel1108_용인 LRT_0619-2 2_분양(100%)" xfId="40559"/>
    <cellStyle name="식_평택STP_01_09_27_FinancialModel1108_용인 LRT_0619-2_112504_CN FM_보장조정_협약변경-재조달순-rv1" xfId="30970"/>
    <cellStyle name="식_평택STP_01_09_27_FinancialModel1108_용인 LRT_0619-2_112504_CN FM_보장조정_협약변경-재조달순-rv1 2" xfId="30971"/>
    <cellStyle name="식_평택STP_01_09_27_FinancialModel1108_용인 LRT_0619-2_112504_CN FM_보장조정_협약변경-재조달순-rv1 2_분양(100%)" xfId="40561"/>
    <cellStyle name="식_평택STP_01_09_27_FinancialModel1108_용인 LRT_0619-2_112504_CN FM_보장조정_협약변경-재조달순-rv1_분양(100%)" xfId="40560"/>
    <cellStyle name="식_평택STP_01_09_27_FinancialModel1108_용인 LRT_0619-2_CN Financial Model-090704-4%" xfId="30972"/>
    <cellStyle name="식_평택STP_01_09_27_FinancialModel1108_용인 LRT_0619-2_CN Financial Model-090704-4% 2" xfId="30973"/>
    <cellStyle name="식_평택STP_01_09_27_FinancialModel1108_용인 LRT_0619-2_CN Financial Model-090704-4% 2_분양(100%)" xfId="40563"/>
    <cellStyle name="식_평택STP_01_09_27_FinancialModel1108_용인 LRT_0619-2_CN Financial Model-090704-4%_분양(100%)" xfId="40562"/>
    <cellStyle name="식_평택STP_01_09_27_FinancialModel1108_용인 LRT_0619-2_CN Financial Model-102004" xfId="30974"/>
    <cellStyle name="식_평택STP_01_09_27_FinancialModel1108_용인 LRT_0619-2_CN Financial Model-102004 2" xfId="30975"/>
    <cellStyle name="식_평택STP_01_09_27_FinancialModel1108_용인 LRT_0619-2_CN Financial Model-102004 2_분양(100%)" xfId="40565"/>
    <cellStyle name="식_평택STP_01_09_27_FinancialModel1108_용인 LRT_0619-2_CN Financial Model-102004_분양(100%)" xfId="40564"/>
    <cellStyle name="식_평택STP_01_09_27_FinancialModel1108_용인 LRT_0619-2_분양(100%)" xfId="40558"/>
    <cellStyle name="식_평택STP_01_09_27_FinancialModel1108_용인 LRT_0620" xfId="30976"/>
    <cellStyle name="식_평택STP_01_09_27_FinancialModel1108_용인 LRT_0620 2" xfId="30977"/>
    <cellStyle name="식_평택STP_01_09_27_FinancialModel1108_용인 LRT_0620 2_분양(100%)" xfId="40567"/>
    <cellStyle name="식_평택STP_01_09_27_FinancialModel1108_용인 LRT_0620_112504_CN FM_보장조정_협약변경-재조달순-rv1" xfId="30978"/>
    <cellStyle name="식_평택STP_01_09_27_FinancialModel1108_용인 LRT_0620_112504_CN FM_보장조정_협약변경-재조달순-rv1 2" xfId="30979"/>
    <cellStyle name="식_평택STP_01_09_27_FinancialModel1108_용인 LRT_0620_112504_CN FM_보장조정_협약변경-재조달순-rv1 2_분양(100%)" xfId="40569"/>
    <cellStyle name="식_평택STP_01_09_27_FinancialModel1108_용인 LRT_0620_112504_CN FM_보장조정_협약변경-재조달순-rv1_분양(100%)" xfId="40568"/>
    <cellStyle name="식_평택STP_01_09_27_FinancialModel1108_용인 LRT_0620_CN Financial Model-090704-4%" xfId="30980"/>
    <cellStyle name="식_평택STP_01_09_27_FinancialModel1108_용인 LRT_0620_CN Financial Model-090704-4% 2" xfId="30981"/>
    <cellStyle name="식_평택STP_01_09_27_FinancialModel1108_용인 LRT_0620_CN Financial Model-090704-4% 2_분양(100%)" xfId="40571"/>
    <cellStyle name="식_평택STP_01_09_27_FinancialModel1108_용인 LRT_0620_CN Financial Model-090704-4%_분양(100%)" xfId="40570"/>
    <cellStyle name="식_평택STP_01_09_27_FinancialModel1108_용인 LRT_0620_CN Financial Model-102004" xfId="30982"/>
    <cellStyle name="식_평택STP_01_09_27_FinancialModel1108_용인 LRT_0620_CN Financial Model-102004 2" xfId="30983"/>
    <cellStyle name="식_평택STP_01_09_27_FinancialModel1108_용인 LRT_0620_CN Financial Model-102004 2_분양(100%)" xfId="40573"/>
    <cellStyle name="식_평택STP_01_09_27_FinancialModel1108_용인 LRT_0620_CN Financial Model-102004_분양(100%)" xfId="40572"/>
    <cellStyle name="식_평택STP_01_09_27_FinancialModel1108_용인 LRT_0620_분양(100%)" xfId="40566"/>
    <cellStyle name="식_평택STP_01_09_27_FinancialModel1108_용인 경량전철 민간투자사업 재무모델" xfId="30984"/>
    <cellStyle name="식_평택STP_01_09_27_FinancialModel1108_용인 경량전철 민간투자사업 재무모델 2" xfId="30985"/>
    <cellStyle name="식_평택STP_01_09_27_FinancialModel1108_용인 경량전철 민간투자사업 재무모델 2_분양(100%)" xfId="40575"/>
    <cellStyle name="식_평택STP_01_09_27_FinancialModel1108_용인 경량전철 민간투자사업 재무모델_112504_CN FM_보장조정_협약변경-재조달순-rv1" xfId="30986"/>
    <cellStyle name="식_평택STP_01_09_27_FinancialModel1108_용인 경량전철 민간투자사업 재무모델_112504_CN FM_보장조정_협약변경-재조달순-rv1 2" xfId="30987"/>
    <cellStyle name="식_평택STP_01_09_27_FinancialModel1108_용인 경량전철 민간투자사업 재무모델_112504_CN FM_보장조정_협약변경-재조달순-rv1 2_분양(100%)" xfId="40577"/>
    <cellStyle name="식_평택STP_01_09_27_FinancialModel1108_용인 경량전철 민간투자사업 재무모델_112504_CN FM_보장조정_협약변경-재조달순-rv1_분양(100%)" xfId="40576"/>
    <cellStyle name="식_평택STP_01_09_27_FinancialModel1108_용인 경량전철 민간투자사업 재무모델_CN Financial Model-090704-4%" xfId="30988"/>
    <cellStyle name="식_평택STP_01_09_27_FinancialModel1108_용인 경량전철 민간투자사업 재무모델_CN Financial Model-090704-4% 2" xfId="30989"/>
    <cellStyle name="식_평택STP_01_09_27_FinancialModel1108_용인 경량전철 민간투자사업 재무모델_CN Financial Model-090704-4% 2_분양(100%)" xfId="40579"/>
    <cellStyle name="식_평택STP_01_09_27_FinancialModel1108_용인 경량전철 민간투자사업 재무모델_CN Financial Model-090704-4%_분양(100%)" xfId="40578"/>
    <cellStyle name="식_평택STP_01_09_27_FinancialModel1108_용인 경량전철 민간투자사업 재무모델_CN Financial Model-102004" xfId="30990"/>
    <cellStyle name="식_평택STP_01_09_27_FinancialModel1108_용인 경량전철 민간투자사업 재무모델_CN Financial Model-102004 2" xfId="30991"/>
    <cellStyle name="식_평택STP_01_09_27_FinancialModel1108_용인 경량전철 민간투자사업 재무모델_CN Financial Model-102004 2_분양(100%)" xfId="40581"/>
    <cellStyle name="식_평택STP_01_09_27_FinancialModel1108_용인 경량전철 민간투자사업 재무모델_CN Financial Model-102004_분양(100%)" xfId="40580"/>
    <cellStyle name="식_평택STP_01_09_27_FinancialModel1108_용인 경량전철 민간투자사업 재무모델_분양(100%)" xfId="40574"/>
    <cellStyle name="식_평택STP_01_09_27_FinancialModel1108_운영설비비(고기리0320)" xfId="30992"/>
    <cellStyle name="식_평택STP_01_09_27_FinancialModel1108_운영설비비(고기리0320) 2" xfId="30993"/>
    <cellStyle name="식_평택STP_01_09_27_FinancialModel1108_운영설비비(고기리0320) 2_분양(100%)" xfId="40583"/>
    <cellStyle name="식_평택STP_01_09_27_FinancialModel1108_운영설비비(고기리0320)_112504_CN FM_보장조정_협약변경-재조달순-rv1" xfId="30994"/>
    <cellStyle name="식_평택STP_01_09_27_FinancialModel1108_운영설비비(고기리0320)_112504_CN FM_보장조정_협약변경-재조달순-rv1 2" xfId="30995"/>
    <cellStyle name="식_평택STP_01_09_27_FinancialModel1108_운영설비비(고기리0320)_112504_CN FM_보장조정_협약변경-재조달순-rv1 2_분양(100%)" xfId="40585"/>
    <cellStyle name="식_평택STP_01_09_27_FinancialModel1108_운영설비비(고기리0320)_112504_CN FM_보장조정_협약변경-재조달순-rv1_분양(100%)" xfId="40584"/>
    <cellStyle name="식_평택STP_01_09_27_FinancialModel1108_운영설비비(고기리0320)_CN Financial Model-090704-4%" xfId="30996"/>
    <cellStyle name="식_평택STP_01_09_27_FinancialModel1108_운영설비비(고기리0320)_CN Financial Model-090704-4% 2" xfId="30997"/>
    <cellStyle name="식_평택STP_01_09_27_FinancialModel1108_운영설비비(고기리0320)_CN Financial Model-090704-4% 2_분양(100%)" xfId="40587"/>
    <cellStyle name="식_평택STP_01_09_27_FinancialModel1108_운영설비비(고기리0320)_CN Financial Model-090704-4%_분양(100%)" xfId="40586"/>
    <cellStyle name="식_평택STP_01_09_27_FinancialModel1108_운영설비비(고기리0320)_CN Financial Model-102004" xfId="30998"/>
    <cellStyle name="식_평택STP_01_09_27_FinancialModel1108_운영설비비(고기리0320)_CN Financial Model-102004 2" xfId="30999"/>
    <cellStyle name="식_평택STP_01_09_27_FinancialModel1108_운영설비비(고기리0320)_CN Financial Model-102004 2_분양(100%)" xfId="40589"/>
    <cellStyle name="식_평택STP_01_09_27_FinancialModel1108_운영설비비(고기리0320)_CN Financial Model-102004_분양(100%)" xfId="40588"/>
    <cellStyle name="식_평택STP_01_09_27_FinancialModel1108_운영설비비(고기리0320)_분양(100%)" xfId="40582"/>
    <cellStyle name="식_평택STP_01_09_27_FinancialModel1108_재무모델_김천하수관거_0221" xfId="330"/>
    <cellStyle name="식_평택STP_01_09_27_FinancialModel1108_재무모델_김천하수관거_0222" xfId="331"/>
    <cellStyle name="식_평택STP_01_09_27_FinancialModel1108_재무모델_김천하수관거_0224" xfId="332"/>
    <cellStyle name="식_평택STP_01_09_27_FinancialModel1108_재무모델_김천하수관거_부속작업중" xfId="333"/>
    <cellStyle name="식_평택STP_01_09_27_FinancialModel1108_재무모델_인천신현고외" xfId="334"/>
    <cellStyle name="식_평택STP_01_09_27_FinancialModel1108_재무모델_인천신현고외_재무모델_김천하수관거_0221" xfId="335"/>
    <cellStyle name="식_평택STP_01_09_27_FinancialModel1108_재무모델_인천신현고외_재무모델_김천하수관거_0222" xfId="336"/>
    <cellStyle name="식_평택STP_01_09_27_FinancialModel1108_재무모델_인천신현고외_재무모델_김천하수관거_0224" xfId="337"/>
    <cellStyle name="식_평택STP_01_09_27_FinancialModel1108_재무모델_인천신현고외_재무모델_김천하수관거_부속작업중" xfId="338"/>
    <cellStyle name="식_평택STP_01_09_27_FinancialModel1108_천안논산 Valuation_0426" xfId="31000"/>
    <cellStyle name="식_평택STP_01_09_27_FinancialModel1108_천안논산 Valuation_0426 2" xfId="31001"/>
    <cellStyle name="식_평택STP_01_09_27_FinancialModel1108_천안논산 Valuation_0426 2_분양(100%)" xfId="40591"/>
    <cellStyle name="식_평택STP_01_09_27_FinancialModel1108_천안논산 Valuation_0426_112504_CN FM_보장조정_협약변경-재조달순-rv1" xfId="31002"/>
    <cellStyle name="식_평택STP_01_09_27_FinancialModel1108_천안논산 Valuation_0426_112504_CN FM_보장조정_협약변경-재조달순-rv1 2" xfId="31003"/>
    <cellStyle name="식_평택STP_01_09_27_FinancialModel1108_천안논산 Valuation_0426_112504_CN FM_보장조정_협약변경-재조달순-rv1 2_분양(100%)" xfId="40593"/>
    <cellStyle name="식_평택STP_01_09_27_FinancialModel1108_천안논산 Valuation_0426_112504_CN FM_보장조정_협약변경-재조달순-rv1_분양(100%)" xfId="40592"/>
    <cellStyle name="식_평택STP_01_09_27_FinancialModel1108_천안논산 Valuation_0426_CN Financial Model-090704-4%" xfId="31004"/>
    <cellStyle name="식_평택STP_01_09_27_FinancialModel1108_천안논산 Valuation_0426_CN Financial Model-090704-4% 2" xfId="31005"/>
    <cellStyle name="식_평택STP_01_09_27_FinancialModel1108_천안논산 Valuation_0426_CN Financial Model-090704-4% 2_분양(100%)" xfId="40595"/>
    <cellStyle name="식_평택STP_01_09_27_FinancialModel1108_천안논산 Valuation_0426_CN Financial Model-090704-4%_분양(100%)" xfId="40594"/>
    <cellStyle name="식_평택STP_01_09_27_FinancialModel1108_천안논산 Valuation_0426_CN Financial Model-102004" xfId="31006"/>
    <cellStyle name="식_평택STP_01_09_27_FinancialModel1108_천안논산 Valuation_0426_CN Financial Model-102004 2" xfId="31007"/>
    <cellStyle name="식_평택STP_01_09_27_FinancialModel1108_천안논산 Valuation_0426_CN Financial Model-102004 2_분양(100%)" xfId="40597"/>
    <cellStyle name="식_평택STP_01_09_27_FinancialModel1108_천안논산 Valuation_0426_CN Financial Model-102004_분양(100%)" xfId="40596"/>
    <cellStyle name="식_평택STP_01_09_27_FinancialModel1108_천안논산 Valuation_0426_분양(100%)" xfId="40590"/>
    <cellStyle name="식_평택STP_01_09_27_FinancialModel1108_천안논산 Valuation_0428" xfId="31008"/>
    <cellStyle name="식_평택STP_01_09_27_FinancialModel1108_천안논산 Valuation_0428 2" xfId="31009"/>
    <cellStyle name="식_평택STP_01_09_27_FinancialModel1108_천안논산 Valuation_0428 2_분양(100%)" xfId="40599"/>
    <cellStyle name="식_평택STP_01_09_27_FinancialModel1108_천안논산 Valuation_0428_112504_CN FM_보장조정_협약변경-재조달순-rv1" xfId="31010"/>
    <cellStyle name="식_평택STP_01_09_27_FinancialModel1108_천안논산 Valuation_0428_112504_CN FM_보장조정_협약변경-재조달순-rv1 2" xfId="31011"/>
    <cellStyle name="식_평택STP_01_09_27_FinancialModel1108_천안논산 Valuation_0428_112504_CN FM_보장조정_협약변경-재조달순-rv1 2_분양(100%)" xfId="40601"/>
    <cellStyle name="식_평택STP_01_09_27_FinancialModel1108_천안논산 Valuation_0428_112504_CN FM_보장조정_협약변경-재조달순-rv1_분양(100%)" xfId="40600"/>
    <cellStyle name="식_평택STP_01_09_27_FinancialModel1108_천안논산 Valuation_0428_CN Financial Model-090704-4%" xfId="31012"/>
    <cellStyle name="식_평택STP_01_09_27_FinancialModel1108_천안논산 Valuation_0428_CN Financial Model-090704-4% 2" xfId="31013"/>
    <cellStyle name="식_평택STP_01_09_27_FinancialModel1108_천안논산 Valuation_0428_CN Financial Model-090704-4% 2_분양(100%)" xfId="40603"/>
    <cellStyle name="식_평택STP_01_09_27_FinancialModel1108_천안논산 Valuation_0428_CN Financial Model-090704-4%_분양(100%)" xfId="40602"/>
    <cellStyle name="식_평택STP_01_09_27_FinancialModel1108_천안논산 Valuation_0428_CN Financial Model-102004" xfId="31014"/>
    <cellStyle name="식_평택STP_01_09_27_FinancialModel1108_천안논산 Valuation_0428_CN Financial Model-102004 2" xfId="31015"/>
    <cellStyle name="식_평택STP_01_09_27_FinancialModel1108_천안논산 Valuation_0428_CN Financial Model-102004 2_분양(100%)" xfId="40605"/>
    <cellStyle name="식_평택STP_01_09_27_FinancialModel1108_천안논산 Valuation_0428_CN Financial Model-102004_분양(100%)" xfId="40604"/>
    <cellStyle name="식_평택STP_01_09_27_FinancialModel1108_천안논산 Valuation_0428_분양(100%)" xfId="40598"/>
    <cellStyle name="식_평택STP_01_09_27_FinancialModel1108_천안논산 Valuation_0430" xfId="31016"/>
    <cellStyle name="식_평택STP_01_09_27_FinancialModel1108_천안논산 Valuation_0430 2" xfId="31017"/>
    <cellStyle name="식_평택STP_01_09_27_FinancialModel1108_천안논산 Valuation_0430 2_분양(100%)" xfId="40607"/>
    <cellStyle name="식_평택STP_01_09_27_FinancialModel1108_천안논산 Valuation_0430_112504_CN FM_보장조정_협약변경-재조달순-rv1" xfId="31018"/>
    <cellStyle name="식_평택STP_01_09_27_FinancialModel1108_천안논산 Valuation_0430_112504_CN FM_보장조정_협약변경-재조달순-rv1 2" xfId="31019"/>
    <cellStyle name="식_평택STP_01_09_27_FinancialModel1108_천안논산 Valuation_0430_112504_CN FM_보장조정_협약변경-재조달순-rv1 2_분양(100%)" xfId="40609"/>
    <cellStyle name="식_평택STP_01_09_27_FinancialModel1108_천안논산 Valuation_0430_112504_CN FM_보장조정_협약변경-재조달순-rv1_분양(100%)" xfId="40608"/>
    <cellStyle name="식_평택STP_01_09_27_FinancialModel1108_천안논산 Valuation_0430_CN Financial Model-090704-4%" xfId="31020"/>
    <cellStyle name="식_평택STP_01_09_27_FinancialModel1108_천안논산 Valuation_0430_CN Financial Model-090704-4% 2" xfId="31021"/>
    <cellStyle name="식_평택STP_01_09_27_FinancialModel1108_천안논산 Valuation_0430_CN Financial Model-090704-4% 2_분양(100%)" xfId="40611"/>
    <cellStyle name="식_평택STP_01_09_27_FinancialModel1108_천안논산 Valuation_0430_CN Financial Model-090704-4%_분양(100%)" xfId="40610"/>
    <cellStyle name="식_평택STP_01_09_27_FinancialModel1108_천안논산 Valuation_0430_CN Financial Model-102004" xfId="31022"/>
    <cellStyle name="식_평택STP_01_09_27_FinancialModel1108_천안논산 Valuation_0430_CN Financial Model-102004 2" xfId="31023"/>
    <cellStyle name="식_평택STP_01_09_27_FinancialModel1108_천안논산 Valuation_0430_CN Financial Model-102004 2_분양(100%)" xfId="40613"/>
    <cellStyle name="식_평택STP_01_09_27_FinancialModel1108_천안논산 Valuation_0430_CN Financial Model-102004_분양(100%)" xfId="40612"/>
    <cellStyle name="식_평택STP_01_09_27_FinancialModel1108_천안논산 Valuation_0430_분양(100%)" xfId="40606"/>
    <cellStyle name="식_평택STP_01_09_27_FinancialModel1108_천안논산 Valuation_0502" xfId="31024"/>
    <cellStyle name="식_평택STP_01_09_27_FinancialModel1108_천안논산 Valuation_0502 2" xfId="31025"/>
    <cellStyle name="식_평택STP_01_09_27_FinancialModel1108_천안논산 Valuation_0502 2_분양(100%)" xfId="40615"/>
    <cellStyle name="식_평택STP_01_09_27_FinancialModel1108_천안논산 Valuation_0502_112504_CN FM_보장조정_협약변경-재조달순-rv1" xfId="31026"/>
    <cellStyle name="식_평택STP_01_09_27_FinancialModel1108_천안논산 Valuation_0502_112504_CN FM_보장조정_협약변경-재조달순-rv1 2" xfId="31027"/>
    <cellStyle name="식_평택STP_01_09_27_FinancialModel1108_천안논산 Valuation_0502_112504_CN FM_보장조정_협약변경-재조달순-rv1 2_분양(100%)" xfId="40617"/>
    <cellStyle name="식_평택STP_01_09_27_FinancialModel1108_천안논산 Valuation_0502_112504_CN FM_보장조정_협약변경-재조달순-rv1_분양(100%)" xfId="40616"/>
    <cellStyle name="식_평택STP_01_09_27_FinancialModel1108_천안논산 Valuation_0502_CN Financial Model-090704-4%" xfId="31028"/>
    <cellStyle name="식_평택STP_01_09_27_FinancialModel1108_천안논산 Valuation_0502_CN Financial Model-090704-4% 2" xfId="31029"/>
    <cellStyle name="식_평택STP_01_09_27_FinancialModel1108_천안논산 Valuation_0502_CN Financial Model-090704-4% 2_분양(100%)" xfId="40619"/>
    <cellStyle name="식_평택STP_01_09_27_FinancialModel1108_천안논산 Valuation_0502_CN Financial Model-090704-4%_분양(100%)" xfId="40618"/>
    <cellStyle name="식_평택STP_01_09_27_FinancialModel1108_천안논산 Valuation_0502_CN Financial Model-102004" xfId="31030"/>
    <cellStyle name="식_평택STP_01_09_27_FinancialModel1108_천안논산 Valuation_0502_CN Financial Model-102004 2" xfId="31031"/>
    <cellStyle name="식_평택STP_01_09_27_FinancialModel1108_천안논산 Valuation_0502_CN Financial Model-102004 2_분양(100%)" xfId="40621"/>
    <cellStyle name="식_평택STP_01_09_27_FinancialModel1108_천안논산 Valuation_0502_CN Financial Model-102004_분양(100%)" xfId="40620"/>
    <cellStyle name="식_평택STP_01_09_27_FinancialModel1108_천안논산 Valuation_0502_분양(100%)" xfId="40614"/>
    <cellStyle name="식_평택STP_01_09_27_Pt" xfId="339"/>
    <cellStyle name="식_평택STP_01_09_27_Pt 2" xfId="31032"/>
    <cellStyle name="식_평택STP_01_09_27_Pt 2_분양(100%)" xfId="40623"/>
    <cellStyle name="식_평택STP_01_09_27_Pt_(문원고기만)MODEL0318" xfId="31033"/>
    <cellStyle name="식_평택STP_01_09_27_Pt_(문원고기만)MODEL0318 2" xfId="31034"/>
    <cellStyle name="식_평택STP_01_09_27_Pt_(문원고기만)MODEL0318 2_분양(100%)" xfId="40625"/>
    <cellStyle name="식_평택STP_01_09_27_Pt_(문원고기만)MODEL0318_112504_CN FM_보장조정_협약변경-재조달순-rv1" xfId="31035"/>
    <cellStyle name="식_평택STP_01_09_27_Pt_(문원고기만)MODEL0318_112504_CN FM_보장조정_협약변경-재조달순-rv1 2" xfId="31036"/>
    <cellStyle name="식_평택STP_01_09_27_Pt_(문원고기만)MODEL0318_112504_CN FM_보장조정_협약변경-재조달순-rv1 2_분양(100%)" xfId="40627"/>
    <cellStyle name="식_평택STP_01_09_27_Pt_(문원고기만)MODEL0318_112504_CN FM_보장조정_협약변경-재조달순-rv1_분양(100%)" xfId="40626"/>
    <cellStyle name="식_평택STP_01_09_27_Pt_(문원고기만)MODEL0318_CN Financial Model-090704-4%" xfId="31037"/>
    <cellStyle name="식_평택STP_01_09_27_Pt_(문원고기만)MODEL0318_CN Financial Model-090704-4% 2" xfId="31038"/>
    <cellStyle name="식_평택STP_01_09_27_Pt_(문원고기만)MODEL0318_CN Financial Model-090704-4% 2_분양(100%)" xfId="40629"/>
    <cellStyle name="식_평택STP_01_09_27_Pt_(문원고기만)MODEL0318_CN Financial Model-090704-4%_분양(100%)" xfId="40628"/>
    <cellStyle name="식_평택STP_01_09_27_Pt_(문원고기만)MODEL0318_CN Financial Model-102004" xfId="31039"/>
    <cellStyle name="식_평택STP_01_09_27_Pt_(문원고기만)MODEL0318_CN Financial Model-102004 2" xfId="31040"/>
    <cellStyle name="식_평택STP_01_09_27_Pt_(문원고기만)MODEL0318_CN Financial Model-102004 2_분양(100%)" xfId="40631"/>
    <cellStyle name="식_평택STP_01_09_27_Pt_(문원고기만)MODEL0318_CN Financial Model-102004_분양(100%)" xfId="40630"/>
    <cellStyle name="식_평택STP_01_09_27_Pt_(문원고기만)MODEL0318_분양(100%)" xfId="40624"/>
    <cellStyle name="식_평택STP_01_09_27_Pt_(제출용)재무모델_(가칭)영신개발관리(주)" xfId="340"/>
    <cellStyle name="식_평택STP_01_09_27_Pt_(제출용)재무모델_(가칭)영신개발관리(주)_재무모델_김천하수관거_0221" xfId="341"/>
    <cellStyle name="식_평택STP_01_09_27_Pt_(제출용)재무모델_(가칭)영신개발관리(주)_재무모델_김천하수관거_0222" xfId="342"/>
    <cellStyle name="식_평택STP_01_09_27_Pt_(제출용)재무모델_(가칭)영신개발관리(주)_재무모델_김천하수관거_0224" xfId="343"/>
    <cellStyle name="식_평택STP_01_09_27_Pt_(제출용)재무모델_(가칭)영신개발관리(주)_재무모델_김천하수관거_부속작업중" xfId="344"/>
    <cellStyle name="식_평택STP_01_09_27_Pt_CN Financial Model v11" xfId="31041"/>
    <cellStyle name="식_평택STP_01_09_27_Pt_CN Financial Model v11 2" xfId="31042"/>
    <cellStyle name="식_평택STP_01_09_27_Pt_CN Financial Model v11 2_분양(100%)" xfId="40633"/>
    <cellStyle name="식_평택STP_01_09_27_Pt_CN Financial Model v11_112504_CN FM_보장조정_협약변경-재조달순-rv1" xfId="31043"/>
    <cellStyle name="식_평택STP_01_09_27_Pt_CN Financial Model v11_112504_CN FM_보장조정_협약변경-재조달순-rv1 2" xfId="31044"/>
    <cellStyle name="식_평택STP_01_09_27_Pt_CN Financial Model v11_112504_CN FM_보장조정_협약변경-재조달순-rv1 2_분양(100%)" xfId="40635"/>
    <cellStyle name="식_평택STP_01_09_27_Pt_CN Financial Model v11_112504_CN FM_보장조정_협약변경-재조달순-rv1_분양(100%)" xfId="40634"/>
    <cellStyle name="식_평택STP_01_09_27_Pt_CN Financial Model v11_CN Financial Model-090704-4%" xfId="31045"/>
    <cellStyle name="식_평택STP_01_09_27_Pt_CN Financial Model v11_CN Financial Model-090704-4% 2" xfId="31046"/>
    <cellStyle name="식_평택STP_01_09_27_Pt_CN Financial Model v11_CN Financial Model-090704-4% 2_분양(100%)" xfId="40637"/>
    <cellStyle name="식_평택STP_01_09_27_Pt_CN Financial Model v11_CN Financial Model-090704-4%_분양(100%)" xfId="40636"/>
    <cellStyle name="식_평택STP_01_09_27_Pt_CN Financial Model v11_CN Financial Model-102004" xfId="31047"/>
    <cellStyle name="식_평택STP_01_09_27_Pt_CN Financial Model v11_CN Financial Model-102004 2" xfId="31048"/>
    <cellStyle name="식_평택STP_01_09_27_Pt_CN Financial Model v11_CN Financial Model-102004 2_분양(100%)" xfId="40639"/>
    <cellStyle name="식_평택STP_01_09_27_Pt_CN Financial Model v11_CN Financial Model-102004_분양(100%)" xfId="40638"/>
    <cellStyle name="식_평택STP_01_09_27_Pt_CN Financial Model v11_분양(100%)" xfId="40632"/>
    <cellStyle name="식_평택STP_01_09_27_Pt_CN Financial Model-정부제출-062504-기준모델" xfId="31049"/>
    <cellStyle name="식_평택STP_01_09_27_Pt_CN Financial Model-정부제출-062504-기준모델 2" xfId="31050"/>
    <cellStyle name="식_평택STP_01_09_27_Pt_CN Financial Model-정부제출-062504-기준모델 2_분양(100%)" xfId="40641"/>
    <cellStyle name="식_평택STP_01_09_27_Pt_CN Financial Model-정부제출-062504-기준모델_112504_CN FM_보장조정_협약변경-재조달순-rv1" xfId="31051"/>
    <cellStyle name="식_평택STP_01_09_27_Pt_CN Financial Model-정부제출-062504-기준모델_112504_CN FM_보장조정_협약변경-재조달순-rv1 2" xfId="31052"/>
    <cellStyle name="식_평택STP_01_09_27_Pt_CN Financial Model-정부제출-062504-기준모델_112504_CN FM_보장조정_협약변경-재조달순-rv1 2_분양(100%)" xfId="40643"/>
    <cellStyle name="식_평택STP_01_09_27_Pt_CN Financial Model-정부제출-062504-기준모델_112504_CN FM_보장조정_협약변경-재조달순-rv1_분양(100%)" xfId="40642"/>
    <cellStyle name="식_평택STP_01_09_27_Pt_CN Financial Model-정부제출-062504-기준모델_CN Financial Model-090704-4%" xfId="31053"/>
    <cellStyle name="식_평택STP_01_09_27_Pt_CN Financial Model-정부제출-062504-기준모델_CN Financial Model-090704-4% 2" xfId="31054"/>
    <cellStyle name="식_평택STP_01_09_27_Pt_CN Financial Model-정부제출-062504-기준모델_CN Financial Model-090704-4% 2_분양(100%)" xfId="40645"/>
    <cellStyle name="식_평택STP_01_09_27_Pt_CN Financial Model-정부제출-062504-기준모델_CN Financial Model-090704-4%_분양(100%)" xfId="40644"/>
    <cellStyle name="식_평택STP_01_09_27_Pt_CN Financial Model-정부제출-062504-기준모델_CN Financial Model-102004" xfId="31055"/>
    <cellStyle name="식_평택STP_01_09_27_Pt_CN Financial Model-정부제출-062504-기준모델_CN Financial Model-102004 2" xfId="31056"/>
    <cellStyle name="식_평택STP_01_09_27_Pt_CN Financial Model-정부제출-062504-기준모델_CN Financial Model-102004 2_분양(100%)" xfId="40647"/>
    <cellStyle name="식_평택STP_01_09_27_Pt_CN Financial Model-정부제출-062504-기준모델_CN Financial Model-102004_분양(100%)" xfId="40646"/>
    <cellStyle name="식_평택STP_01_09_27_Pt_CN Financial Model-정부제출-062504-기준모델_분양(100%)" xfId="40640"/>
    <cellStyle name="식_평택STP_01_09_27_Pt_CN Pjt Valuation_0520" xfId="31057"/>
    <cellStyle name="식_평택STP_01_09_27_Pt_CN Pjt Valuation_0520 2" xfId="31058"/>
    <cellStyle name="식_평택STP_01_09_27_Pt_CN Pjt Valuation_0520 2_분양(100%)" xfId="40649"/>
    <cellStyle name="식_평택STP_01_09_27_Pt_CN Pjt Valuation_0520_112504_CN FM_보장조정_협약변경-재조달순-rv1" xfId="31059"/>
    <cellStyle name="식_평택STP_01_09_27_Pt_CN Pjt Valuation_0520_112504_CN FM_보장조정_협약변경-재조달순-rv1 2" xfId="31060"/>
    <cellStyle name="식_평택STP_01_09_27_Pt_CN Pjt Valuation_0520_112504_CN FM_보장조정_협약변경-재조달순-rv1 2_분양(100%)" xfId="40651"/>
    <cellStyle name="식_평택STP_01_09_27_Pt_CN Pjt Valuation_0520_112504_CN FM_보장조정_협약변경-재조달순-rv1_분양(100%)" xfId="40650"/>
    <cellStyle name="식_평택STP_01_09_27_Pt_CN Pjt Valuation_0520_CN Financial Model-090704-4%" xfId="31061"/>
    <cellStyle name="식_평택STP_01_09_27_Pt_CN Pjt Valuation_0520_CN Financial Model-090704-4% 2" xfId="31062"/>
    <cellStyle name="식_평택STP_01_09_27_Pt_CN Pjt Valuation_0520_CN Financial Model-090704-4% 2_분양(100%)" xfId="40653"/>
    <cellStyle name="식_평택STP_01_09_27_Pt_CN Pjt Valuation_0520_CN Financial Model-090704-4%_분양(100%)" xfId="40652"/>
    <cellStyle name="식_평택STP_01_09_27_Pt_CN Pjt Valuation_0520_CN Financial Model-102004" xfId="31063"/>
    <cellStyle name="식_평택STP_01_09_27_Pt_CN Pjt Valuation_0520_CN Financial Model-102004 2" xfId="31064"/>
    <cellStyle name="식_평택STP_01_09_27_Pt_CN Pjt Valuation_0520_CN Financial Model-102004 2_분양(100%)" xfId="40655"/>
    <cellStyle name="식_평택STP_01_09_27_Pt_CN Pjt Valuation_0520_CN Financial Model-102004_분양(100%)" xfId="40654"/>
    <cellStyle name="식_평택STP_01_09_27_Pt_CN Pjt Valuation_0520_분양(100%)" xfId="40648"/>
    <cellStyle name="식_평택STP_01_09_27_Pt_C-PROJECT FINANCIAL MODEL_0704" xfId="31065"/>
    <cellStyle name="식_평택STP_01_09_27_Pt_C-PROJECT FINANCIAL MODEL_0704 2" xfId="31066"/>
    <cellStyle name="식_평택STP_01_09_27_Pt_C-PROJECT FINANCIAL MODEL_0704 2_분양(100%)" xfId="40657"/>
    <cellStyle name="식_평택STP_01_09_27_Pt_C-PROJECT FINANCIAL MODEL_0704_112504_CN FM_보장조정_협약변경-재조달순-rv1" xfId="31067"/>
    <cellStyle name="식_평택STP_01_09_27_Pt_C-PROJECT FINANCIAL MODEL_0704_112504_CN FM_보장조정_협약변경-재조달순-rv1 2" xfId="31068"/>
    <cellStyle name="식_평택STP_01_09_27_Pt_C-PROJECT FINANCIAL MODEL_0704_112504_CN FM_보장조정_협약변경-재조달순-rv1 2_분양(100%)" xfId="40659"/>
    <cellStyle name="식_평택STP_01_09_27_Pt_C-PROJECT FINANCIAL MODEL_0704_112504_CN FM_보장조정_협약변경-재조달순-rv1_분양(100%)" xfId="40658"/>
    <cellStyle name="식_평택STP_01_09_27_Pt_C-PROJECT FINANCIAL MODEL_0704_CN Financial Model-090704-4%" xfId="31069"/>
    <cellStyle name="식_평택STP_01_09_27_Pt_C-PROJECT FINANCIAL MODEL_0704_CN Financial Model-090704-4% 2" xfId="31070"/>
    <cellStyle name="식_평택STP_01_09_27_Pt_C-PROJECT FINANCIAL MODEL_0704_CN Financial Model-090704-4% 2_분양(100%)" xfId="40661"/>
    <cellStyle name="식_평택STP_01_09_27_Pt_C-PROJECT FINANCIAL MODEL_0704_CN Financial Model-090704-4%_분양(100%)" xfId="40660"/>
    <cellStyle name="식_평택STP_01_09_27_Pt_C-PROJECT FINANCIAL MODEL_0704_CN Financial Model-102004" xfId="31071"/>
    <cellStyle name="식_평택STP_01_09_27_Pt_C-PROJECT FINANCIAL MODEL_0704_CN Financial Model-102004 2" xfId="31072"/>
    <cellStyle name="식_평택STP_01_09_27_Pt_C-PROJECT FINANCIAL MODEL_0704_CN Financial Model-102004 2_분양(100%)" xfId="40663"/>
    <cellStyle name="식_평택STP_01_09_27_Pt_C-PROJECT FINANCIAL MODEL_0704_CN Financial Model-102004_분양(100%)" xfId="40662"/>
    <cellStyle name="식_평택STP_01_09_27_Pt_C-PROJECT FINANCIAL MODEL_0704_분양(100%)" xfId="40656"/>
    <cellStyle name="식_평택STP_01_09_27_Pt_C-PROJECT_0722_pm2" xfId="31073"/>
    <cellStyle name="식_평택STP_01_09_27_Pt_C-PROJECT_0722_pm2 2" xfId="31074"/>
    <cellStyle name="식_평택STP_01_09_27_Pt_C-PROJECT_0722_pm2 2_분양(100%)" xfId="40665"/>
    <cellStyle name="식_평택STP_01_09_27_Pt_C-PROJECT_0722_pm2_112504_CN FM_보장조정_협약변경-재조달순-rv1" xfId="31075"/>
    <cellStyle name="식_평택STP_01_09_27_Pt_C-PROJECT_0722_pm2_112504_CN FM_보장조정_협약변경-재조달순-rv1 2" xfId="31076"/>
    <cellStyle name="식_평택STP_01_09_27_Pt_C-PROJECT_0722_pm2_112504_CN FM_보장조정_협약변경-재조달순-rv1 2_분양(100%)" xfId="40667"/>
    <cellStyle name="식_평택STP_01_09_27_Pt_C-PROJECT_0722_pm2_112504_CN FM_보장조정_협약변경-재조달순-rv1_분양(100%)" xfId="40666"/>
    <cellStyle name="식_평택STP_01_09_27_Pt_C-PROJECT_0722_pm2_CN Financial Model-090704-4%" xfId="31077"/>
    <cellStyle name="식_평택STP_01_09_27_Pt_C-PROJECT_0722_pm2_CN Financial Model-090704-4% 2" xfId="31078"/>
    <cellStyle name="식_평택STP_01_09_27_Pt_C-PROJECT_0722_pm2_CN Financial Model-090704-4% 2_분양(100%)" xfId="40669"/>
    <cellStyle name="식_평택STP_01_09_27_Pt_C-PROJECT_0722_pm2_CN Financial Model-090704-4%_분양(100%)" xfId="40668"/>
    <cellStyle name="식_평택STP_01_09_27_Pt_C-PROJECT_0722_pm2_CN Financial Model-102004" xfId="31079"/>
    <cellStyle name="식_평택STP_01_09_27_Pt_C-PROJECT_0722_pm2_CN Financial Model-102004 2" xfId="31080"/>
    <cellStyle name="식_평택STP_01_09_27_Pt_C-PROJECT_0722_pm2_CN Financial Model-102004 2_분양(100%)" xfId="40671"/>
    <cellStyle name="식_평택STP_01_09_27_Pt_C-PROJECT_0722_pm2_CN Financial Model-102004_분양(100%)" xfId="40670"/>
    <cellStyle name="식_평택STP_01_09_27_Pt_C-PROJECT_0722_pm2_분양(100%)" xfId="40664"/>
    <cellStyle name="식_평택STP_01_09_27_Pt_C-PROJECT_0801" xfId="31081"/>
    <cellStyle name="식_평택STP_01_09_27_Pt_C-PROJECT_0801 2" xfId="31082"/>
    <cellStyle name="식_평택STP_01_09_27_Pt_C-PROJECT_0801 2_분양(100%)" xfId="40673"/>
    <cellStyle name="식_평택STP_01_09_27_Pt_C-PROJECT_0801_112504_CN FM_보장조정_협약변경-재조달순-rv1" xfId="31083"/>
    <cellStyle name="식_평택STP_01_09_27_Pt_C-PROJECT_0801_112504_CN FM_보장조정_협약변경-재조달순-rv1 2" xfId="31084"/>
    <cellStyle name="식_평택STP_01_09_27_Pt_C-PROJECT_0801_112504_CN FM_보장조정_협약변경-재조달순-rv1 2_분양(100%)" xfId="40675"/>
    <cellStyle name="식_평택STP_01_09_27_Pt_C-PROJECT_0801_112504_CN FM_보장조정_협약변경-재조달순-rv1_분양(100%)" xfId="40674"/>
    <cellStyle name="식_평택STP_01_09_27_Pt_C-PROJECT_0801_CN Financial Model-090704-4%" xfId="31085"/>
    <cellStyle name="식_평택STP_01_09_27_Pt_C-PROJECT_0801_CN Financial Model-090704-4% 2" xfId="31086"/>
    <cellStyle name="식_평택STP_01_09_27_Pt_C-PROJECT_0801_CN Financial Model-090704-4% 2_분양(100%)" xfId="40677"/>
    <cellStyle name="식_평택STP_01_09_27_Pt_C-PROJECT_0801_CN Financial Model-090704-4%_분양(100%)" xfId="40676"/>
    <cellStyle name="식_평택STP_01_09_27_Pt_C-PROJECT_0801_CN Financial Model-102004" xfId="31087"/>
    <cellStyle name="식_평택STP_01_09_27_Pt_C-PROJECT_0801_CN Financial Model-102004 2" xfId="31088"/>
    <cellStyle name="식_평택STP_01_09_27_Pt_C-PROJECT_0801_CN Financial Model-102004 2_분양(100%)" xfId="40679"/>
    <cellStyle name="식_평택STP_01_09_27_Pt_C-PROJECT_0801_CN Financial Model-102004_분양(100%)" xfId="40678"/>
    <cellStyle name="식_평택STP_01_09_27_Pt_C-PROJECT_0801_분양(100%)" xfId="40672"/>
    <cellStyle name="식_평택STP_01_09_27_Pt_Financial model_(가칭)경남e-스쿨주식회사" xfId="345"/>
    <cellStyle name="식_평택STP_01_09_27_Pt_Financial model_(가칭)경남e-스쿨주식회사_재무모델_김천하수관거_0221" xfId="346"/>
    <cellStyle name="식_평택STP_01_09_27_Pt_Financial model_(가칭)경남e-스쿨주식회사_재무모델_김천하수관거_0222" xfId="347"/>
    <cellStyle name="식_평택STP_01_09_27_Pt_Financial model_(가칭)경남e-스쿨주식회사_재무모델_김천하수관거_0224" xfId="348"/>
    <cellStyle name="식_평택STP_01_09_27_Pt_Financial model_(가칭)경남e-스쿨주식회사_재무모델_김천하수관거_부속작업중" xfId="349"/>
    <cellStyle name="식_평택STP_01_09_27_Pt_Financial model_중리초 외 4개교(백)" xfId="350"/>
    <cellStyle name="식_평택STP_01_09_27_Pt_Financial model_중리초 외 4개교(백)_재무모델_김천하수관거_0221" xfId="351"/>
    <cellStyle name="식_평택STP_01_09_27_Pt_Financial model_중리초 외 4개교(백)_재무모델_김천하수관거_0222" xfId="352"/>
    <cellStyle name="식_평택STP_01_09_27_Pt_Financial model_중리초 외 4개교(백)_재무모델_김천하수관거_0224" xfId="353"/>
    <cellStyle name="식_평택STP_01_09_27_Pt_Financial model_중리초 외 4개교(백)_재무모델_김천하수관거_부속작업중" xfId="354"/>
    <cellStyle name="식_평택STP_01_09_27_Pt_FinancialModel1108(2)" xfId="355"/>
    <cellStyle name="식_평택STP_01_09_27_Pt_FinancialModel1108(2) 2" xfId="31089"/>
    <cellStyle name="식_평택STP_01_09_27_Pt_FinancialModel1108(2) 2_분양(100%)" xfId="40681"/>
    <cellStyle name="식_평택STP_01_09_27_Pt_FinancialModel1108(2)_112504_CN FM_보장조정_협약변경-재조달순-rv1" xfId="31090"/>
    <cellStyle name="식_평택STP_01_09_27_Pt_FinancialModel1108(2)_112504_CN FM_보장조정_협약변경-재조달순-rv1 2" xfId="31091"/>
    <cellStyle name="식_평택STP_01_09_27_Pt_FinancialModel1108(2)_112504_CN FM_보장조정_협약변경-재조달순-rv1 2_분양(100%)" xfId="40683"/>
    <cellStyle name="식_평택STP_01_09_27_Pt_FinancialModel1108(2)_112504_CN FM_보장조정_협약변경-재조달순-rv1_분양(100%)" xfId="40682"/>
    <cellStyle name="식_평택STP_01_09_27_Pt_FinancialModel1108(2)_CN Financial Model-090704-4%" xfId="31092"/>
    <cellStyle name="식_평택STP_01_09_27_Pt_FinancialModel1108(2)_CN Financial Model-090704-4% 2" xfId="31093"/>
    <cellStyle name="식_평택STP_01_09_27_Pt_FinancialModel1108(2)_CN Financial Model-090704-4% 2_분양(100%)" xfId="40685"/>
    <cellStyle name="식_평택STP_01_09_27_Pt_FinancialModel1108(2)_CN Financial Model-090704-4%_분양(100%)" xfId="40684"/>
    <cellStyle name="식_평택STP_01_09_27_Pt_FinancialModel1108(2)_CN Financial Model-102004" xfId="31094"/>
    <cellStyle name="식_평택STP_01_09_27_Pt_FinancialModel1108(2)_CN Financial Model-102004 2" xfId="31095"/>
    <cellStyle name="식_평택STP_01_09_27_Pt_FinancialModel1108(2)_CN Financial Model-102004 2_분양(100%)" xfId="40687"/>
    <cellStyle name="식_평택STP_01_09_27_Pt_FinancialModel1108(2)_CN Financial Model-102004_분양(100%)" xfId="40686"/>
    <cellStyle name="식_평택STP_01_09_27_Pt_FinancialModel1108(2)_분양(100%)" xfId="40680"/>
    <cellStyle name="식_평택STP_01_09_27_Pt_FinancialModel1108(2)_재무모델_김천하수관거_0221" xfId="356"/>
    <cellStyle name="식_평택STP_01_09_27_Pt_FinancialModel1108(2)_재무모델_김천하수관거_0222" xfId="357"/>
    <cellStyle name="식_평택STP_01_09_27_Pt_FinancialModel1108(2)_재무모델_김천하수관거_0224" xfId="358"/>
    <cellStyle name="식_평택STP_01_09_27_Pt_FinancialModel1108(2)_재무모델_김천하수관거_부속작업중" xfId="359"/>
    <cellStyle name="식_평택STP_01_09_27_Pt_I-Pjt Fm(1028)" xfId="31096"/>
    <cellStyle name="식_평택STP_01_09_27_Pt_I-Pjt Fm(1028) 2" xfId="31097"/>
    <cellStyle name="식_평택STP_01_09_27_Pt_I-Pjt Fm(1028) 2_분양(100%)" xfId="40689"/>
    <cellStyle name="식_평택STP_01_09_27_Pt_I-Pjt Fm(1028)_112504_CN FM_보장조정_협약변경-재조달순-rv1" xfId="31098"/>
    <cellStyle name="식_평택STP_01_09_27_Pt_I-Pjt Fm(1028)_112504_CN FM_보장조정_협약변경-재조달순-rv1 2" xfId="31099"/>
    <cellStyle name="식_평택STP_01_09_27_Pt_I-Pjt Fm(1028)_112504_CN FM_보장조정_협약변경-재조달순-rv1 2_분양(100%)" xfId="40691"/>
    <cellStyle name="식_평택STP_01_09_27_Pt_I-Pjt Fm(1028)_112504_CN FM_보장조정_협약변경-재조달순-rv1_분양(100%)" xfId="40690"/>
    <cellStyle name="식_평택STP_01_09_27_Pt_I-Pjt Fm(1028)_CN Financial Model-090704-4%" xfId="31100"/>
    <cellStyle name="식_평택STP_01_09_27_Pt_I-Pjt Fm(1028)_CN Financial Model-090704-4% 2" xfId="31101"/>
    <cellStyle name="식_평택STP_01_09_27_Pt_I-Pjt Fm(1028)_CN Financial Model-090704-4% 2_분양(100%)" xfId="40693"/>
    <cellStyle name="식_평택STP_01_09_27_Pt_I-Pjt Fm(1028)_CN Financial Model-090704-4%_분양(100%)" xfId="40692"/>
    <cellStyle name="식_평택STP_01_09_27_Pt_I-Pjt Fm(1028)_CN Financial Model-102004" xfId="31102"/>
    <cellStyle name="식_평택STP_01_09_27_Pt_I-Pjt Fm(1028)_CN Financial Model-102004 2" xfId="31103"/>
    <cellStyle name="식_평택STP_01_09_27_Pt_I-Pjt Fm(1028)_CN Financial Model-102004 2_분양(100%)" xfId="40695"/>
    <cellStyle name="식_평택STP_01_09_27_Pt_I-Pjt Fm(1028)_CN Financial Model-102004_분양(100%)" xfId="40694"/>
    <cellStyle name="식_평택STP_01_09_27_Pt_I-Pjt Fm(1028)_분양(100%)" xfId="40688"/>
    <cellStyle name="식_평택STP_01_09_27_Pt_I-Pjt Fm(1031)" xfId="31104"/>
    <cellStyle name="식_평택STP_01_09_27_Pt_I-Pjt Fm(1031) 2" xfId="31105"/>
    <cellStyle name="식_평택STP_01_09_27_Pt_I-Pjt Fm(1031) 2_분양(100%)" xfId="40697"/>
    <cellStyle name="식_평택STP_01_09_27_Pt_I-Pjt Fm(1031)_112504_CN FM_보장조정_협약변경-재조달순-rv1" xfId="31106"/>
    <cellStyle name="식_평택STP_01_09_27_Pt_I-Pjt Fm(1031)_112504_CN FM_보장조정_협약변경-재조달순-rv1 2" xfId="31107"/>
    <cellStyle name="식_평택STP_01_09_27_Pt_I-Pjt Fm(1031)_112504_CN FM_보장조정_협약변경-재조달순-rv1 2_분양(100%)" xfId="40699"/>
    <cellStyle name="식_평택STP_01_09_27_Pt_I-Pjt Fm(1031)_112504_CN FM_보장조정_협약변경-재조달순-rv1_분양(100%)" xfId="40698"/>
    <cellStyle name="식_평택STP_01_09_27_Pt_I-Pjt Fm(1031)_CN Financial Model-090704-4%" xfId="31108"/>
    <cellStyle name="식_평택STP_01_09_27_Pt_I-Pjt Fm(1031)_CN Financial Model-090704-4% 2" xfId="31109"/>
    <cellStyle name="식_평택STP_01_09_27_Pt_I-Pjt Fm(1031)_CN Financial Model-090704-4% 2_분양(100%)" xfId="40701"/>
    <cellStyle name="식_평택STP_01_09_27_Pt_I-Pjt Fm(1031)_CN Financial Model-090704-4%_분양(100%)" xfId="40700"/>
    <cellStyle name="식_평택STP_01_09_27_Pt_I-Pjt Fm(1031)_CN Financial Model-102004" xfId="31110"/>
    <cellStyle name="식_평택STP_01_09_27_Pt_I-Pjt Fm(1031)_CN Financial Model-102004 2" xfId="31111"/>
    <cellStyle name="식_평택STP_01_09_27_Pt_I-Pjt Fm(1031)_CN Financial Model-102004 2_분양(100%)" xfId="40703"/>
    <cellStyle name="식_평택STP_01_09_27_Pt_I-Pjt Fm(1031)_CN Financial Model-102004_분양(100%)" xfId="40702"/>
    <cellStyle name="식_평택STP_01_09_27_Pt_I-Pjt Fm(1031)_분양(100%)" xfId="40696"/>
    <cellStyle name="식_평택STP_01_09_27_Pt_MODEL_0117" xfId="31112"/>
    <cellStyle name="식_평택STP_01_09_27_Pt_MODEL_0117 2" xfId="31113"/>
    <cellStyle name="식_평택STP_01_09_27_Pt_MODEL_0117 2_분양(100%)" xfId="40705"/>
    <cellStyle name="식_평택STP_01_09_27_Pt_MODEL_0117_112504_CN FM_보장조정_협약변경-재조달순-rv1" xfId="31114"/>
    <cellStyle name="식_평택STP_01_09_27_Pt_MODEL_0117_112504_CN FM_보장조정_협약변경-재조달순-rv1 2" xfId="31115"/>
    <cellStyle name="식_평택STP_01_09_27_Pt_MODEL_0117_112504_CN FM_보장조정_협약변경-재조달순-rv1 2_분양(100%)" xfId="40707"/>
    <cellStyle name="식_평택STP_01_09_27_Pt_MODEL_0117_112504_CN FM_보장조정_협약변경-재조달순-rv1_분양(100%)" xfId="40706"/>
    <cellStyle name="식_평택STP_01_09_27_Pt_MODEL_0117_CN Financial Model-090704-4%" xfId="31116"/>
    <cellStyle name="식_평택STP_01_09_27_Pt_MODEL_0117_CN Financial Model-090704-4% 2" xfId="31117"/>
    <cellStyle name="식_평택STP_01_09_27_Pt_MODEL_0117_CN Financial Model-090704-4% 2_분양(100%)" xfId="40709"/>
    <cellStyle name="식_평택STP_01_09_27_Pt_MODEL_0117_CN Financial Model-090704-4%_분양(100%)" xfId="40708"/>
    <cellStyle name="식_평택STP_01_09_27_Pt_MODEL_0117_CN Financial Model-102004" xfId="31118"/>
    <cellStyle name="식_평택STP_01_09_27_Pt_MODEL_0117_CN Financial Model-102004 2" xfId="31119"/>
    <cellStyle name="식_평택STP_01_09_27_Pt_MODEL_0117_CN Financial Model-102004 2_분양(100%)" xfId="40711"/>
    <cellStyle name="식_평택STP_01_09_27_Pt_MODEL_0117_CN Financial Model-102004_분양(100%)" xfId="40710"/>
    <cellStyle name="식_평택STP_01_09_27_Pt_MODEL_0117_분양(100%)" xfId="40704"/>
    <cellStyle name="식_평택STP_01_09_27_Pt_MODEL_0118" xfId="31120"/>
    <cellStyle name="식_평택STP_01_09_27_Pt_MODEL_0118 2" xfId="31121"/>
    <cellStyle name="식_평택STP_01_09_27_Pt_MODEL_0118 2_분양(100%)" xfId="40713"/>
    <cellStyle name="식_평택STP_01_09_27_Pt_MODEL_0118_112504_CN FM_보장조정_협약변경-재조달순-rv1" xfId="31122"/>
    <cellStyle name="식_평택STP_01_09_27_Pt_MODEL_0118_112504_CN FM_보장조정_협약변경-재조달순-rv1 2" xfId="31123"/>
    <cellStyle name="식_평택STP_01_09_27_Pt_MODEL_0118_112504_CN FM_보장조정_협약변경-재조달순-rv1 2_분양(100%)" xfId="40715"/>
    <cellStyle name="식_평택STP_01_09_27_Pt_MODEL_0118_112504_CN FM_보장조정_협약변경-재조달순-rv1_분양(100%)" xfId="40714"/>
    <cellStyle name="식_평택STP_01_09_27_Pt_MODEL_0118_CN Financial Model-090704-4%" xfId="31124"/>
    <cellStyle name="식_평택STP_01_09_27_Pt_MODEL_0118_CN Financial Model-090704-4% 2" xfId="31125"/>
    <cellStyle name="식_평택STP_01_09_27_Pt_MODEL_0118_CN Financial Model-090704-4% 2_분양(100%)" xfId="40717"/>
    <cellStyle name="식_평택STP_01_09_27_Pt_MODEL_0118_CN Financial Model-090704-4%_분양(100%)" xfId="40716"/>
    <cellStyle name="식_평택STP_01_09_27_Pt_MODEL_0118_CN Financial Model-102004" xfId="31126"/>
    <cellStyle name="식_평택STP_01_09_27_Pt_MODEL_0118_CN Financial Model-102004 2" xfId="31127"/>
    <cellStyle name="식_평택STP_01_09_27_Pt_MODEL_0118_CN Financial Model-102004 2_분양(100%)" xfId="40719"/>
    <cellStyle name="식_평택STP_01_09_27_Pt_MODEL_0118_CN Financial Model-102004_분양(100%)" xfId="40718"/>
    <cellStyle name="식_평택STP_01_09_27_Pt_MODEL_0118_분양(100%)" xfId="40712"/>
    <cellStyle name="식_평택STP_01_09_27_Pt_MODEL0205" xfId="31128"/>
    <cellStyle name="식_평택STP_01_09_27_Pt_MODEL0205 2" xfId="31129"/>
    <cellStyle name="식_평택STP_01_09_27_Pt_MODEL0205 2_분양(100%)" xfId="40721"/>
    <cellStyle name="식_평택STP_01_09_27_Pt_MODEL0205_112504_CN FM_보장조정_협약변경-재조달순-rv1" xfId="31130"/>
    <cellStyle name="식_평택STP_01_09_27_Pt_MODEL0205_112504_CN FM_보장조정_협약변경-재조달순-rv1 2" xfId="31131"/>
    <cellStyle name="식_평택STP_01_09_27_Pt_MODEL0205_112504_CN FM_보장조정_협약변경-재조달순-rv1 2_분양(100%)" xfId="40723"/>
    <cellStyle name="식_평택STP_01_09_27_Pt_MODEL0205_112504_CN FM_보장조정_협약변경-재조달순-rv1_분양(100%)" xfId="40722"/>
    <cellStyle name="식_평택STP_01_09_27_Pt_MODEL0205_CN Financial Model-090704-4%" xfId="31132"/>
    <cellStyle name="식_평택STP_01_09_27_Pt_MODEL0205_CN Financial Model-090704-4% 2" xfId="31133"/>
    <cellStyle name="식_평택STP_01_09_27_Pt_MODEL0205_CN Financial Model-090704-4% 2_분양(100%)" xfId="40725"/>
    <cellStyle name="식_평택STP_01_09_27_Pt_MODEL0205_CN Financial Model-090704-4%_분양(100%)" xfId="40724"/>
    <cellStyle name="식_평택STP_01_09_27_Pt_MODEL0205_CN Financial Model-102004" xfId="31134"/>
    <cellStyle name="식_평택STP_01_09_27_Pt_MODEL0205_CN Financial Model-102004 2" xfId="31135"/>
    <cellStyle name="식_평택STP_01_09_27_Pt_MODEL0205_CN Financial Model-102004 2_분양(100%)" xfId="40727"/>
    <cellStyle name="식_평택STP_01_09_27_Pt_MODEL0205_CN Financial Model-102004_분양(100%)" xfId="40726"/>
    <cellStyle name="식_평택STP_01_09_27_Pt_MODEL0205_분양(100%)" xfId="40720"/>
    <cellStyle name="식_평택STP_01_09_27_Pt_MODEL0209" xfId="31136"/>
    <cellStyle name="식_평택STP_01_09_27_Pt_MODEL0209 2" xfId="31137"/>
    <cellStyle name="식_평택STP_01_09_27_Pt_MODEL0209 2_분양(100%)" xfId="40729"/>
    <cellStyle name="식_평택STP_01_09_27_Pt_MODEL0209_112504_CN FM_보장조정_협약변경-재조달순-rv1" xfId="31138"/>
    <cellStyle name="식_평택STP_01_09_27_Pt_MODEL0209_112504_CN FM_보장조정_협약변경-재조달순-rv1 2" xfId="31139"/>
    <cellStyle name="식_평택STP_01_09_27_Pt_MODEL0209_112504_CN FM_보장조정_협약변경-재조달순-rv1 2_분양(100%)" xfId="40731"/>
    <cellStyle name="식_평택STP_01_09_27_Pt_MODEL0209_112504_CN FM_보장조정_협약변경-재조달순-rv1_분양(100%)" xfId="40730"/>
    <cellStyle name="식_평택STP_01_09_27_Pt_MODEL0209_CN Financial Model-090704-4%" xfId="31140"/>
    <cellStyle name="식_평택STP_01_09_27_Pt_MODEL0209_CN Financial Model-090704-4% 2" xfId="31141"/>
    <cellStyle name="식_평택STP_01_09_27_Pt_MODEL0209_CN Financial Model-090704-4% 2_분양(100%)" xfId="40733"/>
    <cellStyle name="식_평택STP_01_09_27_Pt_MODEL0209_CN Financial Model-090704-4%_분양(100%)" xfId="40732"/>
    <cellStyle name="식_평택STP_01_09_27_Pt_MODEL0209_CN Financial Model-102004" xfId="31142"/>
    <cellStyle name="식_평택STP_01_09_27_Pt_MODEL0209_CN Financial Model-102004 2" xfId="31143"/>
    <cellStyle name="식_평택STP_01_09_27_Pt_MODEL0209_CN Financial Model-102004 2_분양(100%)" xfId="40735"/>
    <cellStyle name="식_평택STP_01_09_27_Pt_MODEL0209_CN Financial Model-102004_분양(100%)" xfId="40734"/>
    <cellStyle name="식_평택STP_01_09_27_Pt_MODEL0209_분양(100%)" xfId="40728"/>
    <cellStyle name="식_평택STP_01_09_27_Pt_MODEL0221" xfId="31144"/>
    <cellStyle name="식_평택STP_01_09_27_Pt_MODEL0221 2" xfId="31145"/>
    <cellStyle name="식_평택STP_01_09_27_Pt_MODEL0221 2_분양(100%)" xfId="40737"/>
    <cellStyle name="식_평택STP_01_09_27_Pt_MODEL0221_112504_CN FM_보장조정_협약변경-재조달순-rv1" xfId="31146"/>
    <cellStyle name="식_평택STP_01_09_27_Pt_MODEL0221_112504_CN FM_보장조정_협약변경-재조달순-rv1 2" xfId="31147"/>
    <cellStyle name="식_평택STP_01_09_27_Pt_MODEL0221_112504_CN FM_보장조정_협약변경-재조달순-rv1 2_분양(100%)" xfId="40739"/>
    <cellStyle name="식_평택STP_01_09_27_Pt_MODEL0221_112504_CN FM_보장조정_협약변경-재조달순-rv1_분양(100%)" xfId="40738"/>
    <cellStyle name="식_평택STP_01_09_27_Pt_MODEL0221_CN Financial Model-090704-4%" xfId="31148"/>
    <cellStyle name="식_평택STP_01_09_27_Pt_MODEL0221_CN Financial Model-090704-4% 2" xfId="31149"/>
    <cellStyle name="식_평택STP_01_09_27_Pt_MODEL0221_CN Financial Model-090704-4% 2_분양(100%)" xfId="40741"/>
    <cellStyle name="식_평택STP_01_09_27_Pt_MODEL0221_CN Financial Model-090704-4%_분양(100%)" xfId="40740"/>
    <cellStyle name="식_평택STP_01_09_27_Pt_MODEL0221_CN Financial Model-102004" xfId="31150"/>
    <cellStyle name="식_평택STP_01_09_27_Pt_MODEL0221_CN Financial Model-102004 2" xfId="31151"/>
    <cellStyle name="식_평택STP_01_09_27_Pt_MODEL0221_CN Financial Model-102004 2_분양(100%)" xfId="40743"/>
    <cellStyle name="식_평택STP_01_09_27_Pt_MODEL0221_CN Financial Model-102004_분양(100%)" xfId="40742"/>
    <cellStyle name="식_평택STP_01_09_27_Pt_MODEL0221_분양(100%)" xfId="40736"/>
    <cellStyle name="식_평택STP_01_09_27_Pt_MODEL0309" xfId="31152"/>
    <cellStyle name="식_평택STP_01_09_27_Pt_MODEL0309 2" xfId="31153"/>
    <cellStyle name="식_평택STP_01_09_27_Pt_MODEL0309 2_분양(100%)" xfId="40745"/>
    <cellStyle name="식_평택STP_01_09_27_Pt_MODEL0309_112504_CN FM_보장조정_협약변경-재조달순-rv1" xfId="31154"/>
    <cellStyle name="식_평택STP_01_09_27_Pt_MODEL0309_112504_CN FM_보장조정_협약변경-재조달순-rv1 2" xfId="31155"/>
    <cellStyle name="식_평택STP_01_09_27_Pt_MODEL0309_112504_CN FM_보장조정_협약변경-재조달순-rv1 2_분양(100%)" xfId="40747"/>
    <cellStyle name="식_평택STP_01_09_27_Pt_MODEL0309_112504_CN FM_보장조정_협약변경-재조달순-rv1_분양(100%)" xfId="40746"/>
    <cellStyle name="식_평택STP_01_09_27_Pt_MODEL0309_CN Financial Model-090704-4%" xfId="31156"/>
    <cellStyle name="식_평택STP_01_09_27_Pt_MODEL0309_CN Financial Model-090704-4% 2" xfId="31157"/>
    <cellStyle name="식_평택STP_01_09_27_Pt_MODEL0309_CN Financial Model-090704-4% 2_분양(100%)" xfId="40749"/>
    <cellStyle name="식_평택STP_01_09_27_Pt_MODEL0309_CN Financial Model-090704-4%_분양(100%)" xfId="40748"/>
    <cellStyle name="식_평택STP_01_09_27_Pt_MODEL0309_CN Financial Model-102004" xfId="31158"/>
    <cellStyle name="식_평택STP_01_09_27_Pt_MODEL0309_CN Financial Model-102004 2" xfId="31159"/>
    <cellStyle name="식_평택STP_01_09_27_Pt_MODEL0309_CN Financial Model-102004 2_분양(100%)" xfId="40751"/>
    <cellStyle name="식_평택STP_01_09_27_Pt_MODEL0309_CN Financial Model-102004_분양(100%)" xfId="40750"/>
    <cellStyle name="식_평택STP_01_09_27_Pt_MODEL0309_분양(100%)" xfId="40744"/>
    <cellStyle name="식_평택STP_01_09_27_Pt_MODEL0316" xfId="31160"/>
    <cellStyle name="식_평택STP_01_09_27_Pt_MODEL0316 2" xfId="31161"/>
    <cellStyle name="식_평택STP_01_09_27_Pt_MODEL0316 2_분양(100%)" xfId="40753"/>
    <cellStyle name="식_평택STP_01_09_27_Pt_MODEL0316_112504_CN FM_보장조정_협약변경-재조달순-rv1" xfId="31162"/>
    <cellStyle name="식_평택STP_01_09_27_Pt_MODEL0316_112504_CN FM_보장조정_협약변경-재조달순-rv1 2" xfId="31163"/>
    <cellStyle name="식_평택STP_01_09_27_Pt_MODEL0316_112504_CN FM_보장조정_협약변경-재조달순-rv1 2_분양(100%)" xfId="40755"/>
    <cellStyle name="식_평택STP_01_09_27_Pt_MODEL0316_112504_CN FM_보장조정_협약변경-재조달순-rv1_분양(100%)" xfId="40754"/>
    <cellStyle name="식_평택STP_01_09_27_Pt_MODEL0316_CN Financial Model-090704-4%" xfId="31164"/>
    <cellStyle name="식_평택STP_01_09_27_Pt_MODEL0316_CN Financial Model-090704-4% 2" xfId="31165"/>
    <cellStyle name="식_평택STP_01_09_27_Pt_MODEL0316_CN Financial Model-090704-4% 2_분양(100%)" xfId="40757"/>
    <cellStyle name="식_평택STP_01_09_27_Pt_MODEL0316_CN Financial Model-090704-4%_분양(100%)" xfId="40756"/>
    <cellStyle name="식_평택STP_01_09_27_Pt_MODEL0316_CN Financial Model-102004" xfId="31166"/>
    <cellStyle name="식_평택STP_01_09_27_Pt_MODEL0316_CN Financial Model-102004 2" xfId="31167"/>
    <cellStyle name="식_평택STP_01_09_27_Pt_MODEL0316_CN Financial Model-102004 2_분양(100%)" xfId="40759"/>
    <cellStyle name="식_평택STP_01_09_27_Pt_MODEL0316_CN Financial Model-102004_분양(100%)" xfId="40758"/>
    <cellStyle name="식_평택STP_01_09_27_Pt_MODEL0316_분양(100%)" xfId="40752"/>
    <cellStyle name="식_평택STP_01_09_27_Pt_MODEL0318" xfId="31168"/>
    <cellStyle name="식_평택STP_01_09_27_Pt_MODEL0318 2" xfId="31169"/>
    <cellStyle name="식_평택STP_01_09_27_Pt_MODEL0318 2_분양(100%)" xfId="40761"/>
    <cellStyle name="식_평택STP_01_09_27_Pt_MODEL0318_112504_CN FM_보장조정_협약변경-재조달순-rv1" xfId="31170"/>
    <cellStyle name="식_평택STP_01_09_27_Pt_MODEL0318_112504_CN FM_보장조정_협약변경-재조달순-rv1 2" xfId="31171"/>
    <cellStyle name="식_평택STP_01_09_27_Pt_MODEL0318_112504_CN FM_보장조정_협약변경-재조달순-rv1 2_분양(100%)" xfId="40763"/>
    <cellStyle name="식_평택STP_01_09_27_Pt_MODEL0318_112504_CN FM_보장조정_협약변경-재조달순-rv1_분양(100%)" xfId="40762"/>
    <cellStyle name="식_평택STP_01_09_27_Pt_MODEL0318_CN Financial Model-090704-4%" xfId="31172"/>
    <cellStyle name="식_평택STP_01_09_27_Pt_MODEL0318_CN Financial Model-090704-4% 2" xfId="31173"/>
    <cellStyle name="식_평택STP_01_09_27_Pt_MODEL0318_CN Financial Model-090704-4% 2_분양(100%)" xfId="40765"/>
    <cellStyle name="식_평택STP_01_09_27_Pt_MODEL0318_CN Financial Model-090704-4%_분양(100%)" xfId="40764"/>
    <cellStyle name="식_평택STP_01_09_27_Pt_MODEL0318_CN Financial Model-102004" xfId="31174"/>
    <cellStyle name="식_평택STP_01_09_27_Pt_MODEL0318_CN Financial Model-102004 2" xfId="31175"/>
    <cellStyle name="식_평택STP_01_09_27_Pt_MODEL0318_CN Financial Model-102004 2_분양(100%)" xfId="40767"/>
    <cellStyle name="식_평택STP_01_09_27_Pt_MODEL0318_CN Financial Model-102004_분양(100%)" xfId="40766"/>
    <cellStyle name="식_평택STP_01_09_27_Pt_MODEL0318_분양(100%)" xfId="40760"/>
    <cellStyle name="식_평택STP_01_09_27_Pt_MODEL0320-1" xfId="31176"/>
    <cellStyle name="식_평택STP_01_09_27_Pt_MODEL0320-1 2" xfId="31177"/>
    <cellStyle name="식_평택STP_01_09_27_Pt_MODEL0320-1 2_분양(100%)" xfId="40769"/>
    <cellStyle name="식_평택STP_01_09_27_Pt_MODEL0320-1_112504_CN FM_보장조정_협약변경-재조달순-rv1" xfId="31178"/>
    <cellStyle name="식_평택STP_01_09_27_Pt_MODEL0320-1_112504_CN FM_보장조정_협약변경-재조달순-rv1 2" xfId="31179"/>
    <cellStyle name="식_평택STP_01_09_27_Pt_MODEL0320-1_112504_CN FM_보장조정_협약변경-재조달순-rv1 2_분양(100%)" xfId="40771"/>
    <cellStyle name="식_평택STP_01_09_27_Pt_MODEL0320-1_112504_CN FM_보장조정_협약변경-재조달순-rv1_분양(100%)" xfId="40770"/>
    <cellStyle name="식_평택STP_01_09_27_Pt_MODEL0320-1_CN Financial Model-090704-4%" xfId="31180"/>
    <cellStyle name="식_평택STP_01_09_27_Pt_MODEL0320-1_CN Financial Model-090704-4% 2" xfId="31181"/>
    <cellStyle name="식_평택STP_01_09_27_Pt_MODEL0320-1_CN Financial Model-090704-4% 2_분양(100%)" xfId="40773"/>
    <cellStyle name="식_평택STP_01_09_27_Pt_MODEL0320-1_CN Financial Model-090704-4%_분양(100%)" xfId="40772"/>
    <cellStyle name="식_평택STP_01_09_27_Pt_MODEL0320-1_CN Financial Model-102004" xfId="31182"/>
    <cellStyle name="식_평택STP_01_09_27_Pt_MODEL0320-1_CN Financial Model-102004 2" xfId="31183"/>
    <cellStyle name="식_평택STP_01_09_27_Pt_MODEL0320-1_CN Financial Model-102004 2_분양(100%)" xfId="40775"/>
    <cellStyle name="식_평택STP_01_09_27_Pt_MODEL0320-1_CN Financial Model-102004_분양(100%)" xfId="40774"/>
    <cellStyle name="식_평택STP_01_09_27_Pt_MODEL0320-1_분양(100%)" xfId="40768"/>
    <cellStyle name="식_평택STP_01_09_27_Pt_MODEL0321" xfId="31184"/>
    <cellStyle name="식_평택STP_01_09_27_Pt_MODEL0321 2" xfId="31185"/>
    <cellStyle name="식_평택STP_01_09_27_Pt_MODEL0321 2_분양(100%)" xfId="40777"/>
    <cellStyle name="식_평택STP_01_09_27_Pt_MODEL0321_112504_CN FM_보장조정_협약변경-재조달순-rv1" xfId="31186"/>
    <cellStyle name="식_평택STP_01_09_27_Pt_MODEL0321_112504_CN FM_보장조정_협약변경-재조달순-rv1 2" xfId="31187"/>
    <cellStyle name="식_평택STP_01_09_27_Pt_MODEL0321_112504_CN FM_보장조정_협약변경-재조달순-rv1 2_분양(100%)" xfId="40779"/>
    <cellStyle name="식_평택STP_01_09_27_Pt_MODEL0321_112504_CN FM_보장조정_협약변경-재조달순-rv1_분양(100%)" xfId="40778"/>
    <cellStyle name="식_평택STP_01_09_27_Pt_MODEL0321_CN Financial Model-090704-4%" xfId="31188"/>
    <cellStyle name="식_평택STP_01_09_27_Pt_MODEL0321_CN Financial Model-090704-4% 2" xfId="31189"/>
    <cellStyle name="식_평택STP_01_09_27_Pt_MODEL0321_CN Financial Model-090704-4% 2_분양(100%)" xfId="40781"/>
    <cellStyle name="식_평택STP_01_09_27_Pt_MODEL0321_CN Financial Model-090704-4%_분양(100%)" xfId="40780"/>
    <cellStyle name="식_평택STP_01_09_27_Pt_MODEL0321_CN Financial Model-102004" xfId="31190"/>
    <cellStyle name="식_평택STP_01_09_27_Pt_MODEL0321_CN Financial Model-102004 2" xfId="31191"/>
    <cellStyle name="식_평택STP_01_09_27_Pt_MODEL0321_CN Financial Model-102004 2_분양(100%)" xfId="40783"/>
    <cellStyle name="식_평택STP_01_09_27_Pt_MODEL0321_CN Financial Model-102004_분양(100%)" xfId="40782"/>
    <cellStyle name="식_평택STP_01_09_27_Pt_MODEL0321_분양(100%)" xfId="40776"/>
    <cellStyle name="식_평택STP_01_09_27_Pt_MODEL0328" xfId="31192"/>
    <cellStyle name="식_평택STP_01_09_27_Pt_MODEL0328 2" xfId="31193"/>
    <cellStyle name="식_평택STP_01_09_27_Pt_MODEL0328 2_분양(100%)" xfId="40785"/>
    <cellStyle name="식_평택STP_01_09_27_Pt_MODEL0328_112504_CN FM_보장조정_협약변경-재조달순-rv1" xfId="31194"/>
    <cellStyle name="식_평택STP_01_09_27_Pt_MODEL0328_112504_CN FM_보장조정_협약변경-재조달순-rv1 2" xfId="31195"/>
    <cellStyle name="식_평택STP_01_09_27_Pt_MODEL0328_112504_CN FM_보장조정_협약변경-재조달순-rv1 2_분양(100%)" xfId="40787"/>
    <cellStyle name="식_평택STP_01_09_27_Pt_MODEL0328_112504_CN FM_보장조정_협약변경-재조달순-rv1_분양(100%)" xfId="40786"/>
    <cellStyle name="식_평택STP_01_09_27_Pt_MODEL0328_CN Financial Model-090704-4%" xfId="31196"/>
    <cellStyle name="식_평택STP_01_09_27_Pt_MODEL0328_CN Financial Model-090704-4% 2" xfId="31197"/>
    <cellStyle name="식_평택STP_01_09_27_Pt_MODEL0328_CN Financial Model-090704-4% 2_분양(100%)" xfId="40789"/>
    <cellStyle name="식_평택STP_01_09_27_Pt_MODEL0328_CN Financial Model-090704-4%_분양(100%)" xfId="40788"/>
    <cellStyle name="식_평택STP_01_09_27_Pt_MODEL0328_CN Financial Model-102004" xfId="31198"/>
    <cellStyle name="식_평택STP_01_09_27_Pt_MODEL0328_CN Financial Model-102004 2" xfId="31199"/>
    <cellStyle name="식_평택STP_01_09_27_Pt_MODEL0328_CN Financial Model-102004 2_분양(100%)" xfId="40791"/>
    <cellStyle name="식_평택STP_01_09_27_Pt_MODEL0328_CN Financial Model-102004_분양(100%)" xfId="40790"/>
    <cellStyle name="식_평택STP_01_09_27_Pt_MODEL0328_분양(100%)" xfId="40784"/>
    <cellStyle name="식_평택STP_01_09_27_Pt_MODEL정말최종" xfId="31200"/>
    <cellStyle name="식_평택STP_01_09_27_Pt_MODEL정말최종 2" xfId="31201"/>
    <cellStyle name="식_평택STP_01_09_27_Pt_MODEL정말최종 2_분양(100%)" xfId="40793"/>
    <cellStyle name="식_평택STP_01_09_27_Pt_MODEL정말최종_112504_CN FM_보장조정_협약변경-재조달순-rv1" xfId="31202"/>
    <cellStyle name="식_평택STP_01_09_27_Pt_MODEL정말최종_112504_CN FM_보장조정_협약변경-재조달순-rv1 2" xfId="31203"/>
    <cellStyle name="식_평택STP_01_09_27_Pt_MODEL정말최종_112504_CN FM_보장조정_협약변경-재조달순-rv1 2_분양(100%)" xfId="40795"/>
    <cellStyle name="식_평택STP_01_09_27_Pt_MODEL정말최종_112504_CN FM_보장조정_협약변경-재조달순-rv1_분양(100%)" xfId="40794"/>
    <cellStyle name="식_평택STP_01_09_27_Pt_MODEL정말최종_CN Financial Model-090704-4%" xfId="31204"/>
    <cellStyle name="식_평택STP_01_09_27_Pt_MODEL정말최종_CN Financial Model-090704-4% 2" xfId="31205"/>
    <cellStyle name="식_평택STP_01_09_27_Pt_MODEL정말최종_CN Financial Model-090704-4% 2_분양(100%)" xfId="40797"/>
    <cellStyle name="식_평택STP_01_09_27_Pt_MODEL정말최종_CN Financial Model-090704-4%_분양(100%)" xfId="40796"/>
    <cellStyle name="식_평택STP_01_09_27_Pt_MODEL정말최종_CN Financial Model-102004" xfId="31206"/>
    <cellStyle name="식_평택STP_01_09_27_Pt_MODEL정말최종_CN Financial Model-102004 2" xfId="31207"/>
    <cellStyle name="식_평택STP_01_09_27_Pt_MODEL정말최종_CN Financial Model-102004 2_분양(100%)" xfId="40799"/>
    <cellStyle name="식_평택STP_01_09_27_Pt_MODEL정말최종_CN Financial Model-102004_분양(100%)" xfId="40798"/>
    <cellStyle name="식_평택STP_01_09_27_Pt_MODEL정말최종_분양(100%)" xfId="40792"/>
    <cellStyle name="식_평택STP_01_09_27_Pt_MODEL최종" xfId="31208"/>
    <cellStyle name="식_평택STP_01_09_27_Pt_MODEL최종 2" xfId="31209"/>
    <cellStyle name="식_평택STP_01_09_27_Pt_MODEL최종 2_분양(100%)" xfId="40801"/>
    <cellStyle name="식_평택STP_01_09_27_Pt_MODEL최종_112504_CN FM_보장조정_협약변경-재조달순-rv1" xfId="31210"/>
    <cellStyle name="식_평택STP_01_09_27_Pt_MODEL최종_112504_CN FM_보장조정_협약변경-재조달순-rv1 2" xfId="31211"/>
    <cellStyle name="식_평택STP_01_09_27_Pt_MODEL최종_112504_CN FM_보장조정_협약변경-재조달순-rv1 2_분양(100%)" xfId="40803"/>
    <cellStyle name="식_평택STP_01_09_27_Pt_MODEL최종_112504_CN FM_보장조정_협약변경-재조달순-rv1_분양(100%)" xfId="40802"/>
    <cellStyle name="식_평택STP_01_09_27_Pt_MODEL최종_CN Financial Model-090704-4%" xfId="31212"/>
    <cellStyle name="식_평택STP_01_09_27_Pt_MODEL최종_CN Financial Model-090704-4% 2" xfId="31213"/>
    <cellStyle name="식_평택STP_01_09_27_Pt_MODEL최종_CN Financial Model-090704-4% 2_분양(100%)" xfId="40805"/>
    <cellStyle name="식_평택STP_01_09_27_Pt_MODEL최종_CN Financial Model-090704-4%_분양(100%)" xfId="40804"/>
    <cellStyle name="식_평택STP_01_09_27_Pt_MODEL최종_CN Financial Model-102004" xfId="31214"/>
    <cellStyle name="식_평택STP_01_09_27_Pt_MODEL최종_CN Financial Model-102004 2" xfId="31215"/>
    <cellStyle name="식_평택STP_01_09_27_Pt_MODEL최종_CN Financial Model-102004 2_분양(100%)" xfId="40807"/>
    <cellStyle name="식_평택STP_01_09_27_Pt_MODEL최종_CN Financial Model-102004_분양(100%)" xfId="40806"/>
    <cellStyle name="식_평택STP_01_09_27_Pt_MODEL최종_분양(100%)" xfId="40800"/>
    <cellStyle name="식_평택STP_01_09_27_Pt_NA Hiway Pjt Valuation(통행료 2년마다 인상)" xfId="31216"/>
    <cellStyle name="식_평택STP_01_09_27_Pt_NA Hiway Pjt Valuation(통행료 2년마다 인상) 2" xfId="31217"/>
    <cellStyle name="식_평택STP_01_09_27_Pt_NA Hiway Pjt Valuation(통행료 2년마다 인상) 2_분양(100%)" xfId="40809"/>
    <cellStyle name="식_평택STP_01_09_27_Pt_NA Hiway Pjt Valuation(통행료 2년마다 인상)_112504_CN FM_보장조정_협약변경-재조달순-rv1" xfId="31218"/>
    <cellStyle name="식_평택STP_01_09_27_Pt_NA Hiway Pjt Valuation(통행료 2년마다 인상)_112504_CN FM_보장조정_협약변경-재조달순-rv1 2" xfId="31219"/>
    <cellStyle name="식_평택STP_01_09_27_Pt_NA Hiway Pjt Valuation(통행료 2년마다 인상)_112504_CN FM_보장조정_협약변경-재조달순-rv1 2_분양(100%)" xfId="40811"/>
    <cellStyle name="식_평택STP_01_09_27_Pt_NA Hiway Pjt Valuation(통행료 2년마다 인상)_112504_CN FM_보장조정_협약변경-재조달순-rv1_분양(100%)" xfId="40810"/>
    <cellStyle name="식_평택STP_01_09_27_Pt_NA Hiway Pjt Valuation(통행료 2년마다 인상)_CN Financial Model-090704-4%" xfId="31220"/>
    <cellStyle name="식_평택STP_01_09_27_Pt_NA Hiway Pjt Valuation(통행료 2년마다 인상)_CN Financial Model-090704-4% 2" xfId="31221"/>
    <cellStyle name="식_평택STP_01_09_27_Pt_NA Hiway Pjt Valuation(통행료 2년마다 인상)_CN Financial Model-090704-4% 2_분양(100%)" xfId="40813"/>
    <cellStyle name="식_평택STP_01_09_27_Pt_NA Hiway Pjt Valuation(통행료 2년마다 인상)_CN Financial Model-090704-4%_분양(100%)" xfId="40812"/>
    <cellStyle name="식_평택STP_01_09_27_Pt_NA Hiway Pjt Valuation(통행료 2년마다 인상)_CN Financial Model-102004" xfId="31222"/>
    <cellStyle name="식_평택STP_01_09_27_Pt_NA Hiway Pjt Valuation(통행료 2년마다 인상)_CN Financial Model-102004 2" xfId="31223"/>
    <cellStyle name="식_평택STP_01_09_27_Pt_NA Hiway Pjt Valuation(통행료 2년마다 인상)_CN Financial Model-102004 2_분양(100%)" xfId="40815"/>
    <cellStyle name="식_평택STP_01_09_27_Pt_NA Hiway Pjt Valuation(통행료 2년마다 인상)_CN Financial Model-102004_분양(100%)" xfId="40814"/>
    <cellStyle name="식_평택STP_01_09_27_Pt_NA Hiway Pjt Valuation(통행료 2년마다 인상)_분양(100%)" xfId="40808"/>
    <cellStyle name="식_평택STP_01_09_27_Pt_ROE" xfId="31224"/>
    <cellStyle name="식_평택STP_01_09_27_Pt_ROE 2" xfId="31225"/>
    <cellStyle name="식_평택STP_01_09_27_Pt_ROE 2_분양(100%)" xfId="40817"/>
    <cellStyle name="식_평택STP_01_09_27_Pt_ROE_112504_CN FM_보장조정_협약변경-재조달순-rv1" xfId="31226"/>
    <cellStyle name="식_평택STP_01_09_27_Pt_ROE_112504_CN FM_보장조정_협약변경-재조달순-rv1 2" xfId="31227"/>
    <cellStyle name="식_평택STP_01_09_27_Pt_ROE_112504_CN FM_보장조정_협약변경-재조달순-rv1 2_분양(100%)" xfId="40819"/>
    <cellStyle name="식_평택STP_01_09_27_Pt_ROE_112504_CN FM_보장조정_협약변경-재조달순-rv1_분양(100%)" xfId="40818"/>
    <cellStyle name="식_평택STP_01_09_27_Pt_ROE_CN Financial Model-090704-4%" xfId="31228"/>
    <cellStyle name="식_평택STP_01_09_27_Pt_ROE_CN Financial Model-090704-4% 2" xfId="31229"/>
    <cellStyle name="식_평택STP_01_09_27_Pt_ROE_CN Financial Model-090704-4% 2_분양(100%)" xfId="40821"/>
    <cellStyle name="식_평택STP_01_09_27_Pt_ROE_CN Financial Model-090704-4%_분양(100%)" xfId="40820"/>
    <cellStyle name="식_평택STP_01_09_27_Pt_ROE_CN Financial Model-102004" xfId="31230"/>
    <cellStyle name="식_평택STP_01_09_27_Pt_ROE_CN Financial Model-102004 2" xfId="31231"/>
    <cellStyle name="식_평택STP_01_09_27_Pt_ROE_CN Financial Model-102004 2_분양(100%)" xfId="40823"/>
    <cellStyle name="식_평택STP_01_09_27_Pt_ROE_CN Financial Model-102004_분양(100%)" xfId="40822"/>
    <cellStyle name="식_평택STP_01_09_27_Pt_ROE_분양(100%)" xfId="40816"/>
    <cellStyle name="식_평택STP_01_09_27_Pt_Valuation(예비투자설명회)_0228" xfId="31232"/>
    <cellStyle name="식_평택STP_01_09_27_Pt_Valuation(예비투자설명회)_0228 2" xfId="31233"/>
    <cellStyle name="식_평택STP_01_09_27_Pt_Valuation(예비투자설명회)_0228 2_분양(100%)" xfId="40825"/>
    <cellStyle name="식_평택STP_01_09_27_Pt_Valuation(예비투자설명회)_0228_112504_CN FM_보장조정_협약변경-재조달순-rv1" xfId="31234"/>
    <cellStyle name="식_평택STP_01_09_27_Pt_Valuation(예비투자설명회)_0228_112504_CN FM_보장조정_협약변경-재조달순-rv1 2" xfId="31235"/>
    <cellStyle name="식_평택STP_01_09_27_Pt_Valuation(예비투자설명회)_0228_112504_CN FM_보장조정_협약변경-재조달순-rv1 2_분양(100%)" xfId="40827"/>
    <cellStyle name="식_평택STP_01_09_27_Pt_Valuation(예비투자설명회)_0228_112504_CN FM_보장조정_협약변경-재조달순-rv1_분양(100%)" xfId="40826"/>
    <cellStyle name="식_평택STP_01_09_27_Pt_Valuation(예비투자설명회)_0228_CN Financial Model-090704-4%" xfId="31236"/>
    <cellStyle name="식_평택STP_01_09_27_Pt_Valuation(예비투자설명회)_0228_CN Financial Model-090704-4% 2" xfId="31237"/>
    <cellStyle name="식_평택STP_01_09_27_Pt_Valuation(예비투자설명회)_0228_CN Financial Model-090704-4% 2_분양(100%)" xfId="40829"/>
    <cellStyle name="식_평택STP_01_09_27_Pt_Valuation(예비투자설명회)_0228_CN Financial Model-090704-4%_분양(100%)" xfId="40828"/>
    <cellStyle name="식_평택STP_01_09_27_Pt_Valuation(예비투자설명회)_0228_CN Financial Model-102004" xfId="31238"/>
    <cellStyle name="식_평택STP_01_09_27_Pt_Valuation(예비투자설명회)_0228_CN Financial Model-102004 2" xfId="31239"/>
    <cellStyle name="식_평택STP_01_09_27_Pt_Valuation(예비투자설명회)_0228_CN Financial Model-102004 2_분양(100%)" xfId="40831"/>
    <cellStyle name="식_평택STP_01_09_27_Pt_Valuation(예비투자설명회)_0228_CN Financial Model-102004_분양(100%)" xfId="40830"/>
    <cellStyle name="식_평택STP_01_09_27_Pt_Valuation(예비투자설명회)_0228_분양(100%)" xfId="40824"/>
    <cellStyle name="식_평택STP_01_09_27_Pt_Y-Pjt(FncMdl)_0912AM" xfId="31240"/>
    <cellStyle name="식_평택STP_01_09_27_Pt_Y-Pjt(FncMdl)_0912AM 2" xfId="31241"/>
    <cellStyle name="식_평택STP_01_09_27_Pt_Y-Pjt(FncMdl)_0912AM 2_분양(100%)" xfId="40833"/>
    <cellStyle name="식_평택STP_01_09_27_Pt_Y-Pjt(FncMdl)_0912AM_112504_CN FM_보장조정_협약변경-재조달순-rv1" xfId="31242"/>
    <cellStyle name="식_평택STP_01_09_27_Pt_Y-Pjt(FncMdl)_0912AM_112504_CN FM_보장조정_협약변경-재조달순-rv1 2" xfId="31243"/>
    <cellStyle name="식_평택STP_01_09_27_Pt_Y-Pjt(FncMdl)_0912AM_112504_CN FM_보장조정_협약변경-재조달순-rv1 2_분양(100%)" xfId="40835"/>
    <cellStyle name="식_평택STP_01_09_27_Pt_Y-Pjt(FncMdl)_0912AM_112504_CN FM_보장조정_협약변경-재조달순-rv1_분양(100%)" xfId="40834"/>
    <cellStyle name="식_평택STP_01_09_27_Pt_Y-Pjt(FncMdl)_0912AM_CN Financial Model-090704-4%" xfId="31244"/>
    <cellStyle name="식_평택STP_01_09_27_Pt_Y-Pjt(FncMdl)_0912AM_CN Financial Model-090704-4% 2" xfId="31245"/>
    <cellStyle name="식_평택STP_01_09_27_Pt_Y-Pjt(FncMdl)_0912AM_CN Financial Model-090704-4% 2_분양(100%)" xfId="40837"/>
    <cellStyle name="식_평택STP_01_09_27_Pt_Y-Pjt(FncMdl)_0912AM_CN Financial Model-090704-4%_분양(100%)" xfId="40836"/>
    <cellStyle name="식_평택STP_01_09_27_Pt_Y-Pjt(FncMdl)_0912AM_CN Financial Model-102004" xfId="31246"/>
    <cellStyle name="식_평택STP_01_09_27_Pt_Y-Pjt(FncMdl)_0912AM_CN Financial Model-102004 2" xfId="31247"/>
    <cellStyle name="식_평택STP_01_09_27_Pt_Y-Pjt(FncMdl)_0912AM_CN Financial Model-102004 2_분양(100%)" xfId="40839"/>
    <cellStyle name="식_평택STP_01_09_27_Pt_Y-Pjt(FncMdl)_0912AM_CN Financial Model-102004_분양(100%)" xfId="40838"/>
    <cellStyle name="식_평택STP_01_09_27_Pt_Y-Pjt(FncMdl)_0912AM_분양(100%)" xfId="40832"/>
    <cellStyle name="식_평택STP_01_09_27_Pt_Y-Pjt_0905(PM4)" xfId="31248"/>
    <cellStyle name="식_평택STP_01_09_27_Pt_Y-Pjt_0905(PM4) 2" xfId="31249"/>
    <cellStyle name="식_평택STP_01_09_27_Pt_Y-Pjt_0905(PM4) 2_분양(100%)" xfId="40841"/>
    <cellStyle name="식_평택STP_01_09_27_Pt_Y-Pjt_0905(PM4)_112504_CN FM_보장조정_협약변경-재조달순-rv1" xfId="31250"/>
    <cellStyle name="식_평택STP_01_09_27_Pt_Y-Pjt_0905(PM4)_112504_CN FM_보장조정_협약변경-재조달순-rv1 2" xfId="31251"/>
    <cellStyle name="식_평택STP_01_09_27_Pt_Y-Pjt_0905(PM4)_112504_CN FM_보장조정_협약변경-재조달순-rv1 2_분양(100%)" xfId="40843"/>
    <cellStyle name="식_평택STP_01_09_27_Pt_Y-Pjt_0905(PM4)_112504_CN FM_보장조정_협약변경-재조달순-rv1_분양(100%)" xfId="40842"/>
    <cellStyle name="식_평택STP_01_09_27_Pt_Y-Pjt_0905(PM4)_CN Financial Model-090704-4%" xfId="31252"/>
    <cellStyle name="식_평택STP_01_09_27_Pt_Y-Pjt_0905(PM4)_CN Financial Model-090704-4% 2" xfId="31253"/>
    <cellStyle name="식_평택STP_01_09_27_Pt_Y-Pjt_0905(PM4)_CN Financial Model-090704-4% 2_분양(100%)" xfId="40845"/>
    <cellStyle name="식_평택STP_01_09_27_Pt_Y-Pjt_0905(PM4)_CN Financial Model-090704-4%_분양(100%)" xfId="40844"/>
    <cellStyle name="식_평택STP_01_09_27_Pt_Y-Pjt_0905(PM4)_CN Financial Model-102004" xfId="31254"/>
    <cellStyle name="식_평택STP_01_09_27_Pt_Y-Pjt_0905(PM4)_CN Financial Model-102004 2" xfId="31255"/>
    <cellStyle name="식_평택STP_01_09_27_Pt_Y-Pjt_0905(PM4)_CN Financial Model-102004 2_분양(100%)" xfId="40847"/>
    <cellStyle name="식_평택STP_01_09_27_Pt_Y-Pjt_0905(PM4)_CN Financial Model-102004_분양(100%)" xfId="40846"/>
    <cellStyle name="식_평택STP_01_09_27_Pt_Y-Pjt_0905(PM4)_분양(100%)" xfId="40840"/>
    <cellStyle name="식_평택STP_01_09_27_Pt_Y-Pjt_0906(AM10)" xfId="31256"/>
    <cellStyle name="식_평택STP_01_09_27_Pt_Y-Pjt_0906(AM10) 2" xfId="31257"/>
    <cellStyle name="식_평택STP_01_09_27_Pt_Y-Pjt_0906(AM10) 2_분양(100%)" xfId="40849"/>
    <cellStyle name="식_평택STP_01_09_27_Pt_Y-Pjt_0906(AM10)_112504_CN FM_보장조정_협약변경-재조달순-rv1" xfId="31258"/>
    <cellStyle name="식_평택STP_01_09_27_Pt_Y-Pjt_0906(AM10)_112504_CN FM_보장조정_협약변경-재조달순-rv1 2" xfId="31259"/>
    <cellStyle name="식_평택STP_01_09_27_Pt_Y-Pjt_0906(AM10)_112504_CN FM_보장조정_협약변경-재조달순-rv1 2_분양(100%)" xfId="40851"/>
    <cellStyle name="식_평택STP_01_09_27_Pt_Y-Pjt_0906(AM10)_112504_CN FM_보장조정_협약변경-재조달순-rv1_분양(100%)" xfId="40850"/>
    <cellStyle name="식_평택STP_01_09_27_Pt_Y-Pjt_0906(AM10)_CN Financial Model-090704-4%" xfId="31260"/>
    <cellStyle name="식_평택STP_01_09_27_Pt_Y-Pjt_0906(AM10)_CN Financial Model-090704-4% 2" xfId="31261"/>
    <cellStyle name="식_평택STP_01_09_27_Pt_Y-Pjt_0906(AM10)_CN Financial Model-090704-4% 2_분양(100%)" xfId="40853"/>
    <cellStyle name="식_평택STP_01_09_27_Pt_Y-Pjt_0906(AM10)_CN Financial Model-090704-4%_분양(100%)" xfId="40852"/>
    <cellStyle name="식_평택STP_01_09_27_Pt_Y-Pjt_0906(AM10)_CN Financial Model-102004" xfId="31262"/>
    <cellStyle name="식_평택STP_01_09_27_Pt_Y-Pjt_0906(AM10)_CN Financial Model-102004 2" xfId="31263"/>
    <cellStyle name="식_평택STP_01_09_27_Pt_Y-Pjt_0906(AM10)_CN Financial Model-102004 2_분양(100%)" xfId="40855"/>
    <cellStyle name="식_평택STP_01_09_27_Pt_Y-Pjt_0906(AM10)_CN Financial Model-102004_분양(100%)" xfId="40854"/>
    <cellStyle name="식_평택STP_01_09_27_Pt_Y-Pjt_0906(AM10)_분양(100%)" xfId="40848"/>
    <cellStyle name="식_평택STP_01_09_27_Pt_Y-PROJECT_0812" xfId="31264"/>
    <cellStyle name="식_평택STP_01_09_27_Pt_Y-PROJECT_0812 2" xfId="31265"/>
    <cellStyle name="식_평택STP_01_09_27_Pt_Y-PROJECT_0812 2_분양(100%)" xfId="40857"/>
    <cellStyle name="식_평택STP_01_09_27_Pt_Y-PROJECT_0812_112504_CN FM_보장조정_협약변경-재조달순-rv1" xfId="31266"/>
    <cellStyle name="식_평택STP_01_09_27_Pt_Y-PROJECT_0812_112504_CN FM_보장조정_협약변경-재조달순-rv1 2" xfId="31267"/>
    <cellStyle name="식_평택STP_01_09_27_Pt_Y-PROJECT_0812_112504_CN FM_보장조정_협약변경-재조달순-rv1 2_분양(100%)" xfId="40859"/>
    <cellStyle name="식_평택STP_01_09_27_Pt_Y-PROJECT_0812_112504_CN FM_보장조정_협약변경-재조달순-rv1_분양(100%)" xfId="40858"/>
    <cellStyle name="식_평택STP_01_09_27_Pt_Y-PROJECT_0812_CN Financial Model-090704-4%" xfId="31268"/>
    <cellStyle name="식_평택STP_01_09_27_Pt_Y-PROJECT_0812_CN Financial Model-090704-4% 2" xfId="31269"/>
    <cellStyle name="식_평택STP_01_09_27_Pt_Y-PROJECT_0812_CN Financial Model-090704-4% 2_분양(100%)" xfId="40861"/>
    <cellStyle name="식_평택STP_01_09_27_Pt_Y-PROJECT_0812_CN Financial Model-090704-4%_분양(100%)" xfId="40860"/>
    <cellStyle name="식_평택STP_01_09_27_Pt_Y-PROJECT_0812_CN Financial Model-102004" xfId="31270"/>
    <cellStyle name="식_평택STP_01_09_27_Pt_Y-PROJECT_0812_CN Financial Model-102004 2" xfId="31271"/>
    <cellStyle name="식_평택STP_01_09_27_Pt_Y-PROJECT_0812_CN Financial Model-102004 2_분양(100%)" xfId="40863"/>
    <cellStyle name="식_평택STP_01_09_27_Pt_Y-PROJECT_0812_CN Financial Model-102004_분양(100%)" xfId="40862"/>
    <cellStyle name="식_평택STP_01_09_27_Pt_Y-PROJECT_0812_분양(100%)" xfId="40856"/>
    <cellStyle name="식_평택STP_01_09_27_Pt_Y-PROJECT_0813_PM10" xfId="31272"/>
    <cellStyle name="식_평택STP_01_09_27_Pt_Y-PROJECT_0813_PM10 2" xfId="31273"/>
    <cellStyle name="식_평택STP_01_09_27_Pt_Y-PROJECT_0813_PM10 2_분양(100%)" xfId="40865"/>
    <cellStyle name="식_평택STP_01_09_27_Pt_Y-PROJECT_0813_PM10_112504_CN FM_보장조정_협약변경-재조달순-rv1" xfId="31274"/>
    <cellStyle name="식_평택STP_01_09_27_Pt_Y-PROJECT_0813_PM10_112504_CN FM_보장조정_협약변경-재조달순-rv1 2" xfId="31275"/>
    <cellStyle name="식_평택STP_01_09_27_Pt_Y-PROJECT_0813_PM10_112504_CN FM_보장조정_협약변경-재조달순-rv1 2_분양(100%)" xfId="40867"/>
    <cellStyle name="식_평택STP_01_09_27_Pt_Y-PROJECT_0813_PM10_112504_CN FM_보장조정_협약변경-재조달순-rv1_분양(100%)" xfId="40866"/>
    <cellStyle name="식_평택STP_01_09_27_Pt_Y-PROJECT_0813_PM10_CN Financial Model-090704-4%" xfId="31276"/>
    <cellStyle name="식_평택STP_01_09_27_Pt_Y-PROJECT_0813_PM10_CN Financial Model-090704-4% 2" xfId="31277"/>
    <cellStyle name="식_평택STP_01_09_27_Pt_Y-PROJECT_0813_PM10_CN Financial Model-090704-4% 2_분양(100%)" xfId="40869"/>
    <cellStyle name="식_평택STP_01_09_27_Pt_Y-PROJECT_0813_PM10_CN Financial Model-090704-4%_분양(100%)" xfId="40868"/>
    <cellStyle name="식_평택STP_01_09_27_Pt_Y-PROJECT_0813_PM10_CN Financial Model-102004" xfId="31278"/>
    <cellStyle name="식_평택STP_01_09_27_Pt_Y-PROJECT_0813_PM10_CN Financial Model-102004 2" xfId="31279"/>
    <cellStyle name="식_평택STP_01_09_27_Pt_Y-PROJECT_0813_PM10_CN Financial Model-102004 2_분양(100%)" xfId="40871"/>
    <cellStyle name="식_평택STP_01_09_27_Pt_Y-PROJECT_0813_PM10_CN Financial Model-102004_분양(100%)" xfId="40870"/>
    <cellStyle name="식_평택STP_01_09_27_Pt_Y-PROJECT_0813_PM10_분양(100%)" xfId="40864"/>
    <cellStyle name="식_평택STP_01_09_27_Pt_Y-PROJECT_0820(PM7)" xfId="31280"/>
    <cellStyle name="식_평택STP_01_09_27_Pt_Y-PROJECT_0820(PM7) 2" xfId="31281"/>
    <cellStyle name="식_평택STP_01_09_27_Pt_Y-PROJECT_0820(PM7) 2_분양(100%)" xfId="40873"/>
    <cellStyle name="식_평택STP_01_09_27_Pt_Y-PROJECT_0820(PM7)_112504_CN FM_보장조정_협약변경-재조달순-rv1" xfId="31282"/>
    <cellStyle name="식_평택STP_01_09_27_Pt_Y-PROJECT_0820(PM7)_112504_CN FM_보장조정_협약변경-재조달순-rv1 2" xfId="31283"/>
    <cellStyle name="식_평택STP_01_09_27_Pt_Y-PROJECT_0820(PM7)_112504_CN FM_보장조정_협약변경-재조달순-rv1 2_분양(100%)" xfId="40875"/>
    <cellStyle name="식_평택STP_01_09_27_Pt_Y-PROJECT_0820(PM7)_112504_CN FM_보장조정_협약변경-재조달순-rv1_분양(100%)" xfId="40874"/>
    <cellStyle name="식_평택STP_01_09_27_Pt_Y-PROJECT_0820(PM7)_CN Financial Model-090704-4%" xfId="31284"/>
    <cellStyle name="식_평택STP_01_09_27_Pt_Y-PROJECT_0820(PM7)_CN Financial Model-090704-4% 2" xfId="31285"/>
    <cellStyle name="식_평택STP_01_09_27_Pt_Y-PROJECT_0820(PM7)_CN Financial Model-090704-4% 2_분양(100%)" xfId="40877"/>
    <cellStyle name="식_평택STP_01_09_27_Pt_Y-PROJECT_0820(PM7)_CN Financial Model-090704-4%_분양(100%)" xfId="40876"/>
    <cellStyle name="식_평택STP_01_09_27_Pt_Y-PROJECT_0820(PM7)_CN Financial Model-102004" xfId="31286"/>
    <cellStyle name="식_평택STP_01_09_27_Pt_Y-PROJECT_0820(PM7)_CN Financial Model-102004 2" xfId="31287"/>
    <cellStyle name="식_평택STP_01_09_27_Pt_Y-PROJECT_0820(PM7)_CN Financial Model-102004 2_분양(100%)" xfId="40879"/>
    <cellStyle name="식_평택STP_01_09_27_Pt_Y-PROJECT_0820(PM7)_CN Financial Model-102004_분양(100%)" xfId="40878"/>
    <cellStyle name="식_평택STP_01_09_27_Pt_Y-PROJECT_0820(PM7)_분양(100%)" xfId="40872"/>
    <cellStyle name="식_평택STP_01_09_27_Pt_건설기간중대안2최종" xfId="31288"/>
    <cellStyle name="식_평택STP_01_09_27_Pt_건설기간중대안2최종 2" xfId="31289"/>
    <cellStyle name="식_평택STP_01_09_27_Pt_건설기간중대안2최종 2_분양(100%)" xfId="40881"/>
    <cellStyle name="식_평택STP_01_09_27_Pt_건설기간중대안2최종_112504_CN FM_보장조정_협약변경-재조달순-rv1" xfId="31290"/>
    <cellStyle name="식_평택STP_01_09_27_Pt_건설기간중대안2최종_112504_CN FM_보장조정_협약변경-재조달순-rv1 2" xfId="31291"/>
    <cellStyle name="식_평택STP_01_09_27_Pt_건설기간중대안2최종_112504_CN FM_보장조정_협약변경-재조달순-rv1 2_분양(100%)" xfId="40883"/>
    <cellStyle name="식_평택STP_01_09_27_Pt_건설기간중대안2최종_112504_CN FM_보장조정_협약변경-재조달순-rv1_분양(100%)" xfId="40882"/>
    <cellStyle name="식_평택STP_01_09_27_Pt_건설기간중대안2최종_CN Financial Model-090704-4%" xfId="31292"/>
    <cellStyle name="식_평택STP_01_09_27_Pt_건설기간중대안2최종_CN Financial Model-090704-4% 2" xfId="31293"/>
    <cellStyle name="식_평택STP_01_09_27_Pt_건설기간중대안2최종_CN Financial Model-090704-4% 2_분양(100%)" xfId="40885"/>
    <cellStyle name="식_평택STP_01_09_27_Pt_건설기간중대안2최종_CN Financial Model-090704-4%_분양(100%)" xfId="40884"/>
    <cellStyle name="식_평택STP_01_09_27_Pt_건설기간중대안2최종_CN Financial Model-102004" xfId="31294"/>
    <cellStyle name="식_평택STP_01_09_27_Pt_건설기간중대안2최종_CN Financial Model-102004 2" xfId="31295"/>
    <cellStyle name="식_평택STP_01_09_27_Pt_건설기간중대안2최종_CN Financial Model-102004 2_분양(100%)" xfId="40887"/>
    <cellStyle name="식_평택STP_01_09_27_Pt_건설기간중대안2최종_CN Financial Model-102004_분양(100%)" xfId="40886"/>
    <cellStyle name="식_평택STP_01_09_27_Pt_건설기간중대안2최종_분양(100%)" xfId="40880"/>
    <cellStyle name="식_평택STP_01_09_27_Pt_경기도수성0319" xfId="31296"/>
    <cellStyle name="식_평택STP_01_09_27_Pt_경기도수성0319 2" xfId="31297"/>
    <cellStyle name="식_평택STP_01_09_27_Pt_경기도수성0319 2_분양(100%)" xfId="40889"/>
    <cellStyle name="식_평택STP_01_09_27_Pt_경기도수성0319_112504_CN FM_보장조정_협약변경-재조달순-rv1" xfId="31298"/>
    <cellStyle name="식_평택STP_01_09_27_Pt_경기도수성0319_112504_CN FM_보장조정_협약변경-재조달순-rv1 2" xfId="31299"/>
    <cellStyle name="식_평택STP_01_09_27_Pt_경기도수성0319_112504_CN FM_보장조정_협약변경-재조달순-rv1 2_분양(100%)" xfId="40891"/>
    <cellStyle name="식_평택STP_01_09_27_Pt_경기도수성0319_112504_CN FM_보장조정_협약변경-재조달순-rv1_분양(100%)" xfId="40890"/>
    <cellStyle name="식_평택STP_01_09_27_Pt_경기도수성0319_CN Financial Model-090704-4%" xfId="31300"/>
    <cellStyle name="식_평택STP_01_09_27_Pt_경기도수성0319_CN Financial Model-090704-4% 2" xfId="31301"/>
    <cellStyle name="식_평택STP_01_09_27_Pt_경기도수성0319_CN Financial Model-090704-4% 2_분양(100%)" xfId="40893"/>
    <cellStyle name="식_평택STP_01_09_27_Pt_경기도수성0319_CN Financial Model-090704-4%_분양(100%)" xfId="40892"/>
    <cellStyle name="식_평택STP_01_09_27_Pt_경기도수성0319_CN Financial Model-102004" xfId="31302"/>
    <cellStyle name="식_평택STP_01_09_27_Pt_경기도수성0319_CN Financial Model-102004 2" xfId="31303"/>
    <cellStyle name="식_평택STP_01_09_27_Pt_경기도수성0319_CN Financial Model-102004 2_분양(100%)" xfId="40895"/>
    <cellStyle name="식_평택STP_01_09_27_Pt_경기도수성0319_CN Financial Model-102004_분양(100%)" xfId="40894"/>
    <cellStyle name="식_평택STP_01_09_27_Pt_경기도수성0319_분양(100%)" xfId="40888"/>
    <cellStyle name="식_평택STP_01_09_27_Pt_광명 지역난방 민간투자사업 재무모델_0619" xfId="31304"/>
    <cellStyle name="식_평택STP_01_09_27_Pt_광명 지역난방 민간투자사업 재무모델_0619 2" xfId="31305"/>
    <cellStyle name="식_평택STP_01_09_27_Pt_광명 지역난방 민간투자사업 재무모델_0619 2_분양(100%)" xfId="40897"/>
    <cellStyle name="식_평택STP_01_09_27_Pt_광명 지역난방 민간투자사업 재무모델_0619_112504_CN FM_보장조정_협약변경-재조달순-rv1" xfId="31306"/>
    <cellStyle name="식_평택STP_01_09_27_Pt_광명 지역난방 민간투자사업 재무모델_0619_112504_CN FM_보장조정_협약변경-재조달순-rv1 2" xfId="31307"/>
    <cellStyle name="식_평택STP_01_09_27_Pt_광명 지역난방 민간투자사업 재무모델_0619_112504_CN FM_보장조정_협약변경-재조달순-rv1 2_분양(100%)" xfId="40899"/>
    <cellStyle name="식_평택STP_01_09_27_Pt_광명 지역난방 민간투자사업 재무모델_0619_112504_CN FM_보장조정_협약변경-재조달순-rv1_분양(100%)" xfId="40898"/>
    <cellStyle name="식_평택STP_01_09_27_Pt_광명 지역난방 민간투자사업 재무모델_0619_CN Financial Model-090704-4%" xfId="31308"/>
    <cellStyle name="식_평택STP_01_09_27_Pt_광명 지역난방 민간투자사업 재무모델_0619_CN Financial Model-090704-4% 2" xfId="31309"/>
    <cellStyle name="식_평택STP_01_09_27_Pt_광명 지역난방 민간투자사업 재무모델_0619_CN Financial Model-090704-4% 2_분양(100%)" xfId="40901"/>
    <cellStyle name="식_평택STP_01_09_27_Pt_광명 지역난방 민간투자사업 재무모델_0619_CN Financial Model-090704-4%_분양(100%)" xfId="40900"/>
    <cellStyle name="식_평택STP_01_09_27_Pt_광명 지역난방 민간투자사업 재무모델_0619_CN Financial Model-102004" xfId="31310"/>
    <cellStyle name="식_평택STP_01_09_27_Pt_광명 지역난방 민간투자사업 재무모델_0619_CN Financial Model-102004 2" xfId="31311"/>
    <cellStyle name="식_평택STP_01_09_27_Pt_광명 지역난방 민간투자사업 재무모델_0619_CN Financial Model-102004 2_분양(100%)" xfId="40903"/>
    <cellStyle name="식_평택STP_01_09_27_Pt_광명 지역난방 민간투자사업 재무모델_0619_CN Financial Model-102004_분양(100%)" xfId="40902"/>
    <cellStyle name="식_평택STP_01_09_27_Pt_광명 지역난방 민간투자사업 재무모델_0619_분양(100%)" xfId="40896"/>
    <cellStyle name="식_평택STP_01_09_27_Pt_대안1(1129)" xfId="31312"/>
    <cellStyle name="식_평택STP_01_09_27_Pt_대안1(1129) 2" xfId="31313"/>
    <cellStyle name="식_평택STP_01_09_27_Pt_대안1(1129) 2_분양(100%)" xfId="40905"/>
    <cellStyle name="식_평택STP_01_09_27_Pt_대안1(1129)_112504_CN FM_보장조정_협약변경-재조달순-rv1" xfId="31314"/>
    <cellStyle name="식_평택STP_01_09_27_Pt_대안1(1129)_112504_CN FM_보장조정_협약변경-재조달순-rv1 2" xfId="31315"/>
    <cellStyle name="식_평택STP_01_09_27_Pt_대안1(1129)_112504_CN FM_보장조정_협약변경-재조달순-rv1 2_분양(100%)" xfId="40907"/>
    <cellStyle name="식_평택STP_01_09_27_Pt_대안1(1129)_112504_CN FM_보장조정_협약변경-재조달순-rv1_분양(100%)" xfId="40906"/>
    <cellStyle name="식_평택STP_01_09_27_Pt_대안1(1129)_CN Financial Model-090704-4%" xfId="31316"/>
    <cellStyle name="식_평택STP_01_09_27_Pt_대안1(1129)_CN Financial Model-090704-4% 2" xfId="31317"/>
    <cellStyle name="식_평택STP_01_09_27_Pt_대안1(1129)_CN Financial Model-090704-4% 2_분양(100%)" xfId="40909"/>
    <cellStyle name="식_평택STP_01_09_27_Pt_대안1(1129)_CN Financial Model-090704-4%_분양(100%)" xfId="40908"/>
    <cellStyle name="식_평택STP_01_09_27_Pt_대안1(1129)_CN Financial Model-102004" xfId="31318"/>
    <cellStyle name="식_평택STP_01_09_27_Pt_대안1(1129)_CN Financial Model-102004 2" xfId="31319"/>
    <cellStyle name="식_평택STP_01_09_27_Pt_대안1(1129)_CN Financial Model-102004 2_분양(100%)" xfId="40911"/>
    <cellStyle name="식_평택STP_01_09_27_Pt_대안1(1129)_CN Financial Model-102004_분양(100%)" xfId="40910"/>
    <cellStyle name="식_평택STP_01_09_27_Pt_대안1(1129)_분양(100%)" xfId="40904"/>
    <cellStyle name="식_평택STP_01_09_27_Pt_대안2(1201)" xfId="31320"/>
    <cellStyle name="식_평택STP_01_09_27_Pt_대안2(1201) 2" xfId="31321"/>
    <cellStyle name="식_평택STP_01_09_27_Pt_대안2(1201) 2_분양(100%)" xfId="40913"/>
    <cellStyle name="식_평택STP_01_09_27_Pt_대안2(1201)_112504_CN FM_보장조정_협약변경-재조달순-rv1" xfId="31322"/>
    <cellStyle name="식_평택STP_01_09_27_Pt_대안2(1201)_112504_CN FM_보장조정_협약변경-재조달순-rv1 2" xfId="31323"/>
    <cellStyle name="식_평택STP_01_09_27_Pt_대안2(1201)_112504_CN FM_보장조정_협약변경-재조달순-rv1 2_분양(100%)" xfId="40915"/>
    <cellStyle name="식_평택STP_01_09_27_Pt_대안2(1201)_112504_CN FM_보장조정_협약변경-재조달순-rv1_분양(100%)" xfId="40914"/>
    <cellStyle name="식_평택STP_01_09_27_Pt_대안2(1201)_CN Financial Model-090704-4%" xfId="31324"/>
    <cellStyle name="식_평택STP_01_09_27_Pt_대안2(1201)_CN Financial Model-090704-4% 2" xfId="31325"/>
    <cellStyle name="식_평택STP_01_09_27_Pt_대안2(1201)_CN Financial Model-090704-4% 2_분양(100%)" xfId="40917"/>
    <cellStyle name="식_평택STP_01_09_27_Pt_대안2(1201)_CN Financial Model-090704-4%_분양(100%)" xfId="40916"/>
    <cellStyle name="식_평택STP_01_09_27_Pt_대안2(1201)_CN Financial Model-102004" xfId="31326"/>
    <cellStyle name="식_평택STP_01_09_27_Pt_대안2(1201)_CN Financial Model-102004 2" xfId="31327"/>
    <cellStyle name="식_평택STP_01_09_27_Pt_대안2(1201)_CN Financial Model-102004 2_분양(100%)" xfId="40919"/>
    <cellStyle name="식_평택STP_01_09_27_Pt_대안2(1201)_CN Financial Model-102004_분양(100%)" xfId="40918"/>
    <cellStyle name="식_평택STP_01_09_27_Pt_대안2(1201)_분양(100%)" xfId="40912"/>
    <cellStyle name="식_평택STP_01_09_27_Pt_분양(100%)" xfId="40622"/>
    <cellStyle name="식_평택STP_01_09_27_Pt_사본 - MODEL_0105" xfId="31328"/>
    <cellStyle name="식_평택STP_01_09_27_Pt_사본 - MODEL_0105 2" xfId="31329"/>
    <cellStyle name="식_평택STP_01_09_27_Pt_사본 - MODEL_0105 2_분양(100%)" xfId="40921"/>
    <cellStyle name="식_평택STP_01_09_27_Pt_사본 - MODEL_0105_112504_CN FM_보장조정_협약변경-재조달순-rv1" xfId="31330"/>
    <cellStyle name="식_평택STP_01_09_27_Pt_사본 - MODEL_0105_112504_CN FM_보장조정_협약변경-재조달순-rv1 2" xfId="31331"/>
    <cellStyle name="식_평택STP_01_09_27_Pt_사본 - MODEL_0105_112504_CN FM_보장조정_협약변경-재조달순-rv1 2_분양(100%)" xfId="40923"/>
    <cellStyle name="식_평택STP_01_09_27_Pt_사본 - MODEL_0105_112504_CN FM_보장조정_협약변경-재조달순-rv1_분양(100%)" xfId="40922"/>
    <cellStyle name="식_평택STP_01_09_27_Pt_사본 - MODEL_0105_CN Financial Model-090704-4%" xfId="31332"/>
    <cellStyle name="식_평택STP_01_09_27_Pt_사본 - MODEL_0105_CN Financial Model-090704-4% 2" xfId="31333"/>
    <cellStyle name="식_평택STP_01_09_27_Pt_사본 - MODEL_0105_CN Financial Model-090704-4% 2_분양(100%)" xfId="40925"/>
    <cellStyle name="식_평택STP_01_09_27_Pt_사본 - MODEL_0105_CN Financial Model-090704-4%_분양(100%)" xfId="40924"/>
    <cellStyle name="식_평택STP_01_09_27_Pt_사본 - MODEL_0105_CN Financial Model-102004" xfId="31334"/>
    <cellStyle name="식_평택STP_01_09_27_Pt_사본 - MODEL_0105_CN Financial Model-102004 2" xfId="31335"/>
    <cellStyle name="식_평택STP_01_09_27_Pt_사본 - MODEL_0105_CN Financial Model-102004 2_분양(100%)" xfId="40927"/>
    <cellStyle name="식_평택STP_01_09_27_Pt_사본 - MODEL_0105_CN Financial Model-102004_분양(100%)" xfId="40926"/>
    <cellStyle name="식_평택STP_01_09_27_Pt_사본 - MODEL_0105_분양(100%)" xfId="40920"/>
    <cellStyle name="식_평택STP_01_09_27_Pt_사본 - 사본 - 사본 - MODEL_0105" xfId="31336"/>
    <cellStyle name="식_평택STP_01_09_27_Pt_사본 - 사본 - 사본 - MODEL_0105 2" xfId="31337"/>
    <cellStyle name="식_평택STP_01_09_27_Pt_사본 - 사본 - 사본 - MODEL_0105 2_분양(100%)" xfId="40929"/>
    <cellStyle name="식_평택STP_01_09_27_Pt_사본 - 사본 - 사본 - MODEL_0105_112504_CN FM_보장조정_협약변경-재조달순-rv1" xfId="31338"/>
    <cellStyle name="식_평택STP_01_09_27_Pt_사본 - 사본 - 사본 - MODEL_0105_112504_CN FM_보장조정_협약변경-재조달순-rv1 2" xfId="31339"/>
    <cellStyle name="식_평택STP_01_09_27_Pt_사본 - 사본 - 사본 - MODEL_0105_112504_CN FM_보장조정_협약변경-재조달순-rv1 2_분양(100%)" xfId="40931"/>
    <cellStyle name="식_평택STP_01_09_27_Pt_사본 - 사본 - 사본 - MODEL_0105_112504_CN FM_보장조정_협약변경-재조달순-rv1_분양(100%)" xfId="40930"/>
    <cellStyle name="식_평택STP_01_09_27_Pt_사본 - 사본 - 사본 - MODEL_0105_CN Financial Model-090704-4%" xfId="31340"/>
    <cellStyle name="식_평택STP_01_09_27_Pt_사본 - 사본 - 사본 - MODEL_0105_CN Financial Model-090704-4% 2" xfId="31341"/>
    <cellStyle name="식_평택STP_01_09_27_Pt_사본 - 사본 - 사본 - MODEL_0105_CN Financial Model-090704-4% 2_분양(100%)" xfId="40933"/>
    <cellStyle name="식_평택STP_01_09_27_Pt_사본 - 사본 - 사본 - MODEL_0105_CN Financial Model-090704-4%_분양(100%)" xfId="40932"/>
    <cellStyle name="식_평택STP_01_09_27_Pt_사본 - 사본 - 사본 - MODEL_0105_CN Financial Model-102004" xfId="31342"/>
    <cellStyle name="식_평택STP_01_09_27_Pt_사본 - 사본 - 사본 - MODEL_0105_CN Financial Model-102004 2" xfId="31343"/>
    <cellStyle name="식_평택STP_01_09_27_Pt_사본 - 사본 - 사본 - MODEL_0105_CN Financial Model-102004 2_분양(100%)" xfId="40935"/>
    <cellStyle name="식_평택STP_01_09_27_Pt_사본 - 사본 - 사본 - MODEL_0105_CN Financial Model-102004_분양(100%)" xfId="40934"/>
    <cellStyle name="식_평택STP_01_09_27_Pt_사본 - 사본 - 사본 - MODEL_0105_분양(100%)" xfId="40928"/>
    <cellStyle name="식_평택STP_01_09_27_Pt_양식" xfId="31344"/>
    <cellStyle name="식_평택STP_01_09_27_Pt_양식 2" xfId="31345"/>
    <cellStyle name="식_평택STP_01_09_27_Pt_양식 2_분양(100%)" xfId="40937"/>
    <cellStyle name="식_평택STP_01_09_27_Pt_양식_112504_CN FM_보장조정_협약변경-재조달순-rv1" xfId="31346"/>
    <cellStyle name="식_평택STP_01_09_27_Pt_양식_112504_CN FM_보장조정_협약변경-재조달순-rv1 2" xfId="31347"/>
    <cellStyle name="식_평택STP_01_09_27_Pt_양식_112504_CN FM_보장조정_협약변경-재조달순-rv1 2_분양(100%)" xfId="40939"/>
    <cellStyle name="식_평택STP_01_09_27_Pt_양식_112504_CN FM_보장조정_협약변경-재조달순-rv1_분양(100%)" xfId="40938"/>
    <cellStyle name="식_평택STP_01_09_27_Pt_양식_CN Financial Model-090704-4%" xfId="31348"/>
    <cellStyle name="식_평택STP_01_09_27_Pt_양식_CN Financial Model-090704-4% 2" xfId="31349"/>
    <cellStyle name="식_평택STP_01_09_27_Pt_양식_CN Financial Model-090704-4% 2_분양(100%)" xfId="40941"/>
    <cellStyle name="식_평택STP_01_09_27_Pt_양식_CN Financial Model-090704-4%_분양(100%)" xfId="40940"/>
    <cellStyle name="식_평택STP_01_09_27_Pt_양식_CN Financial Model-102004" xfId="31350"/>
    <cellStyle name="식_평택STP_01_09_27_Pt_양식_CN Financial Model-102004 2" xfId="31351"/>
    <cellStyle name="식_평택STP_01_09_27_Pt_양식_CN Financial Model-102004 2_분양(100%)" xfId="40943"/>
    <cellStyle name="식_평택STP_01_09_27_Pt_양식_CN Financial Model-102004_분양(100%)" xfId="40942"/>
    <cellStyle name="식_평택STP_01_09_27_Pt_양식_분양(100%)" xfId="40936"/>
    <cellStyle name="식_평택STP_01_09_27_Pt_용인 LRT_0619" xfId="31352"/>
    <cellStyle name="식_평택STP_01_09_27_Pt_용인 LRT_0619 2" xfId="31353"/>
    <cellStyle name="식_평택STP_01_09_27_Pt_용인 LRT_0619 2_분양(100%)" xfId="40945"/>
    <cellStyle name="식_평택STP_01_09_27_Pt_용인 LRT_0619_112504_CN FM_보장조정_협약변경-재조달순-rv1" xfId="31354"/>
    <cellStyle name="식_평택STP_01_09_27_Pt_용인 LRT_0619_112504_CN FM_보장조정_협약변경-재조달순-rv1 2" xfId="31355"/>
    <cellStyle name="식_평택STP_01_09_27_Pt_용인 LRT_0619_112504_CN FM_보장조정_협약변경-재조달순-rv1 2_분양(100%)" xfId="40947"/>
    <cellStyle name="식_평택STP_01_09_27_Pt_용인 LRT_0619_112504_CN FM_보장조정_협약변경-재조달순-rv1_분양(100%)" xfId="40946"/>
    <cellStyle name="식_평택STP_01_09_27_Pt_용인 LRT_0619_CN Financial Model-090704-4%" xfId="31356"/>
    <cellStyle name="식_평택STP_01_09_27_Pt_용인 LRT_0619_CN Financial Model-090704-4% 2" xfId="31357"/>
    <cellStyle name="식_평택STP_01_09_27_Pt_용인 LRT_0619_CN Financial Model-090704-4% 2_분양(100%)" xfId="40949"/>
    <cellStyle name="식_평택STP_01_09_27_Pt_용인 LRT_0619_CN Financial Model-090704-4%_분양(100%)" xfId="40948"/>
    <cellStyle name="식_평택STP_01_09_27_Pt_용인 LRT_0619_CN Financial Model-102004" xfId="31358"/>
    <cellStyle name="식_평택STP_01_09_27_Pt_용인 LRT_0619_CN Financial Model-102004 2" xfId="31359"/>
    <cellStyle name="식_평택STP_01_09_27_Pt_용인 LRT_0619_CN Financial Model-102004 2_분양(100%)" xfId="40951"/>
    <cellStyle name="식_평택STP_01_09_27_Pt_용인 LRT_0619_CN Financial Model-102004_분양(100%)" xfId="40950"/>
    <cellStyle name="식_평택STP_01_09_27_Pt_용인 LRT_0619_분양(100%)" xfId="40944"/>
    <cellStyle name="식_평택STP_01_09_27_Pt_용인 LRT_0619-2" xfId="31360"/>
    <cellStyle name="식_평택STP_01_09_27_Pt_용인 LRT_0619-2 2" xfId="31361"/>
    <cellStyle name="식_평택STP_01_09_27_Pt_용인 LRT_0619-2 2_분양(100%)" xfId="40953"/>
    <cellStyle name="식_평택STP_01_09_27_Pt_용인 LRT_0619-2_112504_CN FM_보장조정_협약변경-재조달순-rv1" xfId="31362"/>
    <cellStyle name="식_평택STP_01_09_27_Pt_용인 LRT_0619-2_112504_CN FM_보장조정_협약변경-재조달순-rv1 2" xfId="31363"/>
    <cellStyle name="식_평택STP_01_09_27_Pt_용인 LRT_0619-2_112504_CN FM_보장조정_협약변경-재조달순-rv1 2_분양(100%)" xfId="40955"/>
    <cellStyle name="식_평택STP_01_09_27_Pt_용인 LRT_0619-2_112504_CN FM_보장조정_협약변경-재조달순-rv1_분양(100%)" xfId="40954"/>
    <cellStyle name="식_평택STP_01_09_27_Pt_용인 LRT_0619-2_CN Financial Model-090704-4%" xfId="31364"/>
    <cellStyle name="식_평택STP_01_09_27_Pt_용인 LRT_0619-2_CN Financial Model-090704-4% 2" xfId="31365"/>
    <cellStyle name="식_평택STP_01_09_27_Pt_용인 LRT_0619-2_CN Financial Model-090704-4% 2_분양(100%)" xfId="40957"/>
    <cellStyle name="식_평택STP_01_09_27_Pt_용인 LRT_0619-2_CN Financial Model-090704-4%_분양(100%)" xfId="40956"/>
    <cellStyle name="식_평택STP_01_09_27_Pt_용인 LRT_0619-2_CN Financial Model-102004" xfId="31366"/>
    <cellStyle name="식_평택STP_01_09_27_Pt_용인 LRT_0619-2_CN Financial Model-102004 2" xfId="31367"/>
    <cellStyle name="식_평택STP_01_09_27_Pt_용인 LRT_0619-2_CN Financial Model-102004 2_분양(100%)" xfId="40959"/>
    <cellStyle name="식_평택STP_01_09_27_Pt_용인 LRT_0619-2_CN Financial Model-102004_분양(100%)" xfId="40958"/>
    <cellStyle name="식_평택STP_01_09_27_Pt_용인 LRT_0619-2_분양(100%)" xfId="40952"/>
    <cellStyle name="식_평택STP_01_09_27_Pt_용인 LRT_0620" xfId="31368"/>
    <cellStyle name="식_평택STP_01_09_27_Pt_용인 LRT_0620 2" xfId="31369"/>
    <cellStyle name="식_평택STP_01_09_27_Pt_용인 LRT_0620 2_분양(100%)" xfId="40961"/>
    <cellStyle name="식_평택STP_01_09_27_Pt_용인 LRT_0620_112504_CN FM_보장조정_협약변경-재조달순-rv1" xfId="31370"/>
    <cellStyle name="식_평택STP_01_09_27_Pt_용인 LRT_0620_112504_CN FM_보장조정_협약변경-재조달순-rv1 2" xfId="31371"/>
    <cellStyle name="식_평택STP_01_09_27_Pt_용인 LRT_0620_112504_CN FM_보장조정_협약변경-재조달순-rv1 2_분양(100%)" xfId="40963"/>
    <cellStyle name="식_평택STP_01_09_27_Pt_용인 LRT_0620_112504_CN FM_보장조정_협약변경-재조달순-rv1_분양(100%)" xfId="40962"/>
    <cellStyle name="식_평택STP_01_09_27_Pt_용인 LRT_0620_CN Financial Model-090704-4%" xfId="31372"/>
    <cellStyle name="식_평택STP_01_09_27_Pt_용인 LRT_0620_CN Financial Model-090704-4% 2" xfId="31373"/>
    <cellStyle name="식_평택STP_01_09_27_Pt_용인 LRT_0620_CN Financial Model-090704-4% 2_분양(100%)" xfId="40965"/>
    <cellStyle name="식_평택STP_01_09_27_Pt_용인 LRT_0620_CN Financial Model-090704-4%_분양(100%)" xfId="40964"/>
    <cellStyle name="식_평택STP_01_09_27_Pt_용인 LRT_0620_CN Financial Model-102004" xfId="31374"/>
    <cellStyle name="식_평택STP_01_09_27_Pt_용인 LRT_0620_CN Financial Model-102004 2" xfId="31375"/>
    <cellStyle name="식_평택STP_01_09_27_Pt_용인 LRT_0620_CN Financial Model-102004 2_분양(100%)" xfId="40967"/>
    <cellStyle name="식_평택STP_01_09_27_Pt_용인 LRT_0620_CN Financial Model-102004_분양(100%)" xfId="40966"/>
    <cellStyle name="식_평택STP_01_09_27_Pt_용인 LRT_0620_분양(100%)" xfId="40960"/>
    <cellStyle name="식_평택STP_01_09_27_Pt_용인 경량전철 민간투자사업 재무모델" xfId="31376"/>
    <cellStyle name="식_평택STP_01_09_27_Pt_용인 경량전철 민간투자사업 재무모델 2" xfId="31377"/>
    <cellStyle name="식_평택STP_01_09_27_Pt_용인 경량전철 민간투자사업 재무모델 2_분양(100%)" xfId="40969"/>
    <cellStyle name="식_평택STP_01_09_27_Pt_용인 경량전철 민간투자사업 재무모델_112504_CN FM_보장조정_협약변경-재조달순-rv1" xfId="31378"/>
    <cellStyle name="식_평택STP_01_09_27_Pt_용인 경량전철 민간투자사업 재무모델_112504_CN FM_보장조정_협약변경-재조달순-rv1 2" xfId="31379"/>
    <cellStyle name="식_평택STP_01_09_27_Pt_용인 경량전철 민간투자사업 재무모델_112504_CN FM_보장조정_협약변경-재조달순-rv1 2_분양(100%)" xfId="40971"/>
    <cellStyle name="식_평택STP_01_09_27_Pt_용인 경량전철 민간투자사업 재무모델_112504_CN FM_보장조정_협약변경-재조달순-rv1_분양(100%)" xfId="40970"/>
    <cellStyle name="식_평택STP_01_09_27_Pt_용인 경량전철 민간투자사업 재무모델_CN Financial Model-090704-4%" xfId="31380"/>
    <cellStyle name="식_평택STP_01_09_27_Pt_용인 경량전철 민간투자사업 재무모델_CN Financial Model-090704-4% 2" xfId="31381"/>
    <cellStyle name="식_평택STP_01_09_27_Pt_용인 경량전철 민간투자사업 재무모델_CN Financial Model-090704-4% 2_분양(100%)" xfId="40973"/>
    <cellStyle name="식_평택STP_01_09_27_Pt_용인 경량전철 민간투자사업 재무모델_CN Financial Model-090704-4%_분양(100%)" xfId="40972"/>
    <cellStyle name="식_평택STP_01_09_27_Pt_용인 경량전철 민간투자사업 재무모델_CN Financial Model-102004" xfId="31382"/>
    <cellStyle name="식_평택STP_01_09_27_Pt_용인 경량전철 민간투자사업 재무모델_CN Financial Model-102004 2" xfId="31383"/>
    <cellStyle name="식_평택STP_01_09_27_Pt_용인 경량전철 민간투자사업 재무모델_CN Financial Model-102004 2_분양(100%)" xfId="40975"/>
    <cellStyle name="식_평택STP_01_09_27_Pt_용인 경량전철 민간투자사업 재무모델_CN Financial Model-102004_분양(100%)" xfId="40974"/>
    <cellStyle name="식_평택STP_01_09_27_Pt_용인 경량전철 민간투자사업 재무모델_분양(100%)" xfId="40968"/>
    <cellStyle name="식_평택STP_01_09_27_Pt_운영설비비(고기리0320)" xfId="31384"/>
    <cellStyle name="식_평택STP_01_09_27_Pt_운영설비비(고기리0320) 2" xfId="31385"/>
    <cellStyle name="식_평택STP_01_09_27_Pt_운영설비비(고기리0320) 2_분양(100%)" xfId="40977"/>
    <cellStyle name="식_평택STP_01_09_27_Pt_운영설비비(고기리0320)_112504_CN FM_보장조정_협약변경-재조달순-rv1" xfId="31386"/>
    <cellStyle name="식_평택STP_01_09_27_Pt_운영설비비(고기리0320)_112504_CN FM_보장조정_협약변경-재조달순-rv1 2" xfId="31387"/>
    <cellStyle name="식_평택STP_01_09_27_Pt_운영설비비(고기리0320)_112504_CN FM_보장조정_협약변경-재조달순-rv1 2_분양(100%)" xfId="40979"/>
    <cellStyle name="식_평택STP_01_09_27_Pt_운영설비비(고기리0320)_112504_CN FM_보장조정_협약변경-재조달순-rv1_분양(100%)" xfId="40978"/>
    <cellStyle name="식_평택STP_01_09_27_Pt_운영설비비(고기리0320)_CN Financial Model-090704-4%" xfId="31388"/>
    <cellStyle name="식_평택STP_01_09_27_Pt_운영설비비(고기리0320)_CN Financial Model-090704-4% 2" xfId="31389"/>
    <cellStyle name="식_평택STP_01_09_27_Pt_운영설비비(고기리0320)_CN Financial Model-090704-4% 2_분양(100%)" xfId="40981"/>
    <cellStyle name="식_평택STP_01_09_27_Pt_운영설비비(고기리0320)_CN Financial Model-090704-4%_분양(100%)" xfId="40980"/>
    <cellStyle name="식_평택STP_01_09_27_Pt_운영설비비(고기리0320)_CN Financial Model-102004" xfId="31390"/>
    <cellStyle name="식_평택STP_01_09_27_Pt_운영설비비(고기리0320)_CN Financial Model-102004 2" xfId="31391"/>
    <cellStyle name="식_평택STP_01_09_27_Pt_운영설비비(고기리0320)_CN Financial Model-102004 2_분양(100%)" xfId="40983"/>
    <cellStyle name="식_평택STP_01_09_27_Pt_운영설비비(고기리0320)_CN Financial Model-102004_분양(100%)" xfId="40982"/>
    <cellStyle name="식_평택STP_01_09_27_Pt_운영설비비(고기리0320)_분양(100%)" xfId="40976"/>
    <cellStyle name="식_평택STP_01_09_27_Pt_재무모델_김천하수관거_0221" xfId="360"/>
    <cellStyle name="식_평택STP_01_09_27_Pt_재무모델_김천하수관거_0222" xfId="361"/>
    <cellStyle name="식_평택STP_01_09_27_Pt_재무모델_김천하수관거_0224" xfId="362"/>
    <cellStyle name="식_평택STP_01_09_27_Pt_재무모델_김천하수관거_부속작업중" xfId="363"/>
    <cellStyle name="식_평택STP_01_09_27_Pt_재무모델_인천신현고외" xfId="364"/>
    <cellStyle name="식_평택STP_01_09_27_Pt_재무모델_인천신현고외_재무모델_김천하수관거_0221" xfId="365"/>
    <cellStyle name="식_평택STP_01_09_27_Pt_재무모델_인천신현고외_재무모델_김천하수관거_0222" xfId="366"/>
    <cellStyle name="식_평택STP_01_09_27_Pt_재무모델_인천신현고외_재무모델_김천하수관거_0224" xfId="367"/>
    <cellStyle name="식_평택STP_01_09_27_Pt_재무모델_인천신현고외_재무모델_김천하수관거_부속작업중" xfId="368"/>
    <cellStyle name="식_평택STP_01_09_27_Pt_천안논산 Valuation_0426" xfId="31392"/>
    <cellStyle name="식_평택STP_01_09_27_Pt_천안논산 Valuation_0426 2" xfId="31393"/>
    <cellStyle name="식_평택STP_01_09_27_Pt_천안논산 Valuation_0426 2_분양(100%)" xfId="40985"/>
    <cellStyle name="식_평택STP_01_09_27_Pt_천안논산 Valuation_0426_112504_CN FM_보장조정_협약변경-재조달순-rv1" xfId="31394"/>
    <cellStyle name="식_평택STP_01_09_27_Pt_천안논산 Valuation_0426_112504_CN FM_보장조정_협약변경-재조달순-rv1 2" xfId="31395"/>
    <cellStyle name="식_평택STP_01_09_27_Pt_천안논산 Valuation_0426_112504_CN FM_보장조정_협약변경-재조달순-rv1 2_분양(100%)" xfId="40987"/>
    <cellStyle name="식_평택STP_01_09_27_Pt_천안논산 Valuation_0426_112504_CN FM_보장조정_협약변경-재조달순-rv1_분양(100%)" xfId="40986"/>
    <cellStyle name="식_평택STP_01_09_27_Pt_천안논산 Valuation_0426_CN Financial Model-090704-4%" xfId="31396"/>
    <cellStyle name="식_평택STP_01_09_27_Pt_천안논산 Valuation_0426_CN Financial Model-090704-4% 2" xfId="31397"/>
    <cellStyle name="식_평택STP_01_09_27_Pt_천안논산 Valuation_0426_CN Financial Model-090704-4% 2_분양(100%)" xfId="40989"/>
    <cellStyle name="식_평택STP_01_09_27_Pt_천안논산 Valuation_0426_CN Financial Model-090704-4%_분양(100%)" xfId="40988"/>
    <cellStyle name="식_평택STP_01_09_27_Pt_천안논산 Valuation_0426_CN Financial Model-102004" xfId="31398"/>
    <cellStyle name="식_평택STP_01_09_27_Pt_천안논산 Valuation_0426_CN Financial Model-102004 2" xfId="31399"/>
    <cellStyle name="식_평택STP_01_09_27_Pt_천안논산 Valuation_0426_CN Financial Model-102004 2_분양(100%)" xfId="40991"/>
    <cellStyle name="식_평택STP_01_09_27_Pt_천안논산 Valuation_0426_CN Financial Model-102004_분양(100%)" xfId="40990"/>
    <cellStyle name="식_평택STP_01_09_27_Pt_천안논산 Valuation_0426_분양(100%)" xfId="40984"/>
    <cellStyle name="식_평택STP_01_09_27_Pt_천안논산 Valuation_0428" xfId="31400"/>
    <cellStyle name="식_평택STP_01_09_27_Pt_천안논산 Valuation_0428 2" xfId="31401"/>
    <cellStyle name="식_평택STP_01_09_27_Pt_천안논산 Valuation_0428 2_분양(100%)" xfId="40993"/>
    <cellStyle name="식_평택STP_01_09_27_Pt_천안논산 Valuation_0428_112504_CN FM_보장조정_협약변경-재조달순-rv1" xfId="31402"/>
    <cellStyle name="식_평택STP_01_09_27_Pt_천안논산 Valuation_0428_112504_CN FM_보장조정_협약변경-재조달순-rv1 2" xfId="31403"/>
    <cellStyle name="식_평택STP_01_09_27_Pt_천안논산 Valuation_0428_112504_CN FM_보장조정_협약변경-재조달순-rv1 2_분양(100%)" xfId="40995"/>
    <cellStyle name="식_평택STP_01_09_27_Pt_천안논산 Valuation_0428_112504_CN FM_보장조정_협약변경-재조달순-rv1_분양(100%)" xfId="40994"/>
    <cellStyle name="식_평택STP_01_09_27_Pt_천안논산 Valuation_0428_CN Financial Model-090704-4%" xfId="31404"/>
    <cellStyle name="식_평택STP_01_09_27_Pt_천안논산 Valuation_0428_CN Financial Model-090704-4% 2" xfId="31405"/>
    <cellStyle name="식_평택STP_01_09_27_Pt_천안논산 Valuation_0428_CN Financial Model-090704-4% 2_분양(100%)" xfId="40997"/>
    <cellStyle name="식_평택STP_01_09_27_Pt_천안논산 Valuation_0428_CN Financial Model-090704-4%_분양(100%)" xfId="40996"/>
    <cellStyle name="식_평택STP_01_09_27_Pt_천안논산 Valuation_0428_CN Financial Model-102004" xfId="31406"/>
    <cellStyle name="식_평택STP_01_09_27_Pt_천안논산 Valuation_0428_CN Financial Model-102004 2" xfId="31407"/>
    <cellStyle name="식_평택STP_01_09_27_Pt_천안논산 Valuation_0428_CN Financial Model-102004 2_분양(100%)" xfId="40999"/>
    <cellStyle name="식_평택STP_01_09_27_Pt_천안논산 Valuation_0428_CN Financial Model-102004_분양(100%)" xfId="40998"/>
    <cellStyle name="식_평택STP_01_09_27_Pt_천안논산 Valuation_0428_분양(100%)" xfId="40992"/>
    <cellStyle name="식_평택STP_01_09_27_Pt_천안논산 Valuation_0430" xfId="31408"/>
    <cellStyle name="식_평택STP_01_09_27_Pt_천안논산 Valuation_0430 2" xfId="31409"/>
    <cellStyle name="식_평택STP_01_09_27_Pt_천안논산 Valuation_0430 2_분양(100%)" xfId="41001"/>
    <cellStyle name="식_평택STP_01_09_27_Pt_천안논산 Valuation_0430_112504_CN FM_보장조정_협약변경-재조달순-rv1" xfId="31410"/>
    <cellStyle name="식_평택STP_01_09_27_Pt_천안논산 Valuation_0430_112504_CN FM_보장조정_협약변경-재조달순-rv1 2" xfId="31411"/>
    <cellStyle name="식_평택STP_01_09_27_Pt_천안논산 Valuation_0430_112504_CN FM_보장조정_협약변경-재조달순-rv1 2_분양(100%)" xfId="41003"/>
    <cellStyle name="식_평택STP_01_09_27_Pt_천안논산 Valuation_0430_112504_CN FM_보장조정_협약변경-재조달순-rv1_분양(100%)" xfId="41002"/>
    <cellStyle name="식_평택STP_01_09_27_Pt_천안논산 Valuation_0430_CN Financial Model-090704-4%" xfId="31412"/>
    <cellStyle name="식_평택STP_01_09_27_Pt_천안논산 Valuation_0430_CN Financial Model-090704-4% 2" xfId="31413"/>
    <cellStyle name="식_평택STP_01_09_27_Pt_천안논산 Valuation_0430_CN Financial Model-090704-4% 2_분양(100%)" xfId="41005"/>
    <cellStyle name="식_평택STP_01_09_27_Pt_천안논산 Valuation_0430_CN Financial Model-090704-4%_분양(100%)" xfId="41004"/>
    <cellStyle name="식_평택STP_01_09_27_Pt_천안논산 Valuation_0430_CN Financial Model-102004" xfId="31414"/>
    <cellStyle name="식_평택STP_01_09_27_Pt_천안논산 Valuation_0430_CN Financial Model-102004 2" xfId="31415"/>
    <cellStyle name="식_평택STP_01_09_27_Pt_천안논산 Valuation_0430_CN Financial Model-102004 2_분양(100%)" xfId="41007"/>
    <cellStyle name="식_평택STP_01_09_27_Pt_천안논산 Valuation_0430_CN Financial Model-102004_분양(100%)" xfId="41006"/>
    <cellStyle name="식_평택STP_01_09_27_Pt_천안논산 Valuation_0430_분양(100%)" xfId="41000"/>
    <cellStyle name="식_평택STP_01_09_27_Pt_천안논산 Valuation_0502" xfId="31416"/>
    <cellStyle name="식_평택STP_01_09_27_Pt_천안논산 Valuation_0502 2" xfId="31417"/>
    <cellStyle name="식_평택STP_01_09_27_Pt_천안논산 Valuation_0502 2_분양(100%)" xfId="41009"/>
    <cellStyle name="식_평택STP_01_09_27_Pt_천안논산 Valuation_0502_112504_CN FM_보장조정_협약변경-재조달순-rv1" xfId="31418"/>
    <cellStyle name="식_평택STP_01_09_27_Pt_천안논산 Valuation_0502_112504_CN FM_보장조정_협약변경-재조달순-rv1 2" xfId="31419"/>
    <cellStyle name="식_평택STP_01_09_27_Pt_천안논산 Valuation_0502_112504_CN FM_보장조정_협약변경-재조달순-rv1 2_분양(100%)" xfId="41011"/>
    <cellStyle name="식_평택STP_01_09_27_Pt_천안논산 Valuation_0502_112504_CN FM_보장조정_협약변경-재조달순-rv1_분양(100%)" xfId="41010"/>
    <cellStyle name="식_평택STP_01_09_27_Pt_천안논산 Valuation_0502_CN Financial Model-090704-4%" xfId="31420"/>
    <cellStyle name="식_평택STP_01_09_27_Pt_천안논산 Valuation_0502_CN Financial Model-090704-4% 2" xfId="31421"/>
    <cellStyle name="식_평택STP_01_09_27_Pt_천안논산 Valuation_0502_CN Financial Model-090704-4% 2_분양(100%)" xfId="41013"/>
    <cellStyle name="식_평택STP_01_09_27_Pt_천안논산 Valuation_0502_CN Financial Model-090704-4%_분양(100%)" xfId="41012"/>
    <cellStyle name="식_평택STP_01_09_27_Pt_천안논산 Valuation_0502_CN Financial Model-102004" xfId="31422"/>
    <cellStyle name="식_평택STP_01_09_27_Pt_천안논산 Valuation_0502_CN Financial Model-102004 2" xfId="31423"/>
    <cellStyle name="식_평택STP_01_09_27_Pt_천안논산 Valuation_0502_CN Financial Model-102004 2_분양(100%)" xfId="41015"/>
    <cellStyle name="식_평택STP_01_09_27_Pt_천안논산 Valuation_0502_CN Financial Model-102004_분양(100%)" xfId="41014"/>
    <cellStyle name="식_평택STP_01_09_27_Pt_천안논산 Valuation_0502_분양(100%)" xfId="41008"/>
    <cellStyle name="식_평택STP_01_09_27_분양(100%)" xfId="40220"/>
    <cellStyle name="식_평택STP_01_09_27_재무모델_김천하수관거_0221" xfId="369"/>
    <cellStyle name="식_평택STP_01_09_27_재무모델_김천하수관거_0222" xfId="370"/>
    <cellStyle name="식_평택STP_01_09_27_재무모델_김천하수관거_0224" xfId="371"/>
    <cellStyle name="식_평택STP_01_09_27_재무모델_김천하수관거_부속작업중" xfId="372"/>
    <cellStyle name="신진수" xfId="31424"/>
    <cellStyle name="안건회계법인" xfId="685"/>
    <cellStyle name="앥_x0001_" xfId="31425"/>
    <cellStyle name="얁_x0001_" xfId="31426"/>
    <cellStyle name="역상" xfId="31427"/>
    <cellStyle name="연결된 셀 2" xfId="4392"/>
    <cellStyle name="연결된 셀 2 2" xfId="31428"/>
    <cellStyle name="연결된 셀 2_분양(100%)" xfId="41016"/>
    <cellStyle name="연결된 셀 3" xfId="31429"/>
    <cellStyle name="연결된 셀 4" xfId="31430"/>
    <cellStyle name="연결된 셀 5" xfId="31431"/>
    <cellStyle name="연결된 셀 6" xfId="31432"/>
    <cellStyle name="연속" xfId="4393"/>
    <cellStyle name="영문설명" xfId="31433"/>
    <cellStyle name="옛체" xfId="31434"/>
    <cellStyle name="왼" xfId="31435"/>
    <cellStyle name="왼_분양(100%)" xfId="41017"/>
    <cellStyle name="왼_주간임원회의_자료_0627_자금본부(1)" xfId="31436"/>
    <cellStyle name="왼_주간임원회의_자료_0627_자금본부(1)_분양(100%)" xfId="41018"/>
    <cellStyle name="왼쪽2" xfId="31437"/>
    <cellStyle name="왼쪽2 2" xfId="31438"/>
    <cellStyle name="왼쪽2 3" xfId="31439"/>
    <cellStyle name="왼쪽2_분양(100%)" xfId="41019"/>
    <cellStyle name="왼쪽5" xfId="31440"/>
    <cellStyle name="왼쪽5 2" xfId="31441"/>
    <cellStyle name="왼쪽5 3" xfId="31442"/>
    <cellStyle name="왼쪽5_분양(100%)" xfId="41020"/>
    <cellStyle name="요약 10" xfId="31443"/>
    <cellStyle name="요약 11" xfId="31444"/>
    <cellStyle name="요약 12" xfId="31445"/>
    <cellStyle name="요약 13" xfId="31446"/>
    <cellStyle name="요약 14" xfId="31447"/>
    <cellStyle name="요약 15" xfId="31448"/>
    <cellStyle name="요약 16" xfId="31449"/>
    <cellStyle name="요약 17" xfId="31450"/>
    <cellStyle name="요약 18" xfId="31451"/>
    <cellStyle name="요약 19" xfId="31452"/>
    <cellStyle name="요약 2" xfId="4394"/>
    <cellStyle name="요약 2 10" xfId="31453"/>
    <cellStyle name="요약 2 11" xfId="31454"/>
    <cellStyle name="요약 2 12" xfId="31455"/>
    <cellStyle name="요약 2 13" xfId="31456"/>
    <cellStyle name="요약 2 14" xfId="31457"/>
    <cellStyle name="요약 2 15" xfId="31458"/>
    <cellStyle name="요약 2 16" xfId="31459"/>
    <cellStyle name="요약 2 17" xfId="31460"/>
    <cellStyle name="요약 2 18" xfId="31461"/>
    <cellStyle name="요약 2 19" xfId="31462"/>
    <cellStyle name="요약 2 2" xfId="31463"/>
    <cellStyle name="요약 2 2 10" xfId="31464"/>
    <cellStyle name="요약 2 2 11" xfId="31465"/>
    <cellStyle name="요약 2 2 12" xfId="31466"/>
    <cellStyle name="요약 2 2 13" xfId="31467"/>
    <cellStyle name="요약 2 2 2" xfId="31468"/>
    <cellStyle name="요약 2 2 3" xfId="31469"/>
    <cellStyle name="요약 2 2 4" xfId="31470"/>
    <cellStyle name="요약 2 2 5" xfId="31471"/>
    <cellStyle name="요약 2 2 6" xfId="31472"/>
    <cellStyle name="요약 2 2 7" xfId="31473"/>
    <cellStyle name="요약 2 2 8" xfId="31474"/>
    <cellStyle name="요약 2 2 9" xfId="31475"/>
    <cellStyle name="요약 2 2_분양(100%)" xfId="41022"/>
    <cellStyle name="요약 2 20" xfId="31476"/>
    <cellStyle name="요약 2 21" xfId="31477"/>
    <cellStyle name="요약 2 3" xfId="31478"/>
    <cellStyle name="요약 2 3 10" xfId="31479"/>
    <cellStyle name="요약 2 3 11" xfId="31480"/>
    <cellStyle name="요약 2 3 12" xfId="31481"/>
    <cellStyle name="요약 2 3 13" xfId="31482"/>
    <cellStyle name="요약 2 3 2" xfId="31483"/>
    <cellStyle name="요약 2 3 3" xfId="31484"/>
    <cellStyle name="요약 2 3 4" xfId="31485"/>
    <cellStyle name="요약 2 3 5" xfId="31486"/>
    <cellStyle name="요약 2 3 6" xfId="31487"/>
    <cellStyle name="요약 2 3 7" xfId="31488"/>
    <cellStyle name="요약 2 3 8" xfId="31489"/>
    <cellStyle name="요약 2 3 9" xfId="31490"/>
    <cellStyle name="요약 2 3_분양(100%)" xfId="41023"/>
    <cellStyle name="요약 2 4" xfId="31491"/>
    <cellStyle name="요약 2 4 10" xfId="31492"/>
    <cellStyle name="요약 2 4 11" xfId="31493"/>
    <cellStyle name="요약 2 4 12" xfId="31494"/>
    <cellStyle name="요약 2 4 13" xfId="31495"/>
    <cellStyle name="요약 2 4 2" xfId="31496"/>
    <cellStyle name="요약 2 4 3" xfId="31497"/>
    <cellStyle name="요약 2 4 4" xfId="31498"/>
    <cellStyle name="요약 2 4 5" xfId="31499"/>
    <cellStyle name="요약 2 4 6" xfId="31500"/>
    <cellStyle name="요약 2 4 7" xfId="31501"/>
    <cellStyle name="요약 2 4 8" xfId="31502"/>
    <cellStyle name="요약 2 4 9" xfId="31503"/>
    <cellStyle name="요약 2 4_분양(100%)" xfId="41024"/>
    <cellStyle name="요약 2 5" xfId="31504"/>
    <cellStyle name="요약 2 5 10" xfId="31505"/>
    <cellStyle name="요약 2 5 11" xfId="31506"/>
    <cellStyle name="요약 2 5 12" xfId="31507"/>
    <cellStyle name="요약 2 5 13" xfId="31508"/>
    <cellStyle name="요약 2 5 2" xfId="31509"/>
    <cellStyle name="요약 2 5 3" xfId="31510"/>
    <cellStyle name="요약 2 5 4" xfId="31511"/>
    <cellStyle name="요약 2 5 5" xfId="31512"/>
    <cellStyle name="요약 2 5 6" xfId="31513"/>
    <cellStyle name="요약 2 5 7" xfId="31514"/>
    <cellStyle name="요약 2 5 8" xfId="31515"/>
    <cellStyle name="요약 2 5 9" xfId="31516"/>
    <cellStyle name="요약 2 5_분양(100%)" xfId="41025"/>
    <cellStyle name="요약 2 6" xfId="31517"/>
    <cellStyle name="요약 2 6 10" xfId="31518"/>
    <cellStyle name="요약 2 6 11" xfId="31519"/>
    <cellStyle name="요약 2 6 12" xfId="31520"/>
    <cellStyle name="요약 2 6 13" xfId="31521"/>
    <cellStyle name="요약 2 6 2" xfId="31522"/>
    <cellStyle name="요약 2 6 3" xfId="31523"/>
    <cellStyle name="요약 2 6 4" xfId="31524"/>
    <cellStyle name="요약 2 6 5" xfId="31525"/>
    <cellStyle name="요약 2 6 6" xfId="31526"/>
    <cellStyle name="요약 2 6 7" xfId="31527"/>
    <cellStyle name="요약 2 6 8" xfId="31528"/>
    <cellStyle name="요약 2 6 9" xfId="31529"/>
    <cellStyle name="요약 2 6_분양(100%)" xfId="41026"/>
    <cellStyle name="요약 2 7" xfId="31530"/>
    <cellStyle name="요약 2 7 10" xfId="31531"/>
    <cellStyle name="요약 2 7 11" xfId="31532"/>
    <cellStyle name="요약 2 7 12" xfId="31533"/>
    <cellStyle name="요약 2 7 13" xfId="31534"/>
    <cellStyle name="요약 2 7 2" xfId="31535"/>
    <cellStyle name="요약 2 7 3" xfId="31536"/>
    <cellStyle name="요약 2 7 4" xfId="31537"/>
    <cellStyle name="요약 2 7 5" xfId="31538"/>
    <cellStyle name="요약 2 7 6" xfId="31539"/>
    <cellStyle name="요약 2 7 7" xfId="31540"/>
    <cellStyle name="요약 2 7 8" xfId="31541"/>
    <cellStyle name="요약 2 7 9" xfId="31542"/>
    <cellStyle name="요약 2 7_분양(100%)" xfId="41027"/>
    <cellStyle name="요약 2 8" xfId="31543"/>
    <cellStyle name="요약 2 9" xfId="31544"/>
    <cellStyle name="요약 2_분양(100%)" xfId="41021"/>
    <cellStyle name="요약 20" xfId="31545"/>
    <cellStyle name="요약 21" xfId="31546"/>
    <cellStyle name="요약 22" xfId="31547"/>
    <cellStyle name="요약 23" xfId="31548"/>
    <cellStyle name="요약 24" xfId="31549"/>
    <cellStyle name="요약 25" xfId="31550"/>
    <cellStyle name="요약 3" xfId="31551"/>
    <cellStyle name="요약 3 10" xfId="31552"/>
    <cellStyle name="요약 3 11" xfId="31553"/>
    <cellStyle name="요약 3 12" xfId="31554"/>
    <cellStyle name="요약 3 13" xfId="31555"/>
    <cellStyle name="요약 3 2" xfId="31556"/>
    <cellStyle name="요약 3 3" xfId="31557"/>
    <cellStyle name="요약 3 4" xfId="31558"/>
    <cellStyle name="요약 3 5" xfId="31559"/>
    <cellStyle name="요약 3 6" xfId="31560"/>
    <cellStyle name="요약 3 7" xfId="31561"/>
    <cellStyle name="요약 3 8" xfId="31562"/>
    <cellStyle name="요약 3 9" xfId="31563"/>
    <cellStyle name="요약 3_분양(100%)" xfId="41028"/>
    <cellStyle name="요약 4" xfId="31564"/>
    <cellStyle name="요약 4 10" xfId="31565"/>
    <cellStyle name="요약 4 11" xfId="31566"/>
    <cellStyle name="요약 4 12" xfId="31567"/>
    <cellStyle name="요약 4 13" xfId="31568"/>
    <cellStyle name="요약 4 2" xfId="31569"/>
    <cellStyle name="요약 4 3" xfId="31570"/>
    <cellStyle name="요약 4 4" xfId="31571"/>
    <cellStyle name="요약 4 5" xfId="31572"/>
    <cellStyle name="요약 4 6" xfId="31573"/>
    <cellStyle name="요약 4 7" xfId="31574"/>
    <cellStyle name="요약 4 8" xfId="31575"/>
    <cellStyle name="요약 4 9" xfId="31576"/>
    <cellStyle name="요약 4_분양(100%)" xfId="41029"/>
    <cellStyle name="요약 5" xfId="31577"/>
    <cellStyle name="요약 5 10" xfId="31578"/>
    <cellStyle name="요약 5 11" xfId="31579"/>
    <cellStyle name="요약 5 12" xfId="31580"/>
    <cellStyle name="요약 5 13" xfId="31581"/>
    <cellStyle name="요약 5 2" xfId="31582"/>
    <cellStyle name="요약 5 3" xfId="31583"/>
    <cellStyle name="요약 5 4" xfId="31584"/>
    <cellStyle name="요약 5 5" xfId="31585"/>
    <cellStyle name="요약 5 6" xfId="31586"/>
    <cellStyle name="요약 5 7" xfId="31587"/>
    <cellStyle name="요약 5 8" xfId="31588"/>
    <cellStyle name="요약 5 9" xfId="31589"/>
    <cellStyle name="요약 5_분양(100%)" xfId="41030"/>
    <cellStyle name="요약 6" xfId="31590"/>
    <cellStyle name="요약 6 10" xfId="31591"/>
    <cellStyle name="요약 6 11" xfId="31592"/>
    <cellStyle name="요약 6 12" xfId="31593"/>
    <cellStyle name="요약 6 13" xfId="31594"/>
    <cellStyle name="요약 6 2" xfId="31595"/>
    <cellStyle name="요약 6 3" xfId="31596"/>
    <cellStyle name="요약 6 4" xfId="31597"/>
    <cellStyle name="요약 6 5" xfId="31598"/>
    <cellStyle name="요약 6 6" xfId="31599"/>
    <cellStyle name="요약 6 7" xfId="31600"/>
    <cellStyle name="요약 6 8" xfId="31601"/>
    <cellStyle name="요약 6 9" xfId="31602"/>
    <cellStyle name="요약 6_분양(100%)" xfId="41031"/>
    <cellStyle name="요약 7" xfId="31603"/>
    <cellStyle name="요약 7 10" xfId="31604"/>
    <cellStyle name="요약 7 11" xfId="31605"/>
    <cellStyle name="요약 7 12" xfId="31606"/>
    <cellStyle name="요약 7 13" xfId="31607"/>
    <cellStyle name="요약 7 2" xfId="31608"/>
    <cellStyle name="요약 7 3" xfId="31609"/>
    <cellStyle name="요약 7 4" xfId="31610"/>
    <cellStyle name="요약 7 5" xfId="31611"/>
    <cellStyle name="요약 7 6" xfId="31612"/>
    <cellStyle name="요약 7 7" xfId="31613"/>
    <cellStyle name="요약 7 8" xfId="31614"/>
    <cellStyle name="요약 7 9" xfId="31615"/>
    <cellStyle name="요약 7_분양(100%)" xfId="41032"/>
    <cellStyle name="요약 8" xfId="31616"/>
    <cellStyle name="요약 8 10" xfId="31617"/>
    <cellStyle name="요약 8 11" xfId="31618"/>
    <cellStyle name="요약 8 12" xfId="31619"/>
    <cellStyle name="요약 8 13" xfId="31620"/>
    <cellStyle name="요약 8 2" xfId="31621"/>
    <cellStyle name="요약 8 3" xfId="31622"/>
    <cellStyle name="요약 8 4" xfId="31623"/>
    <cellStyle name="요약 8 5" xfId="31624"/>
    <cellStyle name="요약 8 6" xfId="31625"/>
    <cellStyle name="요약 8 7" xfId="31626"/>
    <cellStyle name="요약 8 8" xfId="31627"/>
    <cellStyle name="요약 8 9" xfId="31628"/>
    <cellStyle name="요약 8_분양(100%)" xfId="41033"/>
    <cellStyle name="요약 9" xfId="31629"/>
    <cellStyle name="요약 9 10" xfId="31630"/>
    <cellStyle name="요약 9 11" xfId="31631"/>
    <cellStyle name="요약 9 12" xfId="31632"/>
    <cellStyle name="요약 9 13" xfId="31633"/>
    <cellStyle name="요약 9 2" xfId="31634"/>
    <cellStyle name="요약 9 3" xfId="31635"/>
    <cellStyle name="요약 9 4" xfId="31636"/>
    <cellStyle name="요약 9 5" xfId="31637"/>
    <cellStyle name="요약 9 6" xfId="31638"/>
    <cellStyle name="요약 9 7" xfId="31639"/>
    <cellStyle name="요약 9 8" xfId="31640"/>
    <cellStyle name="요약 9 9" xfId="31641"/>
    <cellStyle name="요약 9_분양(100%)" xfId="41034"/>
    <cellStyle name="용량보정" xfId="31642"/>
    <cellStyle name="용량보정 2" xfId="31643"/>
    <cellStyle name="용량보정 3" xfId="31644"/>
    <cellStyle name="용량보정_분양(100%)" xfId="41035"/>
    <cellStyle name="원" xfId="2858"/>
    <cellStyle name="원_가월리배수펌프(04.23)" xfId="2859"/>
    <cellStyle name="원_분양(100%)" xfId="41036"/>
    <cellStyle name="원_입찰내역서갑지양식" xfId="2860"/>
    <cellStyle name="원_토목투찰(대림)" xfId="31645"/>
    <cellStyle name="원_토목투찰(대림)_BID1" xfId="31646"/>
    <cellStyle name="원_토목투찰(대림)_BID1_분양(100%)" xfId="41038"/>
    <cellStyle name="원_토목투찰(대림)_분양(100%)" xfId="41037"/>
    <cellStyle name="원_흥한건설(주)_두창산업폐기물(하도급)" xfId="2861"/>
    <cellStyle name="유1" xfId="373"/>
    <cellStyle name="유영" xfId="31647"/>
    <cellStyle name="인쇄" xfId="31648"/>
    <cellStyle name="인쇄 2" xfId="31649"/>
    <cellStyle name="인쇄 3" xfId="31650"/>
    <cellStyle name="인쇄_분양(100%)" xfId="41039"/>
    <cellStyle name="一般_GARMENT STEP FORM HK" xfId="31651"/>
    <cellStyle name="일반숫자" xfId="31652"/>
    <cellStyle name="입력" xfId="603" builtinId="20"/>
    <cellStyle name="입력 10" xfId="31653"/>
    <cellStyle name="입력 10 10" xfId="31654"/>
    <cellStyle name="입력 10 11" xfId="31655"/>
    <cellStyle name="입력 10 12" xfId="31656"/>
    <cellStyle name="입력 10 13" xfId="31657"/>
    <cellStyle name="입력 10 14" xfId="31658"/>
    <cellStyle name="입력 10 15" xfId="31659"/>
    <cellStyle name="입력 10 16" xfId="31660"/>
    <cellStyle name="입력 10 17" xfId="31661"/>
    <cellStyle name="입력 10 18" xfId="31662"/>
    <cellStyle name="입력 10 19" xfId="31663"/>
    <cellStyle name="입력 10 2" xfId="31664"/>
    <cellStyle name="입력 10 20" xfId="31665"/>
    <cellStyle name="입력 10 21" xfId="31666"/>
    <cellStyle name="입력 10 22" xfId="31667"/>
    <cellStyle name="입력 10 23" xfId="31668"/>
    <cellStyle name="입력 10 24" xfId="31669"/>
    <cellStyle name="입력 10 25" xfId="31670"/>
    <cellStyle name="입력 10 26" xfId="31671"/>
    <cellStyle name="입력 10 27" xfId="31672"/>
    <cellStyle name="입력 10 28" xfId="31673"/>
    <cellStyle name="입력 10 29" xfId="31674"/>
    <cellStyle name="입력 10 3" xfId="31675"/>
    <cellStyle name="입력 10 30" xfId="31676"/>
    <cellStyle name="입력 10 31" xfId="31677"/>
    <cellStyle name="입력 10 32" xfId="31678"/>
    <cellStyle name="입력 10 33" xfId="31679"/>
    <cellStyle name="입력 10 34" xfId="31680"/>
    <cellStyle name="입력 10 35" xfId="31681"/>
    <cellStyle name="입력 10 36" xfId="31682"/>
    <cellStyle name="입력 10 37" xfId="31683"/>
    <cellStyle name="입력 10 38" xfId="31684"/>
    <cellStyle name="입력 10 39" xfId="31685"/>
    <cellStyle name="입력 10 4" xfId="31686"/>
    <cellStyle name="입력 10 40" xfId="31687"/>
    <cellStyle name="입력 10 41" xfId="31688"/>
    <cellStyle name="입력 10 42" xfId="31689"/>
    <cellStyle name="입력 10 43" xfId="31690"/>
    <cellStyle name="입력 10 5" xfId="31691"/>
    <cellStyle name="입력 10 6" xfId="31692"/>
    <cellStyle name="입력 10 7" xfId="31693"/>
    <cellStyle name="입력 10 8" xfId="31694"/>
    <cellStyle name="입력 10 9" xfId="31695"/>
    <cellStyle name="입력 10_분양(100%)" xfId="41040"/>
    <cellStyle name="입력 11" xfId="31696"/>
    <cellStyle name="입력 11 10" xfId="31697"/>
    <cellStyle name="입력 11 11" xfId="31698"/>
    <cellStyle name="입력 11 12" xfId="31699"/>
    <cellStyle name="입력 11 13" xfId="31700"/>
    <cellStyle name="입력 11 14" xfId="31701"/>
    <cellStyle name="입력 11 15" xfId="31702"/>
    <cellStyle name="입력 11 16" xfId="31703"/>
    <cellStyle name="입력 11 17" xfId="31704"/>
    <cellStyle name="입력 11 18" xfId="31705"/>
    <cellStyle name="입력 11 19" xfId="31706"/>
    <cellStyle name="입력 11 2" xfId="31707"/>
    <cellStyle name="입력 11 20" xfId="31708"/>
    <cellStyle name="입력 11 21" xfId="31709"/>
    <cellStyle name="입력 11 22" xfId="31710"/>
    <cellStyle name="입력 11 23" xfId="31711"/>
    <cellStyle name="입력 11 24" xfId="31712"/>
    <cellStyle name="입력 11 25" xfId="31713"/>
    <cellStyle name="입력 11 26" xfId="31714"/>
    <cellStyle name="입력 11 27" xfId="31715"/>
    <cellStyle name="입력 11 28" xfId="31716"/>
    <cellStyle name="입력 11 29" xfId="31717"/>
    <cellStyle name="입력 11 3" xfId="31718"/>
    <cellStyle name="입력 11 30" xfId="31719"/>
    <cellStyle name="입력 11 31" xfId="31720"/>
    <cellStyle name="입력 11 32" xfId="31721"/>
    <cellStyle name="입력 11 33" xfId="31722"/>
    <cellStyle name="입력 11 34" xfId="31723"/>
    <cellStyle name="입력 11 35" xfId="31724"/>
    <cellStyle name="입력 11 36" xfId="31725"/>
    <cellStyle name="입력 11 37" xfId="31726"/>
    <cellStyle name="입력 11 38" xfId="31727"/>
    <cellStyle name="입력 11 39" xfId="31728"/>
    <cellStyle name="입력 11 4" xfId="31729"/>
    <cellStyle name="입력 11 40" xfId="31730"/>
    <cellStyle name="입력 11 41" xfId="31731"/>
    <cellStyle name="입력 11 42" xfId="31732"/>
    <cellStyle name="입력 11 43" xfId="31733"/>
    <cellStyle name="입력 11 5" xfId="31734"/>
    <cellStyle name="입력 11 6" xfId="31735"/>
    <cellStyle name="입력 11 7" xfId="31736"/>
    <cellStyle name="입력 11 8" xfId="31737"/>
    <cellStyle name="입력 11 9" xfId="31738"/>
    <cellStyle name="입력 11_분양(100%)" xfId="41041"/>
    <cellStyle name="입력 12" xfId="31739"/>
    <cellStyle name="입력 12 10" xfId="31740"/>
    <cellStyle name="입력 12 11" xfId="31741"/>
    <cellStyle name="입력 12 12" xfId="31742"/>
    <cellStyle name="입력 12 13" xfId="31743"/>
    <cellStyle name="입력 12 14" xfId="31744"/>
    <cellStyle name="입력 12 15" xfId="31745"/>
    <cellStyle name="입력 12 16" xfId="31746"/>
    <cellStyle name="입력 12 17" xfId="31747"/>
    <cellStyle name="입력 12 18" xfId="31748"/>
    <cellStyle name="입력 12 19" xfId="31749"/>
    <cellStyle name="입력 12 2" xfId="31750"/>
    <cellStyle name="입력 12 20" xfId="31751"/>
    <cellStyle name="입력 12 21" xfId="31752"/>
    <cellStyle name="입력 12 22" xfId="31753"/>
    <cellStyle name="입력 12 23" xfId="31754"/>
    <cellStyle name="입력 12 24" xfId="31755"/>
    <cellStyle name="입력 12 25" xfId="31756"/>
    <cellStyle name="입력 12 26" xfId="31757"/>
    <cellStyle name="입력 12 27" xfId="31758"/>
    <cellStyle name="입력 12 28" xfId="31759"/>
    <cellStyle name="입력 12 29" xfId="31760"/>
    <cellStyle name="입력 12 3" xfId="31761"/>
    <cellStyle name="입력 12 30" xfId="31762"/>
    <cellStyle name="입력 12 31" xfId="31763"/>
    <cellStyle name="입력 12 32" xfId="31764"/>
    <cellStyle name="입력 12 33" xfId="31765"/>
    <cellStyle name="입력 12 34" xfId="31766"/>
    <cellStyle name="입력 12 35" xfId="31767"/>
    <cellStyle name="입력 12 36" xfId="31768"/>
    <cellStyle name="입력 12 37" xfId="31769"/>
    <cellStyle name="입력 12 38" xfId="31770"/>
    <cellStyle name="입력 12 39" xfId="31771"/>
    <cellStyle name="입력 12 4" xfId="31772"/>
    <cellStyle name="입력 12 40" xfId="31773"/>
    <cellStyle name="입력 12 41" xfId="31774"/>
    <cellStyle name="입력 12 42" xfId="31775"/>
    <cellStyle name="입력 12 43" xfId="31776"/>
    <cellStyle name="입력 12 5" xfId="31777"/>
    <cellStyle name="입력 12 6" xfId="31778"/>
    <cellStyle name="입력 12 7" xfId="31779"/>
    <cellStyle name="입력 12 8" xfId="31780"/>
    <cellStyle name="입력 12 9" xfId="31781"/>
    <cellStyle name="입력 12_분양(100%)" xfId="41042"/>
    <cellStyle name="입력 13" xfId="31782"/>
    <cellStyle name="입력 13 10" xfId="31783"/>
    <cellStyle name="입력 13 11" xfId="31784"/>
    <cellStyle name="입력 13 12" xfId="31785"/>
    <cellStyle name="입력 13 13" xfId="31786"/>
    <cellStyle name="입력 13 14" xfId="31787"/>
    <cellStyle name="입력 13 15" xfId="31788"/>
    <cellStyle name="입력 13 16" xfId="31789"/>
    <cellStyle name="입력 13 17" xfId="31790"/>
    <cellStyle name="입력 13 18" xfId="31791"/>
    <cellStyle name="입력 13 19" xfId="31792"/>
    <cellStyle name="입력 13 2" xfId="31793"/>
    <cellStyle name="입력 13 20" xfId="31794"/>
    <cellStyle name="입력 13 21" xfId="31795"/>
    <cellStyle name="입력 13 22" xfId="31796"/>
    <cellStyle name="입력 13 23" xfId="31797"/>
    <cellStyle name="입력 13 24" xfId="31798"/>
    <cellStyle name="입력 13 25" xfId="31799"/>
    <cellStyle name="입력 13 26" xfId="31800"/>
    <cellStyle name="입력 13 27" xfId="31801"/>
    <cellStyle name="입력 13 28" xfId="31802"/>
    <cellStyle name="입력 13 29" xfId="31803"/>
    <cellStyle name="입력 13 3" xfId="31804"/>
    <cellStyle name="입력 13 30" xfId="31805"/>
    <cellStyle name="입력 13 31" xfId="31806"/>
    <cellStyle name="입력 13 32" xfId="31807"/>
    <cellStyle name="입력 13 33" xfId="31808"/>
    <cellStyle name="입력 13 34" xfId="31809"/>
    <cellStyle name="입력 13 35" xfId="31810"/>
    <cellStyle name="입력 13 36" xfId="31811"/>
    <cellStyle name="입력 13 37" xfId="31812"/>
    <cellStyle name="입력 13 38" xfId="31813"/>
    <cellStyle name="입력 13 39" xfId="31814"/>
    <cellStyle name="입력 13 4" xfId="31815"/>
    <cellStyle name="입력 13 40" xfId="31816"/>
    <cellStyle name="입력 13 41" xfId="31817"/>
    <cellStyle name="입력 13 42" xfId="31818"/>
    <cellStyle name="입력 13 43" xfId="31819"/>
    <cellStyle name="입력 13 5" xfId="31820"/>
    <cellStyle name="입력 13 6" xfId="31821"/>
    <cellStyle name="입력 13 7" xfId="31822"/>
    <cellStyle name="입력 13 8" xfId="31823"/>
    <cellStyle name="입력 13 9" xfId="31824"/>
    <cellStyle name="입력 13_분양(100%)" xfId="41043"/>
    <cellStyle name="입력 14" xfId="31825"/>
    <cellStyle name="입력 14 10" xfId="31826"/>
    <cellStyle name="입력 14 11" xfId="31827"/>
    <cellStyle name="입력 14 12" xfId="31828"/>
    <cellStyle name="입력 14 13" xfId="31829"/>
    <cellStyle name="입력 14 14" xfId="31830"/>
    <cellStyle name="입력 14 15" xfId="31831"/>
    <cellStyle name="입력 14 16" xfId="31832"/>
    <cellStyle name="입력 14 17" xfId="31833"/>
    <cellStyle name="입력 14 18" xfId="31834"/>
    <cellStyle name="입력 14 19" xfId="31835"/>
    <cellStyle name="입력 14 2" xfId="31836"/>
    <cellStyle name="입력 14 20" xfId="31837"/>
    <cellStyle name="입력 14 21" xfId="31838"/>
    <cellStyle name="입력 14 22" xfId="31839"/>
    <cellStyle name="입력 14 23" xfId="31840"/>
    <cellStyle name="입력 14 24" xfId="31841"/>
    <cellStyle name="입력 14 25" xfId="31842"/>
    <cellStyle name="입력 14 26" xfId="31843"/>
    <cellStyle name="입력 14 27" xfId="31844"/>
    <cellStyle name="입력 14 28" xfId="31845"/>
    <cellStyle name="입력 14 29" xfId="31846"/>
    <cellStyle name="입력 14 3" xfId="31847"/>
    <cellStyle name="입력 14 30" xfId="31848"/>
    <cellStyle name="입력 14 31" xfId="31849"/>
    <cellStyle name="입력 14 32" xfId="31850"/>
    <cellStyle name="입력 14 33" xfId="31851"/>
    <cellStyle name="입력 14 34" xfId="31852"/>
    <cellStyle name="입력 14 35" xfId="31853"/>
    <cellStyle name="입력 14 36" xfId="31854"/>
    <cellStyle name="입력 14 37" xfId="31855"/>
    <cellStyle name="입력 14 38" xfId="31856"/>
    <cellStyle name="입력 14 39" xfId="31857"/>
    <cellStyle name="입력 14 4" xfId="31858"/>
    <cellStyle name="입력 14 40" xfId="31859"/>
    <cellStyle name="입력 14 41" xfId="31860"/>
    <cellStyle name="입력 14 42" xfId="31861"/>
    <cellStyle name="입력 14 43" xfId="31862"/>
    <cellStyle name="입력 14 5" xfId="31863"/>
    <cellStyle name="입력 14 6" xfId="31864"/>
    <cellStyle name="입력 14 7" xfId="31865"/>
    <cellStyle name="입력 14 8" xfId="31866"/>
    <cellStyle name="입력 14 9" xfId="31867"/>
    <cellStyle name="입력 14_분양(100%)" xfId="41044"/>
    <cellStyle name="입력 15" xfId="31868"/>
    <cellStyle name="입력 15 10" xfId="31869"/>
    <cellStyle name="입력 15 11" xfId="31870"/>
    <cellStyle name="입력 15 12" xfId="31871"/>
    <cellStyle name="입력 15 13" xfId="31872"/>
    <cellStyle name="입력 15 14" xfId="31873"/>
    <cellStyle name="입력 15 15" xfId="31874"/>
    <cellStyle name="입력 15 16" xfId="31875"/>
    <cellStyle name="입력 15 17" xfId="31876"/>
    <cellStyle name="입력 15 18" xfId="31877"/>
    <cellStyle name="입력 15 19" xfId="31878"/>
    <cellStyle name="입력 15 2" xfId="31879"/>
    <cellStyle name="입력 15 20" xfId="31880"/>
    <cellStyle name="입력 15 21" xfId="31881"/>
    <cellStyle name="입력 15 22" xfId="31882"/>
    <cellStyle name="입력 15 23" xfId="31883"/>
    <cellStyle name="입력 15 24" xfId="31884"/>
    <cellStyle name="입력 15 25" xfId="31885"/>
    <cellStyle name="입력 15 26" xfId="31886"/>
    <cellStyle name="입력 15 27" xfId="31887"/>
    <cellStyle name="입력 15 28" xfId="31888"/>
    <cellStyle name="입력 15 29" xfId="31889"/>
    <cellStyle name="입력 15 3" xfId="31890"/>
    <cellStyle name="입력 15 30" xfId="31891"/>
    <cellStyle name="입력 15 31" xfId="31892"/>
    <cellStyle name="입력 15 32" xfId="31893"/>
    <cellStyle name="입력 15 33" xfId="31894"/>
    <cellStyle name="입력 15 34" xfId="31895"/>
    <cellStyle name="입력 15 35" xfId="31896"/>
    <cellStyle name="입력 15 36" xfId="31897"/>
    <cellStyle name="입력 15 37" xfId="31898"/>
    <cellStyle name="입력 15 38" xfId="31899"/>
    <cellStyle name="입력 15 39" xfId="31900"/>
    <cellStyle name="입력 15 4" xfId="31901"/>
    <cellStyle name="입력 15 40" xfId="31902"/>
    <cellStyle name="입력 15 41" xfId="31903"/>
    <cellStyle name="입력 15 42" xfId="31904"/>
    <cellStyle name="입력 15 43" xfId="31905"/>
    <cellStyle name="입력 15 5" xfId="31906"/>
    <cellStyle name="입력 15 6" xfId="31907"/>
    <cellStyle name="입력 15 7" xfId="31908"/>
    <cellStyle name="입력 15 8" xfId="31909"/>
    <cellStyle name="입력 15 9" xfId="31910"/>
    <cellStyle name="입력 15_분양(100%)" xfId="41045"/>
    <cellStyle name="입력 16" xfId="31911"/>
    <cellStyle name="입력 16 10" xfId="31912"/>
    <cellStyle name="입력 16 11" xfId="31913"/>
    <cellStyle name="입력 16 12" xfId="31914"/>
    <cellStyle name="입력 16 13" xfId="31915"/>
    <cellStyle name="입력 16 14" xfId="31916"/>
    <cellStyle name="입력 16 15" xfId="31917"/>
    <cellStyle name="입력 16 16" xfId="31918"/>
    <cellStyle name="입력 16 17" xfId="31919"/>
    <cellStyle name="입력 16 18" xfId="31920"/>
    <cellStyle name="입력 16 19" xfId="31921"/>
    <cellStyle name="입력 16 2" xfId="31922"/>
    <cellStyle name="입력 16 20" xfId="31923"/>
    <cellStyle name="입력 16 21" xfId="31924"/>
    <cellStyle name="입력 16 22" xfId="31925"/>
    <cellStyle name="입력 16 23" xfId="31926"/>
    <cellStyle name="입력 16 24" xfId="31927"/>
    <cellStyle name="입력 16 25" xfId="31928"/>
    <cellStyle name="입력 16 26" xfId="31929"/>
    <cellStyle name="입력 16 27" xfId="31930"/>
    <cellStyle name="입력 16 28" xfId="31931"/>
    <cellStyle name="입력 16 29" xfId="31932"/>
    <cellStyle name="입력 16 3" xfId="31933"/>
    <cellStyle name="입력 16 30" xfId="31934"/>
    <cellStyle name="입력 16 31" xfId="31935"/>
    <cellStyle name="입력 16 32" xfId="31936"/>
    <cellStyle name="입력 16 33" xfId="31937"/>
    <cellStyle name="입력 16 34" xfId="31938"/>
    <cellStyle name="입력 16 35" xfId="31939"/>
    <cellStyle name="입력 16 36" xfId="31940"/>
    <cellStyle name="입력 16 37" xfId="31941"/>
    <cellStyle name="입력 16 38" xfId="31942"/>
    <cellStyle name="입력 16 39" xfId="31943"/>
    <cellStyle name="입력 16 4" xfId="31944"/>
    <cellStyle name="입력 16 40" xfId="31945"/>
    <cellStyle name="입력 16 41" xfId="31946"/>
    <cellStyle name="입력 16 42" xfId="31947"/>
    <cellStyle name="입력 16 43" xfId="31948"/>
    <cellStyle name="입력 16 5" xfId="31949"/>
    <cellStyle name="입력 16 6" xfId="31950"/>
    <cellStyle name="입력 16 7" xfId="31951"/>
    <cellStyle name="입력 16 8" xfId="31952"/>
    <cellStyle name="입력 16 9" xfId="31953"/>
    <cellStyle name="입력 16_분양(100%)" xfId="41046"/>
    <cellStyle name="입력 17" xfId="31954"/>
    <cellStyle name="입력 17 10" xfId="31955"/>
    <cellStyle name="입력 17 11" xfId="31956"/>
    <cellStyle name="입력 17 12" xfId="31957"/>
    <cellStyle name="입력 17 13" xfId="31958"/>
    <cellStyle name="입력 17 14" xfId="31959"/>
    <cellStyle name="입력 17 15" xfId="31960"/>
    <cellStyle name="입력 17 16" xfId="31961"/>
    <cellStyle name="입력 17 17" xfId="31962"/>
    <cellStyle name="입력 17 18" xfId="31963"/>
    <cellStyle name="입력 17 19" xfId="31964"/>
    <cellStyle name="입력 17 2" xfId="31965"/>
    <cellStyle name="입력 17 20" xfId="31966"/>
    <cellStyle name="입력 17 21" xfId="31967"/>
    <cellStyle name="입력 17 22" xfId="31968"/>
    <cellStyle name="입력 17 23" xfId="31969"/>
    <cellStyle name="입력 17 24" xfId="31970"/>
    <cellStyle name="입력 17 25" xfId="31971"/>
    <cellStyle name="입력 17 26" xfId="31972"/>
    <cellStyle name="입력 17 27" xfId="31973"/>
    <cellStyle name="입력 17 28" xfId="31974"/>
    <cellStyle name="입력 17 29" xfId="31975"/>
    <cellStyle name="입력 17 3" xfId="31976"/>
    <cellStyle name="입력 17 30" xfId="31977"/>
    <cellStyle name="입력 17 31" xfId="31978"/>
    <cellStyle name="입력 17 32" xfId="31979"/>
    <cellStyle name="입력 17 33" xfId="31980"/>
    <cellStyle name="입력 17 34" xfId="31981"/>
    <cellStyle name="입력 17 35" xfId="31982"/>
    <cellStyle name="입력 17 36" xfId="31983"/>
    <cellStyle name="입력 17 37" xfId="31984"/>
    <cellStyle name="입력 17 38" xfId="31985"/>
    <cellStyle name="입력 17 39" xfId="31986"/>
    <cellStyle name="입력 17 4" xfId="31987"/>
    <cellStyle name="입력 17 40" xfId="31988"/>
    <cellStyle name="입력 17 41" xfId="31989"/>
    <cellStyle name="입력 17 42" xfId="31990"/>
    <cellStyle name="입력 17 43" xfId="31991"/>
    <cellStyle name="입력 17 5" xfId="31992"/>
    <cellStyle name="입력 17 6" xfId="31993"/>
    <cellStyle name="입력 17 7" xfId="31994"/>
    <cellStyle name="입력 17 8" xfId="31995"/>
    <cellStyle name="입력 17 9" xfId="31996"/>
    <cellStyle name="입력 17_분양(100%)" xfId="41047"/>
    <cellStyle name="입력 18" xfId="31997"/>
    <cellStyle name="입력 18 10" xfId="31998"/>
    <cellStyle name="입력 18 11" xfId="31999"/>
    <cellStyle name="입력 18 12" xfId="32000"/>
    <cellStyle name="입력 18 13" xfId="32001"/>
    <cellStyle name="입력 18 14" xfId="32002"/>
    <cellStyle name="입력 18 15" xfId="32003"/>
    <cellStyle name="입력 18 16" xfId="32004"/>
    <cellStyle name="입력 18 17" xfId="32005"/>
    <cellStyle name="입력 18 18" xfId="32006"/>
    <cellStyle name="입력 18 19" xfId="32007"/>
    <cellStyle name="입력 18 2" xfId="32008"/>
    <cellStyle name="입력 18 20" xfId="32009"/>
    <cellStyle name="입력 18 21" xfId="32010"/>
    <cellStyle name="입력 18 22" xfId="32011"/>
    <cellStyle name="입력 18 23" xfId="32012"/>
    <cellStyle name="입력 18 24" xfId="32013"/>
    <cellStyle name="입력 18 25" xfId="32014"/>
    <cellStyle name="입력 18 26" xfId="32015"/>
    <cellStyle name="입력 18 27" xfId="32016"/>
    <cellStyle name="입력 18 28" xfId="32017"/>
    <cellStyle name="입력 18 29" xfId="32018"/>
    <cellStyle name="입력 18 3" xfId="32019"/>
    <cellStyle name="입력 18 30" xfId="32020"/>
    <cellStyle name="입력 18 31" xfId="32021"/>
    <cellStyle name="입력 18 32" xfId="32022"/>
    <cellStyle name="입력 18 33" xfId="32023"/>
    <cellStyle name="입력 18 34" xfId="32024"/>
    <cellStyle name="입력 18 35" xfId="32025"/>
    <cellStyle name="입력 18 36" xfId="32026"/>
    <cellStyle name="입력 18 37" xfId="32027"/>
    <cellStyle name="입력 18 38" xfId="32028"/>
    <cellStyle name="입력 18 39" xfId="32029"/>
    <cellStyle name="입력 18 4" xfId="32030"/>
    <cellStyle name="입력 18 40" xfId="32031"/>
    <cellStyle name="입력 18 41" xfId="32032"/>
    <cellStyle name="입력 18 42" xfId="32033"/>
    <cellStyle name="입력 18 43" xfId="32034"/>
    <cellStyle name="입력 18 5" xfId="32035"/>
    <cellStyle name="입력 18 6" xfId="32036"/>
    <cellStyle name="입력 18 7" xfId="32037"/>
    <cellStyle name="입력 18 8" xfId="32038"/>
    <cellStyle name="입력 18 9" xfId="32039"/>
    <cellStyle name="입력 18_분양(100%)" xfId="41048"/>
    <cellStyle name="입력 19" xfId="32040"/>
    <cellStyle name="입력 19 10" xfId="32041"/>
    <cellStyle name="입력 19 11" xfId="32042"/>
    <cellStyle name="입력 19 12" xfId="32043"/>
    <cellStyle name="입력 19 13" xfId="32044"/>
    <cellStyle name="입력 19 14" xfId="32045"/>
    <cellStyle name="입력 19 15" xfId="32046"/>
    <cellStyle name="입력 19 16" xfId="32047"/>
    <cellStyle name="입력 19 17" xfId="32048"/>
    <cellStyle name="입력 19 18" xfId="32049"/>
    <cellStyle name="입력 19 19" xfId="32050"/>
    <cellStyle name="입력 19 2" xfId="32051"/>
    <cellStyle name="입력 19 20" xfId="32052"/>
    <cellStyle name="입력 19 21" xfId="32053"/>
    <cellStyle name="입력 19 22" xfId="32054"/>
    <cellStyle name="입력 19 23" xfId="32055"/>
    <cellStyle name="입력 19 24" xfId="32056"/>
    <cellStyle name="입력 19 25" xfId="32057"/>
    <cellStyle name="입력 19 26" xfId="32058"/>
    <cellStyle name="입력 19 27" xfId="32059"/>
    <cellStyle name="입력 19 28" xfId="32060"/>
    <cellStyle name="입력 19 29" xfId="32061"/>
    <cellStyle name="입력 19 3" xfId="32062"/>
    <cellStyle name="입력 19 30" xfId="32063"/>
    <cellStyle name="입력 19 31" xfId="32064"/>
    <cellStyle name="입력 19 32" xfId="32065"/>
    <cellStyle name="입력 19 33" xfId="32066"/>
    <cellStyle name="입력 19 34" xfId="32067"/>
    <cellStyle name="입력 19 35" xfId="32068"/>
    <cellStyle name="입력 19 36" xfId="32069"/>
    <cellStyle name="입력 19 37" xfId="32070"/>
    <cellStyle name="입력 19 38" xfId="32071"/>
    <cellStyle name="입력 19 39" xfId="32072"/>
    <cellStyle name="입력 19 4" xfId="32073"/>
    <cellStyle name="입력 19 40" xfId="32074"/>
    <cellStyle name="입력 19 41" xfId="32075"/>
    <cellStyle name="입력 19 42" xfId="32076"/>
    <cellStyle name="입력 19 43" xfId="32077"/>
    <cellStyle name="입력 19 5" xfId="32078"/>
    <cellStyle name="입력 19 6" xfId="32079"/>
    <cellStyle name="입력 19 7" xfId="32080"/>
    <cellStyle name="입력 19 8" xfId="32081"/>
    <cellStyle name="입력 19 9" xfId="32082"/>
    <cellStyle name="입력 19_분양(100%)" xfId="41049"/>
    <cellStyle name="입력 2" xfId="4395"/>
    <cellStyle name="입력 2 10" xfId="32083"/>
    <cellStyle name="입력 2 10 10" xfId="32084"/>
    <cellStyle name="입력 2 10 11" xfId="32085"/>
    <cellStyle name="입력 2 10 12" xfId="32086"/>
    <cellStyle name="입력 2 10 13" xfId="32087"/>
    <cellStyle name="입력 2 10 14" xfId="32088"/>
    <cellStyle name="입력 2 10 15" xfId="32089"/>
    <cellStyle name="입력 2 10 16" xfId="32090"/>
    <cellStyle name="입력 2 10 17" xfId="32091"/>
    <cellStyle name="입력 2 10 18" xfId="32092"/>
    <cellStyle name="입력 2 10 19" xfId="32093"/>
    <cellStyle name="입력 2 10 2" xfId="32094"/>
    <cellStyle name="입력 2 10 20" xfId="32095"/>
    <cellStyle name="입력 2 10 21" xfId="32096"/>
    <cellStyle name="입력 2 10 22" xfId="32097"/>
    <cellStyle name="입력 2 10 23" xfId="32098"/>
    <cellStyle name="입력 2 10 24" xfId="32099"/>
    <cellStyle name="입력 2 10 25" xfId="32100"/>
    <cellStyle name="입력 2 10 26" xfId="32101"/>
    <cellStyle name="입력 2 10 27" xfId="32102"/>
    <cellStyle name="입력 2 10 28" xfId="32103"/>
    <cellStyle name="입력 2 10 29" xfId="32104"/>
    <cellStyle name="입력 2 10 3" xfId="32105"/>
    <cellStyle name="입력 2 10 30" xfId="32106"/>
    <cellStyle name="입력 2 10 31" xfId="32107"/>
    <cellStyle name="입력 2 10 32" xfId="32108"/>
    <cellStyle name="입력 2 10 33" xfId="32109"/>
    <cellStyle name="입력 2 10 34" xfId="32110"/>
    <cellStyle name="입력 2 10 35" xfId="32111"/>
    <cellStyle name="입력 2 10 36" xfId="32112"/>
    <cellStyle name="입력 2 10 37" xfId="32113"/>
    <cellStyle name="입력 2 10 38" xfId="32114"/>
    <cellStyle name="입력 2 10 39" xfId="32115"/>
    <cellStyle name="입력 2 10 4" xfId="32116"/>
    <cellStyle name="입력 2 10 40" xfId="32117"/>
    <cellStyle name="입력 2 10 41" xfId="32118"/>
    <cellStyle name="입력 2 10 42" xfId="32119"/>
    <cellStyle name="입력 2 10 43" xfId="32120"/>
    <cellStyle name="입력 2 10 5" xfId="32121"/>
    <cellStyle name="입력 2 10 6" xfId="32122"/>
    <cellStyle name="입력 2 10 7" xfId="32123"/>
    <cellStyle name="입력 2 10 8" xfId="32124"/>
    <cellStyle name="입력 2 10 9" xfId="32125"/>
    <cellStyle name="입력 2 10_분양(100%)" xfId="41051"/>
    <cellStyle name="입력 2 11" xfId="32126"/>
    <cellStyle name="입력 2 11 10" xfId="32127"/>
    <cellStyle name="입력 2 11 11" xfId="32128"/>
    <cellStyle name="입력 2 11 12" xfId="32129"/>
    <cellStyle name="입력 2 11 13" xfId="32130"/>
    <cellStyle name="입력 2 11 14" xfId="32131"/>
    <cellStyle name="입력 2 11 15" xfId="32132"/>
    <cellStyle name="입력 2 11 16" xfId="32133"/>
    <cellStyle name="입력 2 11 17" xfId="32134"/>
    <cellStyle name="입력 2 11 18" xfId="32135"/>
    <cellStyle name="입력 2 11 19" xfId="32136"/>
    <cellStyle name="입력 2 11 2" xfId="32137"/>
    <cellStyle name="입력 2 11 20" xfId="32138"/>
    <cellStyle name="입력 2 11 21" xfId="32139"/>
    <cellStyle name="입력 2 11 22" xfId="32140"/>
    <cellStyle name="입력 2 11 23" xfId="32141"/>
    <cellStyle name="입력 2 11 24" xfId="32142"/>
    <cellStyle name="입력 2 11 25" xfId="32143"/>
    <cellStyle name="입력 2 11 26" xfId="32144"/>
    <cellStyle name="입력 2 11 27" xfId="32145"/>
    <cellStyle name="입력 2 11 28" xfId="32146"/>
    <cellStyle name="입력 2 11 29" xfId="32147"/>
    <cellStyle name="입력 2 11 3" xfId="32148"/>
    <cellStyle name="입력 2 11 30" xfId="32149"/>
    <cellStyle name="입력 2 11 31" xfId="32150"/>
    <cellStyle name="입력 2 11 32" xfId="32151"/>
    <cellStyle name="입력 2 11 33" xfId="32152"/>
    <cellStyle name="입력 2 11 34" xfId="32153"/>
    <cellStyle name="입력 2 11 35" xfId="32154"/>
    <cellStyle name="입력 2 11 36" xfId="32155"/>
    <cellStyle name="입력 2 11 37" xfId="32156"/>
    <cellStyle name="입력 2 11 38" xfId="32157"/>
    <cellStyle name="입력 2 11 39" xfId="32158"/>
    <cellStyle name="입력 2 11 4" xfId="32159"/>
    <cellStyle name="입력 2 11 40" xfId="32160"/>
    <cellStyle name="입력 2 11 41" xfId="32161"/>
    <cellStyle name="입력 2 11 42" xfId="32162"/>
    <cellStyle name="입력 2 11 43" xfId="32163"/>
    <cellStyle name="입력 2 11 5" xfId="32164"/>
    <cellStyle name="입력 2 11 6" xfId="32165"/>
    <cellStyle name="입력 2 11 7" xfId="32166"/>
    <cellStyle name="입력 2 11 8" xfId="32167"/>
    <cellStyle name="입력 2 11 9" xfId="32168"/>
    <cellStyle name="입력 2 11_분양(100%)" xfId="41052"/>
    <cellStyle name="입력 2 12" xfId="32169"/>
    <cellStyle name="입력 2 12 10" xfId="32170"/>
    <cellStyle name="입력 2 12 11" xfId="32171"/>
    <cellStyle name="입력 2 12 12" xfId="32172"/>
    <cellStyle name="입력 2 12 13" xfId="32173"/>
    <cellStyle name="입력 2 12 14" xfId="32174"/>
    <cellStyle name="입력 2 12 15" xfId="32175"/>
    <cellStyle name="입력 2 12 16" xfId="32176"/>
    <cellStyle name="입력 2 12 17" xfId="32177"/>
    <cellStyle name="입력 2 12 18" xfId="32178"/>
    <cellStyle name="입력 2 12 19" xfId="32179"/>
    <cellStyle name="입력 2 12 2" xfId="32180"/>
    <cellStyle name="입력 2 12 20" xfId="32181"/>
    <cellStyle name="입력 2 12 21" xfId="32182"/>
    <cellStyle name="입력 2 12 22" xfId="32183"/>
    <cellStyle name="입력 2 12 23" xfId="32184"/>
    <cellStyle name="입력 2 12 24" xfId="32185"/>
    <cellStyle name="입력 2 12 25" xfId="32186"/>
    <cellStyle name="입력 2 12 26" xfId="32187"/>
    <cellStyle name="입력 2 12 27" xfId="32188"/>
    <cellStyle name="입력 2 12 28" xfId="32189"/>
    <cellStyle name="입력 2 12 29" xfId="32190"/>
    <cellStyle name="입력 2 12 3" xfId="32191"/>
    <cellStyle name="입력 2 12 30" xfId="32192"/>
    <cellStyle name="입력 2 12 31" xfId="32193"/>
    <cellStyle name="입력 2 12 32" xfId="32194"/>
    <cellStyle name="입력 2 12 33" xfId="32195"/>
    <cellStyle name="입력 2 12 34" xfId="32196"/>
    <cellStyle name="입력 2 12 35" xfId="32197"/>
    <cellStyle name="입력 2 12 36" xfId="32198"/>
    <cellStyle name="입력 2 12 37" xfId="32199"/>
    <cellStyle name="입력 2 12 38" xfId="32200"/>
    <cellStyle name="입력 2 12 39" xfId="32201"/>
    <cellStyle name="입력 2 12 4" xfId="32202"/>
    <cellStyle name="입력 2 12 40" xfId="32203"/>
    <cellStyle name="입력 2 12 41" xfId="32204"/>
    <cellStyle name="입력 2 12 42" xfId="32205"/>
    <cellStyle name="입력 2 12 43" xfId="32206"/>
    <cellStyle name="입력 2 12 5" xfId="32207"/>
    <cellStyle name="입력 2 12 6" xfId="32208"/>
    <cellStyle name="입력 2 12 7" xfId="32209"/>
    <cellStyle name="입력 2 12 8" xfId="32210"/>
    <cellStyle name="입력 2 12 9" xfId="32211"/>
    <cellStyle name="입력 2 12_분양(100%)" xfId="41053"/>
    <cellStyle name="입력 2 13" xfId="32212"/>
    <cellStyle name="입력 2 13 10" xfId="32213"/>
    <cellStyle name="입력 2 13 11" xfId="32214"/>
    <cellStyle name="입력 2 13 12" xfId="32215"/>
    <cellStyle name="입력 2 13 13" xfId="32216"/>
    <cellStyle name="입력 2 13 14" xfId="32217"/>
    <cellStyle name="입력 2 13 15" xfId="32218"/>
    <cellStyle name="입력 2 13 16" xfId="32219"/>
    <cellStyle name="입력 2 13 17" xfId="32220"/>
    <cellStyle name="입력 2 13 18" xfId="32221"/>
    <cellStyle name="입력 2 13 19" xfId="32222"/>
    <cellStyle name="입력 2 13 2" xfId="32223"/>
    <cellStyle name="입력 2 13 20" xfId="32224"/>
    <cellStyle name="입력 2 13 21" xfId="32225"/>
    <cellStyle name="입력 2 13 22" xfId="32226"/>
    <cellStyle name="입력 2 13 23" xfId="32227"/>
    <cellStyle name="입력 2 13 24" xfId="32228"/>
    <cellStyle name="입력 2 13 25" xfId="32229"/>
    <cellStyle name="입력 2 13 26" xfId="32230"/>
    <cellStyle name="입력 2 13 27" xfId="32231"/>
    <cellStyle name="입력 2 13 28" xfId="32232"/>
    <cellStyle name="입력 2 13 29" xfId="32233"/>
    <cellStyle name="입력 2 13 3" xfId="32234"/>
    <cellStyle name="입력 2 13 30" xfId="32235"/>
    <cellStyle name="입력 2 13 31" xfId="32236"/>
    <cellStyle name="입력 2 13 32" xfId="32237"/>
    <cellStyle name="입력 2 13 33" xfId="32238"/>
    <cellStyle name="입력 2 13 34" xfId="32239"/>
    <cellStyle name="입력 2 13 35" xfId="32240"/>
    <cellStyle name="입력 2 13 36" xfId="32241"/>
    <cellStyle name="입력 2 13 37" xfId="32242"/>
    <cellStyle name="입력 2 13 38" xfId="32243"/>
    <cellStyle name="입력 2 13 39" xfId="32244"/>
    <cellStyle name="입력 2 13 4" xfId="32245"/>
    <cellStyle name="입력 2 13 40" xfId="32246"/>
    <cellStyle name="입력 2 13 41" xfId="32247"/>
    <cellStyle name="입력 2 13 42" xfId="32248"/>
    <cellStyle name="입력 2 13 43" xfId="32249"/>
    <cellStyle name="입력 2 13 5" xfId="32250"/>
    <cellStyle name="입력 2 13 6" xfId="32251"/>
    <cellStyle name="입력 2 13 7" xfId="32252"/>
    <cellStyle name="입력 2 13 8" xfId="32253"/>
    <cellStyle name="입력 2 13 9" xfId="32254"/>
    <cellStyle name="입력 2 13_분양(100%)" xfId="41054"/>
    <cellStyle name="입력 2 14" xfId="32255"/>
    <cellStyle name="입력 2 14 10" xfId="32256"/>
    <cellStyle name="입력 2 14 11" xfId="32257"/>
    <cellStyle name="입력 2 14 12" xfId="32258"/>
    <cellStyle name="입력 2 14 13" xfId="32259"/>
    <cellStyle name="입력 2 14 14" xfId="32260"/>
    <cellStyle name="입력 2 14 15" xfId="32261"/>
    <cellStyle name="입력 2 14 16" xfId="32262"/>
    <cellStyle name="입력 2 14 17" xfId="32263"/>
    <cellStyle name="입력 2 14 18" xfId="32264"/>
    <cellStyle name="입력 2 14 19" xfId="32265"/>
    <cellStyle name="입력 2 14 2" xfId="32266"/>
    <cellStyle name="입력 2 14 20" xfId="32267"/>
    <cellStyle name="입력 2 14 21" xfId="32268"/>
    <cellStyle name="입력 2 14 22" xfId="32269"/>
    <cellStyle name="입력 2 14 23" xfId="32270"/>
    <cellStyle name="입력 2 14 24" xfId="32271"/>
    <cellStyle name="입력 2 14 25" xfId="32272"/>
    <cellStyle name="입력 2 14 26" xfId="32273"/>
    <cellStyle name="입력 2 14 27" xfId="32274"/>
    <cellStyle name="입력 2 14 28" xfId="32275"/>
    <cellStyle name="입력 2 14 29" xfId="32276"/>
    <cellStyle name="입력 2 14 3" xfId="32277"/>
    <cellStyle name="입력 2 14 30" xfId="32278"/>
    <cellStyle name="입력 2 14 31" xfId="32279"/>
    <cellStyle name="입력 2 14 32" xfId="32280"/>
    <cellStyle name="입력 2 14 33" xfId="32281"/>
    <cellStyle name="입력 2 14 34" xfId="32282"/>
    <cellStyle name="입력 2 14 35" xfId="32283"/>
    <cellStyle name="입력 2 14 36" xfId="32284"/>
    <cellStyle name="입력 2 14 37" xfId="32285"/>
    <cellStyle name="입력 2 14 38" xfId="32286"/>
    <cellStyle name="입력 2 14 39" xfId="32287"/>
    <cellStyle name="입력 2 14 4" xfId="32288"/>
    <cellStyle name="입력 2 14 40" xfId="32289"/>
    <cellStyle name="입력 2 14 41" xfId="32290"/>
    <cellStyle name="입력 2 14 42" xfId="32291"/>
    <cellStyle name="입력 2 14 43" xfId="32292"/>
    <cellStyle name="입력 2 14 5" xfId="32293"/>
    <cellStyle name="입력 2 14 6" xfId="32294"/>
    <cellStyle name="입력 2 14 7" xfId="32295"/>
    <cellStyle name="입력 2 14 8" xfId="32296"/>
    <cellStyle name="입력 2 14 9" xfId="32297"/>
    <cellStyle name="입력 2 14_분양(100%)" xfId="41055"/>
    <cellStyle name="입력 2 15" xfId="32298"/>
    <cellStyle name="입력 2 15 10" xfId="32299"/>
    <cellStyle name="입력 2 15 11" xfId="32300"/>
    <cellStyle name="입력 2 15 12" xfId="32301"/>
    <cellStyle name="입력 2 15 13" xfId="32302"/>
    <cellStyle name="입력 2 15 14" xfId="32303"/>
    <cellStyle name="입력 2 15 15" xfId="32304"/>
    <cellStyle name="입력 2 15 16" xfId="32305"/>
    <cellStyle name="입력 2 15 17" xfId="32306"/>
    <cellStyle name="입력 2 15 18" xfId="32307"/>
    <cellStyle name="입력 2 15 19" xfId="32308"/>
    <cellStyle name="입력 2 15 2" xfId="32309"/>
    <cellStyle name="입력 2 15 20" xfId="32310"/>
    <cellStyle name="입력 2 15 21" xfId="32311"/>
    <cellStyle name="입력 2 15 22" xfId="32312"/>
    <cellStyle name="입력 2 15 23" xfId="32313"/>
    <cellStyle name="입력 2 15 24" xfId="32314"/>
    <cellStyle name="입력 2 15 25" xfId="32315"/>
    <cellStyle name="입력 2 15 26" xfId="32316"/>
    <cellStyle name="입력 2 15 27" xfId="32317"/>
    <cellStyle name="입력 2 15 28" xfId="32318"/>
    <cellStyle name="입력 2 15 29" xfId="32319"/>
    <cellStyle name="입력 2 15 3" xfId="32320"/>
    <cellStyle name="입력 2 15 30" xfId="32321"/>
    <cellStyle name="입력 2 15 31" xfId="32322"/>
    <cellStyle name="입력 2 15 32" xfId="32323"/>
    <cellStyle name="입력 2 15 33" xfId="32324"/>
    <cellStyle name="입력 2 15 34" xfId="32325"/>
    <cellStyle name="입력 2 15 35" xfId="32326"/>
    <cellStyle name="입력 2 15 36" xfId="32327"/>
    <cellStyle name="입력 2 15 37" xfId="32328"/>
    <cellStyle name="입력 2 15 38" xfId="32329"/>
    <cellStyle name="입력 2 15 39" xfId="32330"/>
    <cellStyle name="입력 2 15 4" xfId="32331"/>
    <cellStyle name="입력 2 15 40" xfId="32332"/>
    <cellStyle name="입력 2 15 41" xfId="32333"/>
    <cellStyle name="입력 2 15 42" xfId="32334"/>
    <cellStyle name="입력 2 15 43" xfId="32335"/>
    <cellStyle name="입력 2 15 5" xfId="32336"/>
    <cellStyle name="입력 2 15 6" xfId="32337"/>
    <cellStyle name="입력 2 15 7" xfId="32338"/>
    <cellStyle name="입력 2 15 8" xfId="32339"/>
    <cellStyle name="입력 2 15 9" xfId="32340"/>
    <cellStyle name="입력 2 15_분양(100%)" xfId="41056"/>
    <cellStyle name="입력 2 16" xfId="32341"/>
    <cellStyle name="입력 2 16 10" xfId="32342"/>
    <cellStyle name="입력 2 16 11" xfId="32343"/>
    <cellStyle name="입력 2 16 12" xfId="32344"/>
    <cellStyle name="입력 2 16 13" xfId="32345"/>
    <cellStyle name="입력 2 16 14" xfId="32346"/>
    <cellStyle name="입력 2 16 15" xfId="32347"/>
    <cellStyle name="입력 2 16 16" xfId="32348"/>
    <cellStyle name="입력 2 16 17" xfId="32349"/>
    <cellStyle name="입력 2 16 18" xfId="32350"/>
    <cellStyle name="입력 2 16 19" xfId="32351"/>
    <cellStyle name="입력 2 16 2" xfId="32352"/>
    <cellStyle name="입력 2 16 20" xfId="32353"/>
    <cellStyle name="입력 2 16 21" xfId="32354"/>
    <cellStyle name="입력 2 16 22" xfId="32355"/>
    <cellStyle name="입력 2 16 23" xfId="32356"/>
    <cellStyle name="입력 2 16 24" xfId="32357"/>
    <cellStyle name="입력 2 16 25" xfId="32358"/>
    <cellStyle name="입력 2 16 26" xfId="32359"/>
    <cellStyle name="입력 2 16 27" xfId="32360"/>
    <cellStyle name="입력 2 16 28" xfId="32361"/>
    <cellStyle name="입력 2 16 29" xfId="32362"/>
    <cellStyle name="입력 2 16 3" xfId="32363"/>
    <cellStyle name="입력 2 16 30" xfId="32364"/>
    <cellStyle name="입력 2 16 31" xfId="32365"/>
    <cellStyle name="입력 2 16 32" xfId="32366"/>
    <cellStyle name="입력 2 16 33" xfId="32367"/>
    <cellStyle name="입력 2 16 34" xfId="32368"/>
    <cellStyle name="입력 2 16 35" xfId="32369"/>
    <cellStyle name="입력 2 16 36" xfId="32370"/>
    <cellStyle name="입력 2 16 37" xfId="32371"/>
    <cellStyle name="입력 2 16 38" xfId="32372"/>
    <cellStyle name="입력 2 16 39" xfId="32373"/>
    <cellStyle name="입력 2 16 4" xfId="32374"/>
    <cellStyle name="입력 2 16 40" xfId="32375"/>
    <cellStyle name="입력 2 16 41" xfId="32376"/>
    <cellStyle name="입력 2 16 42" xfId="32377"/>
    <cellStyle name="입력 2 16 43" xfId="32378"/>
    <cellStyle name="입력 2 16 5" xfId="32379"/>
    <cellStyle name="입력 2 16 6" xfId="32380"/>
    <cellStyle name="입력 2 16 7" xfId="32381"/>
    <cellStyle name="입력 2 16 8" xfId="32382"/>
    <cellStyle name="입력 2 16 9" xfId="32383"/>
    <cellStyle name="입력 2 16_분양(100%)" xfId="41057"/>
    <cellStyle name="입력 2 17" xfId="32384"/>
    <cellStyle name="입력 2 17 10" xfId="32385"/>
    <cellStyle name="입력 2 17 11" xfId="32386"/>
    <cellStyle name="입력 2 17 12" xfId="32387"/>
    <cellStyle name="입력 2 17 13" xfId="32388"/>
    <cellStyle name="입력 2 17 14" xfId="32389"/>
    <cellStyle name="입력 2 17 15" xfId="32390"/>
    <cellStyle name="입력 2 17 16" xfId="32391"/>
    <cellStyle name="입력 2 17 17" xfId="32392"/>
    <cellStyle name="입력 2 17 18" xfId="32393"/>
    <cellStyle name="입력 2 17 19" xfId="32394"/>
    <cellStyle name="입력 2 17 2" xfId="32395"/>
    <cellStyle name="입력 2 17 20" xfId="32396"/>
    <cellStyle name="입력 2 17 21" xfId="32397"/>
    <cellStyle name="입력 2 17 22" xfId="32398"/>
    <cellStyle name="입력 2 17 23" xfId="32399"/>
    <cellStyle name="입력 2 17 24" xfId="32400"/>
    <cellStyle name="입력 2 17 25" xfId="32401"/>
    <cellStyle name="입력 2 17 26" xfId="32402"/>
    <cellStyle name="입력 2 17 27" xfId="32403"/>
    <cellStyle name="입력 2 17 28" xfId="32404"/>
    <cellStyle name="입력 2 17 29" xfId="32405"/>
    <cellStyle name="입력 2 17 3" xfId="32406"/>
    <cellStyle name="입력 2 17 30" xfId="32407"/>
    <cellStyle name="입력 2 17 31" xfId="32408"/>
    <cellStyle name="입력 2 17 32" xfId="32409"/>
    <cellStyle name="입력 2 17 33" xfId="32410"/>
    <cellStyle name="입력 2 17 34" xfId="32411"/>
    <cellStyle name="입력 2 17 35" xfId="32412"/>
    <cellStyle name="입력 2 17 36" xfId="32413"/>
    <cellStyle name="입력 2 17 37" xfId="32414"/>
    <cellStyle name="입력 2 17 38" xfId="32415"/>
    <cellStyle name="입력 2 17 39" xfId="32416"/>
    <cellStyle name="입력 2 17 4" xfId="32417"/>
    <cellStyle name="입력 2 17 40" xfId="32418"/>
    <cellStyle name="입력 2 17 41" xfId="32419"/>
    <cellStyle name="입력 2 17 42" xfId="32420"/>
    <cellStyle name="입력 2 17 43" xfId="32421"/>
    <cellStyle name="입력 2 17 5" xfId="32422"/>
    <cellStyle name="입력 2 17 6" xfId="32423"/>
    <cellStyle name="입력 2 17 7" xfId="32424"/>
    <cellStyle name="입력 2 17 8" xfId="32425"/>
    <cellStyle name="입력 2 17 9" xfId="32426"/>
    <cellStyle name="입력 2 17_분양(100%)" xfId="41058"/>
    <cellStyle name="입력 2 18" xfId="32427"/>
    <cellStyle name="입력 2 18 10" xfId="32428"/>
    <cellStyle name="입력 2 18 11" xfId="32429"/>
    <cellStyle name="입력 2 18 12" xfId="32430"/>
    <cellStyle name="입력 2 18 13" xfId="32431"/>
    <cellStyle name="입력 2 18 14" xfId="32432"/>
    <cellStyle name="입력 2 18 15" xfId="32433"/>
    <cellStyle name="입력 2 18 16" xfId="32434"/>
    <cellStyle name="입력 2 18 17" xfId="32435"/>
    <cellStyle name="입력 2 18 18" xfId="32436"/>
    <cellStyle name="입력 2 18 19" xfId="32437"/>
    <cellStyle name="입력 2 18 2" xfId="32438"/>
    <cellStyle name="입력 2 18 20" xfId="32439"/>
    <cellStyle name="입력 2 18 21" xfId="32440"/>
    <cellStyle name="입력 2 18 22" xfId="32441"/>
    <cellStyle name="입력 2 18 23" xfId="32442"/>
    <cellStyle name="입력 2 18 24" xfId="32443"/>
    <cellStyle name="입력 2 18 25" xfId="32444"/>
    <cellStyle name="입력 2 18 26" xfId="32445"/>
    <cellStyle name="입력 2 18 27" xfId="32446"/>
    <cellStyle name="입력 2 18 28" xfId="32447"/>
    <cellStyle name="입력 2 18 29" xfId="32448"/>
    <cellStyle name="입력 2 18 3" xfId="32449"/>
    <cellStyle name="입력 2 18 30" xfId="32450"/>
    <cellStyle name="입력 2 18 31" xfId="32451"/>
    <cellStyle name="입력 2 18 32" xfId="32452"/>
    <cellStyle name="입력 2 18 33" xfId="32453"/>
    <cellStyle name="입력 2 18 34" xfId="32454"/>
    <cellStyle name="입력 2 18 35" xfId="32455"/>
    <cellStyle name="입력 2 18 36" xfId="32456"/>
    <cellStyle name="입력 2 18 37" xfId="32457"/>
    <cellStyle name="입력 2 18 38" xfId="32458"/>
    <cellStyle name="입력 2 18 39" xfId="32459"/>
    <cellStyle name="입력 2 18 4" xfId="32460"/>
    <cellStyle name="입력 2 18 40" xfId="32461"/>
    <cellStyle name="입력 2 18 41" xfId="32462"/>
    <cellStyle name="입력 2 18 42" xfId="32463"/>
    <cellStyle name="입력 2 18 43" xfId="32464"/>
    <cellStyle name="입력 2 18 5" xfId="32465"/>
    <cellStyle name="입력 2 18 6" xfId="32466"/>
    <cellStyle name="입력 2 18 7" xfId="32467"/>
    <cellStyle name="입력 2 18 8" xfId="32468"/>
    <cellStyle name="입력 2 18 9" xfId="32469"/>
    <cellStyle name="입력 2 18_분양(100%)" xfId="41059"/>
    <cellStyle name="입력 2 19" xfId="32470"/>
    <cellStyle name="입력 2 19 10" xfId="32471"/>
    <cellStyle name="입력 2 19 11" xfId="32472"/>
    <cellStyle name="입력 2 19 12" xfId="32473"/>
    <cellStyle name="입력 2 19 13" xfId="32474"/>
    <cellStyle name="입력 2 19 14" xfId="32475"/>
    <cellStyle name="입력 2 19 15" xfId="32476"/>
    <cellStyle name="입력 2 19 16" xfId="32477"/>
    <cellStyle name="입력 2 19 17" xfId="32478"/>
    <cellStyle name="입력 2 19 18" xfId="32479"/>
    <cellStyle name="입력 2 19 19" xfId="32480"/>
    <cellStyle name="입력 2 19 2" xfId="32481"/>
    <cellStyle name="입력 2 19 20" xfId="32482"/>
    <cellStyle name="입력 2 19 21" xfId="32483"/>
    <cellStyle name="입력 2 19 22" xfId="32484"/>
    <cellStyle name="입력 2 19 23" xfId="32485"/>
    <cellStyle name="입력 2 19 24" xfId="32486"/>
    <cellStyle name="입력 2 19 25" xfId="32487"/>
    <cellStyle name="입력 2 19 26" xfId="32488"/>
    <cellStyle name="입력 2 19 27" xfId="32489"/>
    <cellStyle name="입력 2 19 28" xfId="32490"/>
    <cellStyle name="입력 2 19 29" xfId="32491"/>
    <cellStyle name="입력 2 19 3" xfId="32492"/>
    <cellStyle name="입력 2 19 30" xfId="32493"/>
    <cellStyle name="입력 2 19 31" xfId="32494"/>
    <cellStyle name="입력 2 19 32" xfId="32495"/>
    <cellStyle name="입력 2 19 33" xfId="32496"/>
    <cellStyle name="입력 2 19 34" xfId="32497"/>
    <cellStyle name="입력 2 19 35" xfId="32498"/>
    <cellStyle name="입력 2 19 36" xfId="32499"/>
    <cellStyle name="입력 2 19 37" xfId="32500"/>
    <cellStyle name="입력 2 19 38" xfId="32501"/>
    <cellStyle name="입력 2 19 39" xfId="32502"/>
    <cellStyle name="입력 2 19 4" xfId="32503"/>
    <cellStyle name="입력 2 19 40" xfId="32504"/>
    <cellStyle name="입력 2 19 41" xfId="32505"/>
    <cellStyle name="입력 2 19 42" xfId="32506"/>
    <cellStyle name="입력 2 19 43" xfId="32507"/>
    <cellStyle name="입력 2 19 5" xfId="32508"/>
    <cellStyle name="입력 2 19 6" xfId="32509"/>
    <cellStyle name="입력 2 19 7" xfId="32510"/>
    <cellStyle name="입력 2 19 8" xfId="32511"/>
    <cellStyle name="입력 2 19 9" xfId="32512"/>
    <cellStyle name="입력 2 19_분양(100%)" xfId="41060"/>
    <cellStyle name="입력 2 2" xfId="32513"/>
    <cellStyle name="입력 2 2 10" xfId="32514"/>
    <cellStyle name="입력 2 2 11" xfId="32515"/>
    <cellStyle name="입력 2 2 12" xfId="32516"/>
    <cellStyle name="입력 2 2 13" xfId="32517"/>
    <cellStyle name="입력 2 2 14" xfId="32518"/>
    <cellStyle name="입력 2 2 15" xfId="32519"/>
    <cellStyle name="입력 2 2 16" xfId="32520"/>
    <cellStyle name="입력 2 2 17" xfId="32521"/>
    <cellStyle name="입력 2 2 18" xfId="32522"/>
    <cellStyle name="입력 2 2 19" xfId="32523"/>
    <cellStyle name="입력 2 2 2" xfId="32524"/>
    <cellStyle name="입력 2 2 20" xfId="32525"/>
    <cellStyle name="입력 2 2 21" xfId="32526"/>
    <cellStyle name="입력 2 2 22" xfId="32527"/>
    <cellStyle name="입력 2 2 23" xfId="32528"/>
    <cellStyle name="입력 2 2 24" xfId="32529"/>
    <cellStyle name="입력 2 2 25" xfId="32530"/>
    <cellStyle name="입력 2 2 26" xfId="32531"/>
    <cellStyle name="입력 2 2 27" xfId="32532"/>
    <cellStyle name="입력 2 2 28" xfId="32533"/>
    <cellStyle name="입력 2 2 29" xfId="32534"/>
    <cellStyle name="입력 2 2 3" xfId="32535"/>
    <cellStyle name="입력 2 2 30" xfId="32536"/>
    <cellStyle name="입력 2 2 31" xfId="32537"/>
    <cellStyle name="입력 2 2 32" xfId="32538"/>
    <cellStyle name="입력 2 2 33" xfId="32539"/>
    <cellStyle name="입력 2 2 34" xfId="32540"/>
    <cellStyle name="입력 2 2 35" xfId="32541"/>
    <cellStyle name="입력 2 2 36" xfId="32542"/>
    <cellStyle name="입력 2 2 37" xfId="32543"/>
    <cellStyle name="입력 2 2 38" xfId="32544"/>
    <cellStyle name="입력 2 2 39" xfId="32545"/>
    <cellStyle name="입력 2 2 4" xfId="32546"/>
    <cellStyle name="입력 2 2 40" xfId="32547"/>
    <cellStyle name="입력 2 2 41" xfId="32548"/>
    <cellStyle name="입력 2 2 42" xfId="32549"/>
    <cellStyle name="입력 2 2 43" xfId="32550"/>
    <cellStyle name="입력 2 2 44" xfId="32551"/>
    <cellStyle name="입력 2 2 5" xfId="32552"/>
    <cellStyle name="입력 2 2 6" xfId="32553"/>
    <cellStyle name="입력 2 2 7" xfId="32554"/>
    <cellStyle name="입력 2 2 8" xfId="32555"/>
    <cellStyle name="입력 2 2 9" xfId="32556"/>
    <cellStyle name="입력 2 2_분양(100%)" xfId="41061"/>
    <cellStyle name="입력 2 20" xfId="32557"/>
    <cellStyle name="입력 2 20 10" xfId="32558"/>
    <cellStyle name="입력 2 20 11" xfId="32559"/>
    <cellStyle name="입력 2 20 12" xfId="32560"/>
    <cellStyle name="입력 2 20 13" xfId="32561"/>
    <cellStyle name="입력 2 20 14" xfId="32562"/>
    <cellStyle name="입력 2 20 15" xfId="32563"/>
    <cellStyle name="입력 2 20 16" xfId="32564"/>
    <cellStyle name="입력 2 20 17" xfId="32565"/>
    <cellStyle name="입력 2 20 18" xfId="32566"/>
    <cellStyle name="입력 2 20 19" xfId="32567"/>
    <cellStyle name="입력 2 20 2" xfId="32568"/>
    <cellStyle name="입력 2 20 20" xfId="32569"/>
    <cellStyle name="입력 2 20 21" xfId="32570"/>
    <cellStyle name="입력 2 20 22" xfId="32571"/>
    <cellStyle name="입력 2 20 23" xfId="32572"/>
    <cellStyle name="입력 2 20 24" xfId="32573"/>
    <cellStyle name="입력 2 20 25" xfId="32574"/>
    <cellStyle name="입력 2 20 26" xfId="32575"/>
    <cellStyle name="입력 2 20 27" xfId="32576"/>
    <cellStyle name="입력 2 20 28" xfId="32577"/>
    <cellStyle name="입력 2 20 29" xfId="32578"/>
    <cellStyle name="입력 2 20 3" xfId="32579"/>
    <cellStyle name="입력 2 20 30" xfId="32580"/>
    <cellStyle name="입력 2 20 31" xfId="32581"/>
    <cellStyle name="입력 2 20 32" xfId="32582"/>
    <cellStyle name="입력 2 20 33" xfId="32583"/>
    <cellStyle name="입력 2 20 34" xfId="32584"/>
    <cellStyle name="입력 2 20 35" xfId="32585"/>
    <cellStyle name="입력 2 20 36" xfId="32586"/>
    <cellStyle name="입력 2 20 37" xfId="32587"/>
    <cellStyle name="입력 2 20 38" xfId="32588"/>
    <cellStyle name="입력 2 20 39" xfId="32589"/>
    <cellStyle name="입력 2 20 4" xfId="32590"/>
    <cellStyle name="입력 2 20 40" xfId="32591"/>
    <cellStyle name="입력 2 20 41" xfId="32592"/>
    <cellStyle name="입력 2 20 42" xfId="32593"/>
    <cellStyle name="입력 2 20 43" xfId="32594"/>
    <cellStyle name="입력 2 20 5" xfId="32595"/>
    <cellStyle name="입력 2 20 6" xfId="32596"/>
    <cellStyle name="입력 2 20 7" xfId="32597"/>
    <cellStyle name="입력 2 20 8" xfId="32598"/>
    <cellStyle name="입력 2 20 9" xfId="32599"/>
    <cellStyle name="입력 2 20_분양(100%)" xfId="41062"/>
    <cellStyle name="입력 2 21" xfId="32600"/>
    <cellStyle name="입력 2 21 10" xfId="32601"/>
    <cellStyle name="입력 2 21 11" xfId="32602"/>
    <cellStyle name="입력 2 21 12" xfId="32603"/>
    <cellStyle name="입력 2 21 13" xfId="32604"/>
    <cellStyle name="입력 2 21 14" xfId="32605"/>
    <cellStyle name="입력 2 21 15" xfId="32606"/>
    <cellStyle name="입력 2 21 16" xfId="32607"/>
    <cellStyle name="입력 2 21 17" xfId="32608"/>
    <cellStyle name="입력 2 21 18" xfId="32609"/>
    <cellStyle name="입력 2 21 19" xfId="32610"/>
    <cellStyle name="입력 2 21 2" xfId="32611"/>
    <cellStyle name="입력 2 21 20" xfId="32612"/>
    <cellStyle name="입력 2 21 21" xfId="32613"/>
    <cellStyle name="입력 2 21 22" xfId="32614"/>
    <cellStyle name="입력 2 21 23" xfId="32615"/>
    <cellStyle name="입력 2 21 24" xfId="32616"/>
    <cellStyle name="입력 2 21 25" xfId="32617"/>
    <cellStyle name="입력 2 21 26" xfId="32618"/>
    <cellStyle name="입력 2 21 27" xfId="32619"/>
    <cellStyle name="입력 2 21 28" xfId="32620"/>
    <cellStyle name="입력 2 21 29" xfId="32621"/>
    <cellStyle name="입력 2 21 3" xfId="32622"/>
    <cellStyle name="입력 2 21 30" xfId="32623"/>
    <cellStyle name="입력 2 21 31" xfId="32624"/>
    <cellStyle name="입력 2 21 32" xfId="32625"/>
    <cellStyle name="입력 2 21 33" xfId="32626"/>
    <cellStyle name="입력 2 21 34" xfId="32627"/>
    <cellStyle name="입력 2 21 35" xfId="32628"/>
    <cellStyle name="입력 2 21 36" xfId="32629"/>
    <cellStyle name="입력 2 21 37" xfId="32630"/>
    <cellStyle name="입력 2 21 38" xfId="32631"/>
    <cellStyle name="입력 2 21 39" xfId="32632"/>
    <cellStyle name="입력 2 21 4" xfId="32633"/>
    <cellStyle name="입력 2 21 40" xfId="32634"/>
    <cellStyle name="입력 2 21 41" xfId="32635"/>
    <cellStyle name="입력 2 21 42" xfId="32636"/>
    <cellStyle name="입력 2 21 43" xfId="32637"/>
    <cellStyle name="입력 2 21 5" xfId="32638"/>
    <cellStyle name="입력 2 21 6" xfId="32639"/>
    <cellStyle name="입력 2 21 7" xfId="32640"/>
    <cellStyle name="입력 2 21 8" xfId="32641"/>
    <cellStyle name="입력 2 21 9" xfId="32642"/>
    <cellStyle name="입력 2 21_분양(100%)" xfId="41063"/>
    <cellStyle name="입력 2 22" xfId="32643"/>
    <cellStyle name="입력 2 22 10" xfId="32644"/>
    <cellStyle name="입력 2 22 11" xfId="32645"/>
    <cellStyle name="입력 2 22 12" xfId="32646"/>
    <cellStyle name="입력 2 22 13" xfId="32647"/>
    <cellStyle name="입력 2 22 14" xfId="32648"/>
    <cellStyle name="입력 2 22 15" xfId="32649"/>
    <cellStyle name="입력 2 22 16" xfId="32650"/>
    <cellStyle name="입력 2 22 17" xfId="32651"/>
    <cellStyle name="입력 2 22 18" xfId="32652"/>
    <cellStyle name="입력 2 22 19" xfId="32653"/>
    <cellStyle name="입력 2 22 2" xfId="32654"/>
    <cellStyle name="입력 2 22 20" xfId="32655"/>
    <cellStyle name="입력 2 22 21" xfId="32656"/>
    <cellStyle name="입력 2 22 22" xfId="32657"/>
    <cellStyle name="입력 2 22 23" xfId="32658"/>
    <cellStyle name="입력 2 22 24" xfId="32659"/>
    <cellStyle name="입력 2 22 25" xfId="32660"/>
    <cellStyle name="입력 2 22 26" xfId="32661"/>
    <cellStyle name="입력 2 22 27" xfId="32662"/>
    <cellStyle name="입력 2 22 28" xfId="32663"/>
    <cellStyle name="입력 2 22 29" xfId="32664"/>
    <cellStyle name="입력 2 22 3" xfId="32665"/>
    <cellStyle name="입력 2 22 30" xfId="32666"/>
    <cellStyle name="입력 2 22 31" xfId="32667"/>
    <cellStyle name="입력 2 22 32" xfId="32668"/>
    <cellStyle name="입력 2 22 33" xfId="32669"/>
    <cellStyle name="입력 2 22 34" xfId="32670"/>
    <cellStyle name="입력 2 22 35" xfId="32671"/>
    <cellStyle name="입력 2 22 36" xfId="32672"/>
    <cellStyle name="입력 2 22 37" xfId="32673"/>
    <cellStyle name="입력 2 22 38" xfId="32674"/>
    <cellStyle name="입력 2 22 39" xfId="32675"/>
    <cellStyle name="입력 2 22 4" xfId="32676"/>
    <cellStyle name="입력 2 22 40" xfId="32677"/>
    <cellStyle name="입력 2 22 41" xfId="32678"/>
    <cellStyle name="입력 2 22 42" xfId="32679"/>
    <cellStyle name="입력 2 22 43" xfId="32680"/>
    <cellStyle name="입력 2 22 5" xfId="32681"/>
    <cellStyle name="입력 2 22 6" xfId="32682"/>
    <cellStyle name="입력 2 22 7" xfId="32683"/>
    <cellStyle name="입력 2 22 8" xfId="32684"/>
    <cellStyle name="입력 2 22 9" xfId="32685"/>
    <cellStyle name="입력 2 22_분양(100%)" xfId="41064"/>
    <cellStyle name="입력 2 23" xfId="32686"/>
    <cellStyle name="입력 2 23 10" xfId="32687"/>
    <cellStyle name="입력 2 23 11" xfId="32688"/>
    <cellStyle name="입력 2 23 12" xfId="32689"/>
    <cellStyle name="입력 2 23 13" xfId="32690"/>
    <cellStyle name="입력 2 23 14" xfId="32691"/>
    <cellStyle name="입력 2 23 15" xfId="32692"/>
    <cellStyle name="입력 2 23 16" xfId="32693"/>
    <cellStyle name="입력 2 23 17" xfId="32694"/>
    <cellStyle name="입력 2 23 18" xfId="32695"/>
    <cellStyle name="입력 2 23 19" xfId="32696"/>
    <cellStyle name="입력 2 23 2" xfId="32697"/>
    <cellStyle name="입력 2 23 20" xfId="32698"/>
    <cellStyle name="입력 2 23 21" xfId="32699"/>
    <cellStyle name="입력 2 23 22" xfId="32700"/>
    <cellStyle name="입력 2 23 23" xfId="32701"/>
    <cellStyle name="입력 2 23 24" xfId="32702"/>
    <cellStyle name="입력 2 23 25" xfId="32703"/>
    <cellStyle name="입력 2 23 26" xfId="32704"/>
    <cellStyle name="입력 2 23 27" xfId="32705"/>
    <cellStyle name="입력 2 23 28" xfId="32706"/>
    <cellStyle name="입력 2 23 29" xfId="32707"/>
    <cellStyle name="입력 2 23 3" xfId="32708"/>
    <cellStyle name="입력 2 23 30" xfId="32709"/>
    <cellStyle name="입력 2 23 31" xfId="32710"/>
    <cellStyle name="입력 2 23 32" xfId="32711"/>
    <cellStyle name="입력 2 23 33" xfId="32712"/>
    <cellStyle name="입력 2 23 34" xfId="32713"/>
    <cellStyle name="입력 2 23 35" xfId="32714"/>
    <cellStyle name="입력 2 23 36" xfId="32715"/>
    <cellStyle name="입력 2 23 37" xfId="32716"/>
    <cellStyle name="입력 2 23 38" xfId="32717"/>
    <cellStyle name="입력 2 23 39" xfId="32718"/>
    <cellStyle name="입력 2 23 4" xfId="32719"/>
    <cellStyle name="입력 2 23 40" xfId="32720"/>
    <cellStyle name="입력 2 23 41" xfId="32721"/>
    <cellStyle name="입력 2 23 42" xfId="32722"/>
    <cellStyle name="입력 2 23 43" xfId="32723"/>
    <cellStyle name="입력 2 23 5" xfId="32724"/>
    <cellStyle name="입력 2 23 6" xfId="32725"/>
    <cellStyle name="입력 2 23 7" xfId="32726"/>
    <cellStyle name="입력 2 23 8" xfId="32727"/>
    <cellStyle name="입력 2 23 9" xfId="32728"/>
    <cellStyle name="입력 2 23_분양(100%)" xfId="41065"/>
    <cellStyle name="입력 2 24" xfId="32729"/>
    <cellStyle name="입력 2 24 10" xfId="32730"/>
    <cellStyle name="입력 2 24 11" xfId="32731"/>
    <cellStyle name="입력 2 24 12" xfId="32732"/>
    <cellStyle name="입력 2 24 13" xfId="32733"/>
    <cellStyle name="입력 2 24 14" xfId="32734"/>
    <cellStyle name="입력 2 24 15" xfId="32735"/>
    <cellStyle name="입력 2 24 16" xfId="32736"/>
    <cellStyle name="입력 2 24 17" xfId="32737"/>
    <cellStyle name="입력 2 24 18" xfId="32738"/>
    <cellStyle name="입력 2 24 19" xfId="32739"/>
    <cellStyle name="입력 2 24 2" xfId="32740"/>
    <cellStyle name="입력 2 24 20" xfId="32741"/>
    <cellStyle name="입력 2 24 21" xfId="32742"/>
    <cellStyle name="입력 2 24 22" xfId="32743"/>
    <cellStyle name="입력 2 24 23" xfId="32744"/>
    <cellStyle name="입력 2 24 24" xfId="32745"/>
    <cellStyle name="입력 2 24 25" xfId="32746"/>
    <cellStyle name="입력 2 24 26" xfId="32747"/>
    <cellStyle name="입력 2 24 27" xfId="32748"/>
    <cellStyle name="입력 2 24 28" xfId="32749"/>
    <cellStyle name="입력 2 24 29" xfId="32750"/>
    <cellStyle name="입력 2 24 3" xfId="32751"/>
    <cellStyle name="입력 2 24 30" xfId="32752"/>
    <cellStyle name="입력 2 24 31" xfId="32753"/>
    <cellStyle name="입력 2 24 32" xfId="32754"/>
    <cellStyle name="입력 2 24 33" xfId="32755"/>
    <cellStyle name="입력 2 24 34" xfId="32756"/>
    <cellStyle name="입력 2 24 35" xfId="32757"/>
    <cellStyle name="입력 2 24 36" xfId="32758"/>
    <cellStyle name="입력 2 24 37" xfId="32759"/>
    <cellStyle name="입력 2 24 38" xfId="32760"/>
    <cellStyle name="입력 2 24 39" xfId="32761"/>
    <cellStyle name="입력 2 24 4" xfId="32762"/>
    <cellStyle name="입력 2 24 40" xfId="32763"/>
    <cellStyle name="입력 2 24 41" xfId="32764"/>
    <cellStyle name="입력 2 24 42" xfId="32765"/>
    <cellStyle name="입력 2 24 43" xfId="32766"/>
    <cellStyle name="입력 2 24 5" xfId="32767"/>
    <cellStyle name="입력 2 24 6" xfId="32768"/>
    <cellStyle name="입력 2 24 7" xfId="32769"/>
    <cellStyle name="입력 2 24 8" xfId="32770"/>
    <cellStyle name="입력 2 24 9" xfId="32771"/>
    <cellStyle name="입력 2 24_분양(100%)" xfId="41066"/>
    <cellStyle name="입력 2 25" xfId="32772"/>
    <cellStyle name="입력 2 25 10" xfId="32773"/>
    <cellStyle name="입력 2 25 11" xfId="32774"/>
    <cellStyle name="입력 2 25 12" xfId="32775"/>
    <cellStyle name="입력 2 25 13" xfId="32776"/>
    <cellStyle name="입력 2 25 14" xfId="32777"/>
    <cellStyle name="입력 2 25 15" xfId="32778"/>
    <cellStyle name="입력 2 25 16" xfId="32779"/>
    <cellStyle name="입력 2 25 17" xfId="32780"/>
    <cellStyle name="입력 2 25 18" xfId="32781"/>
    <cellStyle name="입력 2 25 19" xfId="32782"/>
    <cellStyle name="입력 2 25 2" xfId="32783"/>
    <cellStyle name="입력 2 25 20" xfId="32784"/>
    <cellStyle name="입력 2 25 21" xfId="32785"/>
    <cellStyle name="입력 2 25 22" xfId="32786"/>
    <cellStyle name="입력 2 25 23" xfId="32787"/>
    <cellStyle name="입력 2 25 24" xfId="32788"/>
    <cellStyle name="입력 2 25 25" xfId="32789"/>
    <cellStyle name="입력 2 25 26" xfId="32790"/>
    <cellStyle name="입력 2 25 27" xfId="32791"/>
    <cellStyle name="입력 2 25 28" xfId="32792"/>
    <cellStyle name="입력 2 25 29" xfId="32793"/>
    <cellStyle name="입력 2 25 3" xfId="32794"/>
    <cellStyle name="입력 2 25 30" xfId="32795"/>
    <cellStyle name="입력 2 25 31" xfId="32796"/>
    <cellStyle name="입력 2 25 32" xfId="32797"/>
    <cellStyle name="입력 2 25 33" xfId="32798"/>
    <cellStyle name="입력 2 25 34" xfId="32799"/>
    <cellStyle name="입력 2 25 35" xfId="32800"/>
    <cellStyle name="입력 2 25 36" xfId="32801"/>
    <cellStyle name="입력 2 25 37" xfId="32802"/>
    <cellStyle name="입력 2 25 38" xfId="32803"/>
    <cellStyle name="입력 2 25 39" xfId="32804"/>
    <cellStyle name="입력 2 25 4" xfId="32805"/>
    <cellStyle name="입력 2 25 40" xfId="32806"/>
    <cellStyle name="입력 2 25 41" xfId="32807"/>
    <cellStyle name="입력 2 25 42" xfId="32808"/>
    <cellStyle name="입력 2 25 43" xfId="32809"/>
    <cellStyle name="입력 2 25 5" xfId="32810"/>
    <cellStyle name="입력 2 25 6" xfId="32811"/>
    <cellStyle name="입력 2 25 7" xfId="32812"/>
    <cellStyle name="입력 2 25 8" xfId="32813"/>
    <cellStyle name="입력 2 25 9" xfId="32814"/>
    <cellStyle name="입력 2 25_분양(100%)" xfId="41067"/>
    <cellStyle name="입력 2 26" xfId="32815"/>
    <cellStyle name="입력 2 26 10" xfId="32816"/>
    <cellStyle name="입력 2 26 11" xfId="32817"/>
    <cellStyle name="입력 2 26 12" xfId="32818"/>
    <cellStyle name="입력 2 26 13" xfId="32819"/>
    <cellStyle name="입력 2 26 14" xfId="32820"/>
    <cellStyle name="입력 2 26 15" xfId="32821"/>
    <cellStyle name="입력 2 26 16" xfId="32822"/>
    <cellStyle name="입력 2 26 17" xfId="32823"/>
    <cellStyle name="입력 2 26 18" xfId="32824"/>
    <cellStyle name="입력 2 26 19" xfId="32825"/>
    <cellStyle name="입력 2 26 2" xfId="32826"/>
    <cellStyle name="입력 2 26 20" xfId="32827"/>
    <cellStyle name="입력 2 26 21" xfId="32828"/>
    <cellStyle name="입력 2 26 22" xfId="32829"/>
    <cellStyle name="입력 2 26 23" xfId="32830"/>
    <cellStyle name="입력 2 26 24" xfId="32831"/>
    <cellStyle name="입력 2 26 25" xfId="32832"/>
    <cellStyle name="입력 2 26 26" xfId="32833"/>
    <cellStyle name="입력 2 26 27" xfId="32834"/>
    <cellStyle name="입력 2 26 28" xfId="32835"/>
    <cellStyle name="입력 2 26 29" xfId="32836"/>
    <cellStyle name="입력 2 26 3" xfId="32837"/>
    <cellStyle name="입력 2 26 30" xfId="32838"/>
    <cellStyle name="입력 2 26 31" xfId="32839"/>
    <cellStyle name="입력 2 26 32" xfId="32840"/>
    <cellStyle name="입력 2 26 33" xfId="32841"/>
    <cellStyle name="입력 2 26 34" xfId="32842"/>
    <cellStyle name="입력 2 26 35" xfId="32843"/>
    <cellStyle name="입력 2 26 36" xfId="32844"/>
    <cellStyle name="입력 2 26 37" xfId="32845"/>
    <cellStyle name="입력 2 26 38" xfId="32846"/>
    <cellStyle name="입력 2 26 39" xfId="32847"/>
    <cellStyle name="입력 2 26 4" xfId="32848"/>
    <cellStyle name="입력 2 26 40" xfId="32849"/>
    <cellStyle name="입력 2 26 41" xfId="32850"/>
    <cellStyle name="입력 2 26 42" xfId="32851"/>
    <cellStyle name="입력 2 26 43" xfId="32852"/>
    <cellStyle name="입력 2 26 5" xfId="32853"/>
    <cellStyle name="입력 2 26 6" xfId="32854"/>
    <cellStyle name="입력 2 26 7" xfId="32855"/>
    <cellStyle name="입력 2 26 8" xfId="32856"/>
    <cellStyle name="입력 2 26 9" xfId="32857"/>
    <cellStyle name="입력 2 26_분양(100%)" xfId="41068"/>
    <cellStyle name="입력 2 27" xfId="32858"/>
    <cellStyle name="입력 2 27 10" xfId="32859"/>
    <cellStyle name="입력 2 27 11" xfId="32860"/>
    <cellStyle name="입력 2 27 12" xfId="32861"/>
    <cellStyle name="입력 2 27 13" xfId="32862"/>
    <cellStyle name="입력 2 27 14" xfId="32863"/>
    <cellStyle name="입력 2 27 15" xfId="32864"/>
    <cellStyle name="입력 2 27 16" xfId="32865"/>
    <cellStyle name="입력 2 27 17" xfId="32866"/>
    <cellStyle name="입력 2 27 18" xfId="32867"/>
    <cellStyle name="입력 2 27 19" xfId="32868"/>
    <cellStyle name="입력 2 27 2" xfId="32869"/>
    <cellStyle name="입력 2 27 20" xfId="32870"/>
    <cellStyle name="입력 2 27 21" xfId="32871"/>
    <cellStyle name="입력 2 27 22" xfId="32872"/>
    <cellStyle name="입력 2 27 23" xfId="32873"/>
    <cellStyle name="입력 2 27 24" xfId="32874"/>
    <cellStyle name="입력 2 27 25" xfId="32875"/>
    <cellStyle name="입력 2 27 26" xfId="32876"/>
    <cellStyle name="입력 2 27 27" xfId="32877"/>
    <cellStyle name="입력 2 27 28" xfId="32878"/>
    <cellStyle name="입력 2 27 29" xfId="32879"/>
    <cellStyle name="입력 2 27 3" xfId="32880"/>
    <cellStyle name="입력 2 27 30" xfId="32881"/>
    <cellStyle name="입력 2 27 31" xfId="32882"/>
    <cellStyle name="입력 2 27 32" xfId="32883"/>
    <cellStyle name="입력 2 27 33" xfId="32884"/>
    <cellStyle name="입력 2 27 34" xfId="32885"/>
    <cellStyle name="입력 2 27 35" xfId="32886"/>
    <cellStyle name="입력 2 27 36" xfId="32887"/>
    <cellStyle name="입력 2 27 37" xfId="32888"/>
    <cellStyle name="입력 2 27 38" xfId="32889"/>
    <cellStyle name="입력 2 27 39" xfId="32890"/>
    <cellStyle name="입력 2 27 4" xfId="32891"/>
    <cellStyle name="입력 2 27 40" xfId="32892"/>
    <cellStyle name="입력 2 27 41" xfId="32893"/>
    <cellStyle name="입력 2 27 42" xfId="32894"/>
    <cellStyle name="입력 2 27 43" xfId="32895"/>
    <cellStyle name="입력 2 27 5" xfId="32896"/>
    <cellStyle name="입력 2 27 6" xfId="32897"/>
    <cellStyle name="입력 2 27 7" xfId="32898"/>
    <cellStyle name="입력 2 27 8" xfId="32899"/>
    <cellStyle name="입력 2 27 9" xfId="32900"/>
    <cellStyle name="입력 2 27_분양(100%)" xfId="41069"/>
    <cellStyle name="입력 2 28" xfId="32901"/>
    <cellStyle name="입력 2 28 10" xfId="32902"/>
    <cellStyle name="입력 2 28 11" xfId="32903"/>
    <cellStyle name="입력 2 28 12" xfId="32904"/>
    <cellStyle name="입력 2 28 13" xfId="32905"/>
    <cellStyle name="입력 2 28 14" xfId="32906"/>
    <cellStyle name="입력 2 28 15" xfId="32907"/>
    <cellStyle name="입력 2 28 16" xfId="32908"/>
    <cellStyle name="입력 2 28 17" xfId="32909"/>
    <cellStyle name="입력 2 28 18" xfId="32910"/>
    <cellStyle name="입력 2 28 19" xfId="32911"/>
    <cellStyle name="입력 2 28 2" xfId="32912"/>
    <cellStyle name="입력 2 28 20" xfId="32913"/>
    <cellStyle name="입력 2 28 21" xfId="32914"/>
    <cellStyle name="입력 2 28 22" xfId="32915"/>
    <cellStyle name="입력 2 28 23" xfId="32916"/>
    <cellStyle name="입력 2 28 24" xfId="32917"/>
    <cellStyle name="입력 2 28 25" xfId="32918"/>
    <cellStyle name="입력 2 28 26" xfId="32919"/>
    <cellStyle name="입력 2 28 27" xfId="32920"/>
    <cellStyle name="입력 2 28 28" xfId="32921"/>
    <cellStyle name="입력 2 28 29" xfId="32922"/>
    <cellStyle name="입력 2 28 3" xfId="32923"/>
    <cellStyle name="입력 2 28 30" xfId="32924"/>
    <cellStyle name="입력 2 28 31" xfId="32925"/>
    <cellStyle name="입력 2 28 32" xfId="32926"/>
    <cellStyle name="입력 2 28 33" xfId="32927"/>
    <cellStyle name="입력 2 28 34" xfId="32928"/>
    <cellStyle name="입력 2 28 35" xfId="32929"/>
    <cellStyle name="입력 2 28 36" xfId="32930"/>
    <cellStyle name="입력 2 28 37" xfId="32931"/>
    <cellStyle name="입력 2 28 38" xfId="32932"/>
    <cellStyle name="입력 2 28 39" xfId="32933"/>
    <cellStyle name="입력 2 28 4" xfId="32934"/>
    <cellStyle name="입력 2 28 40" xfId="32935"/>
    <cellStyle name="입력 2 28 41" xfId="32936"/>
    <cellStyle name="입력 2 28 42" xfId="32937"/>
    <cellStyle name="입력 2 28 43" xfId="32938"/>
    <cellStyle name="입력 2 28 5" xfId="32939"/>
    <cellStyle name="입력 2 28 6" xfId="32940"/>
    <cellStyle name="입력 2 28 7" xfId="32941"/>
    <cellStyle name="입력 2 28 8" xfId="32942"/>
    <cellStyle name="입력 2 28 9" xfId="32943"/>
    <cellStyle name="입력 2 28_분양(100%)" xfId="41070"/>
    <cellStyle name="입력 2 29" xfId="32944"/>
    <cellStyle name="입력 2 29 10" xfId="32945"/>
    <cellStyle name="입력 2 29 11" xfId="32946"/>
    <cellStyle name="입력 2 29 12" xfId="32947"/>
    <cellStyle name="입력 2 29 13" xfId="32948"/>
    <cellStyle name="입력 2 29 14" xfId="32949"/>
    <cellStyle name="입력 2 29 15" xfId="32950"/>
    <cellStyle name="입력 2 29 16" xfId="32951"/>
    <cellStyle name="입력 2 29 17" xfId="32952"/>
    <cellStyle name="입력 2 29 18" xfId="32953"/>
    <cellStyle name="입력 2 29 19" xfId="32954"/>
    <cellStyle name="입력 2 29 2" xfId="32955"/>
    <cellStyle name="입력 2 29 20" xfId="32956"/>
    <cellStyle name="입력 2 29 21" xfId="32957"/>
    <cellStyle name="입력 2 29 22" xfId="32958"/>
    <cellStyle name="입력 2 29 23" xfId="32959"/>
    <cellStyle name="입력 2 29 24" xfId="32960"/>
    <cellStyle name="입력 2 29 25" xfId="32961"/>
    <cellStyle name="입력 2 29 26" xfId="32962"/>
    <cellStyle name="입력 2 29 27" xfId="32963"/>
    <cellStyle name="입력 2 29 28" xfId="32964"/>
    <cellStyle name="입력 2 29 29" xfId="32965"/>
    <cellStyle name="입력 2 29 3" xfId="32966"/>
    <cellStyle name="입력 2 29 30" xfId="32967"/>
    <cellStyle name="입력 2 29 31" xfId="32968"/>
    <cellStyle name="입력 2 29 32" xfId="32969"/>
    <cellStyle name="입력 2 29 33" xfId="32970"/>
    <cellStyle name="입력 2 29 34" xfId="32971"/>
    <cellStyle name="입력 2 29 35" xfId="32972"/>
    <cellStyle name="입력 2 29 36" xfId="32973"/>
    <cellStyle name="입력 2 29 37" xfId="32974"/>
    <cellStyle name="입력 2 29 38" xfId="32975"/>
    <cellStyle name="입력 2 29 39" xfId="32976"/>
    <cellStyle name="입력 2 29 4" xfId="32977"/>
    <cellStyle name="입력 2 29 40" xfId="32978"/>
    <cellStyle name="입력 2 29 41" xfId="32979"/>
    <cellStyle name="입력 2 29 42" xfId="32980"/>
    <cellStyle name="입력 2 29 43" xfId="32981"/>
    <cellStyle name="입력 2 29 5" xfId="32982"/>
    <cellStyle name="입력 2 29 6" xfId="32983"/>
    <cellStyle name="입력 2 29 7" xfId="32984"/>
    <cellStyle name="입력 2 29 8" xfId="32985"/>
    <cellStyle name="입력 2 29 9" xfId="32986"/>
    <cellStyle name="입력 2 29_분양(100%)" xfId="41071"/>
    <cellStyle name="입력 2 3" xfId="32987"/>
    <cellStyle name="입력 2 3 10" xfId="32988"/>
    <cellStyle name="입력 2 3 11" xfId="32989"/>
    <cellStyle name="입력 2 3 12" xfId="32990"/>
    <cellStyle name="입력 2 3 13" xfId="32991"/>
    <cellStyle name="입력 2 3 14" xfId="32992"/>
    <cellStyle name="입력 2 3 15" xfId="32993"/>
    <cellStyle name="입력 2 3 16" xfId="32994"/>
    <cellStyle name="입력 2 3 17" xfId="32995"/>
    <cellStyle name="입력 2 3 18" xfId="32996"/>
    <cellStyle name="입력 2 3 19" xfId="32997"/>
    <cellStyle name="입력 2 3 2" xfId="32998"/>
    <cellStyle name="입력 2 3 20" xfId="32999"/>
    <cellStyle name="입력 2 3 21" xfId="33000"/>
    <cellStyle name="입력 2 3 22" xfId="33001"/>
    <cellStyle name="입력 2 3 23" xfId="33002"/>
    <cellStyle name="입력 2 3 24" xfId="33003"/>
    <cellStyle name="입력 2 3 25" xfId="33004"/>
    <cellStyle name="입력 2 3 26" xfId="33005"/>
    <cellStyle name="입력 2 3 27" xfId="33006"/>
    <cellStyle name="입력 2 3 28" xfId="33007"/>
    <cellStyle name="입력 2 3 29" xfId="33008"/>
    <cellStyle name="입력 2 3 3" xfId="33009"/>
    <cellStyle name="입력 2 3 30" xfId="33010"/>
    <cellStyle name="입력 2 3 31" xfId="33011"/>
    <cellStyle name="입력 2 3 32" xfId="33012"/>
    <cellStyle name="입력 2 3 33" xfId="33013"/>
    <cellStyle name="입력 2 3 34" xfId="33014"/>
    <cellStyle name="입력 2 3 35" xfId="33015"/>
    <cellStyle name="입력 2 3 36" xfId="33016"/>
    <cellStyle name="입력 2 3 37" xfId="33017"/>
    <cellStyle name="입력 2 3 38" xfId="33018"/>
    <cellStyle name="입력 2 3 39" xfId="33019"/>
    <cellStyle name="입력 2 3 4" xfId="33020"/>
    <cellStyle name="입력 2 3 40" xfId="33021"/>
    <cellStyle name="입력 2 3 41" xfId="33022"/>
    <cellStyle name="입력 2 3 42" xfId="33023"/>
    <cellStyle name="입력 2 3 43" xfId="33024"/>
    <cellStyle name="입력 2 3 44" xfId="33025"/>
    <cellStyle name="입력 2 3 5" xfId="33026"/>
    <cellStyle name="입력 2 3 6" xfId="33027"/>
    <cellStyle name="입력 2 3 7" xfId="33028"/>
    <cellStyle name="입력 2 3 8" xfId="33029"/>
    <cellStyle name="입력 2 3 9" xfId="33030"/>
    <cellStyle name="입력 2 3_분양(100%)" xfId="41072"/>
    <cellStyle name="입력 2 30" xfId="33031"/>
    <cellStyle name="입력 2 30 10" xfId="33032"/>
    <cellStyle name="입력 2 30 11" xfId="33033"/>
    <cellStyle name="입력 2 30 12" xfId="33034"/>
    <cellStyle name="입력 2 30 13" xfId="33035"/>
    <cellStyle name="입력 2 30 14" xfId="33036"/>
    <cellStyle name="입력 2 30 15" xfId="33037"/>
    <cellStyle name="입력 2 30 16" xfId="33038"/>
    <cellStyle name="입력 2 30 17" xfId="33039"/>
    <cellStyle name="입력 2 30 18" xfId="33040"/>
    <cellStyle name="입력 2 30 19" xfId="33041"/>
    <cellStyle name="입력 2 30 2" xfId="33042"/>
    <cellStyle name="입력 2 30 20" xfId="33043"/>
    <cellStyle name="입력 2 30 21" xfId="33044"/>
    <cellStyle name="입력 2 30 22" xfId="33045"/>
    <cellStyle name="입력 2 30 23" xfId="33046"/>
    <cellStyle name="입력 2 30 24" xfId="33047"/>
    <cellStyle name="입력 2 30 25" xfId="33048"/>
    <cellStyle name="입력 2 30 26" xfId="33049"/>
    <cellStyle name="입력 2 30 27" xfId="33050"/>
    <cellStyle name="입력 2 30 28" xfId="33051"/>
    <cellStyle name="입력 2 30 29" xfId="33052"/>
    <cellStyle name="입력 2 30 3" xfId="33053"/>
    <cellStyle name="입력 2 30 30" xfId="33054"/>
    <cellStyle name="입력 2 30 31" xfId="33055"/>
    <cellStyle name="입력 2 30 32" xfId="33056"/>
    <cellStyle name="입력 2 30 33" xfId="33057"/>
    <cellStyle name="입력 2 30 34" xfId="33058"/>
    <cellStyle name="입력 2 30 35" xfId="33059"/>
    <cellStyle name="입력 2 30 36" xfId="33060"/>
    <cellStyle name="입력 2 30 37" xfId="33061"/>
    <cellStyle name="입력 2 30 38" xfId="33062"/>
    <cellStyle name="입력 2 30 39" xfId="33063"/>
    <cellStyle name="입력 2 30 4" xfId="33064"/>
    <cellStyle name="입력 2 30 40" xfId="33065"/>
    <cellStyle name="입력 2 30 41" xfId="33066"/>
    <cellStyle name="입력 2 30 42" xfId="33067"/>
    <cellStyle name="입력 2 30 43" xfId="33068"/>
    <cellStyle name="입력 2 30 5" xfId="33069"/>
    <cellStyle name="입력 2 30 6" xfId="33070"/>
    <cellStyle name="입력 2 30 7" xfId="33071"/>
    <cellStyle name="입력 2 30 8" xfId="33072"/>
    <cellStyle name="입력 2 30 9" xfId="33073"/>
    <cellStyle name="입력 2 30_분양(100%)" xfId="41073"/>
    <cellStyle name="입력 2 31" xfId="33074"/>
    <cellStyle name="입력 2 31 10" xfId="33075"/>
    <cellStyle name="입력 2 31 11" xfId="33076"/>
    <cellStyle name="입력 2 31 12" xfId="33077"/>
    <cellStyle name="입력 2 31 13" xfId="33078"/>
    <cellStyle name="입력 2 31 14" xfId="33079"/>
    <cellStyle name="입력 2 31 15" xfId="33080"/>
    <cellStyle name="입력 2 31 16" xfId="33081"/>
    <cellStyle name="입력 2 31 17" xfId="33082"/>
    <cellStyle name="입력 2 31 18" xfId="33083"/>
    <cellStyle name="입력 2 31 19" xfId="33084"/>
    <cellStyle name="입력 2 31 2" xfId="33085"/>
    <cellStyle name="입력 2 31 20" xfId="33086"/>
    <cellStyle name="입력 2 31 21" xfId="33087"/>
    <cellStyle name="입력 2 31 22" xfId="33088"/>
    <cellStyle name="입력 2 31 23" xfId="33089"/>
    <cellStyle name="입력 2 31 24" xfId="33090"/>
    <cellStyle name="입력 2 31 25" xfId="33091"/>
    <cellStyle name="입력 2 31 26" xfId="33092"/>
    <cellStyle name="입력 2 31 27" xfId="33093"/>
    <cellStyle name="입력 2 31 28" xfId="33094"/>
    <cellStyle name="입력 2 31 29" xfId="33095"/>
    <cellStyle name="입력 2 31 3" xfId="33096"/>
    <cellStyle name="입력 2 31 30" xfId="33097"/>
    <cellStyle name="입력 2 31 31" xfId="33098"/>
    <cellStyle name="입력 2 31 32" xfId="33099"/>
    <cellStyle name="입력 2 31 33" xfId="33100"/>
    <cellStyle name="입력 2 31 34" xfId="33101"/>
    <cellStyle name="입력 2 31 35" xfId="33102"/>
    <cellStyle name="입력 2 31 36" xfId="33103"/>
    <cellStyle name="입력 2 31 37" xfId="33104"/>
    <cellStyle name="입력 2 31 38" xfId="33105"/>
    <cellStyle name="입력 2 31 39" xfId="33106"/>
    <cellStyle name="입력 2 31 4" xfId="33107"/>
    <cellStyle name="입력 2 31 40" xfId="33108"/>
    <cellStyle name="입력 2 31 41" xfId="33109"/>
    <cellStyle name="입력 2 31 42" xfId="33110"/>
    <cellStyle name="입력 2 31 43" xfId="33111"/>
    <cellStyle name="입력 2 31 5" xfId="33112"/>
    <cellStyle name="입력 2 31 6" xfId="33113"/>
    <cellStyle name="입력 2 31 7" xfId="33114"/>
    <cellStyle name="입력 2 31 8" xfId="33115"/>
    <cellStyle name="입력 2 31 9" xfId="33116"/>
    <cellStyle name="입력 2 31_분양(100%)" xfId="41074"/>
    <cellStyle name="입력 2 32" xfId="33117"/>
    <cellStyle name="입력 2 32 10" xfId="33118"/>
    <cellStyle name="입력 2 32 11" xfId="33119"/>
    <cellStyle name="입력 2 32 12" xfId="33120"/>
    <cellStyle name="입력 2 32 13" xfId="33121"/>
    <cellStyle name="입력 2 32 14" xfId="33122"/>
    <cellStyle name="입력 2 32 15" xfId="33123"/>
    <cellStyle name="입력 2 32 16" xfId="33124"/>
    <cellStyle name="입력 2 32 17" xfId="33125"/>
    <cellStyle name="입력 2 32 18" xfId="33126"/>
    <cellStyle name="입력 2 32 19" xfId="33127"/>
    <cellStyle name="입력 2 32 2" xfId="33128"/>
    <cellStyle name="입력 2 32 20" xfId="33129"/>
    <cellStyle name="입력 2 32 21" xfId="33130"/>
    <cellStyle name="입력 2 32 22" xfId="33131"/>
    <cellStyle name="입력 2 32 23" xfId="33132"/>
    <cellStyle name="입력 2 32 24" xfId="33133"/>
    <cellStyle name="입력 2 32 25" xfId="33134"/>
    <cellStyle name="입력 2 32 26" xfId="33135"/>
    <cellStyle name="입력 2 32 27" xfId="33136"/>
    <cellStyle name="입력 2 32 28" xfId="33137"/>
    <cellStyle name="입력 2 32 29" xfId="33138"/>
    <cellStyle name="입력 2 32 3" xfId="33139"/>
    <cellStyle name="입력 2 32 30" xfId="33140"/>
    <cellStyle name="입력 2 32 31" xfId="33141"/>
    <cellStyle name="입력 2 32 32" xfId="33142"/>
    <cellStyle name="입력 2 32 33" xfId="33143"/>
    <cellStyle name="입력 2 32 34" xfId="33144"/>
    <cellStyle name="입력 2 32 35" xfId="33145"/>
    <cellStyle name="입력 2 32 36" xfId="33146"/>
    <cellStyle name="입력 2 32 37" xfId="33147"/>
    <cellStyle name="입력 2 32 38" xfId="33148"/>
    <cellStyle name="입력 2 32 39" xfId="33149"/>
    <cellStyle name="입력 2 32 4" xfId="33150"/>
    <cellStyle name="입력 2 32 40" xfId="33151"/>
    <cellStyle name="입력 2 32 41" xfId="33152"/>
    <cellStyle name="입력 2 32 42" xfId="33153"/>
    <cellStyle name="입력 2 32 43" xfId="33154"/>
    <cellStyle name="입력 2 32 5" xfId="33155"/>
    <cellStyle name="입력 2 32 6" xfId="33156"/>
    <cellStyle name="입력 2 32 7" xfId="33157"/>
    <cellStyle name="입력 2 32 8" xfId="33158"/>
    <cellStyle name="입력 2 32 9" xfId="33159"/>
    <cellStyle name="입력 2 32_분양(100%)" xfId="41075"/>
    <cellStyle name="입력 2 33" xfId="33160"/>
    <cellStyle name="입력 2 33 10" xfId="33161"/>
    <cellStyle name="입력 2 33 11" xfId="33162"/>
    <cellStyle name="입력 2 33 12" xfId="33163"/>
    <cellStyle name="입력 2 33 13" xfId="33164"/>
    <cellStyle name="입력 2 33 14" xfId="33165"/>
    <cellStyle name="입력 2 33 15" xfId="33166"/>
    <cellStyle name="입력 2 33 16" xfId="33167"/>
    <cellStyle name="입력 2 33 17" xfId="33168"/>
    <cellStyle name="입력 2 33 18" xfId="33169"/>
    <cellStyle name="입력 2 33 19" xfId="33170"/>
    <cellStyle name="입력 2 33 2" xfId="33171"/>
    <cellStyle name="입력 2 33 20" xfId="33172"/>
    <cellStyle name="입력 2 33 21" xfId="33173"/>
    <cellStyle name="입력 2 33 22" xfId="33174"/>
    <cellStyle name="입력 2 33 23" xfId="33175"/>
    <cellStyle name="입력 2 33 24" xfId="33176"/>
    <cellStyle name="입력 2 33 25" xfId="33177"/>
    <cellStyle name="입력 2 33 26" xfId="33178"/>
    <cellStyle name="입력 2 33 27" xfId="33179"/>
    <cellStyle name="입력 2 33 28" xfId="33180"/>
    <cellStyle name="입력 2 33 29" xfId="33181"/>
    <cellStyle name="입력 2 33 3" xfId="33182"/>
    <cellStyle name="입력 2 33 30" xfId="33183"/>
    <cellStyle name="입력 2 33 31" xfId="33184"/>
    <cellStyle name="입력 2 33 32" xfId="33185"/>
    <cellStyle name="입력 2 33 33" xfId="33186"/>
    <cellStyle name="입력 2 33 34" xfId="33187"/>
    <cellStyle name="입력 2 33 35" xfId="33188"/>
    <cellStyle name="입력 2 33 36" xfId="33189"/>
    <cellStyle name="입력 2 33 37" xfId="33190"/>
    <cellStyle name="입력 2 33 38" xfId="33191"/>
    <cellStyle name="입력 2 33 39" xfId="33192"/>
    <cellStyle name="입력 2 33 4" xfId="33193"/>
    <cellStyle name="입력 2 33 40" xfId="33194"/>
    <cellStyle name="입력 2 33 41" xfId="33195"/>
    <cellStyle name="입력 2 33 42" xfId="33196"/>
    <cellStyle name="입력 2 33 43" xfId="33197"/>
    <cellStyle name="입력 2 33 5" xfId="33198"/>
    <cellStyle name="입력 2 33 6" xfId="33199"/>
    <cellStyle name="입력 2 33 7" xfId="33200"/>
    <cellStyle name="입력 2 33 8" xfId="33201"/>
    <cellStyle name="입력 2 33 9" xfId="33202"/>
    <cellStyle name="입력 2 33_분양(100%)" xfId="41076"/>
    <cellStyle name="입력 2 34" xfId="33203"/>
    <cellStyle name="입력 2 34 10" xfId="33204"/>
    <cellStyle name="입력 2 34 11" xfId="33205"/>
    <cellStyle name="입력 2 34 12" xfId="33206"/>
    <cellStyle name="입력 2 34 13" xfId="33207"/>
    <cellStyle name="입력 2 34 14" xfId="33208"/>
    <cellStyle name="입력 2 34 15" xfId="33209"/>
    <cellStyle name="입력 2 34 16" xfId="33210"/>
    <cellStyle name="입력 2 34 17" xfId="33211"/>
    <cellStyle name="입력 2 34 18" xfId="33212"/>
    <cellStyle name="입력 2 34 19" xfId="33213"/>
    <cellStyle name="입력 2 34 2" xfId="33214"/>
    <cellStyle name="입력 2 34 20" xfId="33215"/>
    <cellStyle name="입력 2 34 21" xfId="33216"/>
    <cellStyle name="입력 2 34 22" xfId="33217"/>
    <cellStyle name="입력 2 34 23" xfId="33218"/>
    <cellStyle name="입력 2 34 24" xfId="33219"/>
    <cellStyle name="입력 2 34 25" xfId="33220"/>
    <cellStyle name="입력 2 34 26" xfId="33221"/>
    <cellStyle name="입력 2 34 27" xfId="33222"/>
    <cellStyle name="입력 2 34 28" xfId="33223"/>
    <cellStyle name="입력 2 34 29" xfId="33224"/>
    <cellStyle name="입력 2 34 3" xfId="33225"/>
    <cellStyle name="입력 2 34 30" xfId="33226"/>
    <cellStyle name="입력 2 34 31" xfId="33227"/>
    <cellStyle name="입력 2 34 32" xfId="33228"/>
    <cellStyle name="입력 2 34 33" xfId="33229"/>
    <cellStyle name="입력 2 34 34" xfId="33230"/>
    <cellStyle name="입력 2 34 35" xfId="33231"/>
    <cellStyle name="입력 2 34 36" xfId="33232"/>
    <cellStyle name="입력 2 34 37" xfId="33233"/>
    <cellStyle name="입력 2 34 38" xfId="33234"/>
    <cellStyle name="입력 2 34 39" xfId="33235"/>
    <cellStyle name="입력 2 34 4" xfId="33236"/>
    <cellStyle name="입력 2 34 40" xfId="33237"/>
    <cellStyle name="입력 2 34 41" xfId="33238"/>
    <cellStyle name="입력 2 34 42" xfId="33239"/>
    <cellStyle name="입력 2 34 43" xfId="33240"/>
    <cellStyle name="입력 2 34 5" xfId="33241"/>
    <cellStyle name="입력 2 34 6" xfId="33242"/>
    <cellStyle name="입력 2 34 7" xfId="33243"/>
    <cellStyle name="입력 2 34 8" xfId="33244"/>
    <cellStyle name="입력 2 34 9" xfId="33245"/>
    <cellStyle name="입력 2 34_분양(100%)" xfId="41077"/>
    <cellStyle name="입력 2 35" xfId="33246"/>
    <cellStyle name="입력 2 35 10" xfId="33247"/>
    <cellStyle name="입력 2 35 11" xfId="33248"/>
    <cellStyle name="입력 2 35 12" xfId="33249"/>
    <cellStyle name="입력 2 35 13" xfId="33250"/>
    <cellStyle name="입력 2 35 14" xfId="33251"/>
    <cellStyle name="입력 2 35 15" xfId="33252"/>
    <cellStyle name="입력 2 35 16" xfId="33253"/>
    <cellStyle name="입력 2 35 17" xfId="33254"/>
    <cellStyle name="입력 2 35 18" xfId="33255"/>
    <cellStyle name="입력 2 35 19" xfId="33256"/>
    <cellStyle name="입력 2 35 2" xfId="33257"/>
    <cellStyle name="입력 2 35 20" xfId="33258"/>
    <cellStyle name="입력 2 35 21" xfId="33259"/>
    <cellStyle name="입력 2 35 22" xfId="33260"/>
    <cellStyle name="입력 2 35 23" xfId="33261"/>
    <cellStyle name="입력 2 35 24" xfId="33262"/>
    <cellStyle name="입력 2 35 25" xfId="33263"/>
    <cellStyle name="입력 2 35 26" xfId="33264"/>
    <cellStyle name="입력 2 35 27" xfId="33265"/>
    <cellStyle name="입력 2 35 28" xfId="33266"/>
    <cellStyle name="입력 2 35 29" xfId="33267"/>
    <cellStyle name="입력 2 35 3" xfId="33268"/>
    <cellStyle name="입력 2 35 30" xfId="33269"/>
    <cellStyle name="입력 2 35 31" xfId="33270"/>
    <cellStyle name="입력 2 35 32" xfId="33271"/>
    <cellStyle name="입력 2 35 33" xfId="33272"/>
    <cellStyle name="입력 2 35 34" xfId="33273"/>
    <cellStyle name="입력 2 35 35" xfId="33274"/>
    <cellStyle name="입력 2 35 36" xfId="33275"/>
    <cellStyle name="입력 2 35 37" xfId="33276"/>
    <cellStyle name="입력 2 35 38" xfId="33277"/>
    <cellStyle name="입력 2 35 39" xfId="33278"/>
    <cellStyle name="입력 2 35 4" xfId="33279"/>
    <cellStyle name="입력 2 35 40" xfId="33280"/>
    <cellStyle name="입력 2 35 41" xfId="33281"/>
    <cellStyle name="입력 2 35 42" xfId="33282"/>
    <cellStyle name="입력 2 35 43" xfId="33283"/>
    <cellStyle name="입력 2 35 5" xfId="33284"/>
    <cellStyle name="입력 2 35 6" xfId="33285"/>
    <cellStyle name="입력 2 35 7" xfId="33286"/>
    <cellStyle name="입력 2 35 8" xfId="33287"/>
    <cellStyle name="입력 2 35 9" xfId="33288"/>
    <cellStyle name="입력 2 35_분양(100%)" xfId="41078"/>
    <cellStyle name="입력 2 36" xfId="33289"/>
    <cellStyle name="입력 2 36 10" xfId="33290"/>
    <cellStyle name="입력 2 36 11" xfId="33291"/>
    <cellStyle name="입력 2 36 12" xfId="33292"/>
    <cellStyle name="입력 2 36 13" xfId="33293"/>
    <cellStyle name="입력 2 36 14" xfId="33294"/>
    <cellStyle name="입력 2 36 15" xfId="33295"/>
    <cellStyle name="입력 2 36 16" xfId="33296"/>
    <cellStyle name="입력 2 36 17" xfId="33297"/>
    <cellStyle name="입력 2 36 18" xfId="33298"/>
    <cellStyle name="입력 2 36 19" xfId="33299"/>
    <cellStyle name="입력 2 36 2" xfId="33300"/>
    <cellStyle name="입력 2 36 20" xfId="33301"/>
    <cellStyle name="입력 2 36 21" xfId="33302"/>
    <cellStyle name="입력 2 36 22" xfId="33303"/>
    <cellStyle name="입력 2 36 23" xfId="33304"/>
    <cellStyle name="입력 2 36 24" xfId="33305"/>
    <cellStyle name="입력 2 36 25" xfId="33306"/>
    <cellStyle name="입력 2 36 26" xfId="33307"/>
    <cellStyle name="입력 2 36 27" xfId="33308"/>
    <cellStyle name="입력 2 36 28" xfId="33309"/>
    <cellStyle name="입력 2 36 29" xfId="33310"/>
    <cellStyle name="입력 2 36 3" xfId="33311"/>
    <cellStyle name="입력 2 36 30" xfId="33312"/>
    <cellStyle name="입력 2 36 31" xfId="33313"/>
    <cellStyle name="입력 2 36 32" xfId="33314"/>
    <cellStyle name="입력 2 36 33" xfId="33315"/>
    <cellStyle name="입력 2 36 34" xfId="33316"/>
    <cellStyle name="입력 2 36 35" xfId="33317"/>
    <cellStyle name="입력 2 36 36" xfId="33318"/>
    <cellStyle name="입력 2 36 37" xfId="33319"/>
    <cellStyle name="입력 2 36 38" xfId="33320"/>
    <cellStyle name="입력 2 36 39" xfId="33321"/>
    <cellStyle name="입력 2 36 4" xfId="33322"/>
    <cellStyle name="입력 2 36 40" xfId="33323"/>
    <cellStyle name="입력 2 36 41" xfId="33324"/>
    <cellStyle name="입력 2 36 42" xfId="33325"/>
    <cellStyle name="입력 2 36 43" xfId="33326"/>
    <cellStyle name="입력 2 36 5" xfId="33327"/>
    <cellStyle name="입력 2 36 6" xfId="33328"/>
    <cellStyle name="입력 2 36 7" xfId="33329"/>
    <cellStyle name="입력 2 36 8" xfId="33330"/>
    <cellStyle name="입력 2 36 9" xfId="33331"/>
    <cellStyle name="입력 2 36_분양(100%)" xfId="41079"/>
    <cellStyle name="입력 2 37" xfId="33332"/>
    <cellStyle name="입력 2 37 10" xfId="33333"/>
    <cellStyle name="입력 2 37 11" xfId="33334"/>
    <cellStyle name="입력 2 37 12" xfId="33335"/>
    <cellStyle name="입력 2 37 13" xfId="33336"/>
    <cellStyle name="입력 2 37 14" xfId="33337"/>
    <cellStyle name="입력 2 37 15" xfId="33338"/>
    <cellStyle name="입력 2 37 16" xfId="33339"/>
    <cellStyle name="입력 2 37 17" xfId="33340"/>
    <cellStyle name="입력 2 37 18" xfId="33341"/>
    <cellStyle name="입력 2 37 19" xfId="33342"/>
    <cellStyle name="입력 2 37 2" xfId="33343"/>
    <cellStyle name="입력 2 37 20" xfId="33344"/>
    <cellStyle name="입력 2 37 21" xfId="33345"/>
    <cellStyle name="입력 2 37 22" xfId="33346"/>
    <cellStyle name="입력 2 37 23" xfId="33347"/>
    <cellStyle name="입력 2 37 24" xfId="33348"/>
    <cellStyle name="입력 2 37 25" xfId="33349"/>
    <cellStyle name="입력 2 37 26" xfId="33350"/>
    <cellStyle name="입력 2 37 27" xfId="33351"/>
    <cellStyle name="입력 2 37 28" xfId="33352"/>
    <cellStyle name="입력 2 37 29" xfId="33353"/>
    <cellStyle name="입력 2 37 3" xfId="33354"/>
    <cellStyle name="입력 2 37 30" xfId="33355"/>
    <cellStyle name="입력 2 37 31" xfId="33356"/>
    <cellStyle name="입력 2 37 32" xfId="33357"/>
    <cellStyle name="입력 2 37 33" xfId="33358"/>
    <cellStyle name="입력 2 37 34" xfId="33359"/>
    <cellStyle name="입력 2 37 35" xfId="33360"/>
    <cellStyle name="입력 2 37 36" xfId="33361"/>
    <cellStyle name="입력 2 37 37" xfId="33362"/>
    <cellStyle name="입력 2 37 38" xfId="33363"/>
    <cellStyle name="입력 2 37 39" xfId="33364"/>
    <cellStyle name="입력 2 37 4" xfId="33365"/>
    <cellStyle name="입력 2 37 40" xfId="33366"/>
    <cellStyle name="입력 2 37 41" xfId="33367"/>
    <cellStyle name="입력 2 37 42" xfId="33368"/>
    <cellStyle name="입력 2 37 43" xfId="33369"/>
    <cellStyle name="입력 2 37 5" xfId="33370"/>
    <cellStyle name="입력 2 37 6" xfId="33371"/>
    <cellStyle name="입력 2 37 7" xfId="33372"/>
    <cellStyle name="입력 2 37 8" xfId="33373"/>
    <cellStyle name="입력 2 37 9" xfId="33374"/>
    <cellStyle name="입력 2 37_분양(100%)" xfId="41080"/>
    <cellStyle name="입력 2 38" xfId="33375"/>
    <cellStyle name="입력 2 38 10" xfId="33376"/>
    <cellStyle name="입력 2 38 11" xfId="33377"/>
    <cellStyle name="입력 2 38 12" xfId="33378"/>
    <cellStyle name="입력 2 38 13" xfId="33379"/>
    <cellStyle name="입력 2 38 14" xfId="33380"/>
    <cellStyle name="입력 2 38 15" xfId="33381"/>
    <cellStyle name="입력 2 38 16" xfId="33382"/>
    <cellStyle name="입력 2 38 17" xfId="33383"/>
    <cellStyle name="입력 2 38 18" xfId="33384"/>
    <cellStyle name="입력 2 38 19" xfId="33385"/>
    <cellStyle name="입력 2 38 2" xfId="33386"/>
    <cellStyle name="입력 2 38 20" xfId="33387"/>
    <cellStyle name="입력 2 38 21" xfId="33388"/>
    <cellStyle name="입력 2 38 22" xfId="33389"/>
    <cellStyle name="입력 2 38 23" xfId="33390"/>
    <cellStyle name="입력 2 38 24" xfId="33391"/>
    <cellStyle name="입력 2 38 25" xfId="33392"/>
    <cellStyle name="입력 2 38 26" xfId="33393"/>
    <cellStyle name="입력 2 38 27" xfId="33394"/>
    <cellStyle name="입력 2 38 28" xfId="33395"/>
    <cellStyle name="입력 2 38 29" xfId="33396"/>
    <cellStyle name="입력 2 38 3" xfId="33397"/>
    <cellStyle name="입력 2 38 30" xfId="33398"/>
    <cellStyle name="입력 2 38 31" xfId="33399"/>
    <cellStyle name="입력 2 38 32" xfId="33400"/>
    <cellStyle name="입력 2 38 33" xfId="33401"/>
    <cellStyle name="입력 2 38 34" xfId="33402"/>
    <cellStyle name="입력 2 38 35" xfId="33403"/>
    <cellStyle name="입력 2 38 36" xfId="33404"/>
    <cellStyle name="입력 2 38 37" xfId="33405"/>
    <cellStyle name="입력 2 38 38" xfId="33406"/>
    <cellStyle name="입력 2 38 39" xfId="33407"/>
    <cellStyle name="입력 2 38 4" xfId="33408"/>
    <cellStyle name="입력 2 38 40" xfId="33409"/>
    <cellStyle name="입력 2 38 41" xfId="33410"/>
    <cellStyle name="입력 2 38 42" xfId="33411"/>
    <cellStyle name="입력 2 38 43" xfId="33412"/>
    <cellStyle name="입력 2 38 5" xfId="33413"/>
    <cellStyle name="입력 2 38 6" xfId="33414"/>
    <cellStyle name="입력 2 38 7" xfId="33415"/>
    <cellStyle name="입력 2 38 8" xfId="33416"/>
    <cellStyle name="입력 2 38 9" xfId="33417"/>
    <cellStyle name="입력 2 38_분양(100%)" xfId="41081"/>
    <cellStyle name="입력 2 39" xfId="33418"/>
    <cellStyle name="입력 2 39 10" xfId="33419"/>
    <cellStyle name="입력 2 39 11" xfId="33420"/>
    <cellStyle name="입력 2 39 12" xfId="33421"/>
    <cellStyle name="입력 2 39 13" xfId="33422"/>
    <cellStyle name="입력 2 39 14" xfId="33423"/>
    <cellStyle name="입력 2 39 15" xfId="33424"/>
    <cellStyle name="입력 2 39 16" xfId="33425"/>
    <cellStyle name="입력 2 39 17" xfId="33426"/>
    <cellStyle name="입력 2 39 18" xfId="33427"/>
    <cellStyle name="입력 2 39 19" xfId="33428"/>
    <cellStyle name="입력 2 39 2" xfId="33429"/>
    <cellStyle name="입력 2 39 20" xfId="33430"/>
    <cellStyle name="입력 2 39 21" xfId="33431"/>
    <cellStyle name="입력 2 39 22" xfId="33432"/>
    <cellStyle name="입력 2 39 23" xfId="33433"/>
    <cellStyle name="입력 2 39 24" xfId="33434"/>
    <cellStyle name="입력 2 39 25" xfId="33435"/>
    <cellStyle name="입력 2 39 26" xfId="33436"/>
    <cellStyle name="입력 2 39 27" xfId="33437"/>
    <cellStyle name="입력 2 39 28" xfId="33438"/>
    <cellStyle name="입력 2 39 29" xfId="33439"/>
    <cellStyle name="입력 2 39 3" xfId="33440"/>
    <cellStyle name="입력 2 39 30" xfId="33441"/>
    <cellStyle name="입력 2 39 31" xfId="33442"/>
    <cellStyle name="입력 2 39 32" xfId="33443"/>
    <cellStyle name="입력 2 39 33" xfId="33444"/>
    <cellStyle name="입력 2 39 34" xfId="33445"/>
    <cellStyle name="입력 2 39 35" xfId="33446"/>
    <cellStyle name="입력 2 39 36" xfId="33447"/>
    <cellStyle name="입력 2 39 37" xfId="33448"/>
    <cellStyle name="입력 2 39 38" xfId="33449"/>
    <cellStyle name="입력 2 39 39" xfId="33450"/>
    <cellStyle name="입력 2 39 4" xfId="33451"/>
    <cellStyle name="입력 2 39 40" xfId="33452"/>
    <cellStyle name="입력 2 39 41" xfId="33453"/>
    <cellStyle name="입력 2 39 42" xfId="33454"/>
    <cellStyle name="입력 2 39 43" xfId="33455"/>
    <cellStyle name="입력 2 39 5" xfId="33456"/>
    <cellStyle name="입력 2 39 6" xfId="33457"/>
    <cellStyle name="입력 2 39 7" xfId="33458"/>
    <cellStyle name="입력 2 39 8" xfId="33459"/>
    <cellStyle name="입력 2 39 9" xfId="33460"/>
    <cellStyle name="입력 2 39_분양(100%)" xfId="41082"/>
    <cellStyle name="입력 2 4" xfId="33461"/>
    <cellStyle name="입력 2 4 10" xfId="33462"/>
    <cellStyle name="입력 2 4 11" xfId="33463"/>
    <cellStyle name="입력 2 4 12" xfId="33464"/>
    <cellStyle name="입력 2 4 13" xfId="33465"/>
    <cellStyle name="입력 2 4 14" xfId="33466"/>
    <cellStyle name="입력 2 4 15" xfId="33467"/>
    <cellStyle name="입력 2 4 16" xfId="33468"/>
    <cellStyle name="입력 2 4 17" xfId="33469"/>
    <cellStyle name="입력 2 4 18" xfId="33470"/>
    <cellStyle name="입력 2 4 19" xfId="33471"/>
    <cellStyle name="입력 2 4 2" xfId="33472"/>
    <cellStyle name="입력 2 4 20" xfId="33473"/>
    <cellStyle name="입력 2 4 21" xfId="33474"/>
    <cellStyle name="입력 2 4 22" xfId="33475"/>
    <cellStyle name="입력 2 4 23" xfId="33476"/>
    <cellStyle name="입력 2 4 24" xfId="33477"/>
    <cellStyle name="입력 2 4 25" xfId="33478"/>
    <cellStyle name="입력 2 4 26" xfId="33479"/>
    <cellStyle name="입력 2 4 27" xfId="33480"/>
    <cellStyle name="입력 2 4 28" xfId="33481"/>
    <cellStyle name="입력 2 4 29" xfId="33482"/>
    <cellStyle name="입력 2 4 3" xfId="33483"/>
    <cellStyle name="입력 2 4 30" xfId="33484"/>
    <cellStyle name="입력 2 4 31" xfId="33485"/>
    <cellStyle name="입력 2 4 32" xfId="33486"/>
    <cellStyle name="입력 2 4 33" xfId="33487"/>
    <cellStyle name="입력 2 4 34" xfId="33488"/>
    <cellStyle name="입력 2 4 35" xfId="33489"/>
    <cellStyle name="입력 2 4 36" xfId="33490"/>
    <cellStyle name="입력 2 4 37" xfId="33491"/>
    <cellStyle name="입력 2 4 38" xfId="33492"/>
    <cellStyle name="입력 2 4 39" xfId="33493"/>
    <cellStyle name="입력 2 4 4" xfId="33494"/>
    <cellStyle name="입력 2 4 40" xfId="33495"/>
    <cellStyle name="입력 2 4 41" xfId="33496"/>
    <cellStyle name="입력 2 4 42" xfId="33497"/>
    <cellStyle name="입력 2 4 43" xfId="33498"/>
    <cellStyle name="입력 2 4 5" xfId="33499"/>
    <cellStyle name="입력 2 4 6" xfId="33500"/>
    <cellStyle name="입력 2 4 7" xfId="33501"/>
    <cellStyle name="입력 2 4 8" xfId="33502"/>
    <cellStyle name="입력 2 4 9" xfId="33503"/>
    <cellStyle name="입력 2 4_분양(100%)" xfId="41083"/>
    <cellStyle name="입력 2 40" xfId="33504"/>
    <cellStyle name="입력 2 40 10" xfId="33505"/>
    <cellStyle name="입력 2 40 11" xfId="33506"/>
    <cellStyle name="입력 2 40 12" xfId="33507"/>
    <cellStyle name="입력 2 40 13" xfId="33508"/>
    <cellStyle name="입력 2 40 14" xfId="33509"/>
    <cellStyle name="입력 2 40 15" xfId="33510"/>
    <cellStyle name="입력 2 40 16" xfId="33511"/>
    <cellStyle name="입력 2 40 17" xfId="33512"/>
    <cellStyle name="입력 2 40 18" xfId="33513"/>
    <cellStyle name="입력 2 40 19" xfId="33514"/>
    <cellStyle name="입력 2 40 2" xfId="33515"/>
    <cellStyle name="입력 2 40 20" xfId="33516"/>
    <cellStyle name="입력 2 40 21" xfId="33517"/>
    <cellStyle name="입력 2 40 22" xfId="33518"/>
    <cellStyle name="입력 2 40 23" xfId="33519"/>
    <cellStyle name="입력 2 40 24" xfId="33520"/>
    <cellStyle name="입력 2 40 25" xfId="33521"/>
    <cellStyle name="입력 2 40 26" xfId="33522"/>
    <cellStyle name="입력 2 40 27" xfId="33523"/>
    <cellStyle name="입력 2 40 28" xfId="33524"/>
    <cellStyle name="입력 2 40 29" xfId="33525"/>
    <cellStyle name="입력 2 40 3" xfId="33526"/>
    <cellStyle name="입력 2 40 30" xfId="33527"/>
    <cellStyle name="입력 2 40 31" xfId="33528"/>
    <cellStyle name="입력 2 40 32" xfId="33529"/>
    <cellStyle name="입력 2 40 33" xfId="33530"/>
    <cellStyle name="입력 2 40 34" xfId="33531"/>
    <cellStyle name="입력 2 40 35" xfId="33532"/>
    <cellStyle name="입력 2 40 36" xfId="33533"/>
    <cellStyle name="입력 2 40 37" xfId="33534"/>
    <cellStyle name="입력 2 40 38" xfId="33535"/>
    <cellStyle name="입력 2 40 39" xfId="33536"/>
    <cellStyle name="입력 2 40 4" xfId="33537"/>
    <cellStyle name="입력 2 40 40" xfId="33538"/>
    <cellStyle name="입력 2 40 41" xfId="33539"/>
    <cellStyle name="입력 2 40 42" xfId="33540"/>
    <cellStyle name="입력 2 40 43" xfId="33541"/>
    <cellStyle name="입력 2 40 5" xfId="33542"/>
    <cellStyle name="입력 2 40 6" xfId="33543"/>
    <cellStyle name="입력 2 40 7" xfId="33544"/>
    <cellStyle name="입력 2 40 8" xfId="33545"/>
    <cellStyle name="입력 2 40 9" xfId="33546"/>
    <cellStyle name="입력 2 40_분양(100%)" xfId="41084"/>
    <cellStyle name="입력 2 41" xfId="33547"/>
    <cellStyle name="입력 2 42" xfId="33548"/>
    <cellStyle name="입력 2 43" xfId="33549"/>
    <cellStyle name="입력 2 44" xfId="33550"/>
    <cellStyle name="입력 2 45" xfId="33551"/>
    <cellStyle name="입력 2 46" xfId="33552"/>
    <cellStyle name="입력 2 47" xfId="33553"/>
    <cellStyle name="입력 2 48" xfId="33554"/>
    <cellStyle name="입력 2 49" xfId="33555"/>
    <cellStyle name="입력 2 5" xfId="33556"/>
    <cellStyle name="입력 2 5 10" xfId="33557"/>
    <cellStyle name="입력 2 5 11" xfId="33558"/>
    <cellStyle name="입력 2 5 12" xfId="33559"/>
    <cellStyle name="입력 2 5 13" xfId="33560"/>
    <cellStyle name="입력 2 5 14" xfId="33561"/>
    <cellStyle name="입력 2 5 15" xfId="33562"/>
    <cellStyle name="입력 2 5 16" xfId="33563"/>
    <cellStyle name="입력 2 5 17" xfId="33564"/>
    <cellStyle name="입력 2 5 18" xfId="33565"/>
    <cellStyle name="입력 2 5 19" xfId="33566"/>
    <cellStyle name="입력 2 5 2" xfId="33567"/>
    <cellStyle name="입력 2 5 20" xfId="33568"/>
    <cellStyle name="입력 2 5 21" xfId="33569"/>
    <cellStyle name="입력 2 5 22" xfId="33570"/>
    <cellStyle name="입력 2 5 23" xfId="33571"/>
    <cellStyle name="입력 2 5 24" xfId="33572"/>
    <cellStyle name="입력 2 5 25" xfId="33573"/>
    <cellStyle name="입력 2 5 26" xfId="33574"/>
    <cellStyle name="입력 2 5 27" xfId="33575"/>
    <cellStyle name="입력 2 5 28" xfId="33576"/>
    <cellStyle name="입력 2 5 29" xfId="33577"/>
    <cellStyle name="입력 2 5 3" xfId="33578"/>
    <cellStyle name="입력 2 5 30" xfId="33579"/>
    <cellStyle name="입력 2 5 31" xfId="33580"/>
    <cellStyle name="입력 2 5 32" xfId="33581"/>
    <cellStyle name="입력 2 5 33" xfId="33582"/>
    <cellStyle name="입력 2 5 34" xfId="33583"/>
    <cellStyle name="입력 2 5 35" xfId="33584"/>
    <cellStyle name="입력 2 5 36" xfId="33585"/>
    <cellStyle name="입력 2 5 37" xfId="33586"/>
    <cellStyle name="입력 2 5 38" xfId="33587"/>
    <cellStyle name="입력 2 5 39" xfId="33588"/>
    <cellStyle name="입력 2 5 4" xfId="33589"/>
    <cellStyle name="입력 2 5 40" xfId="33590"/>
    <cellStyle name="입력 2 5 41" xfId="33591"/>
    <cellStyle name="입력 2 5 42" xfId="33592"/>
    <cellStyle name="입력 2 5 43" xfId="33593"/>
    <cellStyle name="입력 2 5 5" xfId="33594"/>
    <cellStyle name="입력 2 5 6" xfId="33595"/>
    <cellStyle name="입력 2 5 7" xfId="33596"/>
    <cellStyle name="입력 2 5 8" xfId="33597"/>
    <cellStyle name="입력 2 5 9" xfId="33598"/>
    <cellStyle name="입력 2 5_분양(100%)" xfId="41085"/>
    <cellStyle name="입력 2 50" xfId="33599"/>
    <cellStyle name="입력 2 51" xfId="33600"/>
    <cellStyle name="입력 2 52" xfId="33601"/>
    <cellStyle name="입력 2 53" xfId="33602"/>
    <cellStyle name="입력 2 54" xfId="33603"/>
    <cellStyle name="입력 2 55" xfId="33604"/>
    <cellStyle name="입력 2 56" xfId="33605"/>
    <cellStyle name="입력 2 57" xfId="33606"/>
    <cellStyle name="입력 2 58" xfId="33607"/>
    <cellStyle name="입력 2 59" xfId="33608"/>
    <cellStyle name="입력 2 6" xfId="33609"/>
    <cellStyle name="입력 2 6 10" xfId="33610"/>
    <cellStyle name="입력 2 6 11" xfId="33611"/>
    <cellStyle name="입력 2 6 12" xfId="33612"/>
    <cellStyle name="입력 2 6 13" xfId="33613"/>
    <cellStyle name="입력 2 6 14" xfId="33614"/>
    <cellStyle name="입력 2 6 15" xfId="33615"/>
    <cellStyle name="입력 2 6 16" xfId="33616"/>
    <cellStyle name="입력 2 6 17" xfId="33617"/>
    <cellStyle name="입력 2 6 18" xfId="33618"/>
    <cellStyle name="입력 2 6 19" xfId="33619"/>
    <cellStyle name="입력 2 6 2" xfId="33620"/>
    <cellStyle name="입력 2 6 20" xfId="33621"/>
    <cellStyle name="입력 2 6 21" xfId="33622"/>
    <cellStyle name="입력 2 6 22" xfId="33623"/>
    <cellStyle name="입력 2 6 23" xfId="33624"/>
    <cellStyle name="입력 2 6 24" xfId="33625"/>
    <cellStyle name="입력 2 6 25" xfId="33626"/>
    <cellStyle name="입력 2 6 26" xfId="33627"/>
    <cellStyle name="입력 2 6 27" xfId="33628"/>
    <cellStyle name="입력 2 6 28" xfId="33629"/>
    <cellStyle name="입력 2 6 29" xfId="33630"/>
    <cellStyle name="입력 2 6 3" xfId="33631"/>
    <cellStyle name="입력 2 6 30" xfId="33632"/>
    <cellStyle name="입력 2 6 31" xfId="33633"/>
    <cellStyle name="입력 2 6 32" xfId="33634"/>
    <cellStyle name="입력 2 6 33" xfId="33635"/>
    <cellStyle name="입력 2 6 34" xfId="33636"/>
    <cellStyle name="입력 2 6 35" xfId="33637"/>
    <cellStyle name="입력 2 6 36" xfId="33638"/>
    <cellStyle name="입력 2 6 37" xfId="33639"/>
    <cellStyle name="입력 2 6 38" xfId="33640"/>
    <cellStyle name="입력 2 6 39" xfId="33641"/>
    <cellStyle name="입력 2 6 4" xfId="33642"/>
    <cellStyle name="입력 2 6 40" xfId="33643"/>
    <cellStyle name="입력 2 6 41" xfId="33644"/>
    <cellStyle name="입력 2 6 42" xfId="33645"/>
    <cellStyle name="입력 2 6 43" xfId="33646"/>
    <cellStyle name="입력 2 6 5" xfId="33647"/>
    <cellStyle name="입력 2 6 6" xfId="33648"/>
    <cellStyle name="입력 2 6 7" xfId="33649"/>
    <cellStyle name="입력 2 6 8" xfId="33650"/>
    <cellStyle name="입력 2 6 9" xfId="33651"/>
    <cellStyle name="입력 2 6_분양(100%)" xfId="41086"/>
    <cellStyle name="입력 2 60" xfId="33652"/>
    <cellStyle name="입력 2 61" xfId="33653"/>
    <cellStyle name="입력 2 62" xfId="33654"/>
    <cellStyle name="입력 2 63" xfId="33655"/>
    <cellStyle name="입력 2 64" xfId="33656"/>
    <cellStyle name="입력 2 65" xfId="33657"/>
    <cellStyle name="입력 2 66" xfId="33658"/>
    <cellStyle name="입력 2 67" xfId="33659"/>
    <cellStyle name="입력 2 68" xfId="33660"/>
    <cellStyle name="입력 2 69" xfId="33661"/>
    <cellStyle name="입력 2 7" xfId="33662"/>
    <cellStyle name="입력 2 7 10" xfId="33663"/>
    <cellStyle name="입력 2 7 11" xfId="33664"/>
    <cellStyle name="입력 2 7 12" xfId="33665"/>
    <cellStyle name="입력 2 7 13" xfId="33666"/>
    <cellStyle name="입력 2 7 14" xfId="33667"/>
    <cellStyle name="입력 2 7 15" xfId="33668"/>
    <cellStyle name="입력 2 7 16" xfId="33669"/>
    <cellStyle name="입력 2 7 17" xfId="33670"/>
    <cellStyle name="입력 2 7 18" xfId="33671"/>
    <cellStyle name="입력 2 7 19" xfId="33672"/>
    <cellStyle name="입력 2 7 2" xfId="33673"/>
    <cellStyle name="입력 2 7 20" xfId="33674"/>
    <cellStyle name="입력 2 7 21" xfId="33675"/>
    <cellStyle name="입력 2 7 22" xfId="33676"/>
    <cellStyle name="입력 2 7 23" xfId="33677"/>
    <cellStyle name="입력 2 7 24" xfId="33678"/>
    <cellStyle name="입력 2 7 25" xfId="33679"/>
    <cellStyle name="입력 2 7 26" xfId="33680"/>
    <cellStyle name="입력 2 7 27" xfId="33681"/>
    <cellStyle name="입력 2 7 28" xfId="33682"/>
    <cellStyle name="입력 2 7 29" xfId="33683"/>
    <cellStyle name="입력 2 7 3" xfId="33684"/>
    <cellStyle name="입력 2 7 30" xfId="33685"/>
    <cellStyle name="입력 2 7 31" xfId="33686"/>
    <cellStyle name="입력 2 7 32" xfId="33687"/>
    <cellStyle name="입력 2 7 33" xfId="33688"/>
    <cellStyle name="입력 2 7 34" xfId="33689"/>
    <cellStyle name="입력 2 7 35" xfId="33690"/>
    <cellStyle name="입력 2 7 36" xfId="33691"/>
    <cellStyle name="입력 2 7 37" xfId="33692"/>
    <cellStyle name="입력 2 7 38" xfId="33693"/>
    <cellStyle name="입력 2 7 39" xfId="33694"/>
    <cellStyle name="입력 2 7 4" xfId="33695"/>
    <cellStyle name="입력 2 7 40" xfId="33696"/>
    <cellStyle name="입력 2 7 41" xfId="33697"/>
    <cellStyle name="입력 2 7 42" xfId="33698"/>
    <cellStyle name="입력 2 7 43" xfId="33699"/>
    <cellStyle name="입력 2 7 5" xfId="33700"/>
    <cellStyle name="입력 2 7 6" xfId="33701"/>
    <cellStyle name="입력 2 7 7" xfId="33702"/>
    <cellStyle name="입력 2 7 8" xfId="33703"/>
    <cellStyle name="입력 2 7 9" xfId="33704"/>
    <cellStyle name="입력 2 7_분양(100%)" xfId="41087"/>
    <cellStyle name="입력 2 70" xfId="33705"/>
    <cellStyle name="입력 2 71" xfId="33706"/>
    <cellStyle name="입력 2 72" xfId="33707"/>
    <cellStyle name="입력 2 73" xfId="33708"/>
    <cellStyle name="입력 2 74" xfId="33709"/>
    <cellStyle name="입력 2 75" xfId="33710"/>
    <cellStyle name="입력 2 76" xfId="33711"/>
    <cellStyle name="입력 2 77" xfId="33712"/>
    <cellStyle name="입력 2 78" xfId="33713"/>
    <cellStyle name="입력 2 79" xfId="33714"/>
    <cellStyle name="입력 2 8" xfId="33715"/>
    <cellStyle name="입력 2 8 10" xfId="33716"/>
    <cellStyle name="입력 2 8 11" xfId="33717"/>
    <cellStyle name="입력 2 8 12" xfId="33718"/>
    <cellStyle name="입력 2 8 13" xfId="33719"/>
    <cellStyle name="입력 2 8 14" xfId="33720"/>
    <cellStyle name="입력 2 8 15" xfId="33721"/>
    <cellStyle name="입력 2 8 16" xfId="33722"/>
    <cellStyle name="입력 2 8 17" xfId="33723"/>
    <cellStyle name="입력 2 8 18" xfId="33724"/>
    <cellStyle name="입력 2 8 19" xfId="33725"/>
    <cellStyle name="입력 2 8 2" xfId="33726"/>
    <cellStyle name="입력 2 8 20" xfId="33727"/>
    <cellStyle name="입력 2 8 21" xfId="33728"/>
    <cellStyle name="입력 2 8 22" xfId="33729"/>
    <cellStyle name="입력 2 8 23" xfId="33730"/>
    <cellStyle name="입력 2 8 24" xfId="33731"/>
    <cellStyle name="입력 2 8 25" xfId="33732"/>
    <cellStyle name="입력 2 8 26" xfId="33733"/>
    <cellStyle name="입력 2 8 27" xfId="33734"/>
    <cellStyle name="입력 2 8 28" xfId="33735"/>
    <cellStyle name="입력 2 8 29" xfId="33736"/>
    <cellStyle name="입력 2 8 3" xfId="33737"/>
    <cellStyle name="입력 2 8 30" xfId="33738"/>
    <cellStyle name="입력 2 8 31" xfId="33739"/>
    <cellStyle name="입력 2 8 32" xfId="33740"/>
    <cellStyle name="입력 2 8 33" xfId="33741"/>
    <cellStyle name="입력 2 8 34" xfId="33742"/>
    <cellStyle name="입력 2 8 35" xfId="33743"/>
    <cellStyle name="입력 2 8 36" xfId="33744"/>
    <cellStyle name="입력 2 8 37" xfId="33745"/>
    <cellStyle name="입력 2 8 38" xfId="33746"/>
    <cellStyle name="입력 2 8 39" xfId="33747"/>
    <cellStyle name="입력 2 8 4" xfId="33748"/>
    <cellStyle name="입력 2 8 40" xfId="33749"/>
    <cellStyle name="입력 2 8 41" xfId="33750"/>
    <cellStyle name="입력 2 8 42" xfId="33751"/>
    <cellStyle name="입력 2 8 43" xfId="33752"/>
    <cellStyle name="입력 2 8 5" xfId="33753"/>
    <cellStyle name="입력 2 8 6" xfId="33754"/>
    <cellStyle name="입력 2 8 7" xfId="33755"/>
    <cellStyle name="입력 2 8 8" xfId="33756"/>
    <cellStyle name="입력 2 8 9" xfId="33757"/>
    <cellStyle name="입력 2 8_분양(100%)" xfId="41088"/>
    <cellStyle name="입력 2 80" xfId="33758"/>
    <cellStyle name="입력 2 81" xfId="33759"/>
    <cellStyle name="입력 2 82" xfId="33760"/>
    <cellStyle name="입력 2 83" xfId="33761"/>
    <cellStyle name="입력 2 84" xfId="33762"/>
    <cellStyle name="입력 2 85" xfId="33763"/>
    <cellStyle name="입력 2 9" xfId="33764"/>
    <cellStyle name="입력 2 9 10" xfId="33765"/>
    <cellStyle name="입력 2 9 11" xfId="33766"/>
    <cellStyle name="입력 2 9 12" xfId="33767"/>
    <cellStyle name="입력 2 9 13" xfId="33768"/>
    <cellStyle name="입력 2 9 14" xfId="33769"/>
    <cellStyle name="입력 2 9 15" xfId="33770"/>
    <cellStyle name="입력 2 9 16" xfId="33771"/>
    <cellStyle name="입력 2 9 17" xfId="33772"/>
    <cellStyle name="입력 2 9 18" xfId="33773"/>
    <cellStyle name="입력 2 9 19" xfId="33774"/>
    <cellStyle name="입력 2 9 2" xfId="33775"/>
    <cellStyle name="입력 2 9 20" xfId="33776"/>
    <cellStyle name="입력 2 9 21" xfId="33777"/>
    <cellStyle name="입력 2 9 22" xfId="33778"/>
    <cellStyle name="입력 2 9 23" xfId="33779"/>
    <cellStyle name="입력 2 9 24" xfId="33780"/>
    <cellStyle name="입력 2 9 25" xfId="33781"/>
    <cellStyle name="입력 2 9 26" xfId="33782"/>
    <cellStyle name="입력 2 9 27" xfId="33783"/>
    <cellStyle name="입력 2 9 28" xfId="33784"/>
    <cellStyle name="입력 2 9 29" xfId="33785"/>
    <cellStyle name="입력 2 9 3" xfId="33786"/>
    <cellStyle name="입력 2 9 30" xfId="33787"/>
    <cellStyle name="입력 2 9 31" xfId="33788"/>
    <cellStyle name="입력 2 9 32" xfId="33789"/>
    <cellStyle name="입력 2 9 33" xfId="33790"/>
    <cellStyle name="입력 2 9 34" xfId="33791"/>
    <cellStyle name="입력 2 9 35" xfId="33792"/>
    <cellStyle name="입력 2 9 36" xfId="33793"/>
    <cellStyle name="입력 2 9 37" xfId="33794"/>
    <cellStyle name="입력 2 9 38" xfId="33795"/>
    <cellStyle name="입력 2 9 39" xfId="33796"/>
    <cellStyle name="입력 2 9 4" xfId="33797"/>
    <cellStyle name="입력 2 9 40" xfId="33798"/>
    <cellStyle name="입력 2 9 41" xfId="33799"/>
    <cellStyle name="입력 2 9 42" xfId="33800"/>
    <cellStyle name="입력 2 9 43" xfId="33801"/>
    <cellStyle name="입력 2 9 5" xfId="33802"/>
    <cellStyle name="입력 2 9 6" xfId="33803"/>
    <cellStyle name="입력 2 9 7" xfId="33804"/>
    <cellStyle name="입력 2 9 8" xfId="33805"/>
    <cellStyle name="입력 2 9 9" xfId="33806"/>
    <cellStyle name="입력 2 9_분양(100%)" xfId="41089"/>
    <cellStyle name="입력 2_분양(100%)" xfId="41050"/>
    <cellStyle name="입력 20" xfId="33807"/>
    <cellStyle name="입력 20 10" xfId="33808"/>
    <cellStyle name="입력 20 11" xfId="33809"/>
    <cellStyle name="입력 20 12" xfId="33810"/>
    <cellStyle name="입력 20 13" xfId="33811"/>
    <cellStyle name="입력 20 14" xfId="33812"/>
    <cellStyle name="입력 20 15" xfId="33813"/>
    <cellStyle name="입력 20 16" xfId="33814"/>
    <cellStyle name="입력 20 17" xfId="33815"/>
    <cellStyle name="입력 20 18" xfId="33816"/>
    <cellStyle name="입력 20 19" xfId="33817"/>
    <cellStyle name="입력 20 2" xfId="33818"/>
    <cellStyle name="입력 20 20" xfId="33819"/>
    <cellStyle name="입력 20 21" xfId="33820"/>
    <cellStyle name="입력 20 22" xfId="33821"/>
    <cellStyle name="입력 20 23" xfId="33822"/>
    <cellStyle name="입력 20 24" xfId="33823"/>
    <cellStyle name="입력 20 25" xfId="33824"/>
    <cellStyle name="입력 20 26" xfId="33825"/>
    <cellStyle name="입력 20 27" xfId="33826"/>
    <cellStyle name="입력 20 28" xfId="33827"/>
    <cellStyle name="입력 20 29" xfId="33828"/>
    <cellStyle name="입력 20 3" xfId="33829"/>
    <cellStyle name="입력 20 30" xfId="33830"/>
    <cellStyle name="입력 20 31" xfId="33831"/>
    <cellStyle name="입력 20 32" xfId="33832"/>
    <cellStyle name="입력 20 33" xfId="33833"/>
    <cellStyle name="입력 20 34" xfId="33834"/>
    <cellStyle name="입력 20 35" xfId="33835"/>
    <cellStyle name="입력 20 36" xfId="33836"/>
    <cellStyle name="입력 20 37" xfId="33837"/>
    <cellStyle name="입력 20 38" xfId="33838"/>
    <cellStyle name="입력 20 39" xfId="33839"/>
    <cellStyle name="입력 20 4" xfId="33840"/>
    <cellStyle name="입력 20 40" xfId="33841"/>
    <cellStyle name="입력 20 41" xfId="33842"/>
    <cellStyle name="입력 20 42" xfId="33843"/>
    <cellStyle name="입력 20 43" xfId="33844"/>
    <cellStyle name="입력 20 5" xfId="33845"/>
    <cellStyle name="입력 20 6" xfId="33846"/>
    <cellStyle name="입력 20 7" xfId="33847"/>
    <cellStyle name="입력 20 8" xfId="33848"/>
    <cellStyle name="입력 20 9" xfId="33849"/>
    <cellStyle name="입력 20_분양(100%)" xfId="41090"/>
    <cellStyle name="입력 21" xfId="33850"/>
    <cellStyle name="입력 21 10" xfId="33851"/>
    <cellStyle name="입력 21 11" xfId="33852"/>
    <cellStyle name="입력 21 12" xfId="33853"/>
    <cellStyle name="입력 21 13" xfId="33854"/>
    <cellStyle name="입력 21 14" xfId="33855"/>
    <cellStyle name="입력 21 15" xfId="33856"/>
    <cellStyle name="입력 21 16" xfId="33857"/>
    <cellStyle name="입력 21 17" xfId="33858"/>
    <cellStyle name="입력 21 18" xfId="33859"/>
    <cellStyle name="입력 21 19" xfId="33860"/>
    <cellStyle name="입력 21 2" xfId="33861"/>
    <cellStyle name="입력 21 20" xfId="33862"/>
    <cellStyle name="입력 21 21" xfId="33863"/>
    <cellStyle name="입력 21 22" xfId="33864"/>
    <cellStyle name="입력 21 23" xfId="33865"/>
    <cellStyle name="입력 21 24" xfId="33866"/>
    <cellStyle name="입력 21 25" xfId="33867"/>
    <cellStyle name="입력 21 26" xfId="33868"/>
    <cellStyle name="입력 21 27" xfId="33869"/>
    <cellStyle name="입력 21 28" xfId="33870"/>
    <cellStyle name="입력 21 29" xfId="33871"/>
    <cellStyle name="입력 21 3" xfId="33872"/>
    <cellStyle name="입력 21 30" xfId="33873"/>
    <cellStyle name="입력 21 31" xfId="33874"/>
    <cellStyle name="입력 21 32" xfId="33875"/>
    <cellStyle name="입력 21 33" xfId="33876"/>
    <cellStyle name="입력 21 34" xfId="33877"/>
    <cellStyle name="입력 21 35" xfId="33878"/>
    <cellStyle name="입력 21 36" xfId="33879"/>
    <cellStyle name="입력 21 37" xfId="33880"/>
    <cellStyle name="입력 21 38" xfId="33881"/>
    <cellStyle name="입력 21 39" xfId="33882"/>
    <cellStyle name="입력 21 4" xfId="33883"/>
    <cellStyle name="입력 21 40" xfId="33884"/>
    <cellStyle name="입력 21 41" xfId="33885"/>
    <cellStyle name="입력 21 42" xfId="33886"/>
    <cellStyle name="입력 21 43" xfId="33887"/>
    <cellStyle name="입력 21 5" xfId="33888"/>
    <cellStyle name="입력 21 6" xfId="33889"/>
    <cellStyle name="입력 21 7" xfId="33890"/>
    <cellStyle name="입력 21 8" xfId="33891"/>
    <cellStyle name="입력 21 9" xfId="33892"/>
    <cellStyle name="입력 21_분양(100%)" xfId="41091"/>
    <cellStyle name="입력 22" xfId="33893"/>
    <cellStyle name="입력 22 10" xfId="33894"/>
    <cellStyle name="입력 22 11" xfId="33895"/>
    <cellStyle name="입력 22 12" xfId="33896"/>
    <cellStyle name="입력 22 13" xfId="33897"/>
    <cellStyle name="입력 22 14" xfId="33898"/>
    <cellStyle name="입력 22 15" xfId="33899"/>
    <cellStyle name="입력 22 16" xfId="33900"/>
    <cellStyle name="입력 22 17" xfId="33901"/>
    <cellStyle name="입력 22 18" xfId="33902"/>
    <cellStyle name="입력 22 19" xfId="33903"/>
    <cellStyle name="입력 22 2" xfId="33904"/>
    <cellStyle name="입력 22 20" xfId="33905"/>
    <cellStyle name="입력 22 21" xfId="33906"/>
    <cellStyle name="입력 22 22" xfId="33907"/>
    <cellStyle name="입력 22 23" xfId="33908"/>
    <cellStyle name="입력 22 24" xfId="33909"/>
    <cellStyle name="입력 22 25" xfId="33910"/>
    <cellStyle name="입력 22 26" xfId="33911"/>
    <cellStyle name="입력 22 27" xfId="33912"/>
    <cellStyle name="입력 22 28" xfId="33913"/>
    <cellStyle name="입력 22 29" xfId="33914"/>
    <cellStyle name="입력 22 3" xfId="33915"/>
    <cellStyle name="입력 22 30" xfId="33916"/>
    <cellStyle name="입력 22 31" xfId="33917"/>
    <cellStyle name="입력 22 32" xfId="33918"/>
    <cellStyle name="입력 22 33" xfId="33919"/>
    <cellStyle name="입력 22 34" xfId="33920"/>
    <cellStyle name="입력 22 35" xfId="33921"/>
    <cellStyle name="입력 22 36" xfId="33922"/>
    <cellStyle name="입력 22 37" xfId="33923"/>
    <cellStyle name="입력 22 38" xfId="33924"/>
    <cellStyle name="입력 22 39" xfId="33925"/>
    <cellStyle name="입력 22 4" xfId="33926"/>
    <cellStyle name="입력 22 40" xfId="33927"/>
    <cellStyle name="입력 22 41" xfId="33928"/>
    <cellStyle name="입력 22 42" xfId="33929"/>
    <cellStyle name="입력 22 43" xfId="33930"/>
    <cellStyle name="입력 22 5" xfId="33931"/>
    <cellStyle name="입력 22 6" xfId="33932"/>
    <cellStyle name="입력 22 7" xfId="33933"/>
    <cellStyle name="입력 22 8" xfId="33934"/>
    <cellStyle name="입력 22 9" xfId="33935"/>
    <cellStyle name="입력 22_분양(100%)" xfId="41092"/>
    <cellStyle name="입력 23" xfId="33936"/>
    <cellStyle name="입력 23 10" xfId="33937"/>
    <cellStyle name="입력 23 11" xfId="33938"/>
    <cellStyle name="입력 23 12" xfId="33939"/>
    <cellStyle name="입력 23 13" xfId="33940"/>
    <cellStyle name="입력 23 14" xfId="33941"/>
    <cellStyle name="입력 23 15" xfId="33942"/>
    <cellStyle name="입력 23 16" xfId="33943"/>
    <cellStyle name="입력 23 17" xfId="33944"/>
    <cellStyle name="입력 23 18" xfId="33945"/>
    <cellStyle name="입력 23 19" xfId="33946"/>
    <cellStyle name="입력 23 2" xfId="33947"/>
    <cellStyle name="입력 23 20" xfId="33948"/>
    <cellStyle name="입력 23 21" xfId="33949"/>
    <cellStyle name="입력 23 22" xfId="33950"/>
    <cellStyle name="입력 23 23" xfId="33951"/>
    <cellStyle name="입력 23 24" xfId="33952"/>
    <cellStyle name="입력 23 25" xfId="33953"/>
    <cellStyle name="입력 23 26" xfId="33954"/>
    <cellStyle name="입력 23 27" xfId="33955"/>
    <cellStyle name="입력 23 28" xfId="33956"/>
    <cellStyle name="입력 23 29" xfId="33957"/>
    <cellStyle name="입력 23 3" xfId="33958"/>
    <cellStyle name="입력 23 30" xfId="33959"/>
    <cellStyle name="입력 23 31" xfId="33960"/>
    <cellStyle name="입력 23 32" xfId="33961"/>
    <cellStyle name="입력 23 33" xfId="33962"/>
    <cellStyle name="입력 23 34" xfId="33963"/>
    <cellStyle name="입력 23 35" xfId="33964"/>
    <cellStyle name="입력 23 36" xfId="33965"/>
    <cellStyle name="입력 23 37" xfId="33966"/>
    <cellStyle name="입력 23 38" xfId="33967"/>
    <cellStyle name="입력 23 39" xfId="33968"/>
    <cellStyle name="입력 23 4" xfId="33969"/>
    <cellStyle name="입력 23 40" xfId="33970"/>
    <cellStyle name="입력 23 41" xfId="33971"/>
    <cellStyle name="입력 23 42" xfId="33972"/>
    <cellStyle name="입력 23 43" xfId="33973"/>
    <cellStyle name="입력 23 5" xfId="33974"/>
    <cellStyle name="입력 23 6" xfId="33975"/>
    <cellStyle name="입력 23 7" xfId="33976"/>
    <cellStyle name="입력 23 8" xfId="33977"/>
    <cellStyle name="입력 23 9" xfId="33978"/>
    <cellStyle name="입력 23_분양(100%)" xfId="41093"/>
    <cellStyle name="입력 24" xfId="33979"/>
    <cellStyle name="입력 24 10" xfId="33980"/>
    <cellStyle name="입력 24 11" xfId="33981"/>
    <cellStyle name="입력 24 12" xfId="33982"/>
    <cellStyle name="입력 24 13" xfId="33983"/>
    <cellStyle name="입력 24 14" xfId="33984"/>
    <cellStyle name="입력 24 15" xfId="33985"/>
    <cellStyle name="입력 24 16" xfId="33986"/>
    <cellStyle name="입력 24 17" xfId="33987"/>
    <cellStyle name="입력 24 18" xfId="33988"/>
    <cellStyle name="입력 24 19" xfId="33989"/>
    <cellStyle name="입력 24 2" xfId="33990"/>
    <cellStyle name="입력 24 20" xfId="33991"/>
    <cellStyle name="입력 24 21" xfId="33992"/>
    <cellStyle name="입력 24 22" xfId="33993"/>
    <cellStyle name="입력 24 23" xfId="33994"/>
    <cellStyle name="입력 24 24" xfId="33995"/>
    <cellStyle name="입력 24 25" xfId="33996"/>
    <cellStyle name="입력 24 26" xfId="33997"/>
    <cellStyle name="입력 24 27" xfId="33998"/>
    <cellStyle name="입력 24 28" xfId="33999"/>
    <cellStyle name="입력 24 29" xfId="34000"/>
    <cellStyle name="입력 24 3" xfId="34001"/>
    <cellStyle name="입력 24 30" xfId="34002"/>
    <cellStyle name="입력 24 31" xfId="34003"/>
    <cellStyle name="입력 24 32" xfId="34004"/>
    <cellStyle name="입력 24 33" xfId="34005"/>
    <cellStyle name="입력 24 34" xfId="34006"/>
    <cellStyle name="입력 24 35" xfId="34007"/>
    <cellStyle name="입력 24 36" xfId="34008"/>
    <cellStyle name="입력 24 37" xfId="34009"/>
    <cellStyle name="입력 24 38" xfId="34010"/>
    <cellStyle name="입력 24 39" xfId="34011"/>
    <cellStyle name="입력 24 4" xfId="34012"/>
    <cellStyle name="입력 24 40" xfId="34013"/>
    <cellStyle name="입력 24 41" xfId="34014"/>
    <cellStyle name="입력 24 42" xfId="34015"/>
    <cellStyle name="입력 24 43" xfId="34016"/>
    <cellStyle name="입력 24 5" xfId="34017"/>
    <cellStyle name="입력 24 6" xfId="34018"/>
    <cellStyle name="입력 24 7" xfId="34019"/>
    <cellStyle name="입력 24 8" xfId="34020"/>
    <cellStyle name="입력 24 9" xfId="34021"/>
    <cellStyle name="입력 24_분양(100%)" xfId="41094"/>
    <cellStyle name="입력 25" xfId="34022"/>
    <cellStyle name="입력 25 10" xfId="34023"/>
    <cellStyle name="입력 25 11" xfId="34024"/>
    <cellStyle name="입력 25 12" xfId="34025"/>
    <cellStyle name="입력 25 13" xfId="34026"/>
    <cellStyle name="입력 25 14" xfId="34027"/>
    <cellStyle name="입력 25 15" xfId="34028"/>
    <cellStyle name="입력 25 16" xfId="34029"/>
    <cellStyle name="입력 25 17" xfId="34030"/>
    <cellStyle name="입력 25 18" xfId="34031"/>
    <cellStyle name="입력 25 19" xfId="34032"/>
    <cellStyle name="입력 25 2" xfId="34033"/>
    <cellStyle name="입력 25 20" xfId="34034"/>
    <cellStyle name="입력 25 21" xfId="34035"/>
    <cellStyle name="입력 25 22" xfId="34036"/>
    <cellStyle name="입력 25 23" xfId="34037"/>
    <cellStyle name="입력 25 24" xfId="34038"/>
    <cellStyle name="입력 25 25" xfId="34039"/>
    <cellStyle name="입력 25 26" xfId="34040"/>
    <cellStyle name="입력 25 27" xfId="34041"/>
    <cellStyle name="입력 25 28" xfId="34042"/>
    <cellStyle name="입력 25 29" xfId="34043"/>
    <cellStyle name="입력 25 3" xfId="34044"/>
    <cellStyle name="입력 25 30" xfId="34045"/>
    <cellStyle name="입력 25 31" xfId="34046"/>
    <cellStyle name="입력 25 32" xfId="34047"/>
    <cellStyle name="입력 25 33" xfId="34048"/>
    <cellStyle name="입력 25 34" xfId="34049"/>
    <cellStyle name="입력 25 35" xfId="34050"/>
    <cellStyle name="입력 25 36" xfId="34051"/>
    <cellStyle name="입력 25 37" xfId="34052"/>
    <cellStyle name="입력 25 38" xfId="34053"/>
    <cellStyle name="입력 25 39" xfId="34054"/>
    <cellStyle name="입력 25 4" xfId="34055"/>
    <cellStyle name="입력 25 40" xfId="34056"/>
    <cellStyle name="입력 25 41" xfId="34057"/>
    <cellStyle name="입력 25 42" xfId="34058"/>
    <cellStyle name="입력 25 43" xfId="34059"/>
    <cellStyle name="입력 25 5" xfId="34060"/>
    <cellStyle name="입력 25 6" xfId="34061"/>
    <cellStyle name="입력 25 7" xfId="34062"/>
    <cellStyle name="입력 25 8" xfId="34063"/>
    <cellStyle name="입력 25 9" xfId="34064"/>
    <cellStyle name="입력 25_분양(100%)" xfId="41095"/>
    <cellStyle name="입력 26" xfId="34065"/>
    <cellStyle name="입력 26 10" xfId="34066"/>
    <cellStyle name="입력 26 11" xfId="34067"/>
    <cellStyle name="입력 26 12" xfId="34068"/>
    <cellStyle name="입력 26 13" xfId="34069"/>
    <cellStyle name="입력 26 14" xfId="34070"/>
    <cellStyle name="입력 26 15" xfId="34071"/>
    <cellStyle name="입력 26 16" xfId="34072"/>
    <cellStyle name="입력 26 17" xfId="34073"/>
    <cellStyle name="입력 26 18" xfId="34074"/>
    <cellStyle name="입력 26 19" xfId="34075"/>
    <cellStyle name="입력 26 2" xfId="34076"/>
    <cellStyle name="입력 26 20" xfId="34077"/>
    <cellStyle name="입력 26 21" xfId="34078"/>
    <cellStyle name="입력 26 22" xfId="34079"/>
    <cellStyle name="입력 26 23" xfId="34080"/>
    <cellStyle name="입력 26 24" xfId="34081"/>
    <cellStyle name="입력 26 25" xfId="34082"/>
    <cellStyle name="입력 26 26" xfId="34083"/>
    <cellStyle name="입력 26 27" xfId="34084"/>
    <cellStyle name="입력 26 28" xfId="34085"/>
    <cellStyle name="입력 26 29" xfId="34086"/>
    <cellStyle name="입력 26 3" xfId="34087"/>
    <cellStyle name="입력 26 30" xfId="34088"/>
    <cellStyle name="입력 26 31" xfId="34089"/>
    <cellStyle name="입력 26 32" xfId="34090"/>
    <cellStyle name="입력 26 33" xfId="34091"/>
    <cellStyle name="입력 26 34" xfId="34092"/>
    <cellStyle name="입력 26 35" xfId="34093"/>
    <cellStyle name="입력 26 36" xfId="34094"/>
    <cellStyle name="입력 26 37" xfId="34095"/>
    <cellStyle name="입력 26 38" xfId="34096"/>
    <cellStyle name="입력 26 39" xfId="34097"/>
    <cellStyle name="입력 26 4" xfId="34098"/>
    <cellStyle name="입력 26 40" xfId="34099"/>
    <cellStyle name="입력 26 41" xfId="34100"/>
    <cellStyle name="입력 26 42" xfId="34101"/>
    <cellStyle name="입력 26 43" xfId="34102"/>
    <cellStyle name="입력 26 5" xfId="34103"/>
    <cellStyle name="입력 26 6" xfId="34104"/>
    <cellStyle name="입력 26 7" xfId="34105"/>
    <cellStyle name="입력 26 8" xfId="34106"/>
    <cellStyle name="입력 26 9" xfId="34107"/>
    <cellStyle name="입력 27" xfId="34108"/>
    <cellStyle name="입력 27 10" xfId="34109"/>
    <cellStyle name="입력 27 11" xfId="34110"/>
    <cellStyle name="입력 27 12" xfId="34111"/>
    <cellStyle name="입력 27 13" xfId="34112"/>
    <cellStyle name="입력 27 14" xfId="34113"/>
    <cellStyle name="입력 27 15" xfId="34114"/>
    <cellStyle name="입력 27 16" xfId="34115"/>
    <cellStyle name="입력 27 17" xfId="34116"/>
    <cellStyle name="입력 27 18" xfId="34117"/>
    <cellStyle name="입력 27 19" xfId="34118"/>
    <cellStyle name="입력 27 2" xfId="34119"/>
    <cellStyle name="입력 27 20" xfId="34120"/>
    <cellStyle name="입력 27 21" xfId="34121"/>
    <cellStyle name="입력 27 22" xfId="34122"/>
    <cellStyle name="입력 27 23" xfId="34123"/>
    <cellStyle name="입력 27 24" xfId="34124"/>
    <cellStyle name="입력 27 25" xfId="34125"/>
    <cellStyle name="입력 27 26" xfId="34126"/>
    <cellStyle name="입력 27 27" xfId="34127"/>
    <cellStyle name="입력 27 28" xfId="34128"/>
    <cellStyle name="입력 27 29" xfId="34129"/>
    <cellStyle name="입력 27 3" xfId="34130"/>
    <cellStyle name="입력 27 30" xfId="34131"/>
    <cellStyle name="입력 27 31" xfId="34132"/>
    <cellStyle name="입력 27 32" xfId="34133"/>
    <cellStyle name="입력 27 33" xfId="34134"/>
    <cellStyle name="입력 27 34" xfId="34135"/>
    <cellStyle name="입력 27 35" xfId="34136"/>
    <cellStyle name="입력 27 36" xfId="34137"/>
    <cellStyle name="입력 27 37" xfId="34138"/>
    <cellStyle name="입력 27 38" xfId="34139"/>
    <cellStyle name="입력 27 39" xfId="34140"/>
    <cellStyle name="입력 27 4" xfId="34141"/>
    <cellStyle name="입력 27 40" xfId="34142"/>
    <cellStyle name="입력 27 41" xfId="34143"/>
    <cellStyle name="입력 27 42" xfId="34144"/>
    <cellStyle name="입력 27 43" xfId="34145"/>
    <cellStyle name="입력 27 5" xfId="34146"/>
    <cellStyle name="입력 27 6" xfId="34147"/>
    <cellStyle name="입력 27 7" xfId="34148"/>
    <cellStyle name="입력 27 8" xfId="34149"/>
    <cellStyle name="입력 27 9" xfId="34150"/>
    <cellStyle name="입력 28" xfId="34151"/>
    <cellStyle name="입력 28 10" xfId="34152"/>
    <cellStyle name="입력 28 11" xfId="34153"/>
    <cellStyle name="입력 28 12" xfId="34154"/>
    <cellStyle name="입력 28 13" xfId="34155"/>
    <cellStyle name="입력 28 14" xfId="34156"/>
    <cellStyle name="입력 28 15" xfId="34157"/>
    <cellStyle name="입력 28 16" xfId="34158"/>
    <cellStyle name="입력 28 17" xfId="34159"/>
    <cellStyle name="입력 28 18" xfId="34160"/>
    <cellStyle name="입력 28 19" xfId="34161"/>
    <cellStyle name="입력 28 2" xfId="34162"/>
    <cellStyle name="입력 28 20" xfId="34163"/>
    <cellStyle name="입력 28 21" xfId="34164"/>
    <cellStyle name="입력 28 22" xfId="34165"/>
    <cellStyle name="입력 28 23" xfId="34166"/>
    <cellStyle name="입력 28 24" xfId="34167"/>
    <cellStyle name="입력 28 25" xfId="34168"/>
    <cellStyle name="입력 28 26" xfId="34169"/>
    <cellStyle name="입력 28 27" xfId="34170"/>
    <cellStyle name="입력 28 28" xfId="34171"/>
    <cellStyle name="입력 28 29" xfId="34172"/>
    <cellStyle name="입력 28 3" xfId="34173"/>
    <cellStyle name="입력 28 30" xfId="34174"/>
    <cellStyle name="입력 28 31" xfId="34175"/>
    <cellStyle name="입력 28 32" xfId="34176"/>
    <cellStyle name="입력 28 33" xfId="34177"/>
    <cellStyle name="입력 28 34" xfId="34178"/>
    <cellStyle name="입력 28 35" xfId="34179"/>
    <cellStyle name="입력 28 36" xfId="34180"/>
    <cellStyle name="입력 28 37" xfId="34181"/>
    <cellStyle name="입력 28 38" xfId="34182"/>
    <cellStyle name="입력 28 39" xfId="34183"/>
    <cellStyle name="입력 28 4" xfId="34184"/>
    <cellStyle name="입력 28 40" xfId="34185"/>
    <cellStyle name="입력 28 41" xfId="34186"/>
    <cellStyle name="입력 28 42" xfId="34187"/>
    <cellStyle name="입력 28 43" xfId="34188"/>
    <cellStyle name="입력 28 5" xfId="34189"/>
    <cellStyle name="입력 28 6" xfId="34190"/>
    <cellStyle name="입력 28 7" xfId="34191"/>
    <cellStyle name="입력 28 8" xfId="34192"/>
    <cellStyle name="입력 28 9" xfId="34193"/>
    <cellStyle name="입력 29" xfId="34194"/>
    <cellStyle name="입력 29 10" xfId="34195"/>
    <cellStyle name="입력 29 11" xfId="34196"/>
    <cellStyle name="입력 29 12" xfId="34197"/>
    <cellStyle name="입력 29 13" xfId="34198"/>
    <cellStyle name="입력 29 14" xfId="34199"/>
    <cellStyle name="입력 29 15" xfId="34200"/>
    <cellStyle name="입력 29 16" xfId="34201"/>
    <cellStyle name="입력 29 17" xfId="34202"/>
    <cellStyle name="입력 29 18" xfId="34203"/>
    <cellStyle name="입력 29 19" xfId="34204"/>
    <cellStyle name="입력 29 2" xfId="34205"/>
    <cellStyle name="입력 29 20" xfId="34206"/>
    <cellStyle name="입력 29 21" xfId="34207"/>
    <cellStyle name="입력 29 22" xfId="34208"/>
    <cellStyle name="입력 29 23" xfId="34209"/>
    <cellStyle name="입력 29 24" xfId="34210"/>
    <cellStyle name="입력 29 25" xfId="34211"/>
    <cellStyle name="입력 29 26" xfId="34212"/>
    <cellStyle name="입력 29 27" xfId="34213"/>
    <cellStyle name="입력 29 28" xfId="34214"/>
    <cellStyle name="입력 29 29" xfId="34215"/>
    <cellStyle name="입력 29 3" xfId="34216"/>
    <cellStyle name="입력 29 30" xfId="34217"/>
    <cellStyle name="입력 29 31" xfId="34218"/>
    <cellStyle name="입력 29 32" xfId="34219"/>
    <cellStyle name="입력 29 33" xfId="34220"/>
    <cellStyle name="입력 29 34" xfId="34221"/>
    <cellStyle name="입력 29 35" xfId="34222"/>
    <cellStyle name="입력 29 36" xfId="34223"/>
    <cellStyle name="입력 29 37" xfId="34224"/>
    <cellStyle name="입력 29 38" xfId="34225"/>
    <cellStyle name="입력 29 39" xfId="34226"/>
    <cellStyle name="입력 29 4" xfId="34227"/>
    <cellStyle name="입력 29 40" xfId="34228"/>
    <cellStyle name="입력 29 41" xfId="34229"/>
    <cellStyle name="입력 29 42" xfId="34230"/>
    <cellStyle name="입력 29 43" xfId="34231"/>
    <cellStyle name="입력 29 5" xfId="34232"/>
    <cellStyle name="입력 29 6" xfId="34233"/>
    <cellStyle name="입력 29 7" xfId="34234"/>
    <cellStyle name="입력 29 8" xfId="34235"/>
    <cellStyle name="입력 29 9" xfId="34236"/>
    <cellStyle name="입력 3" xfId="34237"/>
    <cellStyle name="입력 3 10" xfId="34238"/>
    <cellStyle name="입력 3 11" xfId="34239"/>
    <cellStyle name="입력 3 12" xfId="34240"/>
    <cellStyle name="입력 3 13" xfId="34241"/>
    <cellStyle name="입력 3 14" xfId="34242"/>
    <cellStyle name="입력 3 15" xfId="34243"/>
    <cellStyle name="입력 3 16" xfId="34244"/>
    <cellStyle name="입력 3 17" xfId="34245"/>
    <cellStyle name="입력 3 18" xfId="34246"/>
    <cellStyle name="입력 3 19" xfId="34247"/>
    <cellStyle name="입력 3 2" xfId="34248"/>
    <cellStyle name="입력 3 2 2" xfId="34249"/>
    <cellStyle name="입력 3 20" xfId="34250"/>
    <cellStyle name="입력 3 21" xfId="34251"/>
    <cellStyle name="입력 3 22" xfId="34252"/>
    <cellStyle name="입력 3 23" xfId="34253"/>
    <cellStyle name="입력 3 24" xfId="34254"/>
    <cellStyle name="입력 3 25" xfId="34255"/>
    <cellStyle name="입력 3 26" xfId="34256"/>
    <cellStyle name="입력 3 27" xfId="34257"/>
    <cellStyle name="입력 3 28" xfId="34258"/>
    <cellStyle name="입력 3 29" xfId="34259"/>
    <cellStyle name="입력 3 3" xfId="34260"/>
    <cellStyle name="입력 3 3 2" xfId="34261"/>
    <cellStyle name="입력 3 30" xfId="34262"/>
    <cellStyle name="입력 3 31" xfId="34263"/>
    <cellStyle name="입력 3 32" xfId="34264"/>
    <cellStyle name="입력 3 33" xfId="34265"/>
    <cellStyle name="입력 3 34" xfId="34266"/>
    <cellStyle name="입력 3 35" xfId="34267"/>
    <cellStyle name="입력 3 36" xfId="34268"/>
    <cellStyle name="입력 3 37" xfId="34269"/>
    <cellStyle name="입력 3 38" xfId="34270"/>
    <cellStyle name="입력 3 39" xfId="34271"/>
    <cellStyle name="입력 3 4" xfId="34272"/>
    <cellStyle name="입력 3 40" xfId="34273"/>
    <cellStyle name="입력 3 41" xfId="34274"/>
    <cellStyle name="입력 3 42" xfId="34275"/>
    <cellStyle name="입력 3 43" xfId="34276"/>
    <cellStyle name="입력 3 44" xfId="34277"/>
    <cellStyle name="입력 3 5" xfId="34278"/>
    <cellStyle name="입력 3 6" xfId="34279"/>
    <cellStyle name="입력 3 7" xfId="34280"/>
    <cellStyle name="입력 3 8" xfId="34281"/>
    <cellStyle name="입력 3 9" xfId="34282"/>
    <cellStyle name="입력 30" xfId="34283"/>
    <cellStyle name="입력 30 10" xfId="34284"/>
    <cellStyle name="입력 30 11" xfId="34285"/>
    <cellStyle name="입력 30 12" xfId="34286"/>
    <cellStyle name="입력 30 13" xfId="34287"/>
    <cellStyle name="입력 30 14" xfId="34288"/>
    <cellStyle name="입력 30 15" xfId="34289"/>
    <cellStyle name="입력 30 16" xfId="34290"/>
    <cellStyle name="입력 30 17" xfId="34291"/>
    <cellStyle name="입력 30 18" xfId="34292"/>
    <cellStyle name="입력 30 19" xfId="34293"/>
    <cellStyle name="입력 30 2" xfId="34294"/>
    <cellStyle name="입력 30 20" xfId="34295"/>
    <cellStyle name="입력 30 21" xfId="34296"/>
    <cellStyle name="입력 30 22" xfId="34297"/>
    <cellStyle name="입력 30 23" xfId="34298"/>
    <cellStyle name="입력 30 24" xfId="34299"/>
    <cellStyle name="입력 30 25" xfId="34300"/>
    <cellStyle name="입력 30 26" xfId="34301"/>
    <cellStyle name="입력 30 27" xfId="34302"/>
    <cellStyle name="입력 30 28" xfId="34303"/>
    <cellStyle name="입력 30 29" xfId="34304"/>
    <cellStyle name="입력 30 3" xfId="34305"/>
    <cellStyle name="입력 30 30" xfId="34306"/>
    <cellStyle name="입력 30 31" xfId="34307"/>
    <cellStyle name="입력 30 32" xfId="34308"/>
    <cellStyle name="입력 30 33" xfId="34309"/>
    <cellStyle name="입력 30 34" xfId="34310"/>
    <cellStyle name="입력 30 35" xfId="34311"/>
    <cellStyle name="입력 30 36" xfId="34312"/>
    <cellStyle name="입력 30 37" xfId="34313"/>
    <cellStyle name="입력 30 38" xfId="34314"/>
    <cellStyle name="입력 30 39" xfId="34315"/>
    <cellStyle name="입력 30 4" xfId="34316"/>
    <cellStyle name="입력 30 40" xfId="34317"/>
    <cellStyle name="입력 30 41" xfId="34318"/>
    <cellStyle name="입력 30 42" xfId="34319"/>
    <cellStyle name="입력 30 43" xfId="34320"/>
    <cellStyle name="입력 30 5" xfId="34321"/>
    <cellStyle name="입력 30 6" xfId="34322"/>
    <cellStyle name="입력 30 7" xfId="34323"/>
    <cellStyle name="입력 30 8" xfId="34324"/>
    <cellStyle name="입력 30 9" xfId="34325"/>
    <cellStyle name="입력 31" xfId="34326"/>
    <cellStyle name="입력 31 10" xfId="34327"/>
    <cellStyle name="입력 31 11" xfId="34328"/>
    <cellStyle name="입력 31 12" xfId="34329"/>
    <cellStyle name="입력 31 13" xfId="34330"/>
    <cellStyle name="입력 31 14" xfId="34331"/>
    <cellStyle name="입력 31 15" xfId="34332"/>
    <cellStyle name="입력 31 16" xfId="34333"/>
    <cellStyle name="입력 31 17" xfId="34334"/>
    <cellStyle name="입력 31 18" xfId="34335"/>
    <cellStyle name="입력 31 19" xfId="34336"/>
    <cellStyle name="입력 31 2" xfId="34337"/>
    <cellStyle name="입력 31 20" xfId="34338"/>
    <cellStyle name="입력 31 21" xfId="34339"/>
    <cellStyle name="입력 31 22" xfId="34340"/>
    <cellStyle name="입력 31 23" xfId="34341"/>
    <cellStyle name="입력 31 24" xfId="34342"/>
    <cellStyle name="입력 31 25" xfId="34343"/>
    <cellStyle name="입력 31 26" xfId="34344"/>
    <cellStyle name="입력 31 27" xfId="34345"/>
    <cellStyle name="입력 31 28" xfId="34346"/>
    <cellStyle name="입력 31 29" xfId="34347"/>
    <cellStyle name="입력 31 3" xfId="34348"/>
    <cellStyle name="입력 31 30" xfId="34349"/>
    <cellStyle name="입력 31 31" xfId="34350"/>
    <cellStyle name="입력 31 32" xfId="34351"/>
    <cellStyle name="입력 31 33" xfId="34352"/>
    <cellStyle name="입력 31 34" xfId="34353"/>
    <cellStyle name="입력 31 35" xfId="34354"/>
    <cellStyle name="입력 31 36" xfId="34355"/>
    <cellStyle name="입력 31 37" xfId="34356"/>
    <cellStyle name="입력 31 38" xfId="34357"/>
    <cellStyle name="입력 31 39" xfId="34358"/>
    <cellStyle name="입력 31 4" xfId="34359"/>
    <cellStyle name="입력 31 40" xfId="34360"/>
    <cellStyle name="입력 31 41" xfId="34361"/>
    <cellStyle name="입력 31 42" xfId="34362"/>
    <cellStyle name="입력 31 43" xfId="34363"/>
    <cellStyle name="입력 31 5" xfId="34364"/>
    <cellStyle name="입력 31 6" xfId="34365"/>
    <cellStyle name="입력 31 7" xfId="34366"/>
    <cellStyle name="입력 31 8" xfId="34367"/>
    <cellStyle name="입력 31 9" xfId="34368"/>
    <cellStyle name="입력 32" xfId="34369"/>
    <cellStyle name="입력 32 10" xfId="34370"/>
    <cellStyle name="입력 32 11" xfId="34371"/>
    <cellStyle name="입력 32 12" xfId="34372"/>
    <cellStyle name="입력 32 13" xfId="34373"/>
    <cellStyle name="입력 32 14" xfId="34374"/>
    <cellStyle name="입력 32 15" xfId="34375"/>
    <cellStyle name="입력 32 16" xfId="34376"/>
    <cellStyle name="입력 32 17" xfId="34377"/>
    <cellStyle name="입력 32 18" xfId="34378"/>
    <cellStyle name="입력 32 19" xfId="34379"/>
    <cellStyle name="입력 32 2" xfId="34380"/>
    <cellStyle name="입력 32 20" xfId="34381"/>
    <cellStyle name="입력 32 21" xfId="34382"/>
    <cellStyle name="입력 32 22" xfId="34383"/>
    <cellStyle name="입력 32 23" xfId="34384"/>
    <cellStyle name="입력 32 24" xfId="34385"/>
    <cellStyle name="입력 32 25" xfId="34386"/>
    <cellStyle name="입력 32 26" xfId="34387"/>
    <cellStyle name="입력 32 27" xfId="34388"/>
    <cellStyle name="입력 32 28" xfId="34389"/>
    <cellStyle name="입력 32 29" xfId="34390"/>
    <cellStyle name="입력 32 3" xfId="34391"/>
    <cellStyle name="입력 32 30" xfId="34392"/>
    <cellStyle name="입력 32 31" xfId="34393"/>
    <cellStyle name="입력 32 32" xfId="34394"/>
    <cellStyle name="입력 32 33" xfId="34395"/>
    <cellStyle name="입력 32 34" xfId="34396"/>
    <cellStyle name="입력 32 35" xfId="34397"/>
    <cellStyle name="입력 32 36" xfId="34398"/>
    <cellStyle name="입력 32 37" xfId="34399"/>
    <cellStyle name="입력 32 38" xfId="34400"/>
    <cellStyle name="입력 32 39" xfId="34401"/>
    <cellStyle name="입력 32 4" xfId="34402"/>
    <cellStyle name="입력 32 40" xfId="34403"/>
    <cellStyle name="입력 32 41" xfId="34404"/>
    <cellStyle name="입력 32 42" xfId="34405"/>
    <cellStyle name="입력 32 43" xfId="34406"/>
    <cellStyle name="입력 32 5" xfId="34407"/>
    <cellStyle name="입력 32 6" xfId="34408"/>
    <cellStyle name="입력 32 7" xfId="34409"/>
    <cellStyle name="입력 32 8" xfId="34410"/>
    <cellStyle name="입력 32 9" xfId="34411"/>
    <cellStyle name="입력 33" xfId="34412"/>
    <cellStyle name="입력 33 10" xfId="34413"/>
    <cellStyle name="입력 33 11" xfId="34414"/>
    <cellStyle name="입력 33 12" xfId="34415"/>
    <cellStyle name="입력 33 13" xfId="34416"/>
    <cellStyle name="입력 33 14" xfId="34417"/>
    <cellStyle name="입력 33 15" xfId="34418"/>
    <cellStyle name="입력 33 16" xfId="34419"/>
    <cellStyle name="입력 33 17" xfId="34420"/>
    <cellStyle name="입력 33 18" xfId="34421"/>
    <cellStyle name="입력 33 19" xfId="34422"/>
    <cellStyle name="입력 33 2" xfId="34423"/>
    <cellStyle name="입력 33 20" xfId="34424"/>
    <cellStyle name="입력 33 21" xfId="34425"/>
    <cellStyle name="입력 33 22" xfId="34426"/>
    <cellStyle name="입력 33 23" xfId="34427"/>
    <cellStyle name="입력 33 24" xfId="34428"/>
    <cellStyle name="입력 33 25" xfId="34429"/>
    <cellStyle name="입력 33 26" xfId="34430"/>
    <cellStyle name="입력 33 27" xfId="34431"/>
    <cellStyle name="입력 33 28" xfId="34432"/>
    <cellStyle name="입력 33 29" xfId="34433"/>
    <cellStyle name="입력 33 3" xfId="34434"/>
    <cellStyle name="입력 33 30" xfId="34435"/>
    <cellStyle name="입력 33 31" xfId="34436"/>
    <cellStyle name="입력 33 32" xfId="34437"/>
    <cellStyle name="입력 33 33" xfId="34438"/>
    <cellStyle name="입력 33 34" xfId="34439"/>
    <cellStyle name="입력 33 35" xfId="34440"/>
    <cellStyle name="입력 33 36" xfId="34441"/>
    <cellStyle name="입력 33 37" xfId="34442"/>
    <cellStyle name="입력 33 38" xfId="34443"/>
    <cellStyle name="입력 33 39" xfId="34444"/>
    <cellStyle name="입력 33 4" xfId="34445"/>
    <cellStyle name="입력 33 40" xfId="34446"/>
    <cellStyle name="입력 33 41" xfId="34447"/>
    <cellStyle name="입력 33 42" xfId="34448"/>
    <cellStyle name="입력 33 43" xfId="34449"/>
    <cellStyle name="입력 33 5" xfId="34450"/>
    <cellStyle name="입력 33 6" xfId="34451"/>
    <cellStyle name="입력 33 7" xfId="34452"/>
    <cellStyle name="입력 33 8" xfId="34453"/>
    <cellStyle name="입력 33 9" xfId="34454"/>
    <cellStyle name="입력 34" xfId="34455"/>
    <cellStyle name="입력 34 10" xfId="34456"/>
    <cellStyle name="입력 34 11" xfId="34457"/>
    <cellStyle name="입력 34 12" xfId="34458"/>
    <cellStyle name="입력 34 13" xfId="34459"/>
    <cellStyle name="입력 34 14" xfId="34460"/>
    <cellStyle name="입력 34 15" xfId="34461"/>
    <cellStyle name="입력 34 16" xfId="34462"/>
    <cellStyle name="입력 34 17" xfId="34463"/>
    <cellStyle name="입력 34 18" xfId="34464"/>
    <cellStyle name="입력 34 19" xfId="34465"/>
    <cellStyle name="입력 34 2" xfId="34466"/>
    <cellStyle name="입력 34 20" xfId="34467"/>
    <cellStyle name="입력 34 21" xfId="34468"/>
    <cellStyle name="입력 34 22" xfId="34469"/>
    <cellStyle name="입력 34 23" xfId="34470"/>
    <cellStyle name="입력 34 24" xfId="34471"/>
    <cellStyle name="입력 34 25" xfId="34472"/>
    <cellStyle name="입력 34 26" xfId="34473"/>
    <cellStyle name="입력 34 27" xfId="34474"/>
    <cellStyle name="입력 34 28" xfId="34475"/>
    <cellStyle name="입력 34 29" xfId="34476"/>
    <cellStyle name="입력 34 3" xfId="34477"/>
    <cellStyle name="입력 34 30" xfId="34478"/>
    <cellStyle name="입력 34 31" xfId="34479"/>
    <cellStyle name="입력 34 32" xfId="34480"/>
    <cellStyle name="입력 34 33" xfId="34481"/>
    <cellStyle name="입력 34 34" xfId="34482"/>
    <cellStyle name="입력 34 35" xfId="34483"/>
    <cellStyle name="입력 34 36" xfId="34484"/>
    <cellStyle name="입력 34 37" xfId="34485"/>
    <cellStyle name="입력 34 38" xfId="34486"/>
    <cellStyle name="입력 34 39" xfId="34487"/>
    <cellStyle name="입력 34 4" xfId="34488"/>
    <cellStyle name="입력 34 40" xfId="34489"/>
    <cellStyle name="입력 34 41" xfId="34490"/>
    <cellStyle name="입력 34 42" xfId="34491"/>
    <cellStyle name="입력 34 43" xfId="34492"/>
    <cellStyle name="입력 34 5" xfId="34493"/>
    <cellStyle name="입력 34 6" xfId="34494"/>
    <cellStyle name="입력 34 7" xfId="34495"/>
    <cellStyle name="입력 34 8" xfId="34496"/>
    <cellStyle name="입력 34 9" xfId="34497"/>
    <cellStyle name="입력 35" xfId="34498"/>
    <cellStyle name="입력 35 10" xfId="34499"/>
    <cellStyle name="입력 35 11" xfId="34500"/>
    <cellStyle name="입력 35 12" xfId="34501"/>
    <cellStyle name="입력 35 13" xfId="34502"/>
    <cellStyle name="입력 35 14" xfId="34503"/>
    <cellStyle name="입력 35 15" xfId="34504"/>
    <cellStyle name="입력 35 16" xfId="34505"/>
    <cellStyle name="입력 35 17" xfId="34506"/>
    <cellStyle name="입력 35 18" xfId="34507"/>
    <cellStyle name="입력 35 19" xfId="34508"/>
    <cellStyle name="입력 35 2" xfId="34509"/>
    <cellStyle name="입력 35 20" xfId="34510"/>
    <cellStyle name="입력 35 21" xfId="34511"/>
    <cellStyle name="입력 35 22" xfId="34512"/>
    <cellStyle name="입력 35 23" xfId="34513"/>
    <cellStyle name="입력 35 24" xfId="34514"/>
    <cellStyle name="입력 35 25" xfId="34515"/>
    <cellStyle name="입력 35 26" xfId="34516"/>
    <cellStyle name="입력 35 27" xfId="34517"/>
    <cellStyle name="입력 35 28" xfId="34518"/>
    <cellStyle name="입력 35 29" xfId="34519"/>
    <cellStyle name="입력 35 3" xfId="34520"/>
    <cellStyle name="입력 35 30" xfId="34521"/>
    <cellStyle name="입력 35 31" xfId="34522"/>
    <cellStyle name="입력 35 32" xfId="34523"/>
    <cellStyle name="입력 35 33" xfId="34524"/>
    <cellStyle name="입력 35 34" xfId="34525"/>
    <cellStyle name="입력 35 35" xfId="34526"/>
    <cellStyle name="입력 35 36" xfId="34527"/>
    <cellStyle name="입력 35 37" xfId="34528"/>
    <cellStyle name="입력 35 38" xfId="34529"/>
    <cellStyle name="입력 35 39" xfId="34530"/>
    <cellStyle name="입력 35 4" xfId="34531"/>
    <cellStyle name="입력 35 40" xfId="34532"/>
    <cellStyle name="입력 35 41" xfId="34533"/>
    <cellStyle name="입력 35 42" xfId="34534"/>
    <cellStyle name="입력 35 43" xfId="34535"/>
    <cellStyle name="입력 35 5" xfId="34536"/>
    <cellStyle name="입력 35 6" xfId="34537"/>
    <cellStyle name="입력 35 7" xfId="34538"/>
    <cellStyle name="입력 35 8" xfId="34539"/>
    <cellStyle name="입력 35 9" xfId="34540"/>
    <cellStyle name="입력 36" xfId="34541"/>
    <cellStyle name="입력 36 10" xfId="34542"/>
    <cellStyle name="입력 36 11" xfId="34543"/>
    <cellStyle name="입력 36 12" xfId="34544"/>
    <cellStyle name="입력 36 13" xfId="34545"/>
    <cellStyle name="입력 36 14" xfId="34546"/>
    <cellStyle name="입력 36 15" xfId="34547"/>
    <cellStyle name="입력 36 16" xfId="34548"/>
    <cellStyle name="입력 36 17" xfId="34549"/>
    <cellStyle name="입력 36 18" xfId="34550"/>
    <cellStyle name="입력 36 19" xfId="34551"/>
    <cellStyle name="입력 36 2" xfId="34552"/>
    <cellStyle name="입력 36 20" xfId="34553"/>
    <cellStyle name="입력 36 21" xfId="34554"/>
    <cellStyle name="입력 36 22" xfId="34555"/>
    <cellStyle name="입력 36 23" xfId="34556"/>
    <cellStyle name="입력 36 24" xfId="34557"/>
    <cellStyle name="입력 36 25" xfId="34558"/>
    <cellStyle name="입력 36 26" xfId="34559"/>
    <cellStyle name="입력 36 27" xfId="34560"/>
    <cellStyle name="입력 36 28" xfId="34561"/>
    <cellStyle name="입력 36 29" xfId="34562"/>
    <cellStyle name="입력 36 3" xfId="34563"/>
    <cellStyle name="입력 36 30" xfId="34564"/>
    <cellStyle name="입력 36 31" xfId="34565"/>
    <cellStyle name="입력 36 32" xfId="34566"/>
    <cellStyle name="입력 36 33" xfId="34567"/>
    <cellStyle name="입력 36 34" xfId="34568"/>
    <cellStyle name="입력 36 35" xfId="34569"/>
    <cellStyle name="입력 36 36" xfId="34570"/>
    <cellStyle name="입력 36 37" xfId="34571"/>
    <cellStyle name="입력 36 38" xfId="34572"/>
    <cellStyle name="입력 36 39" xfId="34573"/>
    <cellStyle name="입력 36 4" xfId="34574"/>
    <cellStyle name="입력 36 40" xfId="34575"/>
    <cellStyle name="입력 36 41" xfId="34576"/>
    <cellStyle name="입력 36 42" xfId="34577"/>
    <cellStyle name="입력 36 43" xfId="34578"/>
    <cellStyle name="입력 36 5" xfId="34579"/>
    <cellStyle name="입력 36 6" xfId="34580"/>
    <cellStyle name="입력 36 7" xfId="34581"/>
    <cellStyle name="입력 36 8" xfId="34582"/>
    <cellStyle name="입력 36 9" xfId="34583"/>
    <cellStyle name="입력 37" xfId="34584"/>
    <cellStyle name="입력 37 10" xfId="34585"/>
    <cellStyle name="입력 37 11" xfId="34586"/>
    <cellStyle name="입력 37 12" xfId="34587"/>
    <cellStyle name="입력 37 13" xfId="34588"/>
    <cellStyle name="입력 37 14" xfId="34589"/>
    <cellStyle name="입력 37 15" xfId="34590"/>
    <cellStyle name="입력 37 16" xfId="34591"/>
    <cellStyle name="입력 37 17" xfId="34592"/>
    <cellStyle name="입력 37 18" xfId="34593"/>
    <cellStyle name="입력 37 19" xfId="34594"/>
    <cellStyle name="입력 37 2" xfId="34595"/>
    <cellStyle name="입력 37 20" xfId="34596"/>
    <cellStyle name="입력 37 21" xfId="34597"/>
    <cellStyle name="입력 37 22" xfId="34598"/>
    <cellStyle name="입력 37 23" xfId="34599"/>
    <cellStyle name="입력 37 24" xfId="34600"/>
    <cellStyle name="입력 37 25" xfId="34601"/>
    <cellStyle name="입력 37 26" xfId="34602"/>
    <cellStyle name="입력 37 27" xfId="34603"/>
    <cellStyle name="입력 37 28" xfId="34604"/>
    <cellStyle name="입력 37 29" xfId="34605"/>
    <cellStyle name="입력 37 3" xfId="34606"/>
    <cellStyle name="입력 37 30" xfId="34607"/>
    <cellStyle name="입력 37 31" xfId="34608"/>
    <cellStyle name="입력 37 32" xfId="34609"/>
    <cellStyle name="입력 37 33" xfId="34610"/>
    <cellStyle name="입력 37 34" xfId="34611"/>
    <cellStyle name="입력 37 35" xfId="34612"/>
    <cellStyle name="입력 37 36" xfId="34613"/>
    <cellStyle name="입력 37 37" xfId="34614"/>
    <cellStyle name="입력 37 38" xfId="34615"/>
    <cellStyle name="입력 37 39" xfId="34616"/>
    <cellStyle name="입력 37 4" xfId="34617"/>
    <cellStyle name="입력 37 40" xfId="34618"/>
    <cellStyle name="입력 37 41" xfId="34619"/>
    <cellStyle name="입력 37 42" xfId="34620"/>
    <cellStyle name="입력 37 43" xfId="34621"/>
    <cellStyle name="입력 37 5" xfId="34622"/>
    <cellStyle name="입력 37 6" xfId="34623"/>
    <cellStyle name="입력 37 7" xfId="34624"/>
    <cellStyle name="입력 37 8" xfId="34625"/>
    <cellStyle name="입력 37 9" xfId="34626"/>
    <cellStyle name="입력 38" xfId="34627"/>
    <cellStyle name="입력 38 10" xfId="34628"/>
    <cellStyle name="입력 38 11" xfId="34629"/>
    <cellStyle name="입력 38 12" xfId="34630"/>
    <cellStyle name="입력 38 13" xfId="34631"/>
    <cellStyle name="입력 38 14" xfId="34632"/>
    <cellStyle name="입력 38 15" xfId="34633"/>
    <cellStyle name="입력 38 16" xfId="34634"/>
    <cellStyle name="입력 38 17" xfId="34635"/>
    <cellStyle name="입력 38 18" xfId="34636"/>
    <cellStyle name="입력 38 19" xfId="34637"/>
    <cellStyle name="입력 38 2" xfId="34638"/>
    <cellStyle name="입력 38 20" xfId="34639"/>
    <cellStyle name="입력 38 21" xfId="34640"/>
    <cellStyle name="입력 38 22" xfId="34641"/>
    <cellStyle name="입력 38 23" xfId="34642"/>
    <cellStyle name="입력 38 24" xfId="34643"/>
    <cellStyle name="입력 38 25" xfId="34644"/>
    <cellStyle name="입력 38 26" xfId="34645"/>
    <cellStyle name="입력 38 27" xfId="34646"/>
    <cellStyle name="입력 38 28" xfId="34647"/>
    <cellStyle name="입력 38 29" xfId="34648"/>
    <cellStyle name="입력 38 3" xfId="34649"/>
    <cellStyle name="입력 38 30" xfId="34650"/>
    <cellStyle name="입력 38 31" xfId="34651"/>
    <cellStyle name="입력 38 32" xfId="34652"/>
    <cellStyle name="입력 38 33" xfId="34653"/>
    <cellStyle name="입력 38 34" xfId="34654"/>
    <cellStyle name="입력 38 35" xfId="34655"/>
    <cellStyle name="입력 38 36" xfId="34656"/>
    <cellStyle name="입력 38 37" xfId="34657"/>
    <cellStyle name="입력 38 38" xfId="34658"/>
    <cellStyle name="입력 38 39" xfId="34659"/>
    <cellStyle name="입력 38 4" xfId="34660"/>
    <cellStyle name="입력 38 40" xfId="34661"/>
    <cellStyle name="입력 38 41" xfId="34662"/>
    <cellStyle name="입력 38 42" xfId="34663"/>
    <cellStyle name="입력 38 43" xfId="34664"/>
    <cellStyle name="입력 38 5" xfId="34665"/>
    <cellStyle name="입력 38 6" xfId="34666"/>
    <cellStyle name="입력 38 7" xfId="34667"/>
    <cellStyle name="입력 38 8" xfId="34668"/>
    <cellStyle name="입력 38 9" xfId="34669"/>
    <cellStyle name="입력 39" xfId="34670"/>
    <cellStyle name="입력 39 10" xfId="34671"/>
    <cellStyle name="입력 39 11" xfId="34672"/>
    <cellStyle name="입력 39 12" xfId="34673"/>
    <cellStyle name="입력 39 13" xfId="34674"/>
    <cellStyle name="입력 39 14" xfId="34675"/>
    <cellStyle name="입력 39 15" xfId="34676"/>
    <cellStyle name="입력 39 16" xfId="34677"/>
    <cellStyle name="입력 39 17" xfId="34678"/>
    <cellStyle name="입력 39 18" xfId="34679"/>
    <cellStyle name="입력 39 19" xfId="34680"/>
    <cellStyle name="입력 39 2" xfId="34681"/>
    <cellStyle name="입력 39 20" xfId="34682"/>
    <cellStyle name="입력 39 21" xfId="34683"/>
    <cellStyle name="입력 39 22" xfId="34684"/>
    <cellStyle name="입력 39 23" xfId="34685"/>
    <cellStyle name="입력 39 24" xfId="34686"/>
    <cellStyle name="입력 39 25" xfId="34687"/>
    <cellStyle name="입력 39 26" xfId="34688"/>
    <cellStyle name="입력 39 27" xfId="34689"/>
    <cellStyle name="입력 39 28" xfId="34690"/>
    <cellStyle name="입력 39 29" xfId="34691"/>
    <cellStyle name="입력 39 3" xfId="34692"/>
    <cellStyle name="입력 39 30" xfId="34693"/>
    <cellStyle name="입력 39 31" xfId="34694"/>
    <cellStyle name="입력 39 32" xfId="34695"/>
    <cellStyle name="입력 39 33" xfId="34696"/>
    <cellStyle name="입력 39 34" xfId="34697"/>
    <cellStyle name="입력 39 35" xfId="34698"/>
    <cellStyle name="입력 39 36" xfId="34699"/>
    <cellStyle name="입력 39 37" xfId="34700"/>
    <cellStyle name="입력 39 38" xfId="34701"/>
    <cellStyle name="입력 39 39" xfId="34702"/>
    <cellStyle name="입력 39 4" xfId="34703"/>
    <cellStyle name="입력 39 40" xfId="34704"/>
    <cellStyle name="입력 39 41" xfId="34705"/>
    <cellStyle name="입력 39 42" xfId="34706"/>
    <cellStyle name="입력 39 43" xfId="34707"/>
    <cellStyle name="입력 39 5" xfId="34708"/>
    <cellStyle name="입력 39 6" xfId="34709"/>
    <cellStyle name="입력 39 7" xfId="34710"/>
    <cellStyle name="입력 39 8" xfId="34711"/>
    <cellStyle name="입력 39 9" xfId="34712"/>
    <cellStyle name="입력 4" xfId="34713"/>
    <cellStyle name="입력 4 10" xfId="34714"/>
    <cellStyle name="입력 4 11" xfId="34715"/>
    <cellStyle name="입력 4 12" xfId="34716"/>
    <cellStyle name="입력 4 13" xfId="34717"/>
    <cellStyle name="입력 4 14" xfId="34718"/>
    <cellStyle name="입력 4 15" xfId="34719"/>
    <cellStyle name="입력 4 16" xfId="34720"/>
    <cellStyle name="입력 4 17" xfId="34721"/>
    <cellStyle name="입력 4 18" xfId="34722"/>
    <cellStyle name="입력 4 19" xfId="34723"/>
    <cellStyle name="입력 4 2" xfId="34724"/>
    <cellStyle name="입력 4 20" xfId="34725"/>
    <cellStyle name="입력 4 21" xfId="34726"/>
    <cellStyle name="입력 4 22" xfId="34727"/>
    <cellStyle name="입력 4 23" xfId="34728"/>
    <cellStyle name="입력 4 24" xfId="34729"/>
    <cellStyle name="입력 4 25" xfId="34730"/>
    <cellStyle name="입력 4 26" xfId="34731"/>
    <cellStyle name="입력 4 27" xfId="34732"/>
    <cellStyle name="입력 4 28" xfId="34733"/>
    <cellStyle name="입력 4 29" xfId="34734"/>
    <cellStyle name="입력 4 3" xfId="34735"/>
    <cellStyle name="입력 4 30" xfId="34736"/>
    <cellStyle name="입력 4 31" xfId="34737"/>
    <cellStyle name="입력 4 32" xfId="34738"/>
    <cellStyle name="입력 4 33" xfId="34739"/>
    <cellStyle name="입력 4 34" xfId="34740"/>
    <cellStyle name="입력 4 35" xfId="34741"/>
    <cellStyle name="입력 4 36" xfId="34742"/>
    <cellStyle name="입력 4 37" xfId="34743"/>
    <cellStyle name="입력 4 38" xfId="34744"/>
    <cellStyle name="입력 4 39" xfId="34745"/>
    <cellStyle name="입력 4 4" xfId="34746"/>
    <cellStyle name="입력 4 40" xfId="34747"/>
    <cellStyle name="입력 4 41" xfId="34748"/>
    <cellStyle name="입력 4 42" xfId="34749"/>
    <cellStyle name="입력 4 43" xfId="34750"/>
    <cellStyle name="입력 4 5" xfId="34751"/>
    <cellStyle name="입력 4 6" xfId="34752"/>
    <cellStyle name="입력 4 7" xfId="34753"/>
    <cellStyle name="입력 4 8" xfId="34754"/>
    <cellStyle name="입력 4 9" xfId="34755"/>
    <cellStyle name="입력 40" xfId="34756"/>
    <cellStyle name="입력 40 10" xfId="34757"/>
    <cellStyle name="입력 40 11" xfId="34758"/>
    <cellStyle name="입력 40 12" xfId="34759"/>
    <cellStyle name="입력 40 13" xfId="34760"/>
    <cellStyle name="입력 40 14" xfId="34761"/>
    <cellStyle name="입력 40 15" xfId="34762"/>
    <cellStyle name="입력 40 16" xfId="34763"/>
    <cellStyle name="입력 40 17" xfId="34764"/>
    <cellStyle name="입력 40 18" xfId="34765"/>
    <cellStyle name="입력 40 19" xfId="34766"/>
    <cellStyle name="입력 40 2" xfId="34767"/>
    <cellStyle name="입력 40 20" xfId="34768"/>
    <cellStyle name="입력 40 21" xfId="34769"/>
    <cellStyle name="입력 40 22" xfId="34770"/>
    <cellStyle name="입력 40 23" xfId="34771"/>
    <cellStyle name="입력 40 24" xfId="34772"/>
    <cellStyle name="입력 40 25" xfId="34773"/>
    <cellStyle name="입력 40 26" xfId="34774"/>
    <cellStyle name="입력 40 27" xfId="34775"/>
    <cellStyle name="입력 40 28" xfId="34776"/>
    <cellStyle name="입력 40 29" xfId="34777"/>
    <cellStyle name="입력 40 3" xfId="34778"/>
    <cellStyle name="입력 40 30" xfId="34779"/>
    <cellStyle name="입력 40 31" xfId="34780"/>
    <cellStyle name="입력 40 32" xfId="34781"/>
    <cellStyle name="입력 40 33" xfId="34782"/>
    <cellStyle name="입력 40 34" xfId="34783"/>
    <cellStyle name="입력 40 35" xfId="34784"/>
    <cellStyle name="입력 40 36" xfId="34785"/>
    <cellStyle name="입력 40 37" xfId="34786"/>
    <cellStyle name="입력 40 38" xfId="34787"/>
    <cellStyle name="입력 40 39" xfId="34788"/>
    <cellStyle name="입력 40 4" xfId="34789"/>
    <cellStyle name="입력 40 40" xfId="34790"/>
    <cellStyle name="입력 40 41" xfId="34791"/>
    <cellStyle name="입력 40 42" xfId="34792"/>
    <cellStyle name="입력 40 43" xfId="34793"/>
    <cellStyle name="입력 40 5" xfId="34794"/>
    <cellStyle name="입력 40 6" xfId="34795"/>
    <cellStyle name="입력 40 7" xfId="34796"/>
    <cellStyle name="입력 40 8" xfId="34797"/>
    <cellStyle name="입력 40 9" xfId="34798"/>
    <cellStyle name="입력 41" xfId="34799"/>
    <cellStyle name="입력 41 10" xfId="34800"/>
    <cellStyle name="입력 41 11" xfId="34801"/>
    <cellStyle name="입력 41 12" xfId="34802"/>
    <cellStyle name="입력 41 13" xfId="34803"/>
    <cellStyle name="입력 41 14" xfId="34804"/>
    <cellStyle name="입력 41 15" xfId="34805"/>
    <cellStyle name="입력 41 16" xfId="34806"/>
    <cellStyle name="입력 41 17" xfId="34807"/>
    <cellStyle name="입력 41 18" xfId="34808"/>
    <cellStyle name="입력 41 19" xfId="34809"/>
    <cellStyle name="입력 41 2" xfId="34810"/>
    <cellStyle name="입력 41 20" xfId="34811"/>
    <cellStyle name="입력 41 21" xfId="34812"/>
    <cellStyle name="입력 41 22" xfId="34813"/>
    <cellStyle name="입력 41 23" xfId="34814"/>
    <cellStyle name="입력 41 24" xfId="34815"/>
    <cellStyle name="입력 41 25" xfId="34816"/>
    <cellStyle name="입력 41 26" xfId="34817"/>
    <cellStyle name="입력 41 27" xfId="34818"/>
    <cellStyle name="입력 41 28" xfId="34819"/>
    <cellStyle name="입력 41 29" xfId="34820"/>
    <cellStyle name="입력 41 3" xfId="34821"/>
    <cellStyle name="입력 41 30" xfId="34822"/>
    <cellStyle name="입력 41 31" xfId="34823"/>
    <cellStyle name="입력 41 32" xfId="34824"/>
    <cellStyle name="입력 41 33" xfId="34825"/>
    <cellStyle name="입력 41 34" xfId="34826"/>
    <cellStyle name="입력 41 35" xfId="34827"/>
    <cellStyle name="입력 41 36" xfId="34828"/>
    <cellStyle name="입력 41 37" xfId="34829"/>
    <cellStyle name="입력 41 38" xfId="34830"/>
    <cellStyle name="입력 41 39" xfId="34831"/>
    <cellStyle name="입력 41 4" xfId="34832"/>
    <cellStyle name="입력 41 40" xfId="34833"/>
    <cellStyle name="입력 41 41" xfId="34834"/>
    <cellStyle name="입력 41 42" xfId="34835"/>
    <cellStyle name="입력 41 43" xfId="34836"/>
    <cellStyle name="입력 41 5" xfId="34837"/>
    <cellStyle name="입력 41 6" xfId="34838"/>
    <cellStyle name="입력 41 7" xfId="34839"/>
    <cellStyle name="입력 41 8" xfId="34840"/>
    <cellStyle name="입력 41 9" xfId="34841"/>
    <cellStyle name="입력 42" xfId="34842"/>
    <cellStyle name="입력 42 10" xfId="34843"/>
    <cellStyle name="입력 42 11" xfId="34844"/>
    <cellStyle name="입력 42 12" xfId="34845"/>
    <cellStyle name="입력 42 13" xfId="34846"/>
    <cellStyle name="입력 42 14" xfId="34847"/>
    <cellStyle name="입력 42 15" xfId="34848"/>
    <cellStyle name="입력 42 16" xfId="34849"/>
    <cellStyle name="입력 42 17" xfId="34850"/>
    <cellStyle name="입력 42 18" xfId="34851"/>
    <cellStyle name="입력 42 19" xfId="34852"/>
    <cellStyle name="입력 42 2" xfId="34853"/>
    <cellStyle name="입력 42 20" xfId="34854"/>
    <cellStyle name="입력 42 21" xfId="34855"/>
    <cellStyle name="입력 42 22" xfId="34856"/>
    <cellStyle name="입력 42 23" xfId="34857"/>
    <cellStyle name="입력 42 24" xfId="34858"/>
    <cellStyle name="입력 42 25" xfId="34859"/>
    <cellStyle name="입력 42 26" xfId="34860"/>
    <cellStyle name="입력 42 27" xfId="34861"/>
    <cellStyle name="입력 42 28" xfId="34862"/>
    <cellStyle name="입력 42 29" xfId="34863"/>
    <cellStyle name="입력 42 3" xfId="34864"/>
    <cellStyle name="입력 42 30" xfId="34865"/>
    <cellStyle name="입력 42 31" xfId="34866"/>
    <cellStyle name="입력 42 32" xfId="34867"/>
    <cellStyle name="입력 42 33" xfId="34868"/>
    <cellStyle name="입력 42 34" xfId="34869"/>
    <cellStyle name="입력 42 35" xfId="34870"/>
    <cellStyle name="입력 42 36" xfId="34871"/>
    <cellStyle name="입력 42 37" xfId="34872"/>
    <cellStyle name="입력 42 38" xfId="34873"/>
    <cellStyle name="입력 42 39" xfId="34874"/>
    <cellStyle name="입력 42 4" xfId="34875"/>
    <cellStyle name="입력 42 40" xfId="34876"/>
    <cellStyle name="입력 42 41" xfId="34877"/>
    <cellStyle name="입력 42 42" xfId="34878"/>
    <cellStyle name="입력 42 43" xfId="34879"/>
    <cellStyle name="입력 42 5" xfId="34880"/>
    <cellStyle name="입력 42 6" xfId="34881"/>
    <cellStyle name="입력 42 7" xfId="34882"/>
    <cellStyle name="입력 42 8" xfId="34883"/>
    <cellStyle name="입력 42 9" xfId="34884"/>
    <cellStyle name="입력 43" xfId="34885"/>
    <cellStyle name="입력 44" xfId="34886"/>
    <cellStyle name="입력 45" xfId="34887"/>
    <cellStyle name="입력 46" xfId="34888"/>
    <cellStyle name="입력 47" xfId="34889"/>
    <cellStyle name="입력 48" xfId="34890"/>
    <cellStyle name="입력 49" xfId="34891"/>
    <cellStyle name="입력 5" xfId="34892"/>
    <cellStyle name="입력 5 10" xfId="34893"/>
    <cellStyle name="입력 5 11" xfId="34894"/>
    <cellStyle name="입력 5 12" xfId="34895"/>
    <cellStyle name="입력 5 13" xfId="34896"/>
    <cellStyle name="입력 5 14" xfId="34897"/>
    <cellStyle name="입력 5 15" xfId="34898"/>
    <cellStyle name="입력 5 16" xfId="34899"/>
    <cellStyle name="입력 5 17" xfId="34900"/>
    <cellStyle name="입력 5 18" xfId="34901"/>
    <cellStyle name="입력 5 19" xfId="34902"/>
    <cellStyle name="입력 5 2" xfId="34903"/>
    <cellStyle name="입력 5 20" xfId="34904"/>
    <cellStyle name="입력 5 21" xfId="34905"/>
    <cellStyle name="입력 5 22" xfId="34906"/>
    <cellStyle name="입력 5 23" xfId="34907"/>
    <cellStyle name="입력 5 24" xfId="34908"/>
    <cellStyle name="입력 5 25" xfId="34909"/>
    <cellStyle name="입력 5 26" xfId="34910"/>
    <cellStyle name="입력 5 27" xfId="34911"/>
    <cellStyle name="입력 5 28" xfId="34912"/>
    <cellStyle name="입력 5 29" xfId="34913"/>
    <cellStyle name="입력 5 3" xfId="34914"/>
    <cellStyle name="입력 5 30" xfId="34915"/>
    <cellStyle name="입력 5 31" xfId="34916"/>
    <cellStyle name="입력 5 32" xfId="34917"/>
    <cellStyle name="입력 5 33" xfId="34918"/>
    <cellStyle name="입력 5 34" xfId="34919"/>
    <cellStyle name="입력 5 35" xfId="34920"/>
    <cellStyle name="입력 5 36" xfId="34921"/>
    <cellStyle name="입력 5 37" xfId="34922"/>
    <cellStyle name="입력 5 38" xfId="34923"/>
    <cellStyle name="입력 5 39" xfId="34924"/>
    <cellStyle name="입력 5 4" xfId="34925"/>
    <cellStyle name="입력 5 40" xfId="34926"/>
    <cellStyle name="입력 5 41" xfId="34927"/>
    <cellStyle name="입력 5 42" xfId="34928"/>
    <cellStyle name="입력 5 43" xfId="34929"/>
    <cellStyle name="입력 5 5" xfId="34930"/>
    <cellStyle name="입력 5 6" xfId="34931"/>
    <cellStyle name="입력 5 7" xfId="34932"/>
    <cellStyle name="입력 5 8" xfId="34933"/>
    <cellStyle name="입력 5 9" xfId="34934"/>
    <cellStyle name="입력 50" xfId="34935"/>
    <cellStyle name="입력 51" xfId="34936"/>
    <cellStyle name="입력 52" xfId="34937"/>
    <cellStyle name="입력 53" xfId="34938"/>
    <cellStyle name="입력 54" xfId="34939"/>
    <cellStyle name="입력 55" xfId="34940"/>
    <cellStyle name="입력 56" xfId="34941"/>
    <cellStyle name="입력 57" xfId="34942"/>
    <cellStyle name="입력 58" xfId="34943"/>
    <cellStyle name="입력 59" xfId="34944"/>
    <cellStyle name="입력 6" xfId="34945"/>
    <cellStyle name="입력 6 10" xfId="34946"/>
    <cellStyle name="입력 6 11" xfId="34947"/>
    <cellStyle name="입력 6 12" xfId="34948"/>
    <cellStyle name="입력 6 13" xfId="34949"/>
    <cellStyle name="입력 6 14" xfId="34950"/>
    <cellStyle name="입력 6 15" xfId="34951"/>
    <cellStyle name="입력 6 16" xfId="34952"/>
    <cellStyle name="입력 6 17" xfId="34953"/>
    <cellStyle name="입력 6 18" xfId="34954"/>
    <cellStyle name="입력 6 19" xfId="34955"/>
    <cellStyle name="입력 6 2" xfId="34956"/>
    <cellStyle name="입력 6 20" xfId="34957"/>
    <cellStyle name="입력 6 21" xfId="34958"/>
    <cellStyle name="입력 6 22" xfId="34959"/>
    <cellStyle name="입력 6 23" xfId="34960"/>
    <cellStyle name="입력 6 24" xfId="34961"/>
    <cellStyle name="입력 6 25" xfId="34962"/>
    <cellStyle name="입력 6 26" xfId="34963"/>
    <cellStyle name="입력 6 27" xfId="34964"/>
    <cellStyle name="입력 6 28" xfId="34965"/>
    <cellStyle name="입력 6 29" xfId="34966"/>
    <cellStyle name="입력 6 3" xfId="34967"/>
    <cellStyle name="입력 6 30" xfId="34968"/>
    <cellStyle name="입력 6 31" xfId="34969"/>
    <cellStyle name="입력 6 32" xfId="34970"/>
    <cellStyle name="입력 6 33" xfId="34971"/>
    <cellStyle name="입력 6 34" xfId="34972"/>
    <cellStyle name="입력 6 35" xfId="34973"/>
    <cellStyle name="입력 6 36" xfId="34974"/>
    <cellStyle name="입력 6 37" xfId="34975"/>
    <cellStyle name="입력 6 38" xfId="34976"/>
    <cellStyle name="입력 6 39" xfId="34977"/>
    <cellStyle name="입력 6 4" xfId="34978"/>
    <cellStyle name="입력 6 40" xfId="34979"/>
    <cellStyle name="입력 6 41" xfId="34980"/>
    <cellStyle name="입력 6 42" xfId="34981"/>
    <cellStyle name="입력 6 43" xfId="34982"/>
    <cellStyle name="입력 6 5" xfId="34983"/>
    <cellStyle name="입력 6 6" xfId="34984"/>
    <cellStyle name="입력 6 7" xfId="34985"/>
    <cellStyle name="입력 6 8" xfId="34986"/>
    <cellStyle name="입력 6 9" xfId="34987"/>
    <cellStyle name="입력 60" xfId="34988"/>
    <cellStyle name="입력 61" xfId="34989"/>
    <cellStyle name="입력 62" xfId="34990"/>
    <cellStyle name="입력 63" xfId="34991"/>
    <cellStyle name="입력 64" xfId="34992"/>
    <cellStyle name="입력 65" xfId="34993"/>
    <cellStyle name="입력 66" xfId="34994"/>
    <cellStyle name="입력 67" xfId="34995"/>
    <cellStyle name="입력 68" xfId="34996"/>
    <cellStyle name="입력 69" xfId="34997"/>
    <cellStyle name="입력 7" xfId="34998"/>
    <cellStyle name="입력 7 10" xfId="34999"/>
    <cellStyle name="입력 7 11" xfId="35000"/>
    <cellStyle name="입력 7 12" xfId="35001"/>
    <cellStyle name="입력 7 13" xfId="35002"/>
    <cellStyle name="입력 7 14" xfId="35003"/>
    <cellStyle name="입력 7 15" xfId="35004"/>
    <cellStyle name="입력 7 16" xfId="35005"/>
    <cellStyle name="입력 7 17" xfId="35006"/>
    <cellStyle name="입력 7 18" xfId="35007"/>
    <cellStyle name="입력 7 19" xfId="35008"/>
    <cellStyle name="입력 7 2" xfId="35009"/>
    <cellStyle name="입력 7 20" xfId="35010"/>
    <cellStyle name="입력 7 21" xfId="35011"/>
    <cellStyle name="입력 7 22" xfId="35012"/>
    <cellStyle name="입력 7 23" xfId="35013"/>
    <cellStyle name="입력 7 24" xfId="35014"/>
    <cellStyle name="입력 7 25" xfId="35015"/>
    <cellStyle name="입력 7 26" xfId="35016"/>
    <cellStyle name="입력 7 27" xfId="35017"/>
    <cellStyle name="입력 7 28" xfId="35018"/>
    <cellStyle name="입력 7 29" xfId="35019"/>
    <cellStyle name="입력 7 3" xfId="35020"/>
    <cellStyle name="입력 7 30" xfId="35021"/>
    <cellStyle name="입력 7 31" xfId="35022"/>
    <cellStyle name="입력 7 32" xfId="35023"/>
    <cellStyle name="입력 7 33" xfId="35024"/>
    <cellStyle name="입력 7 34" xfId="35025"/>
    <cellStyle name="입력 7 35" xfId="35026"/>
    <cellStyle name="입력 7 36" xfId="35027"/>
    <cellStyle name="입력 7 37" xfId="35028"/>
    <cellStyle name="입력 7 38" xfId="35029"/>
    <cellStyle name="입력 7 39" xfId="35030"/>
    <cellStyle name="입력 7 4" xfId="35031"/>
    <cellStyle name="입력 7 40" xfId="35032"/>
    <cellStyle name="입력 7 41" xfId="35033"/>
    <cellStyle name="입력 7 42" xfId="35034"/>
    <cellStyle name="입력 7 43" xfId="35035"/>
    <cellStyle name="입력 7 5" xfId="35036"/>
    <cellStyle name="입력 7 6" xfId="35037"/>
    <cellStyle name="입력 7 7" xfId="35038"/>
    <cellStyle name="입력 7 8" xfId="35039"/>
    <cellStyle name="입력 7 9" xfId="35040"/>
    <cellStyle name="입력 70" xfId="35041"/>
    <cellStyle name="입력 71" xfId="35042"/>
    <cellStyle name="입력 72" xfId="35043"/>
    <cellStyle name="입력 73" xfId="35044"/>
    <cellStyle name="입력 74" xfId="35045"/>
    <cellStyle name="입력 75" xfId="35046"/>
    <cellStyle name="입력 76" xfId="35047"/>
    <cellStyle name="입력 77" xfId="35048"/>
    <cellStyle name="입력 78" xfId="35049"/>
    <cellStyle name="입력 79" xfId="35050"/>
    <cellStyle name="입력 8" xfId="35051"/>
    <cellStyle name="입력 8 10" xfId="35052"/>
    <cellStyle name="입력 8 11" xfId="35053"/>
    <cellStyle name="입력 8 12" xfId="35054"/>
    <cellStyle name="입력 8 13" xfId="35055"/>
    <cellStyle name="입력 8 14" xfId="35056"/>
    <cellStyle name="입력 8 15" xfId="35057"/>
    <cellStyle name="입력 8 16" xfId="35058"/>
    <cellStyle name="입력 8 17" xfId="35059"/>
    <cellStyle name="입력 8 18" xfId="35060"/>
    <cellStyle name="입력 8 19" xfId="35061"/>
    <cellStyle name="입력 8 2" xfId="35062"/>
    <cellStyle name="입력 8 20" xfId="35063"/>
    <cellStyle name="입력 8 21" xfId="35064"/>
    <cellStyle name="입력 8 22" xfId="35065"/>
    <cellStyle name="입력 8 23" xfId="35066"/>
    <cellStyle name="입력 8 24" xfId="35067"/>
    <cellStyle name="입력 8 25" xfId="35068"/>
    <cellStyle name="입력 8 26" xfId="35069"/>
    <cellStyle name="입력 8 27" xfId="35070"/>
    <cellStyle name="입력 8 28" xfId="35071"/>
    <cellStyle name="입력 8 29" xfId="35072"/>
    <cellStyle name="입력 8 3" xfId="35073"/>
    <cellStyle name="입력 8 30" xfId="35074"/>
    <cellStyle name="입력 8 31" xfId="35075"/>
    <cellStyle name="입력 8 32" xfId="35076"/>
    <cellStyle name="입력 8 33" xfId="35077"/>
    <cellStyle name="입력 8 34" xfId="35078"/>
    <cellStyle name="입력 8 35" xfId="35079"/>
    <cellStyle name="입력 8 36" xfId="35080"/>
    <cellStyle name="입력 8 37" xfId="35081"/>
    <cellStyle name="입력 8 38" xfId="35082"/>
    <cellStyle name="입력 8 39" xfId="35083"/>
    <cellStyle name="입력 8 4" xfId="35084"/>
    <cellStyle name="입력 8 40" xfId="35085"/>
    <cellStyle name="입력 8 41" xfId="35086"/>
    <cellStyle name="입력 8 42" xfId="35087"/>
    <cellStyle name="입력 8 43" xfId="35088"/>
    <cellStyle name="입력 8 5" xfId="35089"/>
    <cellStyle name="입력 8 6" xfId="35090"/>
    <cellStyle name="입력 8 7" xfId="35091"/>
    <cellStyle name="입력 8 8" xfId="35092"/>
    <cellStyle name="입력 8 9" xfId="35093"/>
    <cellStyle name="입력 80" xfId="35094"/>
    <cellStyle name="입력 81" xfId="35095"/>
    <cellStyle name="입력 82" xfId="35096"/>
    <cellStyle name="입력 83" xfId="35097"/>
    <cellStyle name="입력 84" xfId="35098"/>
    <cellStyle name="입력 85" xfId="35099"/>
    <cellStyle name="입력 86" xfId="35100"/>
    <cellStyle name="입력 87" xfId="35101"/>
    <cellStyle name="입력 88" xfId="35102"/>
    <cellStyle name="입력 9" xfId="35103"/>
    <cellStyle name="입력 9 10" xfId="35104"/>
    <cellStyle name="입력 9 11" xfId="35105"/>
    <cellStyle name="입력 9 12" xfId="35106"/>
    <cellStyle name="입력 9 13" xfId="35107"/>
    <cellStyle name="입력 9 14" xfId="35108"/>
    <cellStyle name="입력 9 15" xfId="35109"/>
    <cellStyle name="입력 9 16" xfId="35110"/>
    <cellStyle name="입력 9 17" xfId="35111"/>
    <cellStyle name="입력 9 18" xfId="35112"/>
    <cellStyle name="입력 9 19" xfId="35113"/>
    <cellStyle name="입력 9 2" xfId="35114"/>
    <cellStyle name="입력 9 20" xfId="35115"/>
    <cellStyle name="입력 9 21" xfId="35116"/>
    <cellStyle name="입력 9 22" xfId="35117"/>
    <cellStyle name="입력 9 23" xfId="35118"/>
    <cellStyle name="입력 9 24" xfId="35119"/>
    <cellStyle name="입력 9 25" xfId="35120"/>
    <cellStyle name="입력 9 26" xfId="35121"/>
    <cellStyle name="입력 9 27" xfId="35122"/>
    <cellStyle name="입력 9 28" xfId="35123"/>
    <cellStyle name="입력 9 29" xfId="35124"/>
    <cellStyle name="입력 9 3" xfId="35125"/>
    <cellStyle name="입력 9 30" xfId="35126"/>
    <cellStyle name="입력 9 31" xfId="35127"/>
    <cellStyle name="입력 9 32" xfId="35128"/>
    <cellStyle name="입력 9 33" xfId="35129"/>
    <cellStyle name="입력 9 34" xfId="35130"/>
    <cellStyle name="입력 9 35" xfId="35131"/>
    <cellStyle name="입력 9 36" xfId="35132"/>
    <cellStyle name="입력 9 37" xfId="35133"/>
    <cellStyle name="입력 9 38" xfId="35134"/>
    <cellStyle name="입력 9 39" xfId="35135"/>
    <cellStyle name="입력 9 4" xfId="35136"/>
    <cellStyle name="입력 9 40" xfId="35137"/>
    <cellStyle name="입력 9 41" xfId="35138"/>
    <cellStyle name="입력 9 42" xfId="35139"/>
    <cellStyle name="입력 9 43" xfId="35140"/>
    <cellStyle name="입력 9 5" xfId="35141"/>
    <cellStyle name="입력 9 6" xfId="35142"/>
    <cellStyle name="입력 9 7" xfId="35143"/>
    <cellStyle name="입력 9 8" xfId="35144"/>
    <cellStyle name="입력 9 9" xfId="35145"/>
    <cellStyle name="자리수" xfId="374"/>
    <cellStyle name="자리수 - 유형1" xfId="2862"/>
    <cellStyle name="자리수 2" xfId="4396"/>
    <cellStyle name="자리수 3" xfId="4397"/>
    <cellStyle name="자리수0" xfId="375"/>
    <cellStyle name="자리수0 2" xfId="35146"/>
    <cellStyle name="제목 1 1" xfId="35147"/>
    <cellStyle name="제목 1 2" xfId="4398"/>
    <cellStyle name="제목 1 2 2" xfId="35148"/>
    <cellStyle name="제목 1 3" xfId="35149"/>
    <cellStyle name="제목 1 4" xfId="35150"/>
    <cellStyle name="제목 1 5" xfId="35151"/>
    <cellStyle name="제목 1 6" xfId="35152"/>
    <cellStyle name="제목 1(左)" xfId="35153"/>
    <cellStyle name="제목 1(中)" xfId="35154"/>
    <cellStyle name="제목 10" xfId="35155"/>
    <cellStyle name="제목 2 2" xfId="4399"/>
    <cellStyle name="제목 2 2 2" xfId="35156"/>
    <cellStyle name="제목 2 2 3" xfId="35157"/>
    <cellStyle name="제목 2 3" xfId="35158"/>
    <cellStyle name="제목 2 3 2" xfId="35159"/>
    <cellStyle name="제목 2 4" xfId="35160"/>
    <cellStyle name="제목 2 5" xfId="35161"/>
    <cellStyle name="제목 2 6" xfId="35162"/>
    <cellStyle name="제목 3 2" xfId="4400"/>
    <cellStyle name="제목 3 2 2" xfId="35163"/>
    <cellStyle name="제목 3 3" xfId="35164"/>
    <cellStyle name="제목 3 4" xfId="35165"/>
    <cellStyle name="제목 3 5" xfId="35166"/>
    <cellStyle name="제목 3 6" xfId="35167"/>
    <cellStyle name="제목 4 2" xfId="4401"/>
    <cellStyle name="제목 4 2 2" xfId="35168"/>
    <cellStyle name="제목 4 3" xfId="35169"/>
    <cellStyle name="제목 4 4" xfId="35170"/>
    <cellStyle name="제목 4 5" xfId="35171"/>
    <cellStyle name="제목 4 6" xfId="35172"/>
    <cellStyle name="제목 5" xfId="4402"/>
    <cellStyle name="제목 5 2" xfId="35173"/>
    <cellStyle name="제목 6" xfId="35174"/>
    <cellStyle name="제목 7" xfId="35175"/>
    <cellStyle name="제목 8" xfId="35176"/>
    <cellStyle name="제목 9" xfId="35177"/>
    <cellStyle name="제목(1)" xfId="35178"/>
    <cellStyle name="제목(2)" xfId="35179"/>
    <cellStyle name="제목(3)" xfId="35180"/>
    <cellStyle name="제목[1 줄]" xfId="35181"/>
    <cellStyle name="제목[1 줄] 2" xfId="35182"/>
    <cellStyle name="제목[1 줄] 3" xfId="35183"/>
    <cellStyle name="제목[2줄 아래]" xfId="35184"/>
    <cellStyle name="제목[2줄 위]" xfId="35185"/>
    <cellStyle name="제목[2줄 위] 2" xfId="35186"/>
    <cellStyle name="제목1" xfId="35187"/>
    <cellStyle name="좋은양식" xfId="35188"/>
    <cellStyle name="좋음 2" xfId="4403"/>
    <cellStyle name="좋음 2 2" xfId="35189"/>
    <cellStyle name="좋음 3" xfId="35190"/>
    <cellStyle name="좋음 4" xfId="35191"/>
    <cellStyle name="좋음 5" xfId="35192"/>
    <cellStyle name="좋음 6" xfId="35193"/>
    <cellStyle name="즓㉤㿙㑩贚ꍆ㿡㑩贚ꍆ㿑" xfId="35194"/>
    <cellStyle name="지정되지 않음" xfId="376"/>
    <cellStyle name="지하철정렬" xfId="35195"/>
    <cellStyle name="千分位[0]_GARMENT STEP FORM HK" xfId="35196"/>
    <cellStyle name="千分位_GARMENT STEP FORM HK" xfId="35197"/>
    <cellStyle name="千位分隔_Appendix J(cons)March" xfId="35198"/>
    <cellStyle name="출력 10" xfId="35199"/>
    <cellStyle name="출력 11" xfId="35200"/>
    <cellStyle name="출력 12" xfId="35201"/>
    <cellStyle name="출력 13" xfId="35202"/>
    <cellStyle name="출력 14" xfId="35203"/>
    <cellStyle name="출력 15" xfId="35204"/>
    <cellStyle name="출력 16" xfId="35205"/>
    <cellStyle name="출력 17" xfId="35206"/>
    <cellStyle name="출력 18" xfId="35207"/>
    <cellStyle name="출력 19" xfId="35208"/>
    <cellStyle name="출력 2" xfId="4404"/>
    <cellStyle name="출력 2 10" xfId="35209"/>
    <cellStyle name="출력 2 11" xfId="35210"/>
    <cellStyle name="출력 2 12" xfId="35211"/>
    <cellStyle name="출력 2 13" xfId="35212"/>
    <cellStyle name="출력 2 14" xfId="35213"/>
    <cellStyle name="출력 2 15" xfId="35214"/>
    <cellStyle name="출력 2 16" xfId="35215"/>
    <cellStyle name="출력 2 17" xfId="35216"/>
    <cellStyle name="출력 2 18" xfId="35217"/>
    <cellStyle name="출력 2 19" xfId="35218"/>
    <cellStyle name="출력 2 2" xfId="35219"/>
    <cellStyle name="출력 2 2 10" xfId="35220"/>
    <cellStyle name="출력 2 2 11" xfId="35221"/>
    <cellStyle name="출력 2 2 12" xfId="35222"/>
    <cellStyle name="출력 2 2 13" xfId="35223"/>
    <cellStyle name="출력 2 2 2" xfId="35224"/>
    <cellStyle name="출력 2 2 3" xfId="35225"/>
    <cellStyle name="출력 2 2 4" xfId="35226"/>
    <cellStyle name="출력 2 2 5" xfId="35227"/>
    <cellStyle name="출력 2 2 6" xfId="35228"/>
    <cellStyle name="출력 2 2 7" xfId="35229"/>
    <cellStyle name="출력 2 2 8" xfId="35230"/>
    <cellStyle name="출력 2 2 9" xfId="35231"/>
    <cellStyle name="출력 2 20" xfId="35232"/>
    <cellStyle name="출력 2 21" xfId="35233"/>
    <cellStyle name="출력 2 3" xfId="35234"/>
    <cellStyle name="출력 2 3 10" xfId="35235"/>
    <cellStyle name="출력 2 3 11" xfId="35236"/>
    <cellStyle name="출력 2 3 12" xfId="35237"/>
    <cellStyle name="출력 2 3 13" xfId="35238"/>
    <cellStyle name="출력 2 3 2" xfId="35239"/>
    <cellStyle name="출력 2 3 3" xfId="35240"/>
    <cellStyle name="출력 2 3 4" xfId="35241"/>
    <cellStyle name="출력 2 3 5" xfId="35242"/>
    <cellStyle name="출력 2 3 6" xfId="35243"/>
    <cellStyle name="출력 2 3 7" xfId="35244"/>
    <cellStyle name="출력 2 3 8" xfId="35245"/>
    <cellStyle name="출력 2 3 9" xfId="35246"/>
    <cellStyle name="출력 2 4" xfId="35247"/>
    <cellStyle name="출력 2 4 10" xfId="35248"/>
    <cellStyle name="출력 2 4 11" xfId="35249"/>
    <cellStyle name="출력 2 4 12" xfId="35250"/>
    <cellStyle name="출력 2 4 13" xfId="35251"/>
    <cellStyle name="출력 2 4 2" xfId="35252"/>
    <cellStyle name="출력 2 4 3" xfId="35253"/>
    <cellStyle name="출력 2 4 4" xfId="35254"/>
    <cellStyle name="출력 2 4 5" xfId="35255"/>
    <cellStyle name="출력 2 4 6" xfId="35256"/>
    <cellStyle name="출력 2 4 7" xfId="35257"/>
    <cellStyle name="출력 2 4 8" xfId="35258"/>
    <cellStyle name="출력 2 4 9" xfId="35259"/>
    <cellStyle name="출력 2 5" xfId="35260"/>
    <cellStyle name="출력 2 5 10" xfId="35261"/>
    <cellStyle name="출력 2 5 11" xfId="35262"/>
    <cellStyle name="출력 2 5 12" xfId="35263"/>
    <cellStyle name="출력 2 5 13" xfId="35264"/>
    <cellStyle name="출력 2 5 2" xfId="35265"/>
    <cellStyle name="출력 2 5 3" xfId="35266"/>
    <cellStyle name="출력 2 5 4" xfId="35267"/>
    <cellStyle name="출력 2 5 5" xfId="35268"/>
    <cellStyle name="출력 2 5 6" xfId="35269"/>
    <cellStyle name="출력 2 5 7" xfId="35270"/>
    <cellStyle name="출력 2 5 8" xfId="35271"/>
    <cellStyle name="출력 2 5 9" xfId="35272"/>
    <cellStyle name="출력 2 6" xfId="35273"/>
    <cellStyle name="출력 2 6 10" xfId="35274"/>
    <cellStyle name="출력 2 6 11" xfId="35275"/>
    <cellStyle name="출력 2 6 12" xfId="35276"/>
    <cellStyle name="출력 2 6 13" xfId="35277"/>
    <cellStyle name="출력 2 6 2" xfId="35278"/>
    <cellStyle name="출력 2 6 3" xfId="35279"/>
    <cellStyle name="출력 2 6 4" xfId="35280"/>
    <cellStyle name="출력 2 6 5" xfId="35281"/>
    <cellStyle name="출력 2 6 6" xfId="35282"/>
    <cellStyle name="출력 2 6 7" xfId="35283"/>
    <cellStyle name="출력 2 6 8" xfId="35284"/>
    <cellStyle name="출력 2 6 9" xfId="35285"/>
    <cellStyle name="출력 2 7" xfId="35286"/>
    <cellStyle name="출력 2 7 10" xfId="35287"/>
    <cellStyle name="출력 2 7 11" xfId="35288"/>
    <cellStyle name="출력 2 7 12" xfId="35289"/>
    <cellStyle name="출력 2 7 13" xfId="35290"/>
    <cellStyle name="출력 2 7 2" xfId="35291"/>
    <cellStyle name="출력 2 7 3" xfId="35292"/>
    <cellStyle name="출력 2 7 4" xfId="35293"/>
    <cellStyle name="출력 2 7 5" xfId="35294"/>
    <cellStyle name="출력 2 7 6" xfId="35295"/>
    <cellStyle name="출력 2 7 7" xfId="35296"/>
    <cellStyle name="출력 2 7 8" xfId="35297"/>
    <cellStyle name="출력 2 7 9" xfId="35298"/>
    <cellStyle name="출력 2 8" xfId="35299"/>
    <cellStyle name="출력 2 9" xfId="35300"/>
    <cellStyle name="출력 20" xfId="35301"/>
    <cellStyle name="출력 21" xfId="35302"/>
    <cellStyle name="출력 22" xfId="35303"/>
    <cellStyle name="출력 23" xfId="35304"/>
    <cellStyle name="출력 24" xfId="35305"/>
    <cellStyle name="출력 25" xfId="35306"/>
    <cellStyle name="출력 3" xfId="35307"/>
    <cellStyle name="출력 3 10" xfId="35308"/>
    <cellStyle name="출력 3 11" xfId="35309"/>
    <cellStyle name="출력 3 12" xfId="35310"/>
    <cellStyle name="출력 3 13" xfId="35311"/>
    <cellStyle name="출력 3 2" xfId="35312"/>
    <cellStyle name="출력 3 3" xfId="35313"/>
    <cellStyle name="출력 3 4" xfId="35314"/>
    <cellStyle name="출력 3 5" xfId="35315"/>
    <cellStyle name="출력 3 6" xfId="35316"/>
    <cellStyle name="출력 3 7" xfId="35317"/>
    <cellStyle name="출력 3 8" xfId="35318"/>
    <cellStyle name="출력 3 9" xfId="35319"/>
    <cellStyle name="출력 4" xfId="35320"/>
    <cellStyle name="출력 4 10" xfId="35321"/>
    <cellStyle name="출력 4 11" xfId="35322"/>
    <cellStyle name="출력 4 12" xfId="35323"/>
    <cellStyle name="출력 4 13" xfId="35324"/>
    <cellStyle name="출력 4 2" xfId="35325"/>
    <cellStyle name="출력 4 3" xfId="35326"/>
    <cellStyle name="출력 4 4" xfId="35327"/>
    <cellStyle name="출력 4 5" xfId="35328"/>
    <cellStyle name="출력 4 6" xfId="35329"/>
    <cellStyle name="출력 4 7" xfId="35330"/>
    <cellStyle name="출력 4 8" xfId="35331"/>
    <cellStyle name="출력 4 9" xfId="35332"/>
    <cellStyle name="출력 5" xfId="35333"/>
    <cellStyle name="출력 5 10" xfId="35334"/>
    <cellStyle name="출력 5 11" xfId="35335"/>
    <cellStyle name="출력 5 12" xfId="35336"/>
    <cellStyle name="출력 5 13" xfId="35337"/>
    <cellStyle name="출력 5 2" xfId="35338"/>
    <cellStyle name="출력 5 3" xfId="35339"/>
    <cellStyle name="출력 5 4" xfId="35340"/>
    <cellStyle name="출력 5 5" xfId="35341"/>
    <cellStyle name="출력 5 6" xfId="35342"/>
    <cellStyle name="출력 5 7" xfId="35343"/>
    <cellStyle name="출력 5 8" xfId="35344"/>
    <cellStyle name="출력 5 9" xfId="35345"/>
    <cellStyle name="출력 6" xfId="35346"/>
    <cellStyle name="출력 6 10" xfId="35347"/>
    <cellStyle name="출력 6 11" xfId="35348"/>
    <cellStyle name="출력 6 12" xfId="35349"/>
    <cellStyle name="출력 6 13" xfId="35350"/>
    <cellStyle name="출력 6 2" xfId="35351"/>
    <cellStyle name="출력 6 3" xfId="35352"/>
    <cellStyle name="출력 6 4" xfId="35353"/>
    <cellStyle name="출력 6 5" xfId="35354"/>
    <cellStyle name="출력 6 6" xfId="35355"/>
    <cellStyle name="출력 6 7" xfId="35356"/>
    <cellStyle name="출력 6 8" xfId="35357"/>
    <cellStyle name="출력 6 9" xfId="35358"/>
    <cellStyle name="출력 7" xfId="35359"/>
    <cellStyle name="출력 7 10" xfId="35360"/>
    <cellStyle name="출력 7 11" xfId="35361"/>
    <cellStyle name="출력 7 12" xfId="35362"/>
    <cellStyle name="출력 7 13" xfId="35363"/>
    <cellStyle name="출력 7 2" xfId="35364"/>
    <cellStyle name="출력 7 3" xfId="35365"/>
    <cellStyle name="출력 7 4" xfId="35366"/>
    <cellStyle name="출력 7 5" xfId="35367"/>
    <cellStyle name="출력 7 6" xfId="35368"/>
    <cellStyle name="출력 7 7" xfId="35369"/>
    <cellStyle name="출력 7 8" xfId="35370"/>
    <cellStyle name="출력 7 9" xfId="35371"/>
    <cellStyle name="출력 8" xfId="35372"/>
    <cellStyle name="출력 8 10" xfId="35373"/>
    <cellStyle name="출력 8 11" xfId="35374"/>
    <cellStyle name="출력 8 12" xfId="35375"/>
    <cellStyle name="출력 8 13" xfId="35376"/>
    <cellStyle name="출력 8 2" xfId="35377"/>
    <cellStyle name="출력 8 3" xfId="35378"/>
    <cellStyle name="출력 8 4" xfId="35379"/>
    <cellStyle name="출력 8 5" xfId="35380"/>
    <cellStyle name="출력 8 6" xfId="35381"/>
    <cellStyle name="출력 8 7" xfId="35382"/>
    <cellStyle name="출력 8 8" xfId="35383"/>
    <cellStyle name="출력 8 9" xfId="35384"/>
    <cellStyle name="출력 9" xfId="35385"/>
    <cellStyle name="출력 9 10" xfId="35386"/>
    <cellStyle name="출력 9 11" xfId="35387"/>
    <cellStyle name="출력 9 12" xfId="35388"/>
    <cellStyle name="출력 9 13" xfId="35389"/>
    <cellStyle name="출력 9 2" xfId="35390"/>
    <cellStyle name="출력 9 3" xfId="35391"/>
    <cellStyle name="출력 9 4" xfId="35392"/>
    <cellStyle name="출력 9 5" xfId="35393"/>
    <cellStyle name="출력 9 6" xfId="35394"/>
    <cellStyle name="출력 9 7" xfId="35395"/>
    <cellStyle name="출력 9 8" xfId="35396"/>
    <cellStyle name="출력 9 9" xfId="35397"/>
    <cellStyle name="콤" xfId="686"/>
    <cellStyle name="콤_20030218144011020-E1C865BF" xfId="35398"/>
    <cellStyle name="콤_20030218144011020-E1C865BF_현대오일뱅크 철골공사" xfId="35399"/>
    <cellStyle name="콤_경매(공매)보고" xfId="687"/>
    <cellStyle name="콤_김포 한강신도시 Ab-12(11.06.09)" xfId="688"/>
    <cellStyle name="콤_도로" xfId="2863"/>
    <cellStyle name="콤_동대문구 장안동 도심형생활주택(11.05.20)" xfId="689"/>
    <cellStyle name="콤_부대초안" xfId="2864"/>
    <cellStyle name="콤_부대초안_견적의뢰" xfId="2865"/>
    <cellStyle name="콤_부대초안_견적의뢰_삽교천개수공사(03.30)" xfId="2866"/>
    <cellStyle name="콤_부대초안_견적의뢰_삽교천개수공사(03.30)_구일초(06.17)-부대" xfId="2867"/>
    <cellStyle name="콤_부대초안_견적의뢰_삽교천개수공사(03.30)_남성지구(05.26)" xfId="2868"/>
    <cellStyle name="콤_부대초안_견적의뢰_삽교천개수공사(03.30)_동산초(06.1)" xfId="2869"/>
    <cellStyle name="콤_부대초안_견적의뢰_삽교천개수공사(03.30)_삽교천개수공사(03.30)" xfId="2870"/>
    <cellStyle name="콤_부대초안_견적의뢰_삽교천개수공사(03.30)_안산남부경찰서(06.16)-부대" xfId="2871"/>
    <cellStyle name="콤_부대초안_견적의뢰_삽교천개수공사(03.30)_제주제성교(05.27)" xfId="2872"/>
    <cellStyle name="콤_부대초안_견적의뢰_삽교천개수공사(03.30)_행목지구하천환경(05.25)" xfId="2873"/>
    <cellStyle name="콤_부대초안_김포투찰" xfId="2874"/>
    <cellStyle name="콤_부대초안_김포투찰_견적의뢰" xfId="2875"/>
    <cellStyle name="콤_부대초안_김포투찰_견적의뢰_삽교천개수공사(03.30)" xfId="2876"/>
    <cellStyle name="콤_부대초안_김포투찰_견적의뢰_삽교천개수공사(03.30)_구일초(06.17)-부대" xfId="2877"/>
    <cellStyle name="콤_부대초안_김포투찰_견적의뢰_삽교천개수공사(03.30)_남성지구(05.26)" xfId="2878"/>
    <cellStyle name="콤_부대초안_김포투찰_견적의뢰_삽교천개수공사(03.30)_동산초(06.1)" xfId="2879"/>
    <cellStyle name="콤_부대초안_김포투찰_견적의뢰_삽교천개수공사(03.30)_삽교천개수공사(03.30)" xfId="2880"/>
    <cellStyle name="콤_부대초안_김포투찰_견적의뢰_삽교천개수공사(03.30)_안산남부경찰서(06.16)-부대" xfId="2881"/>
    <cellStyle name="콤_부대초안_김포투찰_견적의뢰_삽교천개수공사(03.30)_제주제성교(05.27)" xfId="2882"/>
    <cellStyle name="콤_부대초안_김포투찰_견적의뢰_삽교천개수공사(03.30)_행목지구하천환경(05.25)" xfId="2883"/>
    <cellStyle name="콤_부대초안_삽교천개수공사(03.30)" xfId="2884"/>
    <cellStyle name="콤_부대초안_삽교천개수공사(03.30)_구일초(06.17)-부대" xfId="2885"/>
    <cellStyle name="콤_부대초안_삽교천개수공사(03.30)_남성지구(05.26)" xfId="2886"/>
    <cellStyle name="콤_부대초안_삽교천개수공사(03.30)_동산초(06.1)" xfId="2887"/>
    <cellStyle name="콤_부대초안_삽교천개수공사(03.30)_삽교천개수공사(03.30)" xfId="2888"/>
    <cellStyle name="콤_부대초안_삽교천개수공사(03.30)_안산남부경찰서(06.16)-부대" xfId="2889"/>
    <cellStyle name="콤_부대초안_삽교천개수공사(03.30)_제주제성교(05.27)" xfId="2890"/>
    <cellStyle name="콤_부대초안_삽교천개수공사(03.30)_행목지구하천환경(05.25)" xfId="2891"/>
    <cellStyle name="콤_사급재료비및운반비" xfId="35400"/>
    <cellStyle name="콤_사급재료비및운반비_현대오일뱅크 철골공사" xfId="35401"/>
    <cellStyle name="콤_삽교천개수공사(03.30)" xfId="2892"/>
    <cellStyle name="콤_삽교천개수공사(03.30)_구일초(06.17)-부대" xfId="2893"/>
    <cellStyle name="콤_삽교천개수공사(03.30)_남성지구(05.26)" xfId="2894"/>
    <cellStyle name="콤_삽교천개수공사(03.30)_동산초(06.1)" xfId="2895"/>
    <cellStyle name="콤_삽교천개수공사(03.30)_삽교천개수공사(03.30)" xfId="2896"/>
    <cellStyle name="콤_삽교천개수공사(03.30)_안산남부경찰서(06.16)-부대" xfId="2897"/>
    <cellStyle name="콤_삽교천개수공사(03.30)_제주제성교(05.27)" xfId="2898"/>
    <cellStyle name="콤_삽교천개수공사(03.30)_행목지구하천환경(05.25)" xfId="2899"/>
    <cellStyle name="콤_수량및 단가 산출내용표" xfId="35402"/>
    <cellStyle name="콤_수량및 단가 산출내용표_현대오일뱅크 철골공사" xfId="35403"/>
    <cellStyle name="콤_영흥#3,4 보일러철골설치및마감(MC-01)FINAL" xfId="35404"/>
    <cellStyle name="콤_영흥#3,4 보일러철골설치및마감(MC-01)FINAL_현대오일뱅크 철골공사" xfId="35405"/>
    <cellStyle name="콤_영흥#3,4 옥내기기기초(AC-05)" xfId="35406"/>
    <cellStyle name="콤_영흥#3,4 옥내기기기초(AC-05)_현대오일뱅크 철골공사" xfId="35407"/>
    <cellStyle name="콤_영흥#3,4 터빈발전기기초(AC-04)" xfId="35408"/>
    <cellStyle name="콤_영흥#3,4 터빈발전기기초(AC-04)_현대오일뱅크 철골공사" xfId="35409"/>
    <cellStyle name="콤_토목내역서" xfId="2900"/>
    <cellStyle name="콤_토목내역서_도로" xfId="2901"/>
    <cellStyle name="콤_토목내역서_부대초안" xfId="2902"/>
    <cellStyle name="콤_토목내역서_부대초안_견적의뢰" xfId="2903"/>
    <cellStyle name="콤_토목내역서_부대초안_견적의뢰_삽교천개수공사(03.30)" xfId="2904"/>
    <cellStyle name="콤_토목내역서_부대초안_견적의뢰_삽교천개수공사(03.30)_구일초(06.17)-부대" xfId="2905"/>
    <cellStyle name="콤_토목내역서_부대초안_견적의뢰_삽교천개수공사(03.30)_남성지구(05.26)" xfId="2906"/>
    <cellStyle name="콤_토목내역서_부대초안_견적의뢰_삽교천개수공사(03.30)_동산초(06.1)" xfId="2907"/>
    <cellStyle name="콤_토목내역서_부대초안_견적의뢰_삽교천개수공사(03.30)_삽교천개수공사(03.30)" xfId="2908"/>
    <cellStyle name="콤_토목내역서_부대초안_견적의뢰_삽교천개수공사(03.30)_안산남부경찰서(06.16)-부대" xfId="2909"/>
    <cellStyle name="콤_토목내역서_부대초안_견적의뢰_삽교천개수공사(03.30)_제주제성교(05.27)" xfId="2910"/>
    <cellStyle name="콤_토목내역서_부대초안_견적의뢰_삽교천개수공사(03.30)_행목지구하천환경(05.25)" xfId="2911"/>
    <cellStyle name="콤_토목내역서_부대초안_김포투찰" xfId="2912"/>
    <cellStyle name="콤_토목내역서_부대초안_김포투찰_견적의뢰" xfId="2913"/>
    <cellStyle name="콤_토목내역서_부대초안_김포투찰_견적의뢰_삽교천개수공사(03.30)" xfId="2914"/>
    <cellStyle name="콤_토목내역서_부대초안_김포투찰_견적의뢰_삽교천개수공사(03.30)_구일초(06.17)-부대" xfId="2915"/>
    <cellStyle name="콤_토목내역서_부대초안_김포투찰_견적의뢰_삽교천개수공사(03.30)_남성지구(05.26)" xfId="2916"/>
    <cellStyle name="콤_토목내역서_부대초안_김포투찰_견적의뢰_삽교천개수공사(03.30)_동산초(06.1)" xfId="2917"/>
    <cellStyle name="콤_토목내역서_부대초안_김포투찰_견적의뢰_삽교천개수공사(03.30)_삽교천개수공사(03.30)" xfId="2918"/>
    <cellStyle name="콤_토목내역서_부대초안_김포투찰_견적의뢰_삽교천개수공사(03.30)_안산남부경찰서(06.16)-부대" xfId="2919"/>
    <cellStyle name="콤_토목내역서_부대초안_김포투찰_견적의뢰_삽교천개수공사(03.30)_제주제성교(05.27)" xfId="2920"/>
    <cellStyle name="콤_토목내역서_부대초안_김포투찰_견적의뢰_삽교천개수공사(03.30)_행목지구하천환경(05.25)" xfId="2921"/>
    <cellStyle name="콤_토목내역서_부대초안_삽교천개수공사(03.30)" xfId="2922"/>
    <cellStyle name="콤_토목내역서_부대초안_삽교천개수공사(03.30)_구일초(06.17)-부대" xfId="2923"/>
    <cellStyle name="콤_토목내역서_부대초안_삽교천개수공사(03.30)_남성지구(05.26)" xfId="2924"/>
    <cellStyle name="콤_토목내역서_부대초안_삽교천개수공사(03.30)_동산초(06.1)" xfId="2925"/>
    <cellStyle name="콤_토목내역서_부대초안_삽교천개수공사(03.30)_삽교천개수공사(03.30)" xfId="2926"/>
    <cellStyle name="콤_토목내역서_부대초안_삽교천개수공사(03.30)_안산남부경찰서(06.16)-부대" xfId="2927"/>
    <cellStyle name="콤_토목내역서_부대초안_삽교천개수공사(03.30)_제주제성교(05.27)" xfId="2928"/>
    <cellStyle name="콤_토목내역서_부대초안_삽교천개수공사(03.30)_행목지구하천환경(05.25)" xfId="2929"/>
    <cellStyle name="콤_토목내역서_삽교천개수공사(03.30)" xfId="2930"/>
    <cellStyle name="콤_토목내역서_삽교천개수공사(03.30)_구일초(06.17)-부대" xfId="2931"/>
    <cellStyle name="콤_토목내역서_삽교천개수공사(03.30)_남성지구(05.26)" xfId="2932"/>
    <cellStyle name="콤_토목내역서_삽교천개수공사(03.30)_동산초(06.1)" xfId="2933"/>
    <cellStyle name="콤_토목내역서_삽교천개수공사(03.30)_삽교천개수공사(03.30)" xfId="2934"/>
    <cellStyle name="콤_토목내역서_삽교천개수공사(03.30)_안산남부경찰서(06.16)-부대" xfId="2935"/>
    <cellStyle name="콤_토목내역서_삽교천개수공사(03.30)_제주제성교(05.27)" xfId="2936"/>
    <cellStyle name="콤_토목내역서_삽교천개수공사(03.30)_행목지구하천환경(05.25)" xfId="2937"/>
    <cellStyle name="콤냡?&lt;_x000f_$??: `1_1 " xfId="35410"/>
    <cellStyle name="콤마 [" xfId="690"/>
    <cellStyle name="콤마 [ - 유형1" xfId="35411"/>
    <cellStyle name="콤마 [ - 유형2" xfId="35412"/>
    <cellStyle name="콤마 [ - 유형3" xfId="35413"/>
    <cellStyle name="콤마 [ - 유형4" xfId="35414"/>
    <cellStyle name="콤마 [ - 유형5" xfId="35415"/>
    <cellStyle name="콤마 [ - 유형6" xfId="35416"/>
    <cellStyle name="콤마 [ - 유형7" xfId="35417"/>
    <cellStyle name="콤마 [ - 유형8" xfId="35418"/>
    <cellStyle name="콤마 [#]" xfId="35419"/>
    <cellStyle name="콤마 []" xfId="35420"/>
    <cellStyle name="콤마 [-]" xfId="35421"/>
    <cellStyle name="콤마 [-] 2" xfId="35422"/>
    <cellStyle name="콤마 [-] 3" xfId="35423"/>
    <cellStyle name="콤마 [0]" xfId="2938"/>
    <cellStyle name="콤마 [0]?SAUP-1" xfId="35424"/>
    <cellStyle name="콤마 [0]_   " xfId="35425"/>
    <cellStyle name="콤마 [0]⛸SAUP-1" xfId="35427"/>
    <cellStyle name="콤마 [0]laroux_1" xfId="35426"/>
    <cellStyle name="콤마 [0]기기자재비" xfId="35428"/>
    <cellStyle name="콤마 [1]" xfId="35429"/>
    <cellStyle name="콤마 [2]" xfId="377"/>
    <cellStyle name="콤마 [2] 2" xfId="691"/>
    <cellStyle name="콤마 [2] 2 2" xfId="35430"/>
    <cellStyle name="콤마 [2] 3" xfId="35431"/>
    <cellStyle name="콤마 [금액]" xfId="2939"/>
    <cellStyle name="콤마 [소수]" xfId="2940"/>
    <cellStyle name="콤마 [수량]" xfId="2941"/>
    <cellStyle name="콤마 1" xfId="35432"/>
    <cellStyle name="콤마,_x0005__x0014_" xfId="35433"/>
    <cellStyle name="콤마[ ]" xfId="35434"/>
    <cellStyle name="콤마[*]" xfId="35435"/>
    <cellStyle name="콤마[,]" xfId="35436"/>
    <cellStyle name="콤마[,] 2" xfId="35437"/>
    <cellStyle name="콤마[,] 3" xfId="35438"/>
    <cellStyle name="콤마[.]" xfId="35439"/>
    <cellStyle name="콤마[0]" xfId="2942"/>
    <cellStyle name="콤마[0] 2" xfId="2943"/>
    <cellStyle name="콤마[0] 3" xfId="2944"/>
    <cellStyle name="콤마_   " xfId="35440"/>
    <cellStyle name="콤마ꆸ[0]_2월 3주차" xfId="35441"/>
    <cellStyle name="테두리(실선)" xfId="35442"/>
    <cellStyle name="통" xfId="692"/>
    <cellStyle name="통_20030218144011020-E1C865BF" xfId="35443"/>
    <cellStyle name="통_20030218144011020-E1C865BF_현대오일뱅크 철골공사" xfId="35444"/>
    <cellStyle name="통_경매(공매)보고" xfId="693"/>
    <cellStyle name="통_김포 한강신도시 Ab-12(11.06.09)" xfId="694"/>
    <cellStyle name="통_도로" xfId="2945"/>
    <cellStyle name="통_동대문구 장안동 도심형생활주택(11.05.20)" xfId="695"/>
    <cellStyle name="통_부대초안" xfId="2946"/>
    <cellStyle name="통_부대초안_견적의뢰" xfId="2947"/>
    <cellStyle name="통_부대초안_견적의뢰_삽교천개수공사(03.30)" xfId="2948"/>
    <cellStyle name="통_부대초안_견적의뢰_삽교천개수공사(03.30)_구일초(06.17)-부대" xfId="2949"/>
    <cellStyle name="통_부대초안_견적의뢰_삽교천개수공사(03.30)_남성지구(05.26)" xfId="2950"/>
    <cellStyle name="통_부대초안_견적의뢰_삽교천개수공사(03.30)_동산초(06.1)" xfId="2951"/>
    <cellStyle name="통_부대초안_견적의뢰_삽교천개수공사(03.30)_삽교천개수공사(03.30)" xfId="2952"/>
    <cellStyle name="통_부대초안_견적의뢰_삽교천개수공사(03.30)_안산남부경찰서(06.16)-부대" xfId="2953"/>
    <cellStyle name="통_부대초안_견적의뢰_삽교천개수공사(03.30)_제주제성교(05.27)" xfId="2954"/>
    <cellStyle name="통_부대초안_견적의뢰_삽교천개수공사(03.30)_행목지구하천환경(05.25)" xfId="2955"/>
    <cellStyle name="통_부대초안_김포투찰" xfId="2956"/>
    <cellStyle name="통_부대초안_김포투찰_견적의뢰" xfId="2957"/>
    <cellStyle name="통_부대초안_김포투찰_견적의뢰_삽교천개수공사(03.30)" xfId="2958"/>
    <cellStyle name="통_부대초안_김포투찰_견적의뢰_삽교천개수공사(03.30)_구일초(06.17)-부대" xfId="2959"/>
    <cellStyle name="통_부대초안_김포투찰_견적의뢰_삽교천개수공사(03.30)_남성지구(05.26)" xfId="2960"/>
    <cellStyle name="통_부대초안_김포투찰_견적의뢰_삽교천개수공사(03.30)_동산초(06.1)" xfId="2961"/>
    <cellStyle name="통_부대초안_김포투찰_견적의뢰_삽교천개수공사(03.30)_삽교천개수공사(03.30)" xfId="2962"/>
    <cellStyle name="통_부대초안_김포투찰_견적의뢰_삽교천개수공사(03.30)_안산남부경찰서(06.16)-부대" xfId="2963"/>
    <cellStyle name="통_부대초안_김포투찰_견적의뢰_삽교천개수공사(03.30)_제주제성교(05.27)" xfId="2964"/>
    <cellStyle name="통_부대초안_김포투찰_견적의뢰_삽교천개수공사(03.30)_행목지구하천환경(05.25)" xfId="2965"/>
    <cellStyle name="통_부대초안_삽교천개수공사(03.30)" xfId="2966"/>
    <cellStyle name="통_부대초안_삽교천개수공사(03.30)_구일초(06.17)-부대" xfId="2967"/>
    <cellStyle name="통_부대초안_삽교천개수공사(03.30)_남성지구(05.26)" xfId="2968"/>
    <cellStyle name="통_부대초안_삽교천개수공사(03.30)_동산초(06.1)" xfId="2969"/>
    <cellStyle name="통_부대초안_삽교천개수공사(03.30)_삽교천개수공사(03.30)" xfId="2970"/>
    <cellStyle name="통_부대초안_삽교천개수공사(03.30)_안산남부경찰서(06.16)-부대" xfId="2971"/>
    <cellStyle name="통_부대초안_삽교천개수공사(03.30)_제주제성교(05.27)" xfId="2972"/>
    <cellStyle name="통_부대초안_삽교천개수공사(03.30)_행목지구하천환경(05.25)" xfId="2973"/>
    <cellStyle name="통_사급재료비및운반비" xfId="35445"/>
    <cellStyle name="통_사급재료비및운반비_현대오일뱅크 철골공사" xfId="35446"/>
    <cellStyle name="통_삽교천개수공사(03.30)" xfId="2974"/>
    <cellStyle name="통_삽교천개수공사(03.30)_구일초(06.17)-부대" xfId="2975"/>
    <cellStyle name="통_삽교천개수공사(03.30)_남성지구(05.26)" xfId="2976"/>
    <cellStyle name="통_삽교천개수공사(03.30)_동산초(06.1)" xfId="2977"/>
    <cellStyle name="통_삽교천개수공사(03.30)_삽교천개수공사(03.30)" xfId="2978"/>
    <cellStyle name="통_삽교천개수공사(03.30)_안산남부경찰서(06.16)-부대" xfId="2979"/>
    <cellStyle name="통_삽교천개수공사(03.30)_제주제성교(05.27)" xfId="2980"/>
    <cellStyle name="통_삽교천개수공사(03.30)_행목지구하천환경(05.25)" xfId="2981"/>
    <cellStyle name="통_수량및 단가 산출내용표" xfId="35447"/>
    <cellStyle name="통_수량및 단가 산출내용표_현대오일뱅크 철골공사" xfId="35448"/>
    <cellStyle name="통_영흥#3,4 보일러철골설치및마감(MC-01)FINAL" xfId="35449"/>
    <cellStyle name="통_영흥#3,4 보일러철골설치및마감(MC-01)FINAL_현대오일뱅크 철골공사" xfId="35450"/>
    <cellStyle name="통_영흥#3,4 옥내기기기초(AC-05)" xfId="35451"/>
    <cellStyle name="통_영흥#3,4 옥내기기기초(AC-05)_현대오일뱅크 철골공사" xfId="35452"/>
    <cellStyle name="통_영흥#3,4 터빈발전기기초(AC-04)" xfId="35453"/>
    <cellStyle name="통_영흥#3,4 터빈발전기기초(AC-04)_현대오일뱅크 철골공사" xfId="35454"/>
    <cellStyle name="통_토목내역서" xfId="2982"/>
    <cellStyle name="통_토목내역서_도로" xfId="2983"/>
    <cellStyle name="통_토목내역서_부대초안" xfId="2984"/>
    <cellStyle name="통_토목내역서_부대초안_견적의뢰" xfId="2985"/>
    <cellStyle name="통_토목내역서_부대초안_견적의뢰_삽교천개수공사(03.30)" xfId="2986"/>
    <cellStyle name="통_토목내역서_부대초안_견적의뢰_삽교천개수공사(03.30)_구일초(06.17)-부대" xfId="2987"/>
    <cellStyle name="통_토목내역서_부대초안_견적의뢰_삽교천개수공사(03.30)_남성지구(05.26)" xfId="2988"/>
    <cellStyle name="통_토목내역서_부대초안_견적의뢰_삽교천개수공사(03.30)_동산초(06.1)" xfId="2989"/>
    <cellStyle name="통_토목내역서_부대초안_견적의뢰_삽교천개수공사(03.30)_삽교천개수공사(03.30)" xfId="2990"/>
    <cellStyle name="통_토목내역서_부대초안_견적의뢰_삽교천개수공사(03.30)_안산남부경찰서(06.16)-부대" xfId="2991"/>
    <cellStyle name="통_토목내역서_부대초안_견적의뢰_삽교천개수공사(03.30)_제주제성교(05.27)" xfId="2992"/>
    <cellStyle name="통_토목내역서_부대초안_견적의뢰_삽교천개수공사(03.30)_행목지구하천환경(05.25)" xfId="2993"/>
    <cellStyle name="통_토목내역서_부대초안_김포투찰" xfId="2994"/>
    <cellStyle name="통_토목내역서_부대초안_김포투찰_견적의뢰" xfId="2995"/>
    <cellStyle name="통_토목내역서_부대초안_김포투찰_견적의뢰_삽교천개수공사(03.30)" xfId="2996"/>
    <cellStyle name="통_토목내역서_부대초안_김포투찰_견적의뢰_삽교천개수공사(03.30)_구일초(06.17)-부대" xfId="2997"/>
    <cellStyle name="통_토목내역서_부대초안_김포투찰_견적의뢰_삽교천개수공사(03.30)_남성지구(05.26)" xfId="2998"/>
    <cellStyle name="통_토목내역서_부대초안_김포투찰_견적의뢰_삽교천개수공사(03.30)_동산초(06.1)" xfId="2999"/>
    <cellStyle name="통_토목내역서_부대초안_김포투찰_견적의뢰_삽교천개수공사(03.30)_삽교천개수공사(03.30)" xfId="3000"/>
    <cellStyle name="통_토목내역서_부대초안_김포투찰_견적의뢰_삽교천개수공사(03.30)_안산남부경찰서(06.16)-부대" xfId="3001"/>
    <cellStyle name="통_토목내역서_부대초안_김포투찰_견적의뢰_삽교천개수공사(03.30)_제주제성교(05.27)" xfId="3002"/>
    <cellStyle name="통_토목내역서_부대초안_김포투찰_견적의뢰_삽교천개수공사(03.30)_행목지구하천환경(05.25)" xfId="3003"/>
    <cellStyle name="통_토목내역서_부대초안_삽교천개수공사(03.30)" xfId="3004"/>
    <cellStyle name="통_토목내역서_부대초안_삽교천개수공사(03.30)_구일초(06.17)-부대" xfId="3005"/>
    <cellStyle name="통_토목내역서_부대초안_삽교천개수공사(03.30)_남성지구(05.26)" xfId="3006"/>
    <cellStyle name="통_토목내역서_부대초안_삽교천개수공사(03.30)_동산초(06.1)" xfId="3007"/>
    <cellStyle name="통_토목내역서_부대초안_삽교천개수공사(03.30)_삽교천개수공사(03.30)" xfId="3008"/>
    <cellStyle name="통_토목내역서_부대초안_삽교천개수공사(03.30)_안산남부경찰서(06.16)-부대" xfId="3009"/>
    <cellStyle name="통_토목내역서_부대초안_삽교천개수공사(03.30)_제주제성교(05.27)" xfId="3010"/>
    <cellStyle name="통_토목내역서_부대초안_삽교천개수공사(03.30)_행목지구하천환경(05.25)" xfId="3011"/>
    <cellStyle name="통_토목내역서_삽교천개수공사(03.30)" xfId="3012"/>
    <cellStyle name="통_토목내역서_삽교천개수공사(03.30)_구일초(06.17)-부대" xfId="3013"/>
    <cellStyle name="통_토목내역서_삽교천개수공사(03.30)_남성지구(05.26)" xfId="3014"/>
    <cellStyle name="통_토목내역서_삽교천개수공사(03.30)_동산초(06.1)" xfId="3015"/>
    <cellStyle name="통_토목내역서_삽교천개수공사(03.30)_삽교천개수공사(03.30)" xfId="3016"/>
    <cellStyle name="통_토목내역서_삽교천개수공사(03.30)_안산남부경찰서(06.16)-부대" xfId="3017"/>
    <cellStyle name="통_토목내역서_삽교천개수공사(03.30)_제주제성교(05.27)" xfId="3018"/>
    <cellStyle name="통_토목내역서_삽교천개수공사(03.30)_행목지구하천환경(05.25)" xfId="3019"/>
    <cellStyle name="통화 [" xfId="696"/>
    <cellStyle name="통화 [0] 2" xfId="3020"/>
    <cellStyle name="통화 [0] 2 2" xfId="35455"/>
    <cellStyle name="통화 [0] 3" xfId="35456"/>
    <cellStyle name="통화 [0ဠ_Model mix1_원가 " xfId="35457"/>
    <cellStyle name="통화 [1]" xfId="35458"/>
    <cellStyle name="통화 [1] 2" xfId="35459"/>
    <cellStyle name="통화 2" xfId="35460"/>
    <cellStyle name="트럭" xfId="35461"/>
    <cellStyle name="퍼센트" xfId="378"/>
    <cellStyle name="퍼센트 2" xfId="697"/>
    <cellStyle name="퍼센트 3" xfId="4405"/>
    <cellStyle name="퍼센트(0)" xfId="35462"/>
    <cellStyle name="퍼센트_각종부당금-하동군070614" xfId="35463"/>
    <cellStyle name="평" xfId="379"/>
    <cellStyle name="평_(문원고기만)MODEL0318" xfId="35464"/>
    <cellStyle name="평_(문원고기만)MODEL0318 2" xfId="35465"/>
    <cellStyle name="평_(문원고기만)MODEL0318_112504_CN FM_보장조정_협약변경-재조달순-rv1" xfId="35466"/>
    <cellStyle name="평_(문원고기만)MODEL0318_112504_CN FM_보장조정_협약변경-재조달순-rv1 2" xfId="35467"/>
    <cellStyle name="평_(문원고기만)MODEL0318_CN Financial Model-090704-4%" xfId="35468"/>
    <cellStyle name="평_(문원고기만)MODEL0318_CN Financial Model-090704-4% 2" xfId="35469"/>
    <cellStyle name="평_(문원고기만)MODEL0318_CN Financial Model-102004" xfId="35470"/>
    <cellStyle name="평_(문원고기만)MODEL0318_CN Financial Model-102004 2" xfId="35471"/>
    <cellStyle name="평_(제출용)재무모델_(가칭)영신개발관리(주)" xfId="380"/>
    <cellStyle name="평_(제출용)재무모델_(가칭)영신개발관리(주)_재무모델_김천하수관거_0221" xfId="381"/>
    <cellStyle name="평_(제출용)재무모델_(가칭)영신개발관리(주)_재무모델_김천하수관거_0222" xfId="382"/>
    <cellStyle name="평_(제출용)재무모델_(가칭)영신개발관리(주)_재무모델_김천하수관거_0224" xfId="383"/>
    <cellStyle name="평_(제출용)재무모델_(가칭)영신개발관리(주)_재무모델_김천하수관거_부속작업중" xfId="384"/>
    <cellStyle name="평_1. 청주 부대비용(운영기간중)" xfId="385"/>
    <cellStyle name="평_1. 청주 부대비용(운영기간중)_FS_Undur Naran_ver6.1" xfId="35472"/>
    <cellStyle name="평_1. 청주 부대비용(운영기간중)_FS_UndurNaran_Gold_2.0_NGH" xfId="35473"/>
    <cellStyle name="평_1. 청주 부대비용(운영기간중)_인플레이션&amp;상대가치법&amp;WACC서칭_국가별 구분" xfId="35474"/>
    <cellStyle name="평_1. 청주 부대비용(운영기간중)_장흥 운영기간중 비용-rev" xfId="35475"/>
    <cellStyle name="평_1. 청주 부대비용(운영기간중)_장흥 운영기간중 비용-rev 2" xfId="35476"/>
    <cellStyle name="평_1. 청주 부대비용(운영기간중)_장흥 운영기간중 비용-rev_김천 운영기간중 비용2007.2.18(홍_수정)" xfId="35477"/>
    <cellStyle name="평_1. 청주 부대비용(운영기간중)_장흥 운영기간중 비용-rev_김천 운영기간중 비용2007.2.18(홍_수정) 2" xfId="35478"/>
    <cellStyle name="평_1. 청주 부대비용(운영기간중)_재무모델_김천하수관거_0221" xfId="386"/>
    <cellStyle name="평_1. 청주 부대비용(운영기간중)_재무모델_김천하수관거_0222" xfId="387"/>
    <cellStyle name="평_1. 청주 부대비용(운영기간중)_재무모델_김천하수관거_0224" xfId="388"/>
    <cellStyle name="평_1. 청주 부대비용(운영기간중)_재무모델_김천하수관거_부속작업중" xfId="389"/>
    <cellStyle name="평_1.부대비용(운영기간중)050217" xfId="390"/>
    <cellStyle name="평_1.부대비용(운영기간중)050217_FS_Undur Naran_ver6.1" xfId="35479"/>
    <cellStyle name="평_1.부대비용(운영기간중)050217_FS_UndurNaran_Gold_2.0_NGH" xfId="35480"/>
    <cellStyle name="평_1.부대비용(운영기간중)050217_인플레이션&amp;상대가치법&amp;WACC서칭_국가별 구분" xfId="35481"/>
    <cellStyle name="평_1.부대비용(운영기간중)050217_장흥 운영기간중 비용-rev" xfId="35482"/>
    <cellStyle name="평_1.부대비용(운영기간중)050217_장흥 운영기간중 비용-rev 2" xfId="35483"/>
    <cellStyle name="평_1.부대비용(운영기간중)050217_장흥 운영기간중 비용-rev_김천 운영기간중 비용2007.2.18(홍_수정)" xfId="35484"/>
    <cellStyle name="평_1.부대비용(운영기간중)050217_장흥 운영기간중 비용-rev_김천 운영기간중 비용2007.2.18(홍_수정) 2" xfId="35485"/>
    <cellStyle name="평_1.부대비용(운영기간중)050217_재무모델_김천하수관거_0221" xfId="391"/>
    <cellStyle name="평_1.부대비용(운영기간중)050217_재무모델_김천하수관거_0222" xfId="392"/>
    <cellStyle name="평_1.부대비용(운영기간중)050217_재무모델_김천하수관거_0224" xfId="393"/>
    <cellStyle name="평_1.부대비용(운영기간중)050217_재무모델_김천하수관거_부속작업중" xfId="394"/>
    <cellStyle name="평_30년간운영비용(총괄)(백데이터)" xfId="35486"/>
    <cellStyle name="평_30년간운영비용(총괄)(백데이터) 2" xfId="35487"/>
    <cellStyle name="평_6. 전력비 총괄(2004.3.16)" xfId="395"/>
    <cellStyle name="평_6. 전력비 총괄(2004.3.16)_FS_MS STP_092005_v7" xfId="35488"/>
    <cellStyle name="평_6. 전력비 총괄(2004.3.16)_FS_MS STP_092005_v7 2" xfId="35489"/>
    <cellStyle name="평_6. 전력비 총괄(2004.3.16)_FS_MS STP_092005_v8" xfId="35490"/>
    <cellStyle name="평_6. 전력비 총괄(2004.3.16)_FS_MS STP_092005_v8 2" xfId="35491"/>
    <cellStyle name="평_6. 전력비 총괄(2004.3.16)_FS_Undur Naran_ver6.1" xfId="35492"/>
    <cellStyle name="평_6. 전력비 총괄(2004.3.16)_FS_UndurNaran_Gold_2.0_NGH" xfId="35493"/>
    <cellStyle name="평_6. 전력비 총괄(2004.3.16)_인플레이션&amp;상대가치법&amp;WACC서칭_국가별 구분" xfId="35494"/>
    <cellStyle name="평_6. 전력비 총괄(2004.3.16)_장흥 운영기간중 비용-rev" xfId="35495"/>
    <cellStyle name="평_6. 전력비 총괄(2004.3.16)_장흥 운영기간중 비용-rev 2" xfId="35496"/>
    <cellStyle name="평_6. 전력비 총괄(2004.3.16)_장흥 운영기간중 비용-rev_김천 운영기간중 비용2007.2.18(홍_수정)" xfId="35497"/>
    <cellStyle name="평_6. 전력비 총괄(2004.3.16)_장흥 운영기간중 비용-rev_김천 운영기간중 비용2007.2.18(홍_수정) 2" xfId="35498"/>
    <cellStyle name="평_6. 전력비 총괄(2004.3.16)_재무모델_김천하수관거_0221" xfId="396"/>
    <cellStyle name="평_6. 전력비 총괄(2004.3.16)_재무모델_김천하수관거_0222" xfId="397"/>
    <cellStyle name="평_6. 전력비 총괄(2004.3.16)_재무모델_김천하수관거_0224" xfId="398"/>
    <cellStyle name="평_6. 전력비 총괄(2004.3.16)_재무모델_김천하수관거_부속작업중" xfId="399"/>
    <cellStyle name="평_6-1. 전력부하 집계표(최종)" xfId="400"/>
    <cellStyle name="평_6-1. 전력부하 집계표(최종)_FS_MS STP_092005_v7" xfId="35499"/>
    <cellStyle name="평_6-1. 전력부하 집계표(최종)_FS_MS STP_092005_v7 2" xfId="35500"/>
    <cellStyle name="평_6-1. 전력부하 집계표(최종)_FS_MS STP_092005_v8" xfId="35501"/>
    <cellStyle name="평_6-1. 전력부하 집계표(최종)_FS_MS STP_092005_v8 2" xfId="35502"/>
    <cellStyle name="평_6-1. 전력부하 집계표(최종)_FS_Undur Naran_ver6.1" xfId="35503"/>
    <cellStyle name="평_6-1. 전력부하 집계표(최종)_FS_UndurNaran_Gold_2.0_NGH" xfId="35504"/>
    <cellStyle name="평_6-1. 전력부하 집계표(최종)_인플레이션&amp;상대가치법&amp;WACC서칭_국가별 구분" xfId="35505"/>
    <cellStyle name="평_6-1. 전력부하 집계표(최종)_장흥 운영기간중 비용-rev" xfId="35506"/>
    <cellStyle name="평_6-1. 전력부하 집계표(최종)_장흥 운영기간중 비용-rev 2" xfId="35507"/>
    <cellStyle name="평_6-1. 전력부하 집계표(최종)_장흥 운영기간중 비용-rev_김천 운영기간중 비용2007.2.18(홍_수정)" xfId="35508"/>
    <cellStyle name="평_6-1. 전력부하 집계표(최종)_장흥 운영기간중 비용-rev_김천 운영기간중 비용2007.2.18(홍_수정) 2" xfId="35509"/>
    <cellStyle name="평_6-1. 전력부하 집계표(최종)_재무모델_김천하수관거_0221" xfId="401"/>
    <cellStyle name="평_6-1. 전력부하 집계표(최종)_재무모델_김천하수관거_0222" xfId="402"/>
    <cellStyle name="평_6-1. 전력부하 집계표(최종)_재무모델_김천하수관거_0224" xfId="403"/>
    <cellStyle name="평_6-1. 전력부하 집계표(최종)_재무모델_김천하수관거_부속작업중" xfId="404"/>
    <cellStyle name="평_Book1" xfId="35510"/>
    <cellStyle name="평_Book1 2" xfId="35511"/>
    <cellStyle name="평_Book1_장흥 운영기간중 비용-rev" xfId="35512"/>
    <cellStyle name="평_Book1_장흥 운영기간중 비용-rev 2" xfId="35513"/>
    <cellStyle name="평_Book1_장흥 운영기간중 비용-rev_김천 운영기간중 비용2007.2.18(홍_수정)" xfId="35514"/>
    <cellStyle name="평_Book1_장흥 운영기간중 비용-rev_김천 운영기간중 비용2007.2.18(홍_수정) 2" xfId="35515"/>
    <cellStyle name="평_BTL_전북대생활관_073105_v29" xfId="35516"/>
    <cellStyle name="평_BTL_전북대생활관_073105_v29 2" xfId="35517"/>
    <cellStyle name="평_BTL_전북대생활관_073105_v29_BTL_전북대생활관_0780105_v35" xfId="35518"/>
    <cellStyle name="평_BTL_전북대생활관_073105_v29_BTL_전북대생활관_0780105_v35 2" xfId="35519"/>
    <cellStyle name="평_BTL_전북대생활관_073105_v29_BTL_전북대생활관_0780105_v35_FS_MS STP_091205_v1" xfId="35520"/>
    <cellStyle name="평_BTL_전북대생활관_073105_v29_BTL_전북대생활관_0780105_v35_FS_MS STP_091205_v1 2" xfId="35521"/>
    <cellStyle name="평_BTL_전북대생활관_073105_v29_BTL_전북대생활관_0780105_v35_FS_MS STP_091205_v1_FS_MS STP_092005_v7" xfId="35522"/>
    <cellStyle name="평_BTL_전북대생활관_073105_v29_BTL_전북대생활관_0780105_v35_FS_MS STP_091205_v1_FS_MS STP_092005_v7 2" xfId="35523"/>
    <cellStyle name="평_BTL_전북대생활관_073105_v29_BTL_전북대생활관_0780105_v35_FS_MS STP_091205_v1_FS_MS STP_092005_v8" xfId="35524"/>
    <cellStyle name="평_BTL_전북대생활관_073105_v29_BTL_전북대생활관_0780105_v35_FS_MS STP_091205_v1_FS_MS STP_092005_v8 2" xfId="35525"/>
    <cellStyle name="평_BTL_전북대생활관_073105_v29_BTL_전북대생활관_0780105_v35_FS_MS STP_091305_v1" xfId="35526"/>
    <cellStyle name="평_BTL_전북대생활관_073105_v29_BTL_전북대생활관_0780105_v35_FS_MS STP_091305_v1 2" xfId="35527"/>
    <cellStyle name="평_BTL_전북대생활관_073105_v29_BTL_전북대생활관_0780105_v35_FS_MS STP_091305_v1_FS_MS STP_092005_v7" xfId="35528"/>
    <cellStyle name="평_BTL_전북대생활관_073105_v29_BTL_전북대생활관_0780105_v35_FS_MS STP_091305_v1_FS_MS STP_092005_v7 2" xfId="35529"/>
    <cellStyle name="평_BTL_전북대생활관_073105_v29_BTL_전북대생활관_0780105_v35_FS_MS STP_091305_v1_FS_MS STP_092005_v8" xfId="35530"/>
    <cellStyle name="평_BTL_전북대생활관_073105_v29_BTL_전북대생활관_0780105_v35_FS_MS STP_091305_v1_FS_MS STP_092005_v8 2" xfId="35531"/>
    <cellStyle name="평_BTL_전북대생활관_073105_v29_BTL_전북대생활관_0780105_v35_FS_MS STP_091505_v5" xfId="35532"/>
    <cellStyle name="평_BTL_전북대생활관_073105_v29_BTL_전북대생활관_0780105_v35_FS_MS STP_091505_v5 2" xfId="35533"/>
    <cellStyle name="평_BTL_전북대생활관_073105_v29_BTL_전북대생활관_0780105_v35_FS_MS STP_091505_v5_FS_MS STP_092005_v7" xfId="35534"/>
    <cellStyle name="평_BTL_전북대생활관_073105_v29_BTL_전북대생활관_0780105_v35_FS_MS STP_091505_v5_FS_MS STP_092005_v7 2" xfId="35535"/>
    <cellStyle name="평_BTL_전북대생활관_073105_v29_BTL_전북대생활관_0780105_v35_FS_MS STP_091505_v5_FS_MS STP_092005_v8" xfId="35536"/>
    <cellStyle name="평_BTL_전북대생활관_073105_v29_BTL_전북대생활관_0780105_v35_FS_MS STP_091505_v5_FS_MS STP_092005_v8 2" xfId="35537"/>
    <cellStyle name="평_BTL_전북대생활관_073105_v29_BTL_전북대생활관_0780105_v35_논산시하수관거BTL사업_재무모델_논산관거관리(주)" xfId="35538"/>
    <cellStyle name="평_BTL_전북대생활관_073105_v29_BTL_전북대생활관_0780105_v35_논산시하수관거BTL사업_재무모델_논산관거관리(주) 2" xfId="35539"/>
    <cellStyle name="평_BTL_전북대생활관_073105_v29_BTL_전북대생활관_0780105_v35_논산시하수관거BTL사업_재무모델_논산관거관리(주)_FS_MS STP_092005_v7" xfId="35540"/>
    <cellStyle name="평_BTL_전북대생활관_073105_v29_BTL_전북대생활관_0780105_v35_논산시하수관거BTL사업_재무모델_논산관거관리(주)_FS_MS STP_092005_v7 2" xfId="35541"/>
    <cellStyle name="평_BTL_전북대생활관_073105_v29_BTL_전북대생활관_0780105_v35_논산시하수관거BTL사업_재무모델_논산관거관리(주)_FS_MS STP_092005_v8" xfId="35542"/>
    <cellStyle name="평_BTL_전북대생활관_073105_v29_BTL_전북대생활관_0780105_v35_논산시하수관거BTL사업_재무모델_논산관거관리(주)_FS_MS STP_092005_v8 2" xfId="35543"/>
    <cellStyle name="평_BTL_전북대생활관_073105_v29_FS_MS STP_092005_v7" xfId="35544"/>
    <cellStyle name="평_BTL_전북대생활관_073105_v29_FS_MS STP_092005_v7 2" xfId="35545"/>
    <cellStyle name="평_BTL_전북대생활관_073105_v29_FS_MS STP_092005_v8" xfId="35546"/>
    <cellStyle name="평_BTL_전북대생활관_073105_v29_FS_MS STP_092005_v8 2" xfId="35547"/>
    <cellStyle name="평_BTL_전북대생활관_073105_v29_논산-2-1" xfId="35548"/>
    <cellStyle name="평_BTL_전북대생활관_073105_v29_논산-2-1 2" xfId="35549"/>
    <cellStyle name="평_BTL_전북대생활관_073105_v29_논산-2-1_FS_MS STP_091205_v1" xfId="35550"/>
    <cellStyle name="평_BTL_전북대생활관_073105_v29_논산-2-1_FS_MS STP_091205_v1 2" xfId="35551"/>
    <cellStyle name="평_BTL_전북대생활관_073105_v29_논산-2-1_FS_MS STP_091205_v1_FS_MS STP_092005_v7" xfId="35552"/>
    <cellStyle name="평_BTL_전북대생활관_073105_v29_논산-2-1_FS_MS STP_091205_v1_FS_MS STP_092005_v7 2" xfId="35553"/>
    <cellStyle name="평_BTL_전북대생활관_073105_v29_논산-2-1_FS_MS STP_091205_v1_FS_MS STP_092005_v8" xfId="35554"/>
    <cellStyle name="평_BTL_전북대생활관_073105_v29_논산-2-1_FS_MS STP_091205_v1_FS_MS STP_092005_v8 2" xfId="35555"/>
    <cellStyle name="평_BTL_전북대생활관_073105_v29_논산-2-1_FS_MS STP_091305_v1" xfId="35556"/>
    <cellStyle name="평_BTL_전북대생활관_073105_v29_논산-2-1_FS_MS STP_091305_v1 2" xfId="35557"/>
    <cellStyle name="평_BTL_전북대생활관_073105_v29_논산-2-1_FS_MS STP_091305_v1_FS_MS STP_092005_v7" xfId="35558"/>
    <cellStyle name="평_BTL_전북대생활관_073105_v29_논산-2-1_FS_MS STP_091305_v1_FS_MS STP_092005_v7 2" xfId="35559"/>
    <cellStyle name="평_BTL_전북대생활관_073105_v29_논산-2-1_FS_MS STP_091305_v1_FS_MS STP_092005_v8" xfId="35560"/>
    <cellStyle name="평_BTL_전북대생활관_073105_v29_논산-2-1_FS_MS STP_091305_v1_FS_MS STP_092005_v8 2" xfId="35561"/>
    <cellStyle name="평_BTL_전북대생활관_073105_v29_논산-2-1_FS_MS STP_091505_v5" xfId="35562"/>
    <cellStyle name="평_BTL_전북대생활관_073105_v29_논산-2-1_FS_MS STP_091505_v5 2" xfId="35563"/>
    <cellStyle name="평_BTL_전북대생활관_073105_v29_논산-2-1_FS_MS STP_091505_v5_FS_MS STP_092005_v7" xfId="35564"/>
    <cellStyle name="평_BTL_전북대생활관_073105_v29_논산-2-1_FS_MS STP_091505_v5_FS_MS STP_092005_v7 2" xfId="35565"/>
    <cellStyle name="평_BTL_전북대생활관_073105_v29_논산-2-1_FS_MS STP_091505_v5_FS_MS STP_092005_v8" xfId="35566"/>
    <cellStyle name="평_BTL_전북대생활관_073105_v29_논산-2-1_FS_MS STP_091505_v5_FS_MS STP_092005_v8 2" xfId="35567"/>
    <cellStyle name="평_BTL_전북대생활관_073105_v29_논산-2-1_논산시하수관거BTL사업_재무모델_논산관거관리(주)" xfId="35568"/>
    <cellStyle name="평_BTL_전북대생활관_073105_v29_논산-2-1_논산시하수관거BTL사업_재무모델_논산관거관리(주) 2" xfId="35569"/>
    <cellStyle name="평_BTL_전북대생활관_073105_v29_논산-2-1_논산시하수관거BTL사업_재무모델_논산관거관리(주)_FS_MS STP_092005_v7" xfId="35570"/>
    <cellStyle name="평_BTL_전북대생활관_073105_v29_논산-2-1_논산시하수관거BTL사업_재무모델_논산관거관리(주)_FS_MS STP_092005_v7 2" xfId="35571"/>
    <cellStyle name="평_BTL_전북대생활관_073105_v29_논산-2-1_논산시하수관거BTL사업_재무모델_논산관거관리(주)_FS_MS STP_092005_v8" xfId="35572"/>
    <cellStyle name="평_BTL_전북대생활관_073105_v29_논산-2-1_논산시하수관거BTL사업_재무모델_논산관거관리(주)_FS_MS STP_092005_v8 2" xfId="35573"/>
    <cellStyle name="평_BTL_전북대생활관_073105_v29_논산-4" xfId="35574"/>
    <cellStyle name="평_BTL_전북대생활관_073105_v29_논산-4 2" xfId="35575"/>
    <cellStyle name="평_BTL_전북대생활관_073105_v29_논산-4_FS_MS STP_091205_v1" xfId="35576"/>
    <cellStyle name="평_BTL_전북대생활관_073105_v29_논산-4_FS_MS STP_091205_v1 2" xfId="35577"/>
    <cellStyle name="평_BTL_전북대생활관_073105_v29_논산-4_FS_MS STP_091205_v1_FS_MS STP_092005_v7" xfId="35578"/>
    <cellStyle name="평_BTL_전북대생활관_073105_v29_논산-4_FS_MS STP_091205_v1_FS_MS STP_092005_v7 2" xfId="35579"/>
    <cellStyle name="평_BTL_전북대생활관_073105_v29_논산-4_FS_MS STP_091205_v1_FS_MS STP_092005_v8" xfId="35580"/>
    <cellStyle name="평_BTL_전북대생활관_073105_v29_논산-4_FS_MS STP_091205_v1_FS_MS STP_092005_v8 2" xfId="35581"/>
    <cellStyle name="평_BTL_전북대생활관_073105_v29_논산-4_FS_MS STP_091305_v1" xfId="35582"/>
    <cellStyle name="평_BTL_전북대생활관_073105_v29_논산-4_FS_MS STP_091305_v1 2" xfId="35583"/>
    <cellStyle name="평_BTL_전북대생활관_073105_v29_논산-4_FS_MS STP_091305_v1_FS_MS STP_092005_v7" xfId="35584"/>
    <cellStyle name="평_BTL_전북대생활관_073105_v29_논산-4_FS_MS STP_091305_v1_FS_MS STP_092005_v7 2" xfId="35585"/>
    <cellStyle name="평_BTL_전북대생활관_073105_v29_논산-4_FS_MS STP_091305_v1_FS_MS STP_092005_v8" xfId="35586"/>
    <cellStyle name="평_BTL_전북대생활관_073105_v29_논산-4_FS_MS STP_091305_v1_FS_MS STP_092005_v8 2" xfId="35587"/>
    <cellStyle name="평_BTL_전북대생활관_073105_v29_논산-4_FS_MS STP_091505_v5" xfId="35588"/>
    <cellStyle name="평_BTL_전북대생활관_073105_v29_논산-4_FS_MS STP_091505_v5 2" xfId="35589"/>
    <cellStyle name="평_BTL_전북대생활관_073105_v29_논산-4_FS_MS STP_091505_v5_FS_MS STP_092005_v7" xfId="35590"/>
    <cellStyle name="평_BTL_전북대생활관_073105_v29_논산-4_FS_MS STP_091505_v5_FS_MS STP_092005_v7 2" xfId="35591"/>
    <cellStyle name="평_BTL_전북대생활관_073105_v29_논산-4_FS_MS STP_091505_v5_FS_MS STP_092005_v8" xfId="35592"/>
    <cellStyle name="평_BTL_전북대생활관_073105_v29_논산-4_FS_MS STP_091505_v5_FS_MS STP_092005_v8 2" xfId="35593"/>
    <cellStyle name="평_BTL_전북대생활관_073105_v29_논산-4_논산시하수관거BTL사업_재무모델_논산관거관리(주)" xfId="35594"/>
    <cellStyle name="평_BTL_전북대생활관_073105_v29_논산-4_논산시하수관거BTL사업_재무모델_논산관거관리(주) 2" xfId="35595"/>
    <cellStyle name="평_BTL_전북대생활관_073105_v29_논산-4_논산시하수관거BTL사업_재무모델_논산관거관리(주)_FS_MS STP_092005_v7" xfId="35596"/>
    <cellStyle name="평_BTL_전북대생활관_073105_v29_논산-4_논산시하수관거BTL사업_재무모델_논산관거관리(주)_FS_MS STP_092005_v7 2" xfId="35597"/>
    <cellStyle name="평_BTL_전북대생활관_073105_v29_논산-4_논산시하수관거BTL사업_재무모델_논산관거관리(주)_FS_MS STP_092005_v8" xfId="35598"/>
    <cellStyle name="평_BTL_전북대생활관_073105_v29_논산-4_논산시하수관거BTL사업_재무모델_논산관거관리(주)_FS_MS STP_092005_v8 2" xfId="35599"/>
    <cellStyle name="평_CN Financial Model v11" xfId="35600"/>
    <cellStyle name="평_CN Financial Model v11 2" xfId="35601"/>
    <cellStyle name="평_CN Financial Model v11_112504_CN FM_보장조정_협약변경-재조달순-rv1" xfId="35602"/>
    <cellStyle name="평_CN Financial Model v11_112504_CN FM_보장조정_협약변경-재조달순-rv1 2" xfId="35603"/>
    <cellStyle name="평_CN Financial Model v11_CN Financial Model-090704-4%" xfId="35604"/>
    <cellStyle name="평_CN Financial Model v11_CN Financial Model-090704-4% 2" xfId="35605"/>
    <cellStyle name="평_CN Financial Model v11_CN Financial Model-102004" xfId="35606"/>
    <cellStyle name="평_CN Financial Model v11_CN Financial Model-102004 2" xfId="35607"/>
    <cellStyle name="평_CN Financial Model-정부제출-062504-기준모델" xfId="35608"/>
    <cellStyle name="평_CN Financial Model-정부제출-062504-기준모델 2" xfId="35609"/>
    <cellStyle name="평_CN Financial Model-정부제출-062504-기준모델_112504_CN FM_보장조정_협약변경-재조달순-rv1" xfId="35610"/>
    <cellStyle name="평_CN Financial Model-정부제출-062504-기준모델_112504_CN FM_보장조정_협약변경-재조달순-rv1 2" xfId="35611"/>
    <cellStyle name="평_CN Financial Model-정부제출-062504-기준모델_CN Financial Model-090704-4%" xfId="35612"/>
    <cellStyle name="평_CN Financial Model-정부제출-062504-기준모델_CN Financial Model-090704-4% 2" xfId="35613"/>
    <cellStyle name="평_CN Financial Model-정부제출-062504-기준모델_CN Financial Model-102004" xfId="35614"/>
    <cellStyle name="평_CN Financial Model-정부제출-062504-기준모델_CN Financial Model-102004 2" xfId="35615"/>
    <cellStyle name="평_CN Pjt Valuation_0520" xfId="35616"/>
    <cellStyle name="평_CN Pjt Valuation_0520 2" xfId="35617"/>
    <cellStyle name="평_CN Pjt Valuation_0520_112504_CN FM_보장조정_협약변경-재조달순-rv1" xfId="35618"/>
    <cellStyle name="평_CN Pjt Valuation_0520_112504_CN FM_보장조정_협약변경-재조달순-rv1 2" xfId="35619"/>
    <cellStyle name="평_CN Pjt Valuation_0520_CN Financial Model-090704-4%" xfId="35620"/>
    <cellStyle name="평_CN Pjt Valuation_0520_CN Financial Model-090704-4% 2" xfId="35621"/>
    <cellStyle name="평_CN Pjt Valuation_0520_CN Financial Model-102004" xfId="35622"/>
    <cellStyle name="평_CN Pjt Valuation_0520_CN Financial Model-102004 2" xfId="35623"/>
    <cellStyle name="평_C-PROJECT FINANCIAL MODEL_0704" xfId="35624"/>
    <cellStyle name="평_C-PROJECT FINANCIAL MODEL_0704 2" xfId="35625"/>
    <cellStyle name="평_C-PROJECT FINANCIAL MODEL_0704_112504_CN FM_보장조정_협약변경-재조달순-rv1" xfId="35626"/>
    <cellStyle name="평_C-PROJECT FINANCIAL MODEL_0704_112504_CN FM_보장조정_협약변경-재조달순-rv1 2" xfId="35627"/>
    <cellStyle name="평_C-PROJECT FINANCIAL MODEL_0704_CN Financial Model-090704-4%" xfId="35628"/>
    <cellStyle name="평_C-PROJECT FINANCIAL MODEL_0704_CN Financial Model-090704-4% 2" xfId="35629"/>
    <cellStyle name="평_C-PROJECT FINANCIAL MODEL_0704_CN Financial Model-102004" xfId="35630"/>
    <cellStyle name="평_C-PROJECT FINANCIAL MODEL_0704_CN Financial Model-102004 2" xfId="35631"/>
    <cellStyle name="평_C-PROJECT_0722_pm2" xfId="35632"/>
    <cellStyle name="평_C-PROJECT_0722_pm2 2" xfId="35633"/>
    <cellStyle name="평_C-PROJECT_0722_pm2_112504_CN FM_보장조정_협약변경-재조달순-rv1" xfId="35634"/>
    <cellStyle name="평_C-PROJECT_0722_pm2_112504_CN FM_보장조정_협약변경-재조달순-rv1 2" xfId="35635"/>
    <cellStyle name="평_C-PROJECT_0722_pm2_CN Financial Model-090704-4%" xfId="35636"/>
    <cellStyle name="평_C-PROJECT_0722_pm2_CN Financial Model-090704-4% 2" xfId="35637"/>
    <cellStyle name="평_C-PROJECT_0722_pm2_CN Financial Model-102004" xfId="35638"/>
    <cellStyle name="평_C-PROJECT_0722_pm2_CN Financial Model-102004 2" xfId="35639"/>
    <cellStyle name="평_C-PROJECT_0801" xfId="35640"/>
    <cellStyle name="평_C-PROJECT_0801 2" xfId="35641"/>
    <cellStyle name="평_C-PROJECT_0801_112504_CN FM_보장조정_협약변경-재조달순-rv1" xfId="35642"/>
    <cellStyle name="평_C-PROJECT_0801_112504_CN FM_보장조정_협약변경-재조달순-rv1 2" xfId="35643"/>
    <cellStyle name="평_C-PROJECT_0801_CN Financial Model-090704-4%" xfId="35644"/>
    <cellStyle name="평_C-PROJECT_0801_CN Financial Model-090704-4% 2" xfId="35645"/>
    <cellStyle name="평_C-PROJECT_0801_CN Financial Model-102004" xfId="35646"/>
    <cellStyle name="평_C-PROJECT_0801_CN Financial Model-102004 2" xfId="35647"/>
    <cellStyle name="평_Financial model_(가칭)경남e-스쿨주식회사" xfId="405"/>
    <cellStyle name="평_Financial model_(가칭)경남e-스쿨주식회사_재무모델_김천하수관거_0221" xfId="406"/>
    <cellStyle name="평_Financial model_(가칭)경남e-스쿨주식회사_재무모델_김천하수관거_0222" xfId="407"/>
    <cellStyle name="평_Financial model_(가칭)경남e-스쿨주식회사_재무모델_김천하수관거_0224" xfId="408"/>
    <cellStyle name="평_Financial model_(가칭)경남e-스쿨주식회사_재무모델_김천하수관거_부속작업중" xfId="409"/>
    <cellStyle name="평_Financial model_중리초 외 4개교(백)" xfId="410"/>
    <cellStyle name="평_Financial model_중리초 외 4개교(백)_재무모델_김천하수관거_0221" xfId="411"/>
    <cellStyle name="평_Financial model_중리초 외 4개교(백)_재무모델_김천하수관거_0222" xfId="412"/>
    <cellStyle name="평_Financial model_중리초 외 4개교(백)_재무모델_김천하수관거_0224" xfId="413"/>
    <cellStyle name="평_Financial model_중리초 외 4개교(백)_재무모델_김천하수관거_부속작업중" xfId="414"/>
    <cellStyle name="평_FinancialModel1108(2)" xfId="415"/>
    <cellStyle name="평_FinancialModel1108(2) 2" xfId="35648"/>
    <cellStyle name="평_FinancialModel1108(2)_112504_CN FM_보장조정_협약변경-재조달순-rv1" xfId="35649"/>
    <cellStyle name="평_FinancialModel1108(2)_112504_CN FM_보장조정_협약변경-재조달순-rv1 2" xfId="35650"/>
    <cellStyle name="평_FinancialModel1108(2)_CN Financial Model-090704-4%" xfId="35651"/>
    <cellStyle name="평_FinancialModel1108(2)_CN Financial Model-090704-4% 2" xfId="35652"/>
    <cellStyle name="평_FinancialModel1108(2)_CN Financial Model-102004" xfId="35653"/>
    <cellStyle name="평_FinancialModel1108(2)_CN Financial Model-102004 2" xfId="35654"/>
    <cellStyle name="평_FinancialModel1108(2)_재무모델_김천하수관거_0221" xfId="416"/>
    <cellStyle name="평_FinancialModel1108(2)_재무모델_김천하수관거_0222" xfId="417"/>
    <cellStyle name="평_FinancialModel1108(2)_재무모델_김천하수관거_0224" xfId="418"/>
    <cellStyle name="평_FinancialModel1108(2)_재무모델_김천하수관거_부속작업중" xfId="419"/>
    <cellStyle name="평_FS_## STP PJT_070805_v1" xfId="35655"/>
    <cellStyle name="평_FS_## STP PJT_070805_v1 2" xfId="35656"/>
    <cellStyle name="평_FS_## STP PJT_070805_v1_FS_MS STP_092005_v7" xfId="35657"/>
    <cellStyle name="평_FS_## STP PJT_070805_v1_FS_MS STP_092005_v7 2" xfId="35658"/>
    <cellStyle name="평_FS_## STP PJT_070805_v1_FS_MS STP_092005_v8" xfId="35659"/>
    <cellStyle name="평_FS_## STP PJT_070805_v1_FS_MS STP_092005_v8 2" xfId="35660"/>
    <cellStyle name="평_FS_BTL_전북대_072105_v1" xfId="35661"/>
    <cellStyle name="평_FS_BTL_전북대_072105_v1 2" xfId="35662"/>
    <cellStyle name="평_FS_BTL_전북대_072105_v1_BTL_전북대생활관_073105_v29" xfId="35663"/>
    <cellStyle name="평_FS_BTL_전북대_072105_v1_BTL_전북대생활관_073105_v29 2" xfId="35664"/>
    <cellStyle name="평_FS_BTL_전북대_072105_v1_BTL_전북대생활관_073105_v29_BTL_전북대생활관_0780105_v35" xfId="35665"/>
    <cellStyle name="평_FS_BTL_전북대_072105_v1_BTL_전북대생활관_073105_v29_BTL_전북대생활관_0780105_v35 2" xfId="35666"/>
    <cellStyle name="평_FS_BTL_전북대_072105_v1_BTL_전북대생활관_073105_v29_BTL_전북대생활관_0780105_v35_FS_MS STP_091205_v1" xfId="35667"/>
    <cellStyle name="평_FS_BTL_전북대_072105_v1_BTL_전북대생활관_073105_v29_BTL_전북대생활관_0780105_v35_FS_MS STP_091205_v1 2" xfId="35668"/>
    <cellStyle name="평_FS_BTL_전북대_072105_v1_BTL_전북대생활관_073105_v29_BTL_전북대생활관_0780105_v35_FS_MS STP_091205_v1_FS_MS STP_092005_v7" xfId="35669"/>
    <cellStyle name="평_FS_BTL_전북대_072105_v1_BTL_전북대생활관_073105_v29_BTL_전북대생활관_0780105_v35_FS_MS STP_091205_v1_FS_MS STP_092005_v7 2" xfId="35670"/>
    <cellStyle name="평_FS_BTL_전북대_072105_v1_BTL_전북대생활관_073105_v29_BTL_전북대생활관_0780105_v35_FS_MS STP_091205_v1_FS_MS STP_092005_v8" xfId="35671"/>
    <cellStyle name="평_FS_BTL_전북대_072105_v1_BTL_전북대생활관_073105_v29_BTL_전북대생활관_0780105_v35_FS_MS STP_091205_v1_FS_MS STP_092005_v8 2" xfId="35672"/>
    <cellStyle name="평_FS_BTL_전북대_072105_v1_BTL_전북대생활관_073105_v29_BTL_전북대생활관_0780105_v35_FS_MS STP_091305_v1" xfId="35673"/>
    <cellStyle name="평_FS_BTL_전북대_072105_v1_BTL_전북대생활관_073105_v29_BTL_전북대생활관_0780105_v35_FS_MS STP_091305_v1 2" xfId="35674"/>
    <cellStyle name="평_FS_BTL_전북대_072105_v1_BTL_전북대생활관_073105_v29_BTL_전북대생활관_0780105_v35_FS_MS STP_091305_v1_FS_MS STP_092005_v7" xfId="35675"/>
    <cellStyle name="평_FS_BTL_전북대_072105_v1_BTL_전북대생활관_073105_v29_BTL_전북대생활관_0780105_v35_FS_MS STP_091305_v1_FS_MS STP_092005_v7 2" xfId="35676"/>
    <cellStyle name="평_FS_BTL_전북대_072105_v1_BTL_전북대생활관_073105_v29_BTL_전북대생활관_0780105_v35_FS_MS STP_091305_v1_FS_MS STP_092005_v8" xfId="35677"/>
    <cellStyle name="평_FS_BTL_전북대_072105_v1_BTL_전북대생활관_073105_v29_BTL_전북대생활관_0780105_v35_FS_MS STP_091305_v1_FS_MS STP_092005_v8 2" xfId="35678"/>
    <cellStyle name="평_FS_BTL_전북대_072105_v1_BTL_전북대생활관_073105_v29_BTL_전북대생활관_0780105_v35_FS_MS STP_091505_v5" xfId="35679"/>
    <cellStyle name="평_FS_BTL_전북대_072105_v1_BTL_전북대생활관_073105_v29_BTL_전북대생활관_0780105_v35_FS_MS STP_091505_v5 2" xfId="35680"/>
    <cellStyle name="평_FS_BTL_전북대_072105_v1_BTL_전북대생활관_073105_v29_BTL_전북대생활관_0780105_v35_FS_MS STP_091505_v5_FS_MS STP_092005_v7" xfId="35681"/>
    <cellStyle name="평_FS_BTL_전북대_072105_v1_BTL_전북대생활관_073105_v29_BTL_전북대생활관_0780105_v35_FS_MS STP_091505_v5_FS_MS STP_092005_v7 2" xfId="35682"/>
    <cellStyle name="평_FS_BTL_전북대_072105_v1_BTL_전북대생활관_073105_v29_BTL_전북대생활관_0780105_v35_FS_MS STP_091505_v5_FS_MS STP_092005_v8" xfId="35683"/>
    <cellStyle name="평_FS_BTL_전북대_072105_v1_BTL_전북대생활관_073105_v29_BTL_전북대생활관_0780105_v35_FS_MS STP_091505_v5_FS_MS STP_092005_v8 2" xfId="35684"/>
    <cellStyle name="평_FS_BTL_전북대_072105_v1_BTL_전북대생활관_073105_v29_BTL_전북대생활관_0780105_v35_논산시하수관거BTL사업_재무모델_논산관거관리(주)" xfId="35685"/>
    <cellStyle name="평_FS_BTL_전북대_072105_v1_BTL_전북대생활관_073105_v29_BTL_전북대생활관_0780105_v35_논산시하수관거BTL사업_재무모델_논산관거관리(주) 2" xfId="35686"/>
    <cellStyle name="평_FS_BTL_전북대_072105_v1_BTL_전북대생활관_073105_v29_BTL_전북대생활관_0780105_v35_논산시하수관거BTL사업_재무모델_논산관거관리(주)_FS_MS STP_092005_v7" xfId="35687"/>
    <cellStyle name="평_FS_BTL_전북대_072105_v1_BTL_전북대생활관_073105_v29_BTL_전북대생활관_0780105_v35_논산시하수관거BTL사업_재무모델_논산관거관리(주)_FS_MS STP_092005_v7 2" xfId="35688"/>
    <cellStyle name="평_FS_BTL_전북대_072105_v1_BTL_전북대생활관_073105_v29_BTL_전북대생활관_0780105_v35_논산시하수관거BTL사업_재무모델_논산관거관리(주)_FS_MS STP_092005_v8" xfId="35689"/>
    <cellStyle name="평_FS_BTL_전북대_072105_v1_BTL_전북대생활관_073105_v29_BTL_전북대생활관_0780105_v35_논산시하수관거BTL사업_재무모델_논산관거관리(주)_FS_MS STP_092005_v8 2" xfId="35690"/>
    <cellStyle name="평_FS_BTL_전북대_072105_v1_BTL_전북대생활관_073105_v29_FS_MS STP_092005_v7" xfId="35691"/>
    <cellStyle name="평_FS_BTL_전북대_072105_v1_BTL_전북대생활관_073105_v29_FS_MS STP_092005_v7 2" xfId="35692"/>
    <cellStyle name="평_FS_BTL_전북대_072105_v1_BTL_전북대생활관_073105_v29_FS_MS STP_092005_v8" xfId="35693"/>
    <cellStyle name="평_FS_BTL_전북대_072105_v1_BTL_전북대생활관_073105_v29_FS_MS STP_092005_v8 2" xfId="35694"/>
    <cellStyle name="평_FS_BTL_전북대_072105_v1_BTL_전북대생활관_073105_v29_논산-2-1" xfId="35695"/>
    <cellStyle name="평_FS_BTL_전북대_072105_v1_BTL_전북대생활관_073105_v29_논산-2-1 2" xfId="35696"/>
    <cellStyle name="평_FS_BTL_전북대_072105_v1_BTL_전북대생활관_073105_v29_논산-2-1_FS_MS STP_091205_v1" xfId="35697"/>
    <cellStyle name="평_FS_BTL_전북대_072105_v1_BTL_전북대생활관_073105_v29_논산-2-1_FS_MS STP_091205_v1 2" xfId="35698"/>
    <cellStyle name="평_FS_BTL_전북대_072105_v1_BTL_전북대생활관_073105_v29_논산-2-1_FS_MS STP_091205_v1_FS_MS STP_092005_v7" xfId="35699"/>
    <cellStyle name="평_FS_BTL_전북대_072105_v1_BTL_전북대생활관_073105_v29_논산-2-1_FS_MS STP_091205_v1_FS_MS STP_092005_v7 2" xfId="35700"/>
    <cellStyle name="평_FS_BTL_전북대_072105_v1_BTL_전북대생활관_073105_v29_논산-2-1_FS_MS STP_091205_v1_FS_MS STP_092005_v8" xfId="35701"/>
    <cellStyle name="평_FS_BTL_전북대_072105_v1_BTL_전북대생활관_073105_v29_논산-2-1_FS_MS STP_091205_v1_FS_MS STP_092005_v8 2" xfId="35702"/>
    <cellStyle name="평_FS_BTL_전북대_072105_v1_BTL_전북대생활관_073105_v29_논산-2-1_FS_MS STP_091305_v1" xfId="35703"/>
    <cellStyle name="평_FS_BTL_전북대_072105_v1_BTL_전북대생활관_073105_v29_논산-2-1_FS_MS STP_091305_v1 2" xfId="35704"/>
    <cellStyle name="평_FS_BTL_전북대_072105_v1_BTL_전북대생활관_073105_v29_논산-2-1_FS_MS STP_091305_v1_FS_MS STP_092005_v7" xfId="35705"/>
    <cellStyle name="평_FS_BTL_전북대_072105_v1_BTL_전북대생활관_073105_v29_논산-2-1_FS_MS STP_091305_v1_FS_MS STP_092005_v7 2" xfId="35706"/>
    <cellStyle name="평_FS_BTL_전북대_072105_v1_BTL_전북대생활관_073105_v29_논산-2-1_FS_MS STP_091305_v1_FS_MS STP_092005_v8" xfId="35707"/>
    <cellStyle name="평_FS_BTL_전북대_072105_v1_BTL_전북대생활관_073105_v29_논산-2-1_FS_MS STP_091305_v1_FS_MS STP_092005_v8 2" xfId="35708"/>
    <cellStyle name="평_FS_BTL_전북대_072105_v1_BTL_전북대생활관_073105_v29_논산-2-1_FS_MS STP_091505_v5" xfId="35709"/>
    <cellStyle name="평_FS_BTL_전북대_072105_v1_BTL_전북대생활관_073105_v29_논산-2-1_FS_MS STP_091505_v5 2" xfId="35710"/>
    <cellStyle name="평_FS_BTL_전북대_072105_v1_BTL_전북대생활관_073105_v29_논산-2-1_FS_MS STP_091505_v5_FS_MS STP_092005_v7" xfId="35711"/>
    <cellStyle name="평_FS_BTL_전북대_072105_v1_BTL_전북대생활관_073105_v29_논산-2-1_FS_MS STP_091505_v5_FS_MS STP_092005_v7 2" xfId="35712"/>
    <cellStyle name="평_FS_BTL_전북대_072105_v1_BTL_전북대생활관_073105_v29_논산-2-1_FS_MS STP_091505_v5_FS_MS STP_092005_v8" xfId="35713"/>
    <cellStyle name="평_FS_BTL_전북대_072105_v1_BTL_전북대생활관_073105_v29_논산-2-1_FS_MS STP_091505_v5_FS_MS STP_092005_v8 2" xfId="35714"/>
    <cellStyle name="평_FS_BTL_전북대_072105_v1_BTL_전북대생활관_073105_v29_논산-2-1_논산시하수관거BTL사업_재무모델_논산관거관리(주)" xfId="35715"/>
    <cellStyle name="평_FS_BTL_전북대_072105_v1_BTL_전북대생활관_073105_v29_논산-2-1_논산시하수관거BTL사업_재무모델_논산관거관리(주) 2" xfId="35716"/>
    <cellStyle name="평_FS_BTL_전북대_072105_v1_BTL_전북대생활관_073105_v29_논산-2-1_논산시하수관거BTL사업_재무모델_논산관거관리(주)_FS_MS STP_092005_v7" xfId="35717"/>
    <cellStyle name="평_FS_BTL_전북대_072105_v1_BTL_전북대생활관_073105_v29_논산-2-1_논산시하수관거BTL사업_재무모델_논산관거관리(주)_FS_MS STP_092005_v7 2" xfId="35718"/>
    <cellStyle name="평_FS_BTL_전북대_072105_v1_BTL_전북대생활관_073105_v29_논산-2-1_논산시하수관거BTL사업_재무모델_논산관거관리(주)_FS_MS STP_092005_v8" xfId="35719"/>
    <cellStyle name="평_FS_BTL_전북대_072105_v1_BTL_전북대생활관_073105_v29_논산-2-1_논산시하수관거BTL사업_재무모델_논산관거관리(주)_FS_MS STP_092005_v8 2" xfId="35720"/>
    <cellStyle name="평_FS_BTL_전북대_072105_v1_BTL_전북대생활관_073105_v29_논산-4" xfId="35721"/>
    <cellStyle name="평_FS_BTL_전북대_072105_v1_BTL_전북대생활관_073105_v29_논산-4 2" xfId="35722"/>
    <cellStyle name="평_FS_BTL_전북대_072105_v1_BTL_전북대생활관_073105_v29_논산-4_FS_MS STP_091205_v1" xfId="35723"/>
    <cellStyle name="평_FS_BTL_전북대_072105_v1_BTL_전북대생활관_073105_v29_논산-4_FS_MS STP_091205_v1 2" xfId="35724"/>
    <cellStyle name="평_FS_BTL_전북대_072105_v1_BTL_전북대생활관_073105_v29_논산-4_FS_MS STP_091205_v1_FS_MS STP_092005_v7" xfId="35725"/>
    <cellStyle name="평_FS_BTL_전북대_072105_v1_BTL_전북대생활관_073105_v29_논산-4_FS_MS STP_091205_v1_FS_MS STP_092005_v7 2" xfId="35726"/>
    <cellStyle name="평_FS_BTL_전북대_072105_v1_BTL_전북대생활관_073105_v29_논산-4_FS_MS STP_091205_v1_FS_MS STP_092005_v8" xfId="35727"/>
    <cellStyle name="평_FS_BTL_전북대_072105_v1_BTL_전북대생활관_073105_v29_논산-4_FS_MS STP_091205_v1_FS_MS STP_092005_v8 2" xfId="35728"/>
    <cellStyle name="평_FS_BTL_전북대_072105_v1_BTL_전북대생활관_073105_v29_논산-4_FS_MS STP_091305_v1" xfId="35729"/>
    <cellStyle name="평_FS_BTL_전북대_072105_v1_BTL_전북대생활관_073105_v29_논산-4_FS_MS STP_091305_v1 2" xfId="35730"/>
    <cellStyle name="평_FS_BTL_전북대_072105_v1_BTL_전북대생활관_073105_v29_논산-4_FS_MS STP_091305_v1_FS_MS STP_092005_v7" xfId="35731"/>
    <cellStyle name="평_FS_BTL_전북대_072105_v1_BTL_전북대생활관_073105_v29_논산-4_FS_MS STP_091305_v1_FS_MS STP_092005_v7 2" xfId="35732"/>
    <cellStyle name="평_FS_BTL_전북대_072105_v1_BTL_전북대생활관_073105_v29_논산-4_FS_MS STP_091305_v1_FS_MS STP_092005_v8" xfId="35733"/>
    <cellStyle name="평_FS_BTL_전북대_072105_v1_BTL_전북대생활관_073105_v29_논산-4_FS_MS STP_091305_v1_FS_MS STP_092005_v8 2" xfId="35734"/>
    <cellStyle name="평_FS_BTL_전북대_072105_v1_BTL_전북대생활관_073105_v29_논산-4_FS_MS STP_091505_v5" xfId="35735"/>
    <cellStyle name="평_FS_BTL_전북대_072105_v1_BTL_전북대생활관_073105_v29_논산-4_FS_MS STP_091505_v5 2" xfId="35736"/>
    <cellStyle name="평_FS_BTL_전북대_072105_v1_BTL_전북대생활관_073105_v29_논산-4_FS_MS STP_091505_v5_FS_MS STP_092005_v7" xfId="35737"/>
    <cellStyle name="평_FS_BTL_전북대_072105_v1_BTL_전북대생활관_073105_v29_논산-4_FS_MS STP_091505_v5_FS_MS STP_092005_v7 2" xfId="35738"/>
    <cellStyle name="평_FS_BTL_전북대_072105_v1_BTL_전북대생활관_073105_v29_논산-4_FS_MS STP_091505_v5_FS_MS STP_092005_v8" xfId="35739"/>
    <cellStyle name="평_FS_BTL_전북대_072105_v1_BTL_전북대생활관_073105_v29_논산-4_FS_MS STP_091505_v5_FS_MS STP_092005_v8 2" xfId="35740"/>
    <cellStyle name="평_FS_BTL_전북대_072105_v1_BTL_전북대생활관_073105_v29_논산-4_논산시하수관거BTL사업_재무모델_논산관거관리(주)" xfId="35741"/>
    <cellStyle name="평_FS_BTL_전북대_072105_v1_BTL_전북대생활관_073105_v29_논산-4_논산시하수관거BTL사업_재무모델_논산관거관리(주) 2" xfId="35742"/>
    <cellStyle name="평_FS_BTL_전북대_072105_v1_BTL_전북대생활관_073105_v29_논산-4_논산시하수관거BTL사업_재무모델_논산관거관리(주)_FS_MS STP_092005_v7" xfId="35743"/>
    <cellStyle name="평_FS_BTL_전북대_072105_v1_BTL_전북대생활관_073105_v29_논산-4_논산시하수관거BTL사업_재무모델_논산관거관리(주)_FS_MS STP_092005_v7 2" xfId="35744"/>
    <cellStyle name="평_FS_BTL_전북대_072105_v1_BTL_전북대생활관_073105_v29_논산-4_논산시하수관거BTL사업_재무모델_논산관거관리(주)_FS_MS STP_092005_v8" xfId="35745"/>
    <cellStyle name="평_FS_BTL_전북대_072105_v1_BTL_전북대생활관_073105_v29_논산-4_논산시하수관거BTL사업_재무모델_논산관거관리(주)_FS_MS STP_092005_v8 2" xfId="35746"/>
    <cellStyle name="평_FS_BTL_전북대_072105_v1_FS_MS STP_091205_v1" xfId="35747"/>
    <cellStyle name="평_FS_BTL_전북대_072105_v1_FS_MS STP_091205_v1 2" xfId="35748"/>
    <cellStyle name="평_FS_BTL_전북대_072105_v1_FS_MS STP_091205_v1_FS_MS STP_092005_v7" xfId="35749"/>
    <cellStyle name="평_FS_BTL_전북대_072105_v1_FS_MS STP_091205_v1_FS_MS STP_092005_v7 2" xfId="35750"/>
    <cellStyle name="평_FS_BTL_전북대_072105_v1_FS_MS STP_091205_v1_FS_MS STP_092005_v8" xfId="35751"/>
    <cellStyle name="평_FS_BTL_전북대_072105_v1_FS_MS STP_091205_v1_FS_MS STP_092005_v8 2" xfId="35752"/>
    <cellStyle name="평_FS_BTL_전북대_072105_v1_FS_MS STP_091305_v1" xfId="35753"/>
    <cellStyle name="평_FS_BTL_전북대_072105_v1_FS_MS STP_091305_v1 2" xfId="35754"/>
    <cellStyle name="평_FS_BTL_전북대_072105_v1_FS_MS STP_091305_v1_FS_MS STP_092005_v7" xfId="35755"/>
    <cellStyle name="평_FS_BTL_전북대_072105_v1_FS_MS STP_091305_v1_FS_MS STP_092005_v7 2" xfId="35756"/>
    <cellStyle name="평_FS_BTL_전북대_072105_v1_FS_MS STP_091305_v1_FS_MS STP_092005_v8" xfId="35757"/>
    <cellStyle name="평_FS_BTL_전북대_072105_v1_FS_MS STP_091305_v1_FS_MS STP_092005_v8 2" xfId="35758"/>
    <cellStyle name="평_FS_BTL_전북대_072105_v1_FS_MS STP_091505_v5" xfId="35759"/>
    <cellStyle name="평_FS_BTL_전북대_072105_v1_FS_MS STP_091505_v5 2" xfId="35760"/>
    <cellStyle name="평_FS_BTL_전북대_072105_v1_FS_MS STP_091505_v5_FS_MS STP_092005_v7" xfId="35761"/>
    <cellStyle name="평_FS_BTL_전북대_072105_v1_FS_MS STP_091505_v5_FS_MS STP_092005_v7 2" xfId="35762"/>
    <cellStyle name="평_FS_BTL_전북대_072105_v1_FS_MS STP_091505_v5_FS_MS STP_092005_v8" xfId="35763"/>
    <cellStyle name="평_FS_BTL_전북대_072105_v1_FS_MS STP_091505_v5_FS_MS STP_092005_v8 2" xfId="35764"/>
    <cellStyle name="평_FS_BTL_전북대_072105_v1_논산시하수관거BTL사업_재무모델_논산관거관리(주)" xfId="35765"/>
    <cellStyle name="평_FS_BTL_전북대_072105_v1_논산시하수관거BTL사업_재무모델_논산관거관리(주) 2" xfId="35766"/>
    <cellStyle name="평_FS_BTL_전북대_072105_v1_논산시하수관거BTL사업_재무모델_논산관거관리(주)_FS_MS STP_092005_v7" xfId="35767"/>
    <cellStyle name="평_FS_BTL_전북대_072105_v1_논산시하수관거BTL사업_재무모델_논산관거관리(주)_FS_MS STP_092005_v7 2" xfId="35768"/>
    <cellStyle name="평_FS_BTL_전북대_072105_v1_논산시하수관거BTL사업_재무모델_논산관거관리(주)_FS_MS STP_092005_v8" xfId="35769"/>
    <cellStyle name="평_FS_BTL_전북대_072105_v1_논산시하수관거BTL사업_재무모델_논산관거관리(주)_FS_MS STP_092005_v8 2" xfId="35770"/>
    <cellStyle name="평_FS_JH STP PJT_v5" xfId="35771"/>
    <cellStyle name="평_FS_JH STP PJT_v5 2" xfId="35772"/>
    <cellStyle name="평_FS_JHSTPPJT_012507_v31" xfId="35773"/>
    <cellStyle name="평_FS_JHSTPPJT_012507_v31 2" xfId="35774"/>
    <cellStyle name="평_FS_KJ STP PJT_070406_v2" xfId="35775"/>
    <cellStyle name="평_FS_KJ STP PJT_070406_v2 2" xfId="35776"/>
    <cellStyle name="평_FS_KJ STP PJT_070406_v2_FS_KJ STP PJT_071006" xfId="35777"/>
    <cellStyle name="평_FS_KJ STP PJT_070406_v2_FS_KJ STP PJT_071006 2" xfId="35778"/>
    <cellStyle name="평_FS_KJ STP PJT_070406_v2_FS_KJ STP PJT_071006_FS_JH STP PJT_v5" xfId="35779"/>
    <cellStyle name="평_FS_KJ STP PJT_070406_v2_FS_KJ STP PJT_071006_FS_JH STP PJT_v5 2" xfId="35780"/>
    <cellStyle name="평_FS_KJ STP PJT_070406_v2_FS_KJ STP PJT_071006_FS_JHSTPPJT_012507_v31" xfId="35781"/>
    <cellStyle name="평_FS_KJ STP PJT_070406_v2_FS_KJ STP PJT_071006_FS_JHSTPPJT_012507_v31 2" xfId="35782"/>
    <cellStyle name="평_FS_KJ STP PJT_070406_v2_FS_KJ STP PJT_071006_FS_KJ STP PJT_071406_v2" xfId="35783"/>
    <cellStyle name="평_FS_KJ STP PJT_070406_v2_FS_KJ STP PJT_071006_FS_KJ STP PJT_071406_v2 2" xfId="35784"/>
    <cellStyle name="평_FS_KJ STP PJT_070706_v3" xfId="35785"/>
    <cellStyle name="평_FS_KJ STP PJT_070706_v3 2" xfId="35786"/>
    <cellStyle name="평_FS_KJ STP PJT_070706_v3_FS_KJ STP PJT_071006" xfId="35787"/>
    <cellStyle name="평_FS_KJ STP PJT_070706_v3_FS_KJ STP PJT_071006 2" xfId="35788"/>
    <cellStyle name="평_FS_KJ STP PJT_070706_v3_FS_KJ STP PJT_071006_FS_JH STP PJT_v5" xfId="35789"/>
    <cellStyle name="평_FS_KJ STP PJT_070706_v3_FS_KJ STP PJT_071006_FS_JH STP PJT_v5 2" xfId="35790"/>
    <cellStyle name="평_FS_KJ STP PJT_070706_v3_FS_KJ STP PJT_071006_FS_JHSTPPJT_012507_v31" xfId="35791"/>
    <cellStyle name="평_FS_KJ STP PJT_070706_v3_FS_KJ STP PJT_071006_FS_JHSTPPJT_012507_v31 2" xfId="35792"/>
    <cellStyle name="평_FS_KJ STP PJT_070706_v3_FS_KJ STP PJT_071006_FS_KJ STP PJT_071406_v2" xfId="35793"/>
    <cellStyle name="평_FS_KJ STP PJT_070706_v3_FS_KJ STP PJT_071006_FS_KJ STP PJT_071406_v2 2" xfId="35794"/>
    <cellStyle name="평_FS_KJ STP PJT_071006" xfId="35795"/>
    <cellStyle name="평_FS_KJ STP PJT_071006 2" xfId="35796"/>
    <cellStyle name="평_FS_KJ STP PJT_071006_FS_KJ STP PJT_071006" xfId="35797"/>
    <cellStyle name="평_FS_KJ STP PJT_071006_FS_KJ STP PJT_071006 2" xfId="35798"/>
    <cellStyle name="평_FS_KJ STP PJT_071006_FS_KJ STP PJT_071006_FS_JH STP PJT_v5" xfId="35799"/>
    <cellStyle name="평_FS_KJ STP PJT_071006_FS_KJ STP PJT_071006_FS_JH STP PJT_v5 2" xfId="35800"/>
    <cellStyle name="평_FS_KJ STP PJT_071006_FS_KJ STP PJT_071006_FS_JHSTPPJT_012507_v31" xfId="35801"/>
    <cellStyle name="평_FS_KJ STP PJT_071006_FS_KJ STP PJT_071006_FS_JHSTPPJT_012507_v31 2" xfId="35802"/>
    <cellStyle name="평_FS_KJ STP PJT_071006_FS_KJ STP PJT_071006_FS_KJ STP PJT_071406_v2" xfId="35803"/>
    <cellStyle name="평_FS_KJ STP PJT_071006_FS_KJ STP PJT_071006_FS_KJ STP PJT_071406_v2 2" xfId="35804"/>
    <cellStyle name="평_FS_KJ STP PJT_071406_v2" xfId="35805"/>
    <cellStyle name="평_FS_KJ STP PJT_071406_v2 2" xfId="35806"/>
    <cellStyle name="평_FS_MS STP_091205_v1" xfId="35807"/>
    <cellStyle name="평_FS_MS STP_091205_v1 2" xfId="35808"/>
    <cellStyle name="평_FS_MS STP_091205_v1_FS_MS STP_092005_v7" xfId="35809"/>
    <cellStyle name="평_FS_MS STP_091205_v1_FS_MS STP_092005_v7 2" xfId="35810"/>
    <cellStyle name="평_FS_MS STP_091205_v1_FS_MS STP_092005_v8" xfId="35811"/>
    <cellStyle name="평_FS_MS STP_091205_v1_FS_MS STP_092005_v8 2" xfId="35812"/>
    <cellStyle name="평_FS_MS STP_091305_v1" xfId="35813"/>
    <cellStyle name="평_FS_MS STP_091305_v1 2" xfId="35814"/>
    <cellStyle name="평_FS_MS STP_091305_v1_FS_MS STP_092005_v7" xfId="35815"/>
    <cellStyle name="평_FS_MS STP_091305_v1_FS_MS STP_092005_v7 2" xfId="35816"/>
    <cellStyle name="평_FS_MS STP_091305_v1_FS_MS STP_092005_v8" xfId="35817"/>
    <cellStyle name="평_FS_MS STP_091305_v1_FS_MS STP_092005_v8 2" xfId="35818"/>
    <cellStyle name="평_FS_MS STP_091505_v5" xfId="35819"/>
    <cellStyle name="평_FS_MS STP_091505_v5 2" xfId="35820"/>
    <cellStyle name="평_FS_MS STP_091505_v5_FS_MS STP_092005_v7" xfId="35821"/>
    <cellStyle name="평_FS_MS STP_091505_v5_FS_MS STP_092005_v7 2" xfId="35822"/>
    <cellStyle name="평_FS_MS STP_091505_v5_FS_MS STP_092005_v8" xfId="35823"/>
    <cellStyle name="평_FS_MS STP_091505_v5_FS_MS STP_092005_v8 2" xfId="35824"/>
    <cellStyle name="평_FS_SW STP Pjt_051505_v22_Final" xfId="35825"/>
    <cellStyle name="평_FS_SW STP Pjt_051505_v22_Final 2" xfId="35826"/>
    <cellStyle name="평_FS_SW STP Pjt_051505_v22_Final_FS_MS STP_092005_v7" xfId="35827"/>
    <cellStyle name="평_FS_SW STP Pjt_051505_v22_Final_FS_MS STP_092005_v7 2" xfId="35828"/>
    <cellStyle name="평_FS_SW STP Pjt_051505_v22_Final_FS_MS STP_092005_v8" xfId="35829"/>
    <cellStyle name="평_FS_SW STP Pjt_051505_v22_Final_FS_MS STP_092005_v8 2" xfId="35830"/>
    <cellStyle name="평_FS_Undur Naran_ver6.1" xfId="35831"/>
    <cellStyle name="평_FS_UndurNaran_Gold_2.0_NGH" xfId="35832"/>
    <cellStyle name="평_I-Pjt Fm(1028)" xfId="35833"/>
    <cellStyle name="평_I-Pjt Fm(1028) 2" xfId="35834"/>
    <cellStyle name="평_I-Pjt Fm(1028)_112504_CN FM_보장조정_협약변경-재조달순-rv1" xfId="35835"/>
    <cellStyle name="평_I-Pjt Fm(1028)_112504_CN FM_보장조정_협약변경-재조달순-rv1 2" xfId="35836"/>
    <cellStyle name="평_I-Pjt Fm(1028)_CN Financial Model-090704-4%" xfId="35837"/>
    <cellStyle name="평_I-Pjt Fm(1028)_CN Financial Model-090704-4% 2" xfId="35838"/>
    <cellStyle name="평_I-Pjt Fm(1028)_CN Financial Model-102004" xfId="35839"/>
    <cellStyle name="평_I-Pjt Fm(1028)_CN Financial Model-102004 2" xfId="35840"/>
    <cellStyle name="평_I-Pjt Fm(1031)" xfId="35841"/>
    <cellStyle name="평_I-Pjt Fm(1031) 2" xfId="35842"/>
    <cellStyle name="평_I-Pjt Fm(1031)_112504_CN FM_보장조정_협약변경-재조달순-rv1" xfId="35843"/>
    <cellStyle name="평_I-Pjt Fm(1031)_112504_CN FM_보장조정_협약변경-재조달순-rv1 2" xfId="35844"/>
    <cellStyle name="평_I-Pjt Fm(1031)_CN Financial Model-090704-4%" xfId="35845"/>
    <cellStyle name="평_I-Pjt Fm(1031)_CN Financial Model-090704-4% 2" xfId="35846"/>
    <cellStyle name="평_I-Pjt Fm(1031)_CN Financial Model-102004" xfId="35847"/>
    <cellStyle name="평_I-Pjt Fm(1031)_CN Financial Model-102004 2" xfId="35848"/>
    <cellStyle name="평_model 기본품의 01-11-30" xfId="35849"/>
    <cellStyle name="평_model 기본품의 01-11-30 2" xfId="35850"/>
    <cellStyle name="평_model 기본품의 01-11-30_112504_CN FM_보장조정_협약변경-재조달순-rv1" xfId="35851"/>
    <cellStyle name="평_model 기본품의 01-11-30_112504_CN FM_보장조정_협약변경-재조달순-rv1 2" xfId="35852"/>
    <cellStyle name="평_model 기본품의 01-11-30_CN Financial Model-090704-4%" xfId="35853"/>
    <cellStyle name="평_model 기본품의 01-11-30_CN Financial Model-090704-4% 2" xfId="35854"/>
    <cellStyle name="평_model 기본품의 01-11-30_CN Financial Model-102004" xfId="35855"/>
    <cellStyle name="평_model 기본품의 01-11-30_CN Financial Model-102004 2" xfId="35856"/>
    <cellStyle name="평_MODEL_0117" xfId="35857"/>
    <cellStyle name="평_MODEL_0117 2" xfId="35858"/>
    <cellStyle name="평_MODEL_0117_112504_CN FM_보장조정_협약변경-재조달순-rv1" xfId="35859"/>
    <cellStyle name="평_MODEL_0117_112504_CN FM_보장조정_협약변경-재조달순-rv1 2" xfId="35860"/>
    <cellStyle name="평_MODEL_0117_CN Financial Model-090704-4%" xfId="35861"/>
    <cellStyle name="평_MODEL_0117_CN Financial Model-090704-4% 2" xfId="35862"/>
    <cellStyle name="평_MODEL_0117_CN Financial Model-102004" xfId="35863"/>
    <cellStyle name="평_MODEL_0117_CN Financial Model-102004 2" xfId="35864"/>
    <cellStyle name="평_MODEL_0118" xfId="35865"/>
    <cellStyle name="평_MODEL_0118 2" xfId="35866"/>
    <cellStyle name="평_MODEL_0118_112504_CN FM_보장조정_협약변경-재조달순-rv1" xfId="35867"/>
    <cellStyle name="평_MODEL_0118_112504_CN FM_보장조정_협약변경-재조달순-rv1 2" xfId="35868"/>
    <cellStyle name="평_MODEL_0118_CN Financial Model-090704-4%" xfId="35869"/>
    <cellStyle name="평_MODEL_0118_CN Financial Model-090704-4% 2" xfId="35870"/>
    <cellStyle name="평_MODEL_0118_CN Financial Model-102004" xfId="35871"/>
    <cellStyle name="평_MODEL_0118_CN Financial Model-102004 2" xfId="35872"/>
    <cellStyle name="평_MODEL0205" xfId="35873"/>
    <cellStyle name="평_MODEL0205 2" xfId="35874"/>
    <cellStyle name="평_MODEL0205_112504_CN FM_보장조정_협약변경-재조달순-rv1" xfId="35875"/>
    <cellStyle name="평_MODEL0205_112504_CN FM_보장조정_협약변경-재조달순-rv1 2" xfId="35876"/>
    <cellStyle name="평_MODEL0205_CN Financial Model-090704-4%" xfId="35877"/>
    <cellStyle name="평_MODEL0205_CN Financial Model-090704-4% 2" xfId="35878"/>
    <cellStyle name="평_MODEL0205_CN Financial Model-102004" xfId="35879"/>
    <cellStyle name="평_MODEL0205_CN Financial Model-102004 2" xfId="35880"/>
    <cellStyle name="평_MODEL0209" xfId="35881"/>
    <cellStyle name="평_MODEL0209 2" xfId="35882"/>
    <cellStyle name="평_MODEL0209_112504_CN FM_보장조정_협약변경-재조달순-rv1" xfId="35883"/>
    <cellStyle name="평_MODEL0209_112504_CN FM_보장조정_협약변경-재조달순-rv1 2" xfId="35884"/>
    <cellStyle name="평_MODEL0209_CN Financial Model-090704-4%" xfId="35885"/>
    <cellStyle name="평_MODEL0209_CN Financial Model-090704-4% 2" xfId="35886"/>
    <cellStyle name="평_MODEL0209_CN Financial Model-102004" xfId="35887"/>
    <cellStyle name="평_MODEL0209_CN Financial Model-102004 2" xfId="35888"/>
    <cellStyle name="평_MODEL0221" xfId="35889"/>
    <cellStyle name="평_MODEL0221 2" xfId="35890"/>
    <cellStyle name="평_MODEL0221_112504_CN FM_보장조정_협약변경-재조달순-rv1" xfId="35891"/>
    <cellStyle name="평_MODEL0221_112504_CN FM_보장조정_협약변경-재조달순-rv1 2" xfId="35892"/>
    <cellStyle name="평_MODEL0221_CN Financial Model-090704-4%" xfId="35893"/>
    <cellStyle name="평_MODEL0221_CN Financial Model-090704-4% 2" xfId="35894"/>
    <cellStyle name="평_MODEL0221_CN Financial Model-102004" xfId="35895"/>
    <cellStyle name="평_MODEL0221_CN Financial Model-102004 2" xfId="35896"/>
    <cellStyle name="평_MODEL0309" xfId="35897"/>
    <cellStyle name="평_MODEL0309 2" xfId="35898"/>
    <cellStyle name="평_MODEL0309_112504_CN FM_보장조정_협약변경-재조달순-rv1" xfId="35899"/>
    <cellStyle name="평_MODEL0309_112504_CN FM_보장조정_협약변경-재조달순-rv1 2" xfId="35900"/>
    <cellStyle name="평_MODEL0309_CN Financial Model-090704-4%" xfId="35901"/>
    <cellStyle name="평_MODEL0309_CN Financial Model-090704-4% 2" xfId="35902"/>
    <cellStyle name="평_MODEL0309_CN Financial Model-102004" xfId="35903"/>
    <cellStyle name="평_MODEL0309_CN Financial Model-102004 2" xfId="35904"/>
    <cellStyle name="평_MODEL0316" xfId="35905"/>
    <cellStyle name="평_MODEL0316 2" xfId="35906"/>
    <cellStyle name="평_MODEL0316_112504_CN FM_보장조정_협약변경-재조달순-rv1" xfId="35907"/>
    <cellStyle name="평_MODEL0316_112504_CN FM_보장조정_협약변경-재조달순-rv1 2" xfId="35908"/>
    <cellStyle name="평_MODEL0316_CN Financial Model-090704-4%" xfId="35909"/>
    <cellStyle name="평_MODEL0316_CN Financial Model-090704-4% 2" xfId="35910"/>
    <cellStyle name="평_MODEL0316_CN Financial Model-102004" xfId="35911"/>
    <cellStyle name="평_MODEL0316_CN Financial Model-102004 2" xfId="35912"/>
    <cellStyle name="평_MODEL0318" xfId="35913"/>
    <cellStyle name="평_MODEL0318 2" xfId="35914"/>
    <cellStyle name="평_MODEL0318_112504_CN FM_보장조정_협약변경-재조달순-rv1" xfId="35915"/>
    <cellStyle name="평_MODEL0318_112504_CN FM_보장조정_협약변경-재조달순-rv1 2" xfId="35916"/>
    <cellStyle name="평_MODEL0318_CN Financial Model-090704-4%" xfId="35917"/>
    <cellStyle name="평_MODEL0318_CN Financial Model-090704-4% 2" xfId="35918"/>
    <cellStyle name="평_MODEL0318_CN Financial Model-102004" xfId="35919"/>
    <cellStyle name="평_MODEL0318_CN Financial Model-102004 2" xfId="35920"/>
    <cellStyle name="평_MODEL0320-1" xfId="35921"/>
    <cellStyle name="평_MODEL0320-1 2" xfId="35922"/>
    <cellStyle name="평_MODEL0320-1_112504_CN FM_보장조정_협약변경-재조달순-rv1" xfId="35923"/>
    <cellStyle name="평_MODEL0320-1_112504_CN FM_보장조정_협약변경-재조달순-rv1 2" xfId="35924"/>
    <cellStyle name="평_MODEL0320-1_CN Financial Model-090704-4%" xfId="35925"/>
    <cellStyle name="평_MODEL0320-1_CN Financial Model-090704-4% 2" xfId="35926"/>
    <cellStyle name="평_MODEL0320-1_CN Financial Model-102004" xfId="35927"/>
    <cellStyle name="평_MODEL0320-1_CN Financial Model-102004 2" xfId="35928"/>
    <cellStyle name="평_MODEL0321" xfId="35929"/>
    <cellStyle name="평_MODEL0321 2" xfId="35930"/>
    <cellStyle name="평_MODEL0321_112504_CN FM_보장조정_협약변경-재조달순-rv1" xfId="35931"/>
    <cellStyle name="평_MODEL0321_112504_CN FM_보장조정_협약변경-재조달순-rv1 2" xfId="35932"/>
    <cellStyle name="평_MODEL0321_CN Financial Model-090704-4%" xfId="35933"/>
    <cellStyle name="평_MODEL0321_CN Financial Model-090704-4% 2" xfId="35934"/>
    <cellStyle name="평_MODEL0321_CN Financial Model-102004" xfId="35935"/>
    <cellStyle name="평_MODEL0321_CN Financial Model-102004 2" xfId="35936"/>
    <cellStyle name="평_MODEL0328" xfId="35937"/>
    <cellStyle name="평_MODEL0328 2" xfId="35938"/>
    <cellStyle name="평_MODEL0328_112504_CN FM_보장조정_협약변경-재조달순-rv1" xfId="35939"/>
    <cellStyle name="평_MODEL0328_112504_CN FM_보장조정_협약변경-재조달순-rv1 2" xfId="35940"/>
    <cellStyle name="평_MODEL0328_CN Financial Model-090704-4%" xfId="35941"/>
    <cellStyle name="평_MODEL0328_CN Financial Model-090704-4% 2" xfId="35942"/>
    <cellStyle name="평_MODEL0328_CN Financial Model-102004" xfId="35943"/>
    <cellStyle name="평_MODEL0328_CN Financial Model-102004 2" xfId="35944"/>
    <cellStyle name="평_MODEL정말최종" xfId="35945"/>
    <cellStyle name="평_MODEL정말최종 2" xfId="35946"/>
    <cellStyle name="평_MODEL정말최종_112504_CN FM_보장조정_협약변경-재조달순-rv1" xfId="35947"/>
    <cellStyle name="평_MODEL정말최종_112504_CN FM_보장조정_협약변경-재조달순-rv1 2" xfId="35948"/>
    <cellStyle name="평_MODEL정말최종_CN Financial Model-090704-4%" xfId="35949"/>
    <cellStyle name="평_MODEL정말최종_CN Financial Model-090704-4% 2" xfId="35950"/>
    <cellStyle name="평_MODEL정말최종_CN Financial Model-102004" xfId="35951"/>
    <cellStyle name="평_MODEL정말최종_CN Financial Model-102004 2" xfId="35952"/>
    <cellStyle name="평_MODEL최종" xfId="35953"/>
    <cellStyle name="평_MODEL최종 2" xfId="35954"/>
    <cellStyle name="평_MODEL최종_112504_CN FM_보장조정_협약변경-재조달순-rv1" xfId="35955"/>
    <cellStyle name="평_MODEL최종_112504_CN FM_보장조정_협약변경-재조달순-rv1 2" xfId="35956"/>
    <cellStyle name="평_MODEL최종_CN Financial Model-090704-4%" xfId="35957"/>
    <cellStyle name="평_MODEL최종_CN Financial Model-090704-4% 2" xfId="35958"/>
    <cellStyle name="평_MODEL최종_CN Financial Model-102004" xfId="35959"/>
    <cellStyle name="평_MODEL최종_CN Financial Model-102004 2" xfId="35960"/>
    <cellStyle name="평_NA Hiway Pjt Valuation(통행료 2년마다 인상)" xfId="35961"/>
    <cellStyle name="평_NA Hiway Pjt Valuation(통행료 2년마다 인상) 2" xfId="35962"/>
    <cellStyle name="평_NA Hiway Pjt Valuation(통행료 2년마다 인상)_112504_CN FM_보장조정_협약변경-재조달순-rv1" xfId="35963"/>
    <cellStyle name="평_NA Hiway Pjt Valuation(통행료 2년마다 인상)_112504_CN FM_보장조정_협약변경-재조달순-rv1 2" xfId="35964"/>
    <cellStyle name="평_NA Hiway Pjt Valuation(통행료 2년마다 인상)_CN Financial Model-090704-4%" xfId="35965"/>
    <cellStyle name="평_NA Hiway Pjt Valuation(통행료 2년마다 인상)_CN Financial Model-090704-4% 2" xfId="35966"/>
    <cellStyle name="평_NA Hiway Pjt Valuation(통행료 2년마다 인상)_CN Financial Model-102004" xfId="35967"/>
    <cellStyle name="평_NA Hiway Pjt Valuation(통행료 2년마다 인상)_CN Financial Model-102004 2" xfId="35968"/>
    <cellStyle name="평_ROE" xfId="35969"/>
    <cellStyle name="평_ROE 2" xfId="35970"/>
    <cellStyle name="평_ROE_112504_CN FM_보장조정_협약변경-재조달순-rv1" xfId="35971"/>
    <cellStyle name="평_ROE_112504_CN FM_보장조정_협약변경-재조달순-rv1 2" xfId="35972"/>
    <cellStyle name="평_ROE_CN Financial Model-090704-4%" xfId="35973"/>
    <cellStyle name="평_ROE_CN Financial Model-090704-4% 2" xfId="35974"/>
    <cellStyle name="평_ROE_CN Financial Model-102004" xfId="35975"/>
    <cellStyle name="평_ROE_CN Financial Model-102004 2" xfId="35976"/>
    <cellStyle name="평_Valuation(예비투자설명회)_0228" xfId="35977"/>
    <cellStyle name="평_Valuation(예비투자설명회)_0228 2" xfId="35978"/>
    <cellStyle name="평_Valuation(예비투자설명회)_0228_112504_CN FM_보장조정_협약변경-재조달순-rv1" xfId="35979"/>
    <cellStyle name="평_Valuation(예비투자설명회)_0228_112504_CN FM_보장조정_협약변경-재조달순-rv1 2" xfId="35980"/>
    <cellStyle name="평_Valuation(예비투자설명회)_0228_CN Financial Model-090704-4%" xfId="35981"/>
    <cellStyle name="평_Valuation(예비투자설명회)_0228_CN Financial Model-090704-4% 2" xfId="35982"/>
    <cellStyle name="평_Valuation(예비투자설명회)_0228_CN Financial Model-102004" xfId="35983"/>
    <cellStyle name="평_Valuation(예비투자설명회)_0228_CN Financial Model-102004 2" xfId="35984"/>
    <cellStyle name="평_Y-Pjt(FncMdl)_0912AM" xfId="35985"/>
    <cellStyle name="평_Y-Pjt(FncMdl)_0912AM 2" xfId="35986"/>
    <cellStyle name="평_Y-Pjt(FncMdl)_0912AM_112504_CN FM_보장조정_협약변경-재조달순-rv1" xfId="35987"/>
    <cellStyle name="평_Y-Pjt(FncMdl)_0912AM_112504_CN FM_보장조정_협약변경-재조달순-rv1 2" xfId="35988"/>
    <cellStyle name="평_Y-Pjt(FncMdl)_0912AM_CN Financial Model-090704-4%" xfId="35989"/>
    <cellStyle name="평_Y-Pjt(FncMdl)_0912AM_CN Financial Model-090704-4% 2" xfId="35990"/>
    <cellStyle name="평_Y-Pjt(FncMdl)_0912AM_CN Financial Model-102004" xfId="35991"/>
    <cellStyle name="평_Y-Pjt(FncMdl)_0912AM_CN Financial Model-102004 2" xfId="35992"/>
    <cellStyle name="평_Y-Pjt_0905(PM4)" xfId="35993"/>
    <cellStyle name="평_Y-Pjt_0905(PM4) 2" xfId="35994"/>
    <cellStyle name="평_Y-Pjt_0905(PM4)_112504_CN FM_보장조정_협약변경-재조달순-rv1" xfId="35995"/>
    <cellStyle name="평_Y-Pjt_0905(PM4)_112504_CN FM_보장조정_협약변경-재조달순-rv1 2" xfId="35996"/>
    <cellStyle name="평_Y-Pjt_0905(PM4)_CN Financial Model-090704-4%" xfId="35997"/>
    <cellStyle name="평_Y-Pjt_0905(PM4)_CN Financial Model-090704-4% 2" xfId="35998"/>
    <cellStyle name="평_Y-Pjt_0905(PM4)_CN Financial Model-102004" xfId="35999"/>
    <cellStyle name="평_Y-Pjt_0905(PM4)_CN Financial Model-102004 2" xfId="36000"/>
    <cellStyle name="평_Y-Pjt_0906(AM10)" xfId="36001"/>
    <cellStyle name="평_Y-Pjt_0906(AM10) 2" xfId="36002"/>
    <cellStyle name="평_Y-Pjt_0906(AM10)_112504_CN FM_보장조정_협약변경-재조달순-rv1" xfId="36003"/>
    <cellStyle name="평_Y-Pjt_0906(AM10)_112504_CN FM_보장조정_협약변경-재조달순-rv1 2" xfId="36004"/>
    <cellStyle name="평_Y-Pjt_0906(AM10)_CN Financial Model-090704-4%" xfId="36005"/>
    <cellStyle name="평_Y-Pjt_0906(AM10)_CN Financial Model-090704-4% 2" xfId="36006"/>
    <cellStyle name="평_Y-Pjt_0906(AM10)_CN Financial Model-102004" xfId="36007"/>
    <cellStyle name="평_Y-Pjt_0906(AM10)_CN Financial Model-102004 2" xfId="36008"/>
    <cellStyle name="평_Y-PROJECT_0812" xfId="36009"/>
    <cellStyle name="평_Y-PROJECT_0812 2" xfId="36010"/>
    <cellStyle name="평_Y-PROJECT_0812_112504_CN FM_보장조정_협약변경-재조달순-rv1" xfId="36011"/>
    <cellStyle name="평_Y-PROJECT_0812_112504_CN FM_보장조정_협약변경-재조달순-rv1 2" xfId="36012"/>
    <cellStyle name="평_Y-PROJECT_0812_CN Financial Model-090704-4%" xfId="36013"/>
    <cellStyle name="평_Y-PROJECT_0812_CN Financial Model-090704-4% 2" xfId="36014"/>
    <cellStyle name="평_Y-PROJECT_0812_CN Financial Model-102004" xfId="36015"/>
    <cellStyle name="평_Y-PROJECT_0812_CN Financial Model-102004 2" xfId="36016"/>
    <cellStyle name="평_Y-PROJECT_0813_PM10" xfId="36017"/>
    <cellStyle name="평_Y-PROJECT_0813_PM10 2" xfId="36018"/>
    <cellStyle name="평_Y-PROJECT_0813_PM10_112504_CN FM_보장조정_협약변경-재조달순-rv1" xfId="36019"/>
    <cellStyle name="평_Y-PROJECT_0813_PM10_112504_CN FM_보장조정_협약변경-재조달순-rv1 2" xfId="36020"/>
    <cellStyle name="평_Y-PROJECT_0813_PM10_CN Financial Model-090704-4%" xfId="36021"/>
    <cellStyle name="평_Y-PROJECT_0813_PM10_CN Financial Model-090704-4% 2" xfId="36022"/>
    <cellStyle name="평_Y-PROJECT_0813_PM10_CN Financial Model-102004" xfId="36023"/>
    <cellStyle name="평_Y-PROJECT_0813_PM10_CN Financial Model-102004 2" xfId="36024"/>
    <cellStyle name="평_Y-PROJECT_0820(PM7)" xfId="36025"/>
    <cellStyle name="평_Y-PROJECT_0820(PM7) 2" xfId="36026"/>
    <cellStyle name="평_Y-PROJECT_0820(PM7)_112504_CN FM_보장조정_협약변경-재조달순-rv1" xfId="36027"/>
    <cellStyle name="평_Y-PROJECT_0820(PM7)_112504_CN FM_보장조정_협약변경-재조달순-rv1 2" xfId="36028"/>
    <cellStyle name="평_Y-PROJECT_0820(PM7)_CN Financial Model-090704-4%" xfId="36029"/>
    <cellStyle name="평_Y-PROJECT_0820(PM7)_CN Financial Model-090704-4% 2" xfId="36030"/>
    <cellStyle name="평_Y-PROJECT_0820(PM7)_CN Financial Model-102004" xfId="36031"/>
    <cellStyle name="평_Y-PROJECT_0820(PM7)_CN Financial Model-102004 2" xfId="36032"/>
    <cellStyle name="평_건설기간중대안2최종" xfId="36033"/>
    <cellStyle name="평_건설기간중대안2최종 2" xfId="36034"/>
    <cellStyle name="평_건설기간중대안2최종_112504_CN FM_보장조정_협약변경-재조달순-rv1" xfId="36035"/>
    <cellStyle name="평_건설기간중대안2최종_112504_CN FM_보장조정_협약변경-재조달순-rv1 2" xfId="36036"/>
    <cellStyle name="평_건설기간중대안2최종_CN Financial Model-090704-4%" xfId="36037"/>
    <cellStyle name="평_건설기간중대안2최종_CN Financial Model-090704-4% 2" xfId="36038"/>
    <cellStyle name="평_건설기간중대안2최종_CN Financial Model-102004" xfId="36039"/>
    <cellStyle name="평_건설기간중대안2최종_CN Financial Model-102004 2" xfId="36040"/>
    <cellStyle name="평_경기도수성0319" xfId="36041"/>
    <cellStyle name="평_경기도수성0319 2" xfId="36042"/>
    <cellStyle name="평_경기도수성0319_112504_CN FM_보장조정_협약변경-재조달순-rv1" xfId="36043"/>
    <cellStyle name="평_경기도수성0319_112504_CN FM_보장조정_협약변경-재조달순-rv1 2" xfId="36044"/>
    <cellStyle name="평_경기도수성0319_CN Financial Model-090704-4%" xfId="36045"/>
    <cellStyle name="평_경기도수성0319_CN Financial Model-090704-4% 2" xfId="36046"/>
    <cellStyle name="평_경기도수성0319_CN Financial Model-102004" xfId="36047"/>
    <cellStyle name="평_경기도수성0319_CN Financial Model-102004 2" xfId="36048"/>
    <cellStyle name="평_광명 지역난방 민간투자사업 재무모델_0619" xfId="36049"/>
    <cellStyle name="평_광명 지역난방 민간투자사업 재무모델_0619 2" xfId="36050"/>
    <cellStyle name="평_광명 지역난방 민간투자사업 재무모델_0619_112504_CN FM_보장조정_협약변경-재조달순-rv1" xfId="36051"/>
    <cellStyle name="평_광명 지역난방 민간투자사업 재무모델_0619_112504_CN FM_보장조정_협약변경-재조달순-rv1 2" xfId="36052"/>
    <cellStyle name="평_광명 지역난방 민간투자사업 재무모델_0619_CN Financial Model-090704-4%" xfId="36053"/>
    <cellStyle name="평_광명 지역난방 민간투자사업 재무모델_0619_CN Financial Model-090704-4% 2" xfId="36054"/>
    <cellStyle name="평_광명 지역난방 민간투자사업 재무모델_0619_CN Financial Model-102004" xfId="36055"/>
    <cellStyle name="평_광명 지역난방 민간투자사업 재무모델_0619_CN Financial Model-102004 2" xfId="36056"/>
    <cellStyle name="평_교통운영비변경(1109)-강남순환" xfId="36057"/>
    <cellStyle name="평_교통운영비변경(1109)-강남순환 2" xfId="36058"/>
    <cellStyle name="평_교통운영비변경(1109)-강남순환_112504_CN FM_보장조정_협약변경-재조달순-rv1" xfId="36059"/>
    <cellStyle name="평_교통운영비변경(1109)-강남순환_112504_CN FM_보장조정_협약변경-재조달순-rv1 2" xfId="36060"/>
    <cellStyle name="평_교통운영비변경(1109)-강남순환_CN Financial Model-090704-4%" xfId="36061"/>
    <cellStyle name="평_교통운영비변경(1109)-강남순환_CN Financial Model-090704-4% 2" xfId="36062"/>
    <cellStyle name="평_교통운영비변경(1109)-강남순환_CN Financial Model-102004" xfId="36063"/>
    <cellStyle name="평_교통운영비변경(1109)-강남순환_CN Financial Model-102004 2" xfId="36064"/>
    <cellStyle name="평_김천 운영기간중 비용2007.2.18(홍_수정)" xfId="36065"/>
    <cellStyle name="평_김천 운영기간중 비용2007.2.18(홍_수정) 2" xfId="36066"/>
    <cellStyle name="평_논산시하수관거BTL사업_재무모델_논산관거관리(주)" xfId="36067"/>
    <cellStyle name="평_논산시하수관거BTL사업_재무모델_논산관거관리(주) 2" xfId="36068"/>
    <cellStyle name="평_논산시하수관거BTL사업_재무모델_논산관거관리(주)_FS_MS STP_092005_v7" xfId="36069"/>
    <cellStyle name="평_논산시하수관거BTL사업_재무모델_논산관거관리(주)_FS_MS STP_092005_v7 2" xfId="36070"/>
    <cellStyle name="평_논산시하수관거BTL사업_재무모델_논산관거관리(주)_FS_MS STP_092005_v8" xfId="36071"/>
    <cellStyle name="평_논산시하수관거BTL사업_재무모델_논산관거관리(주)_FS_MS STP_092005_v8 2" xfId="36072"/>
    <cellStyle name="평_대안1(1129)" xfId="36073"/>
    <cellStyle name="평_대안1(1129) 2" xfId="36074"/>
    <cellStyle name="평_대안1(1129)_112504_CN FM_보장조정_협약변경-재조달순-rv1" xfId="36075"/>
    <cellStyle name="평_대안1(1129)_112504_CN FM_보장조정_협약변경-재조달순-rv1 2" xfId="36076"/>
    <cellStyle name="평_대안1(1129)_CN Financial Model-090704-4%" xfId="36077"/>
    <cellStyle name="평_대안1(1129)_CN Financial Model-090704-4% 2" xfId="36078"/>
    <cellStyle name="평_대안1(1129)_CN Financial Model-102004" xfId="36079"/>
    <cellStyle name="평_대안1(1129)_CN Financial Model-102004 2" xfId="36080"/>
    <cellStyle name="평_대안2(1201)" xfId="36081"/>
    <cellStyle name="평_대안2(1201) 2" xfId="36082"/>
    <cellStyle name="평_대안2(1201)_112504_CN FM_보장조정_협약변경-재조달순-rv1" xfId="36083"/>
    <cellStyle name="평_대안2(1201)_112504_CN FM_보장조정_협약변경-재조달순-rv1 2" xfId="36084"/>
    <cellStyle name="평_대안2(1201)_CN Financial Model-090704-4%" xfId="36085"/>
    <cellStyle name="평_대안2(1201)_CN Financial Model-090704-4% 2" xfId="36086"/>
    <cellStyle name="평_대안2(1201)_CN Financial Model-102004" xfId="36087"/>
    <cellStyle name="평_대안2(1201)_CN Financial Model-102004 2" xfId="36088"/>
    <cellStyle name="평_마산 부대비용(분기포함-1 운영기간중)" xfId="36089"/>
    <cellStyle name="평_마산 부대비용(분기포함-1 운영기간중) 2" xfId="36090"/>
    <cellStyle name="평_마산 부대비용(분기포함-1 운영기간중)_장흥 운영기간중 비용-rev" xfId="36091"/>
    <cellStyle name="평_마산 부대비용(분기포함-1 운영기간중)_장흥 운영기간중 비용-rev 2" xfId="36092"/>
    <cellStyle name="평_마산 부대비용(분기포함-1 운영기간중)_장흥 운영기간중 비용-rev_김천 운영기간중 비용2007.2.18(홍_수정)" xfId="36093"/>
    <cellStyle name="평_마산 부대비용(분기포함-1 운영기간중)_장흥 운영기간중 비용-rev_김천 운영기간중 비용2007.2.18(홍_수정) 2" xfId="36094"/>
    <cellStyle name="평_모델제세공과금(0424)-1100원" xfId="36095"/>
    <cellStyle name="평_모델제세공과금(0424)-1100원 2" xfId="36096"/>
    <cellStyle name="평_별첨자료" xfId="36097"/>
    <cellStyle name="평_별첨자료 2" xfId="36098"/>
    <cellStyle name="평_별첨자료(수정)" xfId="36099"/>
    <cellStyle name="평_별첨자료(수정) 2" xfId="36100"/>
    <cellStyle name="평_별첨자료(수정)_~6652857" xfId="36101"/>
    <cellStyle name="평_별첨자료(수정)_~6652857 2" xfId="36102"/>
    <cellStyle name="평_별첨자료(수정)_112504_CN FM_보장조정_협약변경-재조달순-rv1" xfId="36103"/>
    <cellStyle name="평_별첨자료(수정)_112504_CN FM_보장조정_협약변경-재조달순-rv1 2" xfId="36104"/>
    <cellStyle name="평_별첨자료(수정)_112504_CN FM_보장조정_협약변경-재조달순-rv1_~6652857" xfId="36105"/>
    <cellStyle name="평_별첨자료(수정)_112504_CN FM_보장조정_협약변경-재조달순-rv1_~6652857 2" xfId="36106"/>
    <cellStyle name="평_별첨자료(수정)_CN Financial Model-090704-4%" xfId="36107"/>
    <cellStyle name="평_별첨자료(수정)_CN Financial Model-090704-4% 2" xfId="36108"/>
    <cellStyle name="평_별첨자료(수정)_CN Financial Model-090704-4%_~6652857" xfId="36109"/>
    <cellStyle name="평_별첨자료(수정)_CN Financial Model-090704-4%_~6652857 2" xfId="36110"/>
    <cellStyle name="평_별첨자료(수정)_CN Financial Model-102004" xfId="36111"/>
    <cellStyle name="평_별첨자료(수정)_CN Financial Model-102004 2" xfId="36112"/>
    <cellStyle name="평_별첨자료(수정)_CN Financial Model-102004_~6652857" xfId="36113"/>
    <cellStyle name="평_별첨자료(수정)_CN Financial Model-102004_~6652857 2" xfId="36114"/>
    <cellStyle name="평_별첨자료_~6652857" xfId="36115"/>
    <cellStyle name="평_별첨자료_~6652857 2" xfId="36116"/>
    <cellStyle name="평_별첨자료_112504_CN FM_보장조정_협약변경-재조달순-rv1" xfId="36117"/>
    <cellStyle name="평_별첨자료_112504_CN FM_보장조정_협약변경-재조달순-rv1 2" xfId="36118"/>
    <cellStyle name="평_별첨자료_112504_CN FM_보장조정_협약변경-재조달순-rv1_~6652857" xfId="36119"/>
    <cellStyle name="평_별첨자료_112504_CN FM_보장조정_협약변경-재조달순-rv1_~6652857 2" xfId="36120"/>
    <cellStyle name="평_별첨자료_CN Financial Model-090704-4%" xfId="36121"/>
    <cellStyle name="평_별첨자료_CN Financial Model-090704-4% 2" xfId="36122"/>
    <cellStyle name="평_별첨자료_CN Financial Model-090704-4%_~6652857" xfId="36123"/>
    <cellStyle name="평_별첨자료_CN Financial Model-090704-4%_~6652857 2" xfId="36124"/>
    <cellStyle name="평_별첨자료_CN Financial Model-102004" xfId="36125"/>
    <cellStyle name="평_별첨자료_CN Financial Model-102004 2" xfId="36126"/>
    <cellStyle name="평_별첨자료_CN Financial Model-102004_~6652857" xfId="36127"/>
    <cellStyle name="평_별첨자료_CN Financial Model-102004_~6652857 2" xfId="36128"/>
    <cellStyle name="평_사본 - MODEL_0105" xfId="36129"/>
    <cellStyle name="평_사본 - MODEL_0105 2" xfId="36130"/>
    <cellStyle name="평_사본 - MODEL_0105_112504_CN FM_보장조정_협약변경-재조달순-rv1" xfId="36131"/>
    <cellStyle name="평_사본 - MODEL_0105_112504_CN FM_보장조정_협약변경-재조달순-rv1 2" xfId="36132"/>
    <cellStyle name="평_사본 - MODEL_0105_CN Financial Model-090704-4%" xfId="36133"/>
    <cellStyle name="평_사본 - MODEL_0105_CN Financial Model-090704-4% 2" xfId="36134"/>
    <cellStyle name="평_사본 - MODEL_0105_CN Financial Model-102004" xfId="36135"/>
    <cellStyle name="평_사본 - MODEL_0105_CN Financial Model-102004 2" xfId="36136"/>
    <cellStyle name="평_사본 - 사본 - 사본 - MODEL_0105" xfId="36137"/>
    <cellStyle name="평_사본 - 사본 - 사본 - MODEL_0105 2" xfId="36138"/>
    <cellStyle name="평_사본 - 사본 - 사본 - MODEL_0105_112504_CN FM_보장조정_협약변경-재조달순-rv1" xfId="36139"/>
    <cellStyle name="평_사본 - 사본 - 사본 - MODEL_0105_112504_CN FM_보장조정_협약변경-재조달순-rv1 2" xfId="36140"/>
    <cellStyle name="평_사본 - 사본 - 사본 - MODEL_0105_CN Financial Model-090704-4%" xfId="36141"/>
    <cellStyle name="평_사본 - 사본 - 사본 - MODEL_0105_CN Financial Model-090704-4% 2" xfId="36142"/>
    <cellStyle name="평_사본 - 사본 - 사본 - MODEL_0105_CN Financial Model-102004" xfId="36143"/>
    <cellStyle name="평_사본 - 사본 - 사본 - MODEL_0105_CN Financial Model-102004 2" xfId="36144"/>
    <cellStyle name="평_수정(050815) 청주 부대비용(운영기간중)" xfId="36145"/>
    <cellStyle name="평_수정(050815) 청주 부대비용(운영기간중) 2" xfId="36146"/>
    <cellStyle name="평_수정(050815) 청주 부대비용(운영기간중)_장흥 운영기간중 비용-rev" xfId="36147"/>
    <cellStyle name="평_수정(050815) 청주 부대비용(운영기간중)_장흥 운영기간중 비용-rev 2" xfId="36148"/>
    <cellStyle name="평_수정(050815) 청주 부대비용(운영기간중)_장흥 운영기간중 비용-rev_김천 운영기간중 비용2007.2.18(홍_수정)" xfId="36149"/>
    <cellStyle name="평_수정(050815) 청주 부대비용(운영기간중)_장흥 운영기간중 비용-rev_김천 운영기간중 비용2007.2.18(홍_수정) 2" xfId="36150"/>
    <cellStyle name="평_수정(050815)청주 부대비용(주기별,운영기간중)" xfId="36151"/>
    <cellStyle name="평_수정(050815)청주 부대비용(주기별,운영기간중) 2" xfId="36152"/>
    <cellStyle name="평_수정(050815)청주 부대비용(주기별,운영기간중)_장흥 운영기간중 비용-rev" xfId="36153"/>
    <cellStyle name="평_수정(050815)청주 부대비용(주기별,운영기간중)_장흥 운영기간중 비용-rev 2" xfId="36154"/>
    <cellStyle name="평_수정(050815)청주 부대비용(주기별,운영기간중)_장흥 운영기간중 비용-rev_김천 운영기간중 비용2007.2.18(홍_수정)" xfId="36155"/>
    <cellStyle name="평_수정(050815)청주 부대비용(주기별,운영기간중)_장흥 운영기간중 비용-rev_김천 운영기간중 비용2007.2.18(홍_수정) 2" xfId="36156"/>
    <cellStyle name="평_양식" xfId="36157"/>
    <cellStyle name="평_양식 2" xfId="36158"/>
    <cellStyle name="평_양식_112504_CN FM_보장조정_협약변경-재조달순-rv1" xfId="36159"/>
    <cellStyle name="평_양식_112504_CN FM_보장조정_협약변경-재조달순-rv1 2" xfId="36160"/>
    <cellStyle name="평_양식_CN Financial Model-090704-4%" xfId="36161"/>
    <cellStyle name="평_양식_CN Financial Model-090704-4% 2" xfId="36162"/>
    <cellStyle name="평_양식_CN Financial Model-102004" xfId="36163"/>
    <cellStyle name="평_양식_CN Financial Model-102004 2" xfId="36164"/>
    <cellStyle name="평_용인 LRT_0619" xfId="36165"/>
    <cellStyle name="평_용인 LRT_0619 2" xfId="36166"/>
    <cellStyle name="평_용인 LRT_0619_112504_CN FM_보장조정_협약변경-재조달순-rv1" xfId="36167"/>
    <cellStyle name="평_용인 LRT_0619_112504_CN FM_보장조정_협약변경-재조달순-rv1 2" xfId="36168"/>
    <cellStyle name="평_용인 LRT_0619_CN Financial Model-090704-4%" xfId="36169"/>
    <cellStyle name="평_용인 LRT_0619_CN Financial Model-090704-4% 2" xfId="36170"/>
    <cellStyle name="평_용인 LRT_0619_CN Financial Model-102004" xfId="36171"/>
    <cellStyle name="평_용인 LRT_0619_CN Financial Model-102004 2" xfId="36172"/>
    <cellStyle name="평_용인 LRT_0619-2" xfId="36173"/>
    <cellStyle name="평_용인 LRT_0619-2 2" xfId="36174"/>
    <cellStyle name="평_용인 LRT_0619-2_112504_CN FM_보장조정_협약변경-재조달순-rv1" xfId="36175"/>
    <cellStyle name="평_용인 LRT_0619-2_112504_CN FM_보장조정_협약변경-재조달순-rv1 2" xfId="36176"/>
    <cellStyle name="평_용인 LRT_0619-2_CN Financial Model-090704-4%" xfId="36177"/>
    <cellStyle name="평_용인 LRT_0619-2_CN Financial Model-090704-4% 2" xfId="36178"/>
    <cellStyle name="평_용인 LRT_0619-2_CN Financial Model-102004" xfId="36179"/>
    <cellStyle name="평_용인 LRT_0619-2_CN Financial Model-102004 2" xfId="36180"/>
    <cellStyle name="평_용인 LRT_0620" xfId="36181"/>
    <cellStyle name="평_용인 LRT_0620 2" xfId="36182"/>
    <cellStyle name="평_용인 LRT_0620_112504_CN FM_보장조정_협약변경-재조달순-rv1" xfId="36183"/>
    <cellStyle name="평_용인 LRT_0620_112504_CN FM_보장조정_협약변경-재조달순-rv1 2" xfId="36184"/>
    <cellStyle name="평_용인 LRT_0620_CN Financial Model-090704-4%" xfId="36185"/>
    <cellStyle name="평_용인 LRT_0620_CN Financial Model-090704-4% 2" xfId="36186"/>
    <cellStyle name="평_용인 LRT_0620_CN Financial Model-102004" xfId="36187"/>
    <cellStyle name="평_용인 LRT_0620_CN Financial Model-102004 2" xfId="36188"/>
    <cellStyle name="평_용인 경량전철 민간투자사업 재무모델" xfId="36189"/>
    <cellStyle name="평_용인 경량전철 민간투자사업 재무모델 2" xfId="36190"/>
    <cellStyle name="평_용인 경량전철 민간투자사업 재무모델_112504_CN FM_보장조정_협약변경-재조달순-rv1" xfId="36191"/>
    <cellStyle name="평_용인 경량전철 민간투자사업 재무모델_112504_CN FM_보장조정_협약변경-재조달순-rv1 2" xfId="36192"/>
    <cellStyle name="평_용인 경량전철 민간투자사업 재무모델_CN Financial Model-090704-4%" xfId="36193"/>
    <cellStyle name="평_용인 경량전철 민간투자사업 재무모델_CN Financial Model-090704-4% 2" xfId="36194"/>
    <cellStyle name="평_용인 경량전철 민간투자사업 재무모델_CN Financial Model-102004" xfId="36195"/>
    <cellStyle name="평_용인 경량전철 민간투자사업 재무모델_CN Financial Model-102004 2" xfId="36196"/>
    <cellStyle name="평_운영설비비(고기리0320)" xfId="36197"/>
    <cellStyle name="평_운영설비비(고기리0320) 2" xfId="36198"/>
    <cellStyle name="평_운영설비비(고기리0320)_112504_CN FM_보장조정_협약변경-재조달순-rv1" xfId="36199"/>
    <cellStyle name="평_운영설비비(고기리0320)_112504_CN FM_보장조정_협약변경-재조달순-rv1 2" xfId="36200"/>
    <cellStyle name="평_운영설비비(고기리0320)_CN Financial Model-090704-4%" xfId="36201"/>
    <cellStyle name="평_운영설비비(고기리0320)_CN Financial Model-090704-4% 2" xfId="36202"/>
    <cellStyle name="평_운영설비비(고기리0320)_CN Financial Model-102004" xfId="36203"/>
    <cellStyle name="평_운영설비비(고기리0320)_CN Financial Model-102004 2" xfId="36204"/>
    <cellStyle name="평_인플레이션&amp;상대가치법&amp;WACC서칭_국가별 구분" xfId="36205"/>
    <cellStyle name="평_자금수지차 비교('06.10.18)" xfId="36206"/>
    <cellStyle name="평_자금수지차 비교('06.10.18) 2" xfId="36207"/>
    <cellStyle name="평_재무모델_김천하수관거_0221" xfId="420"/>
    <cellStyle name="평_재무모델_김천하수관거_0222" xfId="421"/>
    <cellStyle name="평_재무모델_김천하수관거_0224" xfId="422"/>
    <cellStyle name="평_재무모델_김천하수관거_부속작업중" xfId="423"/>
    <cellStyle name="평_재무모델_인천신현고외" xfId="424"/>
    <cellStyle name="평_재무모델_인천신현고외_재무모델_김천하수관거_0221" xfId="425"/>
    <cellStyle name="평_재무모델_인천신현고외_재무모델_김천하수관거_0222" xfId="426"/>
    <cellStyle name="평_재무모델_인천신현고외_재무모델_김천하수관거_0224" xfId="427"/>
    <cellStyle name="평_재무모델_인천신현고외_재무모델_김천하수관거_부속작업중" xfId="428"/>
    <cellStyle name="평_천안논산 Valuation_0426" xfId="36208"/>
    <cellStyle name="평_천안논산 Valuation_0426 2" xfId="36209"/>
    <cellStyle name="평_천안논산 Valuation_0426_112504_CN FM_보장조정_협약변경-재조달순-rv1" xfId="36210"/>
    <cellStyle name="평_천안논산 Valuation_0426_112504_CN FM_보장조정_협약변경-재조달순-rv1 2" xfId="36211"/>
    <cellStyle name="평_천안논산 Valuation_0426_CN Financial Model-090704-4%" xfId="36212"/>
    <cellStyle name="평_천안논산 Valuation_0426_CN Financial Model-090704-4% 2" xfId="36213"/>
    <cellStyle name="평_천안논산 Valuation_0426_CN Financial Model-102004" xfId="36214"/>
    <cellStyle name="평_천안논산 Valuation_0426_CN Financial Model-102004 2" xfId="36215"/>
    <cellStyle name="평_천안논산 Valuation_0428" xfId="36216"/>
    <cellStyle name="평_천안논산 Valuation_0428 2" xfId="36217"/>
    <cellStyle name="평_천안논산 Valuation_0428_112504_CN FM_보장조정_협약변경-재조달순-rv1" xfId="36218"/>
    <cellStyle name="평_천안논산 Valuation_0428_112504_CN FM_보장조정_협약변경-재조달순-rv1 2" xfId="36219"/>
    <cellStyle name="평_천안논산 Valuation_0428_CN Financial Model-090704-4%" xfId="36220"/>
    <cellStyle name="평_천안논산 Valuation_0428_CN Financial Model-090704-4% 2" xfId="36221"/>
    <cellStyle name="평_천안논산 Valuation_0428_CN Financial Model-102004" xfId="36222"/>
    <cellStyle name="평_천안논산 Valuation_0428_CN Financial Model-102004 2" xfId="36223"/>
    <cellStyle name="평_천안논산 Valuation_0430" xfId="36224"/>
    <cellStyle name="평_천안논산 Valuation_0430 2" xfId="36225"/>
    <cellStyle name="평_천안논산 Valuation_0430_112504_CN FM_보장조정_협약변경-재조달순-rv1" xfId="36226"/>
    <cellStyle name="평_천안논산 Valuation_0430_112504_CN FM_보장조정_협약변경-재조달순-rv1 2" xfId="36227"/>
    <cellStyle name="평_천안논산 Valuation_0430_CN Financial Model-090704-4%" xfId="36228"/>
    <cellStyle name="평_천안논산 Valuation_0430_CN Financial Model-090704-4% 2" xfId="36229"/>
    <cellStyle name="평_천안논산 Valuation_0430_CN Financial Model-102004" xfId="36230"/>
    <cellStyle name="평_천안논산 Valuation_0430_CN Financial Model-102004 2" xfId="36231"/>
    <cellStyle name="평_천안논산 Valuation_0502" xfId="36232"/>
    <cellStyle name="평_천안논산 Valuation_0502 2" xfId="36233"/>
    <cellStyle name="평_천안논산 Valuation_0502_112504_CN FM_보장조정_협약변경-재조달순-rv1" xfId="36234"/>
    <cellStyle name="평_천안논산 Valuation_0502_112504_CN FM_보장조정_협약변경-재조달순-rv1 2" xfId="36235"/>
    <cellStyle name="평_천안논산 Valuation_0502_CN Financial Model-090704-4%" xfId="36236"/>
    <cellStyle name="평_천안논산 Valuation_0502_CN Financial Model-090704-4% 2" xfId="36237"/>
    <cellStyle name="평_천안논산 Valuation_0502_CN Financial Model-102004" xfId="36238"/>
    <cellStyle name="평_천안논산 Valuation_0502_CN Financial Model-102004 2" xfId="36239"/>
    <cellStyle name="평_청주 부대비용(분기포함-1 운영기간중)" xfId="36240"/>
    <cellStyle name="평_청주 부대비용(분기포함-1 운영기간중) 2" xfId="36241"/>
    <cellStyle name="평_청주 부대비용(분기포함-1 운영기간중)_장흥 운영기간중 비용-rev" xfId="36242"/>
    <cellStyle name="평_청주 부대비용(분기포함-1 운영기간중)_장흥 운영기간중 비용-rev 2" xfId="36243"/>
    <cellStyle name="평_청주 부대비용(분기포함-1 운영기간중)_장흥 운영기간중 비용-rev_김천 운영기간중 비용2007.2.18(홍_수정)" xfId="36244"/>
    <cellStyle name="평_청주 부대비용(분기포함-1 운영기간중)_장흥 운영기간중 비용-rev_김천 운영기간중 비용2007.2.18(홍_수정) 2" xfId="36245"/>
    <cellStyle name="평_최종내부보고" xfId="36246"/>
    <cellStyle name="평_최종내부보고 2" xfId="36247"/>
    <cellStyle name="평_최종내부보고_112504_CN FM_보장조정_협약변경-재조달순-rv1" xfId="36248"/>
    <cellStyle name="평_최종내부보고_112504_CN FM_보장조정_협약변경-재조달순-rv1 2" xfId="36249"/>
    <cellStyle name="평_최종내부보고_CN Financial Model-090704-4%" xfId="36250"/>
    <cellStyle name="평_최종내부보고_CN Financial Model-090704-4% 2" xfId="36251"/>
    <cellStyle name="평_최종내부보고_CN Financial Model-102004" xfId="36252"/>
    <cellStyle name="평_최종내부보고_CN Financial Model-102004 2" xfId="36253"/>
    <cellStyle name="평_평택STP_01_09_27" xfId="429"/>
    <cellStyle name="평_평택STP_01_09_27 2" xfId="36254"/>
    <cellStyle name="평_평택STP_01_09_27_112504_CN FM_보장조정_협약변경-재조달순-rv1" xfId="36255"/>
    <cellStyle name="평_평택STP_01_09_27_112504_CN FM_보장조정_협약변경-재조달순-rv1 2" xfId="36256"/>
    <cellStyle name="평_평택STP_01_09_27_CN Financial Model-090704-4%" xfId="36257"/>
    <cellStyle name="평_평택STP_01_09_27_CN Financial Model-090704-4% 2" xfId="36258"/>
    <cellStyle name="평_평택STP_01_09_27_CN Financial Model-102004" xfId="36259"/>
    <cellStyle name="평_평택STP_01_09_27_CN Financial Model-102004 2" xfId="36260"/>
    <cellStyle name="평_평택STP_01_09_27_FinancialModel1108" xfId="430"/>
    <cellStyle name="평_평택STP_01_09_27_FinancialModel1108 2" xfId="36261"/>
    <cellStyle name="평_평택STP_01_09_27_FinancialModel1108_(문원고기만)MODEL0318" xfId="36262"/>
    <cellStyle name="평_평택STP_01_09_27_FinancialModel1108_(문원고기만)MODEL0318 2" xfId="36263"/>
    <cellStyle name="평_평택STP_01_09_27_FinancialModel1108_(문원고기만)MODEL0318_112504_CN FM_보장조정_협약변경-재조달순-rv1" xfId="36264"/>
    <cellStyle name="평_평택STP_01_09_27_FinancialModel1108_(문원고기만)MODEL0318_112504_CN FM_보장조정_협약변경-재조달순-rv1 2" xfId="36265"/>
    <cellStyle name="평_평택STP_01_09_27_FinancialModel1108_(문원고기만)MODEL0318_CN Financial Model-090704-4%" xfId="36266"/>
    <cellStyle name="평_평택STP_01_09_27_FinancialModel1108_(문원고기만)MODEL0318_CN Financial Model-090704-4% 2" xfId="36267"/>
    <cellStyle name="평_평택STP_01_09_27_FinancialModel1108_(문원고기만)MODEL0318_CN Financial Model-102004" xfId="36268"/>
    <cellStyle name="평_평택STP_01_09_27_FinancialModel1108_(문원고기만)MODEL0318_CN Financial Model-102004 2" xfId="36269"/>
    <cellStyle name="평_평택STP_01_09_27_FinancialModel1108_(제출용)재무모델_(가칭)영신개발관리(주)" xfId="431"/>
    <cellStyle name="평_평택STP_01_09_27_FinancialModel1108_(제출용)재무모델_(가칭)영신개발관리(주)_재무모델_김천하수관거_0221" xfId="432"/>
    <cellStyle name="평_평택STP_01_09_27_FinancialModel1108_(제출용)재무모델_(가칭)영신개발관리(주)_재무모델_김천하수관거_0222" xfId="433"/>
    <cellStyle name="평_평택STP_01_09_27_FinancialModel1108_(제출용)재무모델_(가칭)영신개발관리(주)_재무모델_김천하수관거_0224" xfId="434"/>
    <cellStyle name="평_평택STP_01_09_27_FinancialModel1108_(제출용)재무모델_(가칭)영신개발관리(주)_재무모델_김천하수관거_부속작업중" xfId="435"/>
    <cellStyle name="평_평택STP_01_09_27_FinancialModel1108_CN Financial Model v11" xfId="36270"/>
    <cellStyle name="평_평택STP_01_09_27_FinancialModel1108_CN Financial Model v11 2" xfId="36271"/>
    <cellStyle name="평_평택STP_01_09_27_FinancialModel1108_CN Financial Model v11_112504_CN FM_보장조정_협약변경-재조달순-rv1" xfId="36272"/>
    <cellStyle name="평_평택STP_01_09_27_FinancialModel1108_CN Financial Model v11_112504_CN FM_보장조정_협약변경-재조달순-rv1 2" xfId="36273"/>
    <cellStyle name="평_평택STP_01_09_27_FinancialModel1108_CN Financial Model v11_CN Financial Model-090704-4%" xfId="36274"/>
    <cellStyle name="평_평택STP_01_09_27_FinancialModel1108_CN Financial Model v11_CN Financial Model-090704-4% 2" xfId="36275"/>
    <cellStyle name="평_평택STP_01_09_27_FinancialModel1108_CN Financial Model v11_CN Financial Model-102004" xfId="36276"/>
    <cellStyle name="평_평택STP_01_09_27_FinancialModel1108_CN Financial Model v11_CN Financial Model-102004 2" xfId="36277"/>
    <cellStyle name="평_평택STP_01_09_27_FinancialModel1108_CN Financial Model-정부제출-062504-기준모델" xfId="36278"/>
    <cellStyle name="평_평택STP_01_09_27_FinancialModel1108_CN Financial Model-정부제출-062504-기준모델 2" xfId="36279"/>
    <cellStyle name="평_평택STP_01_09_27_FinancialModel1108_CN Financial Model-정부제출-062504-기준모델_112504_CN FM_보장조정_협약변경-재조달순-rv1" xfId="36280"/>
    <cellStyle name="평_평택STP_01_09_27_FinancialModel1108_CN Financial Model-정부제출-062504-기준모델_112504_CN FM_보장조정_협약변경-재조달순-rv1 2" xfId="36281"/>
    <cellStyle name="평_평택STP_01_09_27_FinancialModel1108_CN Financial Model-정부제출-062504-기준모델_CN Financial Model-090704-4%" xfId="36282"/>
    <cellStyle name="평_평택STP_01_09_27_FinancialModel1108_CN Financial Model-정부제출-062504-기준모델_CN Financial Model-090704-4% 2" xfId="36283"/>
    <cellStyle name="평_평택STP_01_09_27_FinancialModel1108_CN Financial Model-정부제출-062504-기준모델_CN Financial Model-102004" xfId="36284"/>
    <cellStyle name="평_평택STP_01_09_27_FinancialModel1108_CN Financial Model-정부제출-062504-기준모델_CN Financial Model-102004 2" xfId="36285"/>
    <cellStyle name="평_평택STP_01_09_27_FinancialModel1108_CN Pjt Valuation_0520" xfId="36286"/>
    <cellStyle name="평_평택STP_01_09_27_FinancialModel1108_CN Pjt Valuation_0520 2" xfId="36287"/>
    <cellStyle name="평_평택STP_01_09_27_FinancialModel1108_CN Pjt Valuation_0520_112504_CN FM_보장조정_협약변경-재조달순-rv1" xfId="36288"/>
    <cellStyle name="평_평택STP_01_09_27_FinancialModel1108_CN Pjt Valuation_0520_112504_CN FM_보장조정_협약변경-재조달순-rv1 2" xfId="36289"/>
    <cellStyle name="평_평택STP_01_09_27_FinancialModel1108_CN Pjt Valuation_0520_CN Financial Model-090704-4%" xfId="36290"/>
    <cellStyle name="평_평택STP_01_09_27_FinancialModel1108_CN Pjt Valuation_0520_CN Financial Model-090704-4% 2" xfId="36291"/>
    <cellStyle name="평_평택STP_01_09_27_FinancialModel1108_CN Pjt Valuation_0520_CN Financial Model-102004" xfId="36292"/>
    <cellStyle name="평_평택STP_01_09_27_FinancialModel1108_CN Pjt Valuation_0520_CN Financial Model-102004 2" xfId="36293"/>
    <cellStyle name="평_평택STP_01_09_27_FinancialModel1108_C-PROJECT FINANCIAL MODEL_0704" xfId="36294"/>
    <cellStyle name="평_평택STP_01_09_27_FinancialModel1108_C-PROJECT FINANCIAL MODEL_0704 2" xfId="36295"/>
    <cellStyle name="평_평택STP_01_09_27_FinancialModel1108_C-PROJECT FINANCIAL MODEL_0704_112504_CN FM_보장조정_협약변경-재조달순-rv1" xfId="36296"/>
    <cellStyle name="평_평택STP_01_09_27_FinancialModel1108_C-PROJECT FINANCIAL MODEL_0704_112504_CN FM_보장조정_협약변경-재조달순-rv1 2" xfId="36297"/>
    <cellStyle name="평_평택STP_01_09_27_FinancialModel1108_C-PROJECT FINANCIAL MODEL_0704_CN Financial Model-090704-4%" xfId="36298"/>
    <cellStyle name="평_평택STP_01_09_27_FinancialModel1108_C-PROJECT FINANCIAL MODEL_0704_CN Financial Model-090704-4% 2" xfId="36299"/>
    <cellStyle name="평_평택STP_01_09_27_FinancialModel1108_C-PROJECT FINANCIAL MODEL_0704_CN Financial Model-102004" xfId="36300"/>
    <cellStyle name="평_평택STP_01_09_27_FinancialModel1108_C-PROJECT FINANCIAL MODEL_0704_CN Financial Model-102004 2" xfId="36301"/>
    <cellStyle name="평_평택STP_01_09_27_FinancialModel1108_C-PROJECT_0722_pm2" xfId="36302"/>
    <cellStyle name="평_평택STP_01_09_27_FinancialModel1108_C-PROJECT_0722_pm2 2" xfId="36303"/>
    <cellStyle name="평_평택STP_01_09_27_FinancialModel1108_C-PROJECT_0722_pm2_112504_CN FM_보장조정_협약변경-재조달순-rv1" xfId="36304"/>
    <cellStyle name="평_평택STP_01_09_27_FinancialModel1108_C-PROJECT_0722_pm2_112504_CN FM_보장조정_협약변경-재조달순-rv1 2" xfId="36305"/>
    <cellStyle name="평_평택STP_01_09_27_FinancialModel1108_C-PROJECT_0722_pm2_CN Financial Model-090704-4%" xfId="36306"/>
    <cellStyle name="평_평택STP_01_09_27_FinancialModel1108_C-PROJECT_0722_pm2_CN Financial Model-090704-4% 2" xfId="36307"/>
    <cellStyle name="평_평택STP_01_09_27_FinancialModel1108_C-PROJECT_0722_pm2_CN Financial Model-102004" xfId="36308"/>
    <cellStyle name="평_평택STP_01_09_27_FinancialModel1108_C-PROJECT_0722_pm2_CN Financial Model-102004 2" xfId="36309"/>
    <cellStyle name="평_평택STP_01_09_27_FinancialModel1108_C-PROJECT_0801" xfId="36310"/>
    <cellStyle name="평_평택STP_01_09_27_FinancialModel1108_C-PROJECT_0801 2" xfId="36311"/>
    <cellStyle name="평_평택STP_01_09_27_FinancialModel1108_C-PROJECT_0801_112504_CN FM_보장조정_협약변경-재조달순-rv1" xfId="36312"/>
    <cellStyle name="평_평택STP_01_09_27_FinancialModel1108_C-PROJECT_0801_112504_CN FM_보장조정_협약변경-재조달순-rv1 2" xfId="36313"/>
    <cellStyle name="평_평택STP_01_09_27_FinancialModel1108_C-PROJECT_0801_CN Financial Model-090704-4%" xfId="36314"/>
    <cellStyle name="평_평택STP_01_09_27_FinancialModel1108_C-PROJECT_0801_CN Financial Model-090704-4% 2" xfId="36315"/>
    <cellStyle name="평_평택STP_01_09_27_FinancialModel1108_C-PROJECT_0801_CN Financial Model-102004" xfId="36316"/>
    <cellStyle name="평_평택STP_01_09_27_FinancialModel1108_C-PROJECT_0801_CN Financial Model-102004 2" xfId="36317"/>
    <cellStyle name="평_평택STP_01_09_27_FinancialModel1108_Financial model_(가칭)경남e-스쿨주식회사" xfId="436"/>
    <cellStyle name="평_평택STP_01_09_27_FinancialModel1108_Financial model_(가칭)경남e-스쿨주식회사_재무모델_김천하수관거_0221" xfId="437"/>
    <cellStyle name="평_평택STP_01_09_27_FinancialModel1108_Financial model_(가칭)경남e-스쿨주식회사_재무모델_김천하수관거_0222" xfId="438"/>
    <cellStyle name="평_평택STP_01_09_27_FinancialModel1108_Financial model_(가칭)경남e-스쿨주식회사_재무모델_김천하수관거_0224" xfId="439"/>
    <cellStyle name="평_평택STP_01_09_27_FinancialModel1108_Financial model_(가칭)경남e-스쿨주식회사_재무모델_김천하수관거_부속작업중" xfId="440"/>
    <cellStyle name="평_평택STP_01_09_27_FinancialModel1108_Financial model_중리초 외 4개교(백)" xfId="441"/>
    <cellStyle name="평_평택STP_01_09_27_FinancialModel1108_Financial model_중리초 외 4개교(백)_재무모델_김천하수관거_0221" xfId="442"/>
    <cellStyle name="평_평택STP_01_09_27_FinancialModel1108_Financial model_중리초 외 4개교(백)_재무모델_김천하수관거_0222" xfId="443"/>
    <cellStyle name="평_평택STP_01_09_27_FinancialModel1108_Financial model_중리초 외 4개교(백)_재무모델_김천하수관거_0224" xfId="444"/>
    <cellStyle name="평_평택STP_01_09_27_FinancialModel1108_Financial model_중리초 외 4개교(백)_재무모델_김천하수관거_부속작업중" xfId="445"/>
    <cellStyle name="평_평택STP_01_09_27_FinancialModel1108_FinancialModel1108(2)" xfId="446"/>
    <cellStyle name="평_평택STP_01_09_27_FinancialModel1108_FinancialModel1108(2) 2" xfId="36318"/>
    <cellStyle name="평_평택STP_01_09_27_FinancialModel1108_FinancialModel1108(2)_112504_CN FM_보장조정_협약변경-재조달순-rv1" xfId="36319"/>
    <cellStyle name="평_평택STP_01_09_27_FinancialModel1108_FinancialModel1108(2)_112504_CN FM_보장조정_협약변경-재조달순-rv1 2" xfId="36320"/>
    <cellStyle name="평_평택STP_01_09_27_FinancialModel1108_FinancialModel1108(2)_CN Financial Model-090704-4%" xfId="36321"/>
    <cellStyle name="평_평택STP_01_09_27_FinancialModel1108_FinancialModel1108(2)_CN Financial Model-090704-4% 2" xfId="36322"/>
    <cellStyle name="평_평택STP_01_09_27_FinancialModel1108_FinancialModel1108(2)_CN Financial Model-102004" xfId="36323"/>
    <cellStyle name="평_평택STP_01_09_27_FinancialModel1108_FinancialModel1108(2)_CN Financial Model-102004 2" xfId="36324"/>
    <cellStyle name="평_평택STP_01_09_27_FinancialModel1108_FinancialModel1108(2)_재무모델_김천하수관거_0221" xfId="447"/>
    <cellStyle name="평_평택STP_01_09_27_FinancialModel1108_FinancialModel1108(2)_재무모델_김천하수관거_0222" xfId="448"/>
    <cellStyle name="평_평택STP_01_09_27_FinancialModel1108_FinancialModel1108(2)_재무모델_김천하수관거_0224" xfId="449"/>
    <cellStyle name="평_평택STP_01_09_27_FinancialModel1108_FinancialModel1108(2)_재무모델_김천하수관거_부속작업중" xfId="450"/>
    <cellStyle name="평_평택STP_01_09_27_FinancialModel1108_I-Pjt Fm(1028)" xfId="36325"/>
    <cellStyle name="평_평택STP_01_09_27_FinancialModel1108_I-Pjt Fm(1028) 2" xfId="36326"/>
    <cellStyle name="평_평택STP_01_09_27_FinancialModel1108_I-Pjt Fm(1028)_112504_CN FM_보장조정_협약변경-재조달순-rv1" xfId="36327"/>
    <cellStyle name="평_평택STP_01_09_27_FinancialModel1108_I-Pjt Fm(1028)_112504_CN FM_보장조정_협약변경-재조달순-rv1 2" xfId="36328"/>
    <cellStyle name="평_평택STP_01_09_27_FinancialModel1108_I-Pjt Fm(1028)_CN Financial Model-090704-4%" xfId="36329"/>
    <cellStyle name="평_평택STP_01_09_27_FinancialModel1108_I-Pjt Fm(1028)_CN Financial Model-090704-4% 2" xfId="36330"/>
    <cellStyle name="평_평택STP_01_09_27_FinancialModel1108_I-Pjt Fm(1028)_CN Financial Model-102004" xfId="36331"/>
    <cellStyle name="평_평택STP_01_09_27_FinancialModel1108_I-Pjt Fm(1028)_CN Financial Model-102004 2" xfId="36332"/>
    <cellStyle name="평_평택STP_01_09_27_FinancialModel1108_I-Pjt Fm(1031)" xfId="36333"/>
    <cellStyle name="평_평택STP_01_09_27_FinancialModel1108_I-Pjt Fm(1031) 2" xfId="36334"/>
    <cellStyle name="평_평택STP_01_09_27_FinancialModel1108_I-Pjt Fm(1031)_112504_CN FM_보장조정_협약변경-재조달순-rv1" xfId="36335"/>
    <cellStyle name="평_평택STP_01_09_27_FinancialModel1108_I-Pjt Fm(1031)_112504_CN FM_보장조정_협약변경-재조달순-rv1 2" xfId="36336"/>
    <cellStyle name="평_평택STP_01_09_27_FinancialModel1108_I-Pjt Fm(1031)_CN Financial Model-090704-4%" xfId="36337"/>
    <cellStyle name="평_평택STP_01_09_27_FinancialModel1108_I-Pjt Fm(1031)_CN Financial Model-090704-4% 2" xfId="36338"/>
    <cellStyle name="평_평택STP_01_09_27_FinancialModel1108_I-Pjt Fm(1031)_CN Financial Model-102004" xfId="36339"/>
    <cellStyle name="평_평택STP_01_09_27_FinancialModel1108_I-Pjt Fm(1031)_CN Financial Model-102004 2" xfId="36340"/>
    <cellStyle name="평_평택STP_01_09_27_FinancialModel1108_MODEL_0117" xfId="36341"/>
    <cellStyle name="평_평택STP_01_09_27_FinancialModel1108_MODEL_0117 2" xfId="36342"/>
    <cellStyle name="평_평택STP_01_09_27_FinancialModel1108_MODEL_0117_112504_CN FM_보장조정_협약변경-재조달순-rv1" xfId="36343"/>
    <cellStyle name="평_평택STP_01_09_27_FinancialModel1108_MODEL_0117_112504_CN FM_보장조정_협약변경-재조달순-rv1 2" xfId="36344"/>
    <cellStyle name="평_평택STP_01_09_27_FinancialModel1108_MODEL_0117_CN Financial Model-090704-4%" xfId="36345"/>
    <cellStyle name="평_평택STP_01_09_27_FinancialModel1108_MODEL_0117_CN Financial Model-090704-4% 2" xfId="36346"/>
    <cellStyle name="평_평택STP_01_09_27_FinancialModel1108_MODEL_0117_CN Financial Model-102004" xfId="36347"/>
    <cellStyle name="평_평택STP_01_09_27_FinancialModel1108_MODEL_0117_CN Financial Model-102004 2" xfId="36348"/>
    <cellStyle name="평_평택STP_01_09_27_FinancialModel1108_MODEL_0118" xfId="36349"/>
    <cellStyle name="평_평택STP_01_09_27_FinancialModel1108_MODEL_0118 2" xfId="36350"/>
    <cellStyle name="평_평택STP_01_09_27_FinancialModel1108_MODEL_0118_112504_CN FM_보장조정_협약변경-재조달순-rv1" xfId="36351"/>
    <cellStyle name="평_평택STP_01_09_27_FinancialModel1108_MODEL_0118_112504_CN FM_보장조정_협약변경-재조달순-rv1 2" xfId="36352"/>
    <cellStyle name="평_평택STP_01_09_27_FinancialModel1108_MODEL_0118_CN Financial Model-090704-4%" xfId="36353"/>
    <cellStyle name="평_평택STP_01_09_27_FinancialModel1108_MODEL_0118_CN Financial Model-090704-4% 2" xfId="36354"/>
    <cellStyle name="평_평택STP_01_09_27_FinancialModel1108_MODEL_0118_CN Financial Model-102004" xfId="36355"/>
    <cellStyle name="평_평택STP_01_09_27_FinancialModel1108_MODEL_0118_CN Financial Model-102004 2" xfId="36356"/>
    <cellStyle name="평_평택STP_01_09_27_FinancialModel1108_MODEL0205" xfId="36357"/>
    <cellStyle name="평_평택STP_01_09_27_FinancialModel1108_MODEL0205 2" xfId="36358"/>
    <cellStyle name="평_평택STP_01_09_27_FinancialModel1108_MODEL0205_112504_CN FM_보장조정_협약변경-재조달순-rv1" xfId="36359"/>
    <cellStyle name="평_평택STP_01_09_27_FinancialModel1108_MODEL0205_112504_CN FM_보장조정_협약변경-재조달순-rv1 2" xfId="36360"/>
    <cellStyle name="평_평택STP_01_09_27_FinancialModel1108_MODEL0205_CN Financial Model-090704-4%" xfId="36361"/>
    <cellStyle name="평_평택STP_01_09_27_FinancialModel1108_MODEL0205_CN Financial Model-090704-4% 2" xfId="36362"/>
    <cellStyle name="평_평택STP_01_09_27_FinancialModel1108_MODEL0205_CN Financial Model-102004" xfId="36363"/>
    <cellStyle name="평_평택STP_01_09_27_FinancialModel1108_MODEL0205_CN Financial Model-102004 2" xfId="36364"/>
    <cellStyle name="평_평택STP_01_09_27_FinancialModel1108_MODEL0209" xfId="36365"/>
    <cellStyle name="평_평택STP_01_09_27_FinancialModel1108_MODEL0209 2" xfId="36366"/>
    <cellStyle name="평_평택STP_01_09_27_FinancialModel1108_MODEL0209_112504_CN FM_보장조정_협약변경-재조달순-rv1" xfId="36367"/>
    <cellStyle name="평_평택STP_01_09_27_FinancialModel1108_MODEL0209_112504_CN FM_보장조정_협약변경-재조달순-rv1 2" xfId="36368"/>
    <cellStyle name="평_평택STP_01_09_27_FinancialModel1108_MODEL0209_CN Financial Model-090704-4%" xfId="36369"/>
    <cellStyle name="평_평택STP_01_09_27_FinancialModel1108_MODEL0209_CN Financial Model-090704-4% 2" xfId="36370"/>
    <cellStyle name="평_평택STP_01_09_27_FinancialModel1108_MODEL0209_CN Financial Model-102004" xfId="36371"/>
    <cellStyle name="평_평택STP_01_09_27_FinancialModel1108_MODEL0209_CN Financial Model-102004 2" xfId="36372"/>
    <cellStyle name="평_평택STP_01_09_27_FinancialModel1108_MODEL0221" xfId="36373"/>
    <cellStyle name="평_평택STP_01_09_27_FinancialModel1108_MODEL0221 2" xfId="36374"/>
    <cellStyle name="평_평택STP_01_09_27_FinancialModel1108_MODEL0221_112504_CN FM_보장조정_협약변경-재조달순-rv1" xfId="36375"/>
    <cellStyle name="평_평택STP_01_09_27_FinancialModel1108_MODEL0221_112504_CN FM_보장조정_협약변경-재조달순-rv1 2" xfId="36376"/>
    <cellStyle name="평_평택STP_01_09_27_FinancialModel1108_MODEL0221_CN Financial Model-090704-4%" xfId="36377"/>
    <cellStyle name="평_평택STP_01_09_27_FinancialModel1108_MODEL0221_CN Financial Model-090704-4% 2" xfId="36378"/>
    <cellStyle name="평_평택STP_01_09_27_FinancialModel1108_MODEL0221_CN Financial Model-102004" xfId="36379"/>
    <cellStyle name="평_평택STP_01_09_27_FinancialModel1108_MODEL0221_CN Financial Model-102004 2" xfId="36380"/>
    <cellStyle name="평_평택STP_01_09_27_FinancialModel1108_MODEL0309" xfId="36381"/>
    <cellStyle name="평_평택STP_01_09_27_FinancialModel1108_MODEL0309 2" xfId="36382"/>
    <cellStyle name="평_평택STP_01_09_27_FinancialModel1108_MODEL0309_112504_CN FM_보장조정_협약변경-재조달순-rv1" xfId="36383"/>
    <cellStyle name="평_평택STP_01_09_27_FinancialModel1108_MODEL0309_112504_CN FM_보장조정_협약변경-재조달순-rv1 2" xfId="36384"/>
    <cellStyle name="평_평택STP_01_09_27_FinancialModel1108_MODEL0309_CN Financial Model-090704-4%" xfId="36385"/>
    <cellStyle name="평_평택STP_01_09_27_FinancialModel1108_MODEL0309_CN Financial Model-090704-4% 2" xfId="36386"/>
    <cellStyle name="평_평택STP_01_09_27_FinancialModel1108_MODEL0309_CN Financial Model-102004" xfId="36387"/>
    <cellStyle name="평_평택STP_01_09_27_FinancialModel1108_MODEL0309_CN Financial Model-102004 2" xfId="36388"/>
    <cellStyle name="평_평택STP_01_09_27_FinancialModel1108_MODEL0316" xfId="36389"/>
    <cellStyle name="평_평택STP_01_09_27_FinancialModel1108_MODEL0316 2" xfId="36390"/>
    <cellStyle name="평_평택STP_01_09_27_FinancialModel1108_MODEL0316_112504_CN FM_보장조정_협약변경-재조달순-rv1" xfId="36391"/>
    <cellStyle name="평_평택STP_01_09_27_FinancialModel1108_MODEL0316_112504_CN FM_보장조정_협약변경-재조달순-rv1 2" xfId="36392"/>
    <cellStyle name="평_평택STP_01_09_27_FinancialModel1108_MODEL0316_CN Financial Model-090704-4%" xfId="36393"/>
    <cellStyle name="평_평택STP_01_09_27_FinancialModel1108_MODEL0316_CN Financial Model-090704-4% 2" xfId="36394"/>
    <cellStyle name="평_평택STP_01_09_27_FinancialModel1108_MODEL0316_CN Financial Model-102004" xfId="36395"/>
    <cellStyle name="평_평택STP_01_09_27_FinancialModel1108_MODEL0316_CN Financial Model-102004 2" xfId="36396"/>
    <cellStyle name="평_평택STP_01_09_27_FinancialModel1108_MODEL0318" xfId="36397"/>
    <cellStyle name="평_평택STP_01_09_27_FinancialModel1108_MODEL0318 2" xfId="36398"/>
    <cellStyle name="평_평택STP_01_09_27_FinancialModel1108_MODEL0318_112504_CN FM_보장조정_협약변경-재조달순-rv1" xfId="36399"/>
    <cellStyle name="평_평택STP_01_09_27_FinancialModel1108_MODEL0318_112504_CN FM_보장조정_협약변경-재조달순-rv1 2" xfId="36400"/>
    <cellStyle name="평_평택STP_01_09_27_FinancialModel1108_MODEL0318_CN Financial Model-090704-4%" xfId="36401"/>
    <cellStyle name="평_평택STP_01_09_27_FinancialModel1108_MODEL0318_CN Financial Model-090704-4% 2" xfId="36402"/>
    <cellStyle name="평_평택STP_01_09_27_FinancialModel1108_MODEL0318_CN Financial Model-102004" xfId="36403"/>
    <cellStyle name="평_평택STP_01_09_27_FinancialModel1108_MODEL0318_CN Financial Model-102004 2" xfId="36404"/>
    <cellStyle name="평_평택STP_01_09_27_FinancialModel1108_MODEL0320-1" xfId="36405"/>
    <cellStyle name="평_평택STP_01_09_27_FinancialModel1108_MODEL0320-1 2" xfId="36406"/>
    <cellStyle name="평_평택STP_01_09_27_FinancialModel1108_MODEL0320-1_112504_CN FM_보장조정_협약변경-재조달순-rv1" xfId="36407"/>
    <cellStyle name="평_평택STP_01_09_27_FinancialModel1108_MODEL0320-1_112504_CN FM_보장조정_협약변경-재조달순-rv1 2" xfId="36408"/>
    <cellStyle name="평_평택STP_01_09_27_FinancialModel1108_MODEL0320-1_CN Financial Model-090704-4%" xfId="36409"/>
    <cellStyle name="평_평택STP_01_09_27_FinancialModel1108_MODEL0320-1_CN Financial Model-090704-4% 2" xfId="36410"/>
    <cellStyle name="평_평택STP_01_09_27_FinancialModel1108_MODEL0320-1_CN Financial Model-102004" xfId="36411"/>
    <cellStyle name="평_평택STP_01_09_27_FinancialModel1108_MODEL0320-1_CN Financial Model-102004 2" xfId="36412"/>
    <cellStyle name="평_평택STP_01_09_27_FinancialModel1108_MODEL0321" xfId="36413"/>
    <cellStyle name="평_평택STP_01_09_27_FinancialModel1108_MODEL0321 2" xfId="36414"/>
    <cellStyle name="평_평택STP_01_09_27_FinancialModel1108_MODEL0321_112504_CN FM_보장조정_협약변경-재조달순-rv1" xfId="36415"/>
    <cellStyle name="평_평택STP_01_09_27_FinancialModel1108_MODEL0321_112504_CN FM_보장조정_협약변경-재조달순-rv1 2" xfId="36416"/>
    <cellStyle name="평_평택STP_01_09_27_FinancialModel1108_MODEL0321_CN Financial Model-090704-4%" xfId="36417"/>
    <cellStyle name="평_평택STP_01_09_27_FinancialModel1108_MODEL0321_CN Financial Model-090704-4% 2" xfId="36418"/>
    <cellStyle name="평_평택STP_01_09_27_FinancialModel1108_MODEL0321_CN Financial Model-102004" xfId="36419"/>
    <cellStyle name="평_평택STP_01_09_27_FinancialModel1108_MODEL0321_CN Financial Model-102004 2" xfId="36420"/>
    <cellStyle name="평_평택STP_01_09_27_FinancialModel1108_MODEL0328" xfId="36421"/>
    <cellStyle name="평_평택STP_01_09_27_FinancialModel1108_MODEL0328 2" xfId="36422"/>
    <cellStyle name="평_평택STP_01_09_27_FinancialModel1108_MODEL0328_112504_CN FM_보장조정_협약변경-재조달순-rv1" xfId="36423"/>
    <cellStyle name="평_평택STP_01_09_27_FinancialModel1108_MODEL0328_112504_CN FM_보장조정_협약변경-재조달순-rv1 2" xfId="36424"/>
    <cellStyle name="평_평택STP_01_09_27_FinancialModel1108_MODEL0328_CN Financial Model-090704-4%" xfId="36425"/>
    <cellStyle name="평_평택STP_01_09_27_FinancialModel1108_MODEL0328_CN Financial Model-090704-4% 2" xfId="36426"/>
    <cellStyle name="평_평택STP_01_09_27_FinancialModel1108_MODEL0328_CN Financial Model-102004" xfId="36427"/>
    <cellStyle name="평_평택STP_01_09_27_FinancialModel1108_MODEL0328_CN Financial Model-102004 2" xfId="36428"/>
    <cellStyle name="평_평택STP_01_09_27_FinancialModel1108_MODEL정말최종" xfId="36429"/>
    <cellStyle name="평_평택STP_01_09_27_FinancialModel1108_MODEL정말최종 2" xfId="36430"/>
    <cellStyle name="평_평택STP_01_09_27_FinancialModel1108_MODEL정말최종_112504_CN FM_보장조정_협약변경-재조달순-rv1" xfId="36431"/>
    <cellStyle name="평_평택STP_01_09_27_FinancialModel1108_MODEL정말최종_112504_CN FM_보장조정_협약변경-재조달순-rv1 2" xfId="36432"/>
    <cellStyle name="평_평택STP_01_09_27_FinancialModel1108_MODEL정말최종_CN Financial Model-090704-4%" xfId="36433"/>
    <cellStyle name="평_평택STP_01_09_27_FinancialModel1108_MODEL정말최종_CN Financial Model-090704-4% 2" xfId="36434"/>
    <cellStyle name="평_평택STP_01_09_27_FinancialModel1108_MODEL정말최종_CN Financial Model-102004" xfId="36435"/>
    <cellStyle name="평_평택STP_01_09_27_FinancialModel1108_MODEL정말최종_CN Financial Model-102004 2" xfId="36436"/>
    <cellStyle name="평_평택STP_01_09_27_FinancialModel1108_MODEL최종" xfId="36437"/>
    <cellStyle name="평_평택STP_01_09_27_FinancialModel1108_MODEL최종 2" xfId="36438"/>
    <cellStyle name="평_평택STP_01_09_27_FinancialModel1108_MODEL최종_112504_CN FM_보장조정_협약변경-재조달순-rv1" xfId="36439"/>
    <cellStyle name="평_평택STP_01_09_27_FinancialModel1108_MODEL최종_112504_CN FM_보장조정_협약변경-재조달순-rv1 2" xfId="36440"/>
    <cellStyle name="평_평택STP_01_09_27_FinancialModel1108_MODEL최종_CN Financial Model-090704-4%" xfId="36441"/>
    <cellStyle name="평_평택STP_01_09_27_FinancialModel1108_MODEL최종_CN Financial Model-090704-4% 2" xfId="36442"/>
    <cellStyle name="평_평택STP_01_09_27_FinancialModel1108_MODEL최종_CN Financial Model-102004" xfId="36443"/>
    <cellStyle name="평_평택STP_01_09_27_FinancialModel1108_MODEL최종_CN Financial Model-102004 2" xfId="36444"/>
    <cellStyle name="평_평택STP_01_09_27_FinancialModel1108_NA Hiway Pjt Valuation(통행료 2년마다 인상)" xfId="36445"/>
    <cellStyle name="평_평택STP_01_09_27_FinancialModel1108_NA Hiway Pjt Valuation(통행료 2년마다 인상) 2" xfId="36446"/>
    <cellStyle name="평_평택STP_01_09_27_FinancialModel1108_NA Hiway Pjt Valuation(통행료 2년마다 인상)_112504_CN FM_보장조정_협약변경-재조달순-rv1" xfId="36447"/>
    <cellStyle name="평_평택STP_01_09_27_FinancialModel1108_NA Hiway Pjt Valuation(통행료 2년마다 인상)_112504_CN FM_보장조정_협약변경-재조달순-rv1 2" xfId="36448"/>
    <cellStyle name="평_평택STP_01_09_27_FinancialModel1108_NA Hiway Pjt Valuation(통행료 2년마다 인상)_CN Financial Model-090704-4%" xfId="36449"/>
    <cellStyle name="평_평택STP_01_09_27_FinancialModel1108_NA Hiway Pjt Valuation(통행료 2년마다 인상)_CN Financial Model-090704-4% 2" xfId="36450"/>
    <cellStyle name="평_평택STP_01_09_27_FinancialModel1108_NA Hiway Pjt Valuation(통행료 2년마다 인상)_CN Financial Model-102004" xfId="36451"/>
    <cellStyle name="평_평택STP_01_09_27_FinancialModel1108_NA Hiway Pjt Valuation(통행료 2년마다 인상)_CN Financial Model-102004 2" xfId="36452"/>
    <cellStyle name="평_평택STP_01_09_27_FinancialModel1108_ROE" xfId="36453"/>
    <cellStyle name="평_평택STP_01_09_27_FinancialModel1108_ROE 2" xfId="36454"/>
    <cellStyle name="평_평택STP_01_09_27_FinancialModel1108_ROE_112504_CN FM_보장조정_협약변경-재조달순-rv1" xfId="36455"/>
    <cellStyle name="평_평택STP_01_09_27_FinancialModel1108_ROE_112504_CN FM_보장조정_협약변경-재조달순-rv1 2" xfId="36456"/>
    <cellStyle name="평_평택STP_01_09_27_FinancialModel1108_ROE_CN Financial Model-090704-4%" xfId="36457"/>
    <cellStyle name="평_평택STP_01_09_27_FinancialModel1108_ROE_CN Financial Model-090704-4% 2" xfId="36458"/>
    <cellStyle name="평_평택STP_01_09_27_FinancialModel1108_ROE_CN Financial Model-102004" xfId="36459"/>
    <cellStyle name="평_평택STP_01_09_27_FinancialModel1108_ROE_CN Financial Model-102004 2" xfId="36460"/>
    <cellStyle name="평_평택STP_01_09_27_FinancialModel1108_Valuation(예비투자설명회)_0228" xfId="36461"/>
    <cellStyle name="평_평택STP_01_09_27_FinancialModel1108_Valuation(예비투자설명회)_0228 2" xfId="36462"/>
    <cellStyle name="평_평택STP_01_09_27_FinancialModel1108_Valuation(예비투자설명회)_0228_112504_CN FM_보장조정_협약변경-재조달순-rv1" xfId="36463"/>
    <cellStyle name="평_평택STP_01_09_27_FinancialModel1108_Valuation(예비투자설명회)_0228_112504_CN FM_보장조정_협약변경-재조달순-rv1 2" xfId="36464"/>
    <cellStyle name="평_평택STP_01_09_27_FinancialModel1108_Valuation(예비투자설명회)_0228_CN Financial Model-090704-4%" xfId="36465"/>
    <cellStyle name="평_평택STP_01_09_27_FinancialModel1108_Valuation(예비투자설명회)_0228_CN Financial Model-090704-4% 2" xfId="36466"/>
    <cellStyle name="평_평택STP_01_09_27_FinancialModel1108_Valuation(예비투자설명회)_0228_CN Financial Model-102004" xfId="36467"/>
    <cellStyle name="평_평택STP_01_09_27_FinancialModel1108_Valuation(예비투자설명회)_0228_CN Financial Model-102004 2" xfId="36468"/>
    <cellStyle name="평_평택STP_01_09_27_FinancialModel1108_Y-Pjt(FncMdl)_0912AM" xfId="36469"/>
    <cellStyle name="평_평택STP_01_09_27_FinancialModel1108_Y-Pjt(FncMdl)_0912AM 2" xfId="36470"/>
    <cellStyle name="평_평택STP_01_09_27_FinancialModel1108_Y-Pjt(FncMdl)_0912AM_112504_CN FM_보장조정_협약변경-재조달순-rv1" xfId="36471"/>
    <cellStyle name="평_평택STP_01_09_27_FinancialModel1108_Y-Pjt(FncMdl)_0912AM_112504_CN FM_보장조정_협약변경-재조달순-rv1 2" xfId="36472"/>
    <cellStyle name="평_평택STP_01_09_27_FinancialModel1108_Y-Pjt(FncMdl)_0912AM_CN Financial Model-090704-4%" xfId="36473"/>
    <cellStyle name="평_평택STP_01_09_27_FinancialModel1108_Y-Pjt(FncMdl)_0912AM_CN Financial Model-090704-4% 2" xfId="36474"/>
    <cellStyle name="평_평택STP_01_09_27_FinancialModel1108_Y-Pjt(FncMdl)_0912AM_CN Financial Model-102004" xfId="36475"/>
    <cellStyle name="평_평택STP_01_09_27_FinancialModel1108_Y-Pjt(FncMdl)_0912AM_CN Financial Model-102004 2" xfId="36476"/>
    <cellStyle name="평_평택STP_01_09_27_FinancialModel1108_Y-Pjt_0905(PM4)" xfId="36477"/>
    <cellStyle name="평_평택STP_01_09_27_FinancialModel1108_Y-Pjt_0905(PM4) 2" xfId="36478"/>
    <cellStyle name="평_평택STP_01_09_27_FinancialModel1108_Y-Pjt_0905(PM4)_112504_CN FM_보장조정_협약변경-재조달순-rv1" xfId="36479"/>
    <cellStyle name="평_평택STP_01_09_27_FinancialModel1108_Y-Pjt_0905(PM4)_112504_CN FM_보장조정_협약변경-재조달순-rv1 2" xfId="36480"/>
    <cellStyle name="평_평택STP_01_09_27_FinancialModel1108_Y-Pjt_0905(PM4)_CN Financial Model-090704-4%" xfId="36481"/>
    <cellStyle name="평_평택STP_01_09_27_FinancialModel1108_Y-Pjt_0905(PM4)_CN Financial Model-090704-4% 2" xfId="36482"/>
    <cellStyle name="평_평택STP_01_09_27_FinancialModel1108_Y-Pjt_0905(PM4)_CN Financial Model-102004" xfId="36483"/>
    <cellStyle name="평_평택STP_01_09_27_FinancialModel1108_Y-Pjt_0905(PM4)_CN Financial Model-102004 2" xfId="36484"/>
    <cellStyle name="평_평택STP_01_09_27_FinancialModel1108_Y-Pjt_0906(AM10)" xfId="36485"/>
    <cellStyle name="평_평택STP_01_09_27_FinancialModel1108_Y-Pjt_0906(AM10) 2" xfId="36486"/>
    <cellStyle name="평_평택STP_01_09_27_FinancialModel1108_Y-Pjt_0906(AM10)_112504_CN FM_보장조정_협약변경-재조달순-rv1" xfId="36487"/>
    <cellStyle name="평_평택STP_01_09_27_FinancialModel1108_Y-Pjt_0906(AM10)_112504_CN FM_보장조정_협약변경-재조달순-rv1 2" xfId="36488"/>
    <cellStyle name="평_평택STP_01_09_27_FinancialModel1108_Y-Pjt_0906(AM10)_CN Financial Model-090704-4%" xfId="36489"/>
    <cellStyle name="평_평택STP_01_09_27_FinancialModel1108_Y-Pjt_0906(AM10)_CN Financial Model-090704-4% 2" xfId="36490"/>
    <cellStyle name="평_평택STP_01_09_27_FinancialModel1108_Y-Pjt_0906(AM10)_CN Financial Model-102004" xfId="36491"/>
    <cellStyle name="평_평택STP_01_09_27_FinancialModel1108_Y-Pjt_0906(AM10)_CN Financial Model-102004 2" xfId="36492"/>
    <cellStyle name="평_평택STP_01_09_27_FinancialModel1108_Y-PROJECT_0812" xfId="36493"/>
    <cellStyle name="평_평택STP_01_09_27_FinancialModel1108_Y-PROJECT_0812 2" xfId="36494"/>
    <cellStyle name="평_평택STP_01_09_27_FinancialModel1108_Y-PROJECT_0812_112504_CN FM_보장조정_협약변경-재조달순-rv1" xfId="36495"/>
    <cellStyle name="평_평택STP_01_09_27_FinancialModel1108_Y-PROJECT_0812_112504_CN FM_보장조정_협약변경-재조달순-rv1 2" xfId="36496"/>
    <cellStyle name="평_평택STP_01_09_27_FinancialModel1108_Y-PROJECT_0812_CN Financial Model-090704-4%" xfId="36497"/>
    <cellStyle name="평_평택STP_01_09_27_FinancialModel1108_Y-PROJECT_0812_CN Financial Model-090704-4% 2" xfId="36498"/>
    <cellStyle name="평_평택STP_01_09_27_FinancialModel1108_Y-PROJECT_0812_CN Financial Model-102004" xfId="36499"/>
    <cellStyle name="평_평택STP_01_09_27_FinancialModel1108_Y-PROJECT_0812_CN Financial Model-102004 2" xfId="36500"/>
    <cellStyle name="평_평택STP_01_09_27_FinancialModel1108_Y-PROJECT_0813_PM10" xfId="36501"/>
    <cellStyle name="평_평택STP_01_09_27_FinancialModel1108_Y-PROJECT_0813_PM10 2" xfId="36502"/>
    <cellStyle name="평_평택STP_01_09_27_FinancialModel1108_Y-PROJECT_0813_PM10_112504_CN FM_보장조정_협약변경-재조달순-rv1" xfId="36503"/>
    <cellStyle name="평_평택STP_01_09_27_FinancialModel1108_Y-PROJECT_0813_PM10_112504_CN FM_보장조정_협약변경-재조달순-rv1 2" xfId="36504"/>
    <cellStyle name="평_평택STP_01_09_27_FinancialModel1108_Y-PROJECT_0813_PM10_CN Financial Model-090704-4%" xfId="36505"/>
    <cellStyle name="평_평택STP_01_09_27_FinancialModel1108_Y-PROJECT_0813_PM10_CN Financial Model-090704-4% 2" xfId="36506"/>
    <cellStyle name="평_평택STP_01_09_27_FinancialModel1108_Y-PROJECT_0813_PM10_CN Financial Model-102004" xfId="36507"/>
    <cellStyle name="평_평택STP_01_09_27_FinancialModel1108_Y-PROJECT_0813_PM10_CN Financial Model-102004 2" xfId="36508"/>
    <cellStyle name="평_평택STP_01_09_27_FinancialModel1108_Y-PROJECT_0820(PM7)" xfId="36509"/>
    <cellStyle name="평_평택STP_01_09_27_FinancialModel1108_Y-PROJECT_0820(PM7) 2" xfId="36510"/>
    <cellStyle name="평_평택STP_01_09_27_FinancialModel1108_Y-PROJECT_0820(PM7)_112504_CN FM_보장조정_협약변경-재조달순-rv1" xfId="36511"/>
    <cellStyle name="평_평택STP_01_09_27_FinancialModel1108_Y-PROJECT_0820(PM7)_112504_CN FM_보장조정_협약변경-재조달순-rv1 2" xfId="36512"/>
    <cellStyle name="평_평택STP_01_09_27_FinancialModel1108_Y-PROJECT_0820(PM7)_CN Financial Model-090704-4%" xfId="36513"/>
    <cellStyle name="평_평택STP_01_09_27_FinancialModel1108_Y-PROJECT_0820(PM7)_CN Financial Model-090704-4% 2" xfId="36514"/>
    <cellStyle name="평_평택STP_01_09_27_FinancialModel1108_Y-PROJECT_0820(PM7)_CN Financial Model-102004" xfId="36515"/>
    <cellStyle name="평_평택STP_01_09_27_FinancialModel1108_Y-PROJECT_0820(PM7)_CN Financial Model-102004 2" xfId="36516"/>
    <cellStyle name="평_평택STP_01_09_27_FinancialModel1108_건설기간중대안2최종" xfId="36517"/>
    <cellStyle name="평_평택STP_01_09_27_FinancialModel1108_건설기간중대안2최종 2" xfId="36518"/>
    <cellStyle name="평_평택STP_01_09_27_FinancialModel1108_건설기간중대안2최종_112504_CN FM_보장조정_협약변경-재조달순-rv1" xfId="36519"/>
    <cellStyle name="평_평택STP_01_09_27_FinancialModel1108_건설기간중대안2최종_112504_CN FM_보장조정_협약변경-재조달순-rv1 2" xfId="36520"/>
    <cellStyle name="평_평택STP_01_09_27_FinancialModel1108_건설기간중대안2최종_CN Financial Model-090704-4%" xfId="36521"/>
    <cellStyle name="평_평택STP_01_09_27_FinancialModel1108_건설기간중대안2최종_CN Financial Model-090704-4% 2" xfId="36522"/>
    <cellStyle name="평_평택STP_01_09_27_FinancialModel1108_건설기간중대안2최종_CN Financial Model-102004" xfId="36523"/>
    <cellStyle name="평_평택STP_01_09_27_FinancialModel1108_건설기간중대안2최종_CN Financial Model-102004 2" xfId="36524"/>
    <cellStyle name="평_평택STP_01_09_27_FinancialModel1108_경기도수성0319" xfId="36525"/>
    <cellStyle name="평_평택STP_01_09_27_FinancialModel1108_경기도수성0319 2" xfId="36526"/>
    <cellStyle name="평_평택STP_01_09_27_FinancialModel1108_경기도수성0319_112504_CN FM_보장조정_협약변경-재조달순-rv1" xfId="36527"/>
    <cellStyle name="평_평택STP_01_09_27_FinancialModel1108_경기도수성0319_112504_CN FM_보장조정_협약변경-재조달순-rv1 2" xfId="36528"/>
    <cellStyle name="평_평택STP_01_09_27_FinancialModel1108_경기도수성0319_CN Financial Model-090704-4%" xfId="36529"/>
    <cellStyle name="평_평택STP_01_09_27_FinancialModel1108_경기도수성0319_CN Financial Model-090704-4% 2" xfId="36530"/>
    <cellStyle name="평_평택STP_01_09_27_FinancialModel1108_경기도수성0319_CN Financial Model-102004" xfId="36531"/>
    <cellStyle name="평_평택STP_01_09_27_FinancialModel1108_경기도수성0319_CN Financial Model-102004 2" xfId="36532"/>
    <cellStyle name="평_평택STP_01_09_27_FinancialModel1108_광명 지역난방 민간투자사업 재무모델_0619" xfId="36533"/>
    <cellStyle name="평_평택STP_01_09_27_FinancialModel1108_광명 지역난방 민간투자사업 재무모델_0619 2" xfId="36534"/>
    <cellStyle name="평_평택STP_01_09_27_FinancialModel1108_광명 지역난방 민간투자사업 재무모델_0619_112504_CN FM_보장조정_협약변경-재조달순-rv1" xfId="36535"/>
    <cellStyle name="평_평택STP_01_09_27_FinancialModel1108_광명 지역난방 민간투자사업 재무모델_0619_112504_CN FM_보장조정_협약변경-재조달순-rv1 2" xfId="36536"/>
    <cellStyle name="평_평택STP_01_09_27_FinancialModel1108_광명 지역난방 민간투자사업 재무모델_0619_CN Financial Model-090704-4%" xfId="36537"/>
    <cellStyle name="평_평택STP_01_09_27_FinancialModel1108_광명 지역난방 민간투자사업 재무모델_0619_CN Financial Model-090704-4% 2" xfId="36538"/>
    <cellStyle name="평_평택STP_01_09_27_FinancialModel1108_광명 지역난방 민간투자사업 재무모델_0619_CN Financial Model-102004" xfId="36539"/>
    <cellStyle name="평_평택STP_01_09_27_FinancialModel1108_광명 지역난방 민간투자사업 재무모델_0619_CN Financial Model-102004 2" xfId="36540"/>
    <cellStyle name="평_평택STP_01_09_27_FinancialModel1108_대안1(1129)" xfId="36541"/>
    <cellStyle name="평_평택STP_01_09_27_FinancialModel1108_대안1(1129) 2" xfId="36542"/>
    <cellStyle name="평_평택STP_01_09_27_FinancialModel1108_대안1(1129)_112504_CN FM_보장조정_협약변경-재조달순-rv1" xfId="36543"/>
    <cellStyle name="평_평택STP_01_09_27_FinancialModel1108_대안1(1129)_112504_CN FM_보장조정_협약변경-재조달순-rv1 2" xfId="36544"/>
    <cellStyle name="평_평택STP_01_09_27_FinancialModel1108_대안1(1129)_CN Financial Model-090704-4%" xfId="36545"/>
    <cellStyle name="평_평택STP_01_09_27_FinancialModel1108_대안1(1129)_CN Financial Model-090704-4% 2" xfId="36546"/>
    <cellStyle name="평_평택STP_01_09_27_FinancialModel1108_대안1(1129)_CN Financial Model-102004" xfId="36547"/>
    <cellStyle name="평_평택STP_01_09_27_FinancialModel1108_대안1(1129)_CN Financial Model-102004 2" xfId="36548"/>
    <cellStyle name="평_평택STP_01_09_27_FinancialModel1108_대안2(1201)" xfId="36549"/>
    <cellStyle name="평_평택STP_01_09_27_FinancialModel1108_대안2(1201) 2" xfId="36550"/>
    <cellStyle name="평_평택STP_01_09_27_FinancialModel1108_대안2(1201)_112504_CN FM_보장조정_협약변경-재조달순-rv1" xfId="36551"/>
    <cellStyle name="평_평택STP_01_09_27_FinancialModel1108_대안2(1201)_112504_CN FM_보장조정_협약변경-재조달순-rv1 2" xfId="36552"/>
    <cellStyle name="평_평택STP_01_09_27_FinancialModel1108_대안2(1201)_CN Financial Model-090704-4%" xfId="36553"/>
    <cellStyle name="평_평택STP_01_09_27_FinancialModel1108_대안2(1201)_CN Financial Model-090704-4% 2" xfId="36554"/>
    <cellStyle name="평_평택STP_01_09_27_FinancialModel1108_대안2(1201)_CN Financial Model-102004" xfId="36555"/>
    <cellStyle name="평_평택STP_01_09_27_FinancialModel1108_대안2(1201)_CN Financial Model-102004 2" xfId="36556"/>
    <cellStyle name="평_평택STP_01_09_27_FinancialModel1108_사본 - MODEL_0105" xfId="36557"/>
    <cellStyle name="평_평택STP_01_09_27_FinancialModel1108_사본 - MODEL_0105 2" xfId="36558"/>
    <cellStyle name="평_평택STP_01_09_27_FinancialModel1108_사본 - MODEL_0105_112504_CN FM_보장조정_협약변경-재조달순-rv1" xfId="36559"/>
    <cellStyle name="평_평택STP_01_09_27_FinancialModel1108_사본 - MODEL_0105_112504_CN FM_보장조정_협약변경-재조달순-rv1 2" xfId="36560"/>
    <cellStyle name="평_평택STP_01_09_27_FinancialModel1108_사본 - MODEL_0105_CN Financial Model-090704-4%" xfId="36561"/>
    <cellStyle name="평_평택STP_01_09_27_FinancialModel1108_사본 - MODEL_0105_CN Financial Model-090704-4% 2" xfId="36562"/>
    <cellStyle name="평_평택STP_01_09_27_FinancialModel1108_사본 - MODEL_0105_CN Financial Model-102004" xfId="36563"/>
    <cellStyle name="평_평택STP_01_09_27_FinancialModel1108_사본 - MODEL_0105_CN Financial Model-102004 2" xfId="36564"/>
    <cellStyle name="평_평택STP_01_09_27_FinancialModel1108_사본 - 사본 - 사본 - MODEL_0105" xfId="36565"/>
    <cellStyle name="평_평택STP_01_09_27_FinancialModel1108_사본 - 사본 - 사본 - MODEL_0105 2" xfId="36566"/>
    <cellStyle name="평_평택STP_01_09_27_FinancialModel1108_사본 - 사본 - 사본 - MODEL_0105_112504_CN FM_보장조정_협약변경-재조달순-rv1" xfId="36567"/>
    <cellStyle name="평_평택STP_01_09_27_FinancialModel1108_사본 - 사본 - 사본 - MODEL_0105_112504_CN FM_보장조정_협약변경-재조달순-rv1 2" xfId="36568"/>
    <cellStyle name="평_평택STP_01_09_27_FinancialModel1108_사본 - 사본 - 사본 - MODEL_0105_CN Financial Model-090704-4%" xfId="36569"/>
    <cellStyle name="평_평택STP_01_09_27_FinancialModel1108_사본 - 사본 - 사본 - MODEL_0105_CN Financial Model-090704-4% 2" xfId="36570"/>
    <cellStyle name="평_평택STP_01_09_27_FinancialModel1108_사본 - 사본 - 사본 - MODEL_0105_CN Financial Model-102004" xfId="36571"/>
    <cellStyle name="평_평택STP_01_09_27_FinancialModel1108_사본 - 사본 - 사본 - MODEL_0105_CN Financial Model-102004 2" xfId="36572"/>
    <cellStyle name="평_평택STP_01_09_27_FinancialModel1108_양식" xfId="36573"/>
    <cellStyle name="평_평택STP_01_09_27_FinancialModel1108_양식 2" xfId="36574"/>
    <cellStyle name="평_평택STP_01_09_27_FinancialModel1108_양식_112504_CN FM_보장조정_협약변경-재조달순-rv1" xfId="36575"/>
    <cellStyle name="평_평택STP_01_09_27_FinancialModel1108_양식_112504_CN FM_보장조정_협약변경-재조달순-rv1 2" xfId="36576"/>
    <cellStyle name="평_평택STP_01_09_27_FinancialModel1108_양식_CN Financial Model-090704-4%" xfId="36577"/>
    <cellStyle name="평_평택STP_01_09_27_FinancialModel1108_양식_CN Financial Model-090704-4% 2" xfId="36578"/>
    <cellStyle name="평_평택STP_01_09_27_FinancialModel1108_양식_CN Financial Model-102004" xfId="36579"/>
    <cellStyle name="평_평택STP_01_09_27_FinancialModel1108_양식_CN Financial Model-102004 2" xfId="36580"/>
    <cellStyle name="평_평택STP_01_09_27_FinancialModel1108_용인 LRT_0619" xfId="36581"/>
    <cellStyle name="평_평택STP_01_09_27_FinancialModel1108_용인 LRT_0619 2" xfId="36582"/>
    <cellStyle name="평_평택STP_01_09_27_FinancialModel1108_용인 LRT_0619_112504_CN FM_보장조정_협약변경-재조달순-rv1" xfId="36583"/>
    <cellStyle name="평_평택STP_01_09_27_FinancialModel1108_용인 LRT_0619_112504_CN FM_보장조정_협약변경-재조달순-rv1 2" xfId="36584"/>
    <cellStyle name="평_평택STP_01_09_27_FinancialModel1108_용인 LRT_0619_CN Financial Model-090704-4%" xfId="36585"/>
    <cellStyle name="평_평택STP_01_09_27_FinancialModel1108_용인 LRT_0619_CN Financial Model-090704-4% 2" xfId="36586"/>
    <cellStyle name="평_평택STP_01_09_27_FinancialModel1108_용인 LRT_0619_CN Financial Model-102004" xfId="36587"/>
    <cellStyle name="평_평택STP_01_09_27_FinancialModel1108_용인 LRT_0619_CN Financial Model-102004 2" xfId="36588"/>
    <cellStyle name="평_평택STP_01_09_27_FinancialModel1108_용인 LRT_0619-2" xfId="36589"/>
    <cellStyle name="평_평택STP_01_09_27_FinancialModel1108_용인 LRT_0619-2 2" xfId="36590"/>
    <cellStyle name="평_평택STP_01_09_27_FinancialModel1108_용인 LRT_0619-2_112504_CN FM_보장조정_협약변경-재조달순-rv1" xfId="36591"/>
    <cellStyle name="평_평택STP_01_09_27_FinancialModel1108_용인 LRT_0619-2_112504_CN FM_보장조정_협약변경-재조달순-rv1 2" xfId="36592"/>
    <cellStyle name="평_평택STP_01_09_27_FinancialModel1108_용인 LRT_0619-2_CN Financial Model-090704-4%" xfId="36593"/>
    <cellStyle name="평_평택STP_01_09_27_FinancialModel1108_용인 LRT_0619-2_CN Financial Model-090704-4% 2" xfId="36594"/>
    <cellStyle name="평_평택STP_01_09_27_FinancialModel1108_용인 LRT_0619-2_CN Financial Model-102004" xfId="36595"/>
    <cellStyle name="평_평택STP_01_09_27_FinancialModel1108_용인 LRT_0619-2_CN Financial Model-102004 2" xfId="36596"/>
    <cellStyle name="평_평택STP_01_09_27_FinancialModel1108_용인 LRT_0620" xfId="36597"/>
    <cellStyle name="평_평택STP_01_09_27_FinancialModel1108_용인 LRT_0620 2" xfId="36598"/>
    <cellStyle name="평_평택STP_01_09_27_FinancialModel1108_용인 LRT_0620_112504_CN FM_보장조정_협약변경-재조달순-rv1" xfId="36599"/>
    <cellStyle name="평_평택STP_01_09_27_FinancialModel1108_용인 LRT_0620_112504_CN FM_보장조정_협약변경-재조달순-rv1 2" xfId="36600"/>
    <cellStyle name="평_평택STP_01_09_27_FinancialModel1108_용인 LRT_0620_CN Financial Model-090704-4%" xfId="36601"/>
    <cellStyle name="평_평택STP_01_09_27_FinancialModel1108_용인 LRT_0620_CN Financial Model-090704-4% 2" xfId="36602"/>
    <cellStyle name="평_평택STP_01_09_27_FinancialModel1108_용인 LRT_0620_CN Financial Model-102004" xfId="36603"/>
    <cellStyle name="평_평택STP_01_09_27_FinancialModel1108_용인 LRT_0620_CN Financial Model-102004 2" xfId="36604"/>
    <cellStyle name="평_평택STP_01_09_27_FinancialModel1108_용인 경량전철 민간투자사업 재무모델" xfId="36605"/>
    <cellStyle name="평_평택STP_01_09_27_FinancialModel1108_용인 경량전철 민간투자사업 재무모델 2" xfId="36606"/>
    <cellStyle name="평_평택STP_01_09_27_FinancialModel1108_용인 경량전철 민간투자사업 재무모델_112504_CN FM_보장조정_협약변경-재조달순-rv1" xfId="36607"/>
    <cellStyle name="평_평택STP_01_09_27_FinancialModel1108_용인 경량전철 민간투자사업 재무모델_112504_CN FM_보장조정_협약변경-재조달순-rv1 2" xfId="36608"/>
    <cellStyle name="평_평택STP_01_09_27_FinancialModel1108_용인 경량전철 민간투자사업 재무모델_CN Financial Model-090704-4%" xfId="36609"/>
    <cellStyle name="평_평택STP_01_09_27_FinancialModel1108_용인 경량전철 민간투자사업 재무모델_CN Financial Model-090704-4% 2" xfId="36610"/>
    <cellStyle name="평_평택STP_01_09_27_FinancialModel1108_용인 경량전철 민간투자사업 재무모델_CN Financial Model-102004" xfId="36611"/>
    <cellStyle name="평_평택STP_01_09_27_FinancialModel1108_용인 경량전철 민간투자사업 재무모델_CN Financial Model-102004 2" xfId="36612"/>
    <cellStyle name="평_평택STP_01_09_27_FinancialModel1108_운영설비비(고기리0320)" xfId="36613"/>
    <cellStyle name="평_평택STP_01_09_27_FinancialModel1108_운영설비비(고기리0320) 2" xfId="36614"/>
    <cellStyle name="평_평택STP_01_09_27_FinancialModel1108_운영설비비(고기리0320)_112504_CN FM_보장조정_협약변경-재조달순-rv1" xfId="36615"/>
    <cellStyle name="평_평택STP_01_09_27_FinancialModel1108_운영설비비(고기리0320)_112504_CN FM_보장조정_협약변경-재조달순-rv1 2" xfId="36616"/>
    <cellStyle name="평_평택STP_01_09_27_FinancialModel1108_운영설비비(고기리0320)_CN Financial Model-090704-4%" xfId="36617"/>
    <cellStyle name="평_평택STP_01_09_27_FinancialModel1108_운영설비비(고기리0320)_CN Financial Model-090704-4% 2" xfId="36618"/>
    <cellStyle name="평_평택STP_01_09_27_FinancialModel1108_운영설비비(고기리0320)_CN Financial Model-102004" xfId="36619"/>
    <cellStyle name="평_평택STP_01_09_27_FinancialModel1108_운영설비비(고기리0320)_CN Financial Model-102004 2" xfId="36620"/>
    <cellStyle name="평_평택STP_01_09_27_FinancialModel1108_재무모델_김천하수관거_0221" xfId="451"/>
    <cellStyle name="평_평택STP_01_09_27_FinancialModel1108_재무모델_김천하수관거_0222" xfId="452"/>
    <cellStyle name="평_평택STP_01_09_27_FinancialModel1108_재무모델_김천하수관거_0224" xfId="453"/>
    <cellStyle name="평_평택STP_01_09_27_FinancialModel1108_재무모델_김천하수관거_부속작업중" xfId="454"/>
    <cellStyle name="평_평택STP_01_09_27_FinancialModel1108_재무모델_인천신현고외" xfId="455"/>
    <cellStyle name="평_평택STP_01_09_27_FinancialModel1108_재무모델_인천신현고외_재무모델_김천하수관거_0221" xfId="456"/>
    <cellStyle name="평_평택STP_01_09_27_FinancialModel1108_재무모델_인천신현고외_재무모델_김천하수관거_0222" xfId="457"/>
    <cellStyle name="평_평택STP_01_09_27_FinancialModel1108_재무모델_인천신현고외_재무모델_김천하수관거_0224" xfId="458"/>
    <cellStyle name="평_평택STP_01_09_27_FinancialModel1108_재무모델_인천신현고외_재무모델_김천하수관거_부속작업중" xfId="459"/>
    <cellStyle name="평_평택STP_01_09_27_FinancialModel1108_천안논산 Valuation_0426" xfId="36621"/>
    <cellStyle name="평_평택STP_01_09_27_FinancialModel1108_천안논산 Valuation_0426 2" xfId="36622"/>
    <cellStyle name="평_평택STP_01_09_27_FinancialModel1108_천안논산 Valuation_0426_112504_CN FM_보장조정_협약변경-재조달순-rv1" xfId="36623"/>
    <cellStyle name="평_평택STP_01_09_27_FinancialModel1108_천안논산 Valuation_0426_112504_CN FM_보장조정_협약변경-재조달순-rv1 2" xfId="36624"/>
    <cellStyle name="평_평택STP_01_09_27_FinancialModel1108_천안논산 Valuation_0426_CN Financial Model-090704-4%" xfId="36625"/>
    <cellStyle name="평_평택STP_01_09_27_FinancialModel1108_천안논산 Valuation_0426_CN Financial Model-090704-4% 2" xfId="36626"/>
    <cellStyle name="평_평택STP_01_09_27_FinancialModel1108_천안논산 Valuation_0426_CN Financial Model-102004" xfId="36627"/>
    <cellStyle name="평_평택STP_01_09_27_FinancialModel1108_천안논산 Valuation_0426_CN Financial Model-102004 2" xfId="36628"/>
    <cellStyle name="평_평택STP_01_09_27_FinancialModel1108_천안논산 Valuation_0428" xfId="36629"/>
    <cellStyle name="평_평택STP_01_09_27_FinancialModel1108_천안논산 Valuation_0428 2" xfId="36630"/>
    <cellStyle name="평_평택STP_01_09_27_FinancialModel1108_천안논산 Valuation_0428_112504_CN FM_보장조정_협약변경-재조달순-rv1" xfId="36631"/>
    <cellStyle name="평_평택STP_01_09_27_FinancialModel1108_천안논산 Valuation_0428_112504_CN FM_보장조정_협약변경-재조달순-rv1 2" xfId="36632"/>
    <cellStyle name="평_평택STP_01_09_27_FinancialModel1108_천안논산 Valuation_0428_CN Financial Model-090704-4%" xfId="36633"/>
    <cellStyle name="평_평택STP_01_09_27_FinancialModel1108_천안논산 Valuation_0428_CN Financial Model-090704-4% 2" xfId="36634"/>
    <cellStyle name="평_평택STP_01_09_27_FinancialModel1108_천안논산 Valuation_0428_CN Financial Model-102004" xfId="36635"/>
    <cellStyle name="평_평택STP_01_09_27_FinancialModel1108_천안논산 Valuation_0428_CN Financial Model-102004 2" xfId="36636"/>
    <cellStyle name="평_평택STP_01_09_27_FinancialModel1108_천안논산 Valuation_0430" xfId="36637"/>
    <cellStyle name="평_평택STP_01_09_27_FinancialModel1108_천안논산 Valuation_0430 2" xfId="36638"/>
    <cellStyle name="평_평택STP_01_09_27_FinancialModel1108_천안논산 Valuation_0430_112504_CN FM_보장조정_협약변경-재조달순-rv1" xfId="36639"/>
    <cellStyle name="평_평택STP_01_09_27_FinancialModel1108_천안논산 Valuation_0430_112504_CN FM_보장조정_협약변경-재조달순-rv1 2" xfId="36640"/>
    <cellStyle name="평_평택STP_01_09_27_FinancialModel1108_천안논산 Valuation_0430_CN Financial Model-090704-4%" xfId="36641"/>
    <cellStyle name="평_평택STP_01_09_27_FinancialModel1108_천안논산 Valuation_0430_CN Financial Model-090704-4% 2" xfId="36642"/>
    <cellStyle name="평_평택STP_01_09_27_FinancialModel1108_천안논산 Valuation_0430_CN Financial Model-102004" xfId="36643"/>
    <cellStyle name="평_평택STP_01_09_27_FinancialModel1108_천안논산 Valuation_0430_CN Financial Model-102004 2" xfId="36644"/>
    <cellStyle name="평_평택STP_01_09_27_FinancialModel1108_천안논산 Valuation_0502" xfId="36645"/>
    <cellStyle name="평_평택STP_01_09_27_FinancialModel1108_천안논산 Valuation_0502 2" xfId="36646"/>
    <cellStyle name="평_평택STP_01_09_27_FinancialModel1108_천안논산 Valuation_0502_112504_CN FM_보장조정_협약변경-재조달순-rv1" xfId="36647"/>
    <cellStyle name="평_평택STP_01_09_27_FinancialModel1108_천안논산 Valuation_0502_112504_CN FM_보장조정_협약변경-재조달순-rv1 2" xfId="36648"/>
    <cellStyle name="평_평택STP_01_09_27_FinancialModel1108_천안논산 Valuation_0502_CN Financial Model-090704-4%" xfId="36649"/>
    <cellStyle name="평_평택STP_01_09_27_FinancialModel1108_천안논산 Valuation_0502_CN Financial Model-090704-4% 2" xfId="36650"/>
    <cellStyle name="평_평택STP_01_09_27_FinancialModel1108_천안논산 Valuation_0502_CN Financial Model-102004" xfId="36651"/>
    <cellStyle name="평_평택STP_01_09_27_FinancialModel1108_천안논산 Valuation_0502_CN Financial Model-102004 2" xfId="36652"/>
    <cellStyle name="평_평택STP_01_09_27_Pt" xfId="460"/>
    <cellStyle name="평_평택STP_01_09_27_Pt 2" xfId="36653"/>
    <cellStyle name="평_평택STP_01_09_27_Pt_(문원고기만)MODEL0318" xfId="36654"/>
    <cellStyle name="평_평택STP_01_09_27_Pt_(문원고기만)MODEL0318 2" xfId="36655"/>
    <cellStyle name="평_평택STP_01_09_27_Pt_(문원고기만)MODEL0318_112504_CN FM_보장조정_협약변경-재조달순-rv1" xfId="36656"/>
    <cellStyle name="평_평택STP_01_09_27_Pt_(문원고기만)MODEL0318_112504_CN FM_보장조정_협약변경-재조달순-rv1 2" xfId="36657"/>
    <cellStyle name="평_평택STP_01_09_27_Pt_(문원고기만)MODEL0318_CN Financial Model-090704-4%" xfId="36658"/>
    <cellStyle name="평_평택STP_01_09_27_Pt_(문원고기만)MODEL0318_CN Financial Model-090704-4% 2" xfId="36659"/>
    <cellStyle name="평_평택STP_01_09_27_Pt_(문원고기만)MODEL0318_CN Financial Model-102004" xfId="36660"/>
    <cellStyle name="평_평택STP_01_09_27_Pt_(문원고기만)MODEL0318_CN Financial Model-102004 2" xfId="36661"/>
    <cellStyle name="평_평택STP_01_09_27_Pt_(제출용)재무모델_(가칭)영신개발관리(주)" xfId="461"/>
    <cellStyle name="평_평택STP_01_09_27_Pt_(제출용)재무모델_(가칭)영신개발관리(주)_재무모델_김천하수관거_0221" xfId="462"/>
    <cellStyle name="평_평택STP_01_09_27_Pt_(제출용)재무모델_(가칭)영신개발관리(주)_재무모델_김천하수관거_0222" xfId="463"/>
    <cellStyle name="평_평택STP_01_09_27_Pt_(제출용)재무모델_(가칭)영신개발관리(주)_재무모델_김천하수관거_0224" xfId="464"/>
    <cellStyle name="평_평택STP_01_09_27_Pt_(제출용)재무모델_(가칭)영신개발관리(주)_재무모델_김천하수관거_부속작업중" xfId="465"/>
    <cellStyle name="평_평택STP_01_09_27_Pt_CN Financial Model v11" xfId="36662"/>
    <cellStyle name="평_평택STP_01_09_27_Pt_CN Financial Model v11 2" xfId="36663"/>
    <cellStyle name="평_평택STP_01_09_27_Pt_CN Financial Model v11_112504_CN FM_보장조정_협약변경-재조달순-rv1" xfId="36664"/>
    <cellStyle name="평_평택STP_01_09_27_Pt_CN Financial Model v11_112504_CN FM_보장조정_협약변경-재조달순-rv1 2" xfId="36665"/>
    <cellStyle name="평_평택STP_01_09_27_Pt_CN Financial Model v11_CN Financial Model-090704-4%" xfId="36666"/>
    <cellStyle name="평_평택STP_01_09_27_Pt_CN Financial Model v11_CN Financial Model-090704-4% 2" xfId="36667"/>
    <cellStyle name="평_평택STP_01_09_27_Pt_CN Financial Model v11_CN Financial Model-102004" xfId="36668"/>
    <cellStyle name="평_평택STP_01_09_27_Pt_CN Financial Model v11_CN Financial Model-102004 2" xfId="36669"/>
    <cellStyle name="평_평택STP_01_09_27_Pt_CN Financial Model-정부제출-062504-기준모델" xfId="36670"/>
    <cellStyle name="평_평택STP_01_09_27_Pt_CN Financial Model-정부제출-062504-기준모델 2" xfId="36671"/>
    <cellStyle name="평_평택STP_01_09_27_Pt_CN Financial Model-정부제출-062504-기준모델_112504_CN FM_보장조정_협약변경-재조달순-rv1" xfId="36672"/>
    <cellStyle name="평_평택STP_01_09_27_Pt_CN Financial Model-정부제출-062504-기준모델_112504_CN FM_보장조정_협약변경-재조달순-rv1 2" xfId="36673"/>
    <cellStyle name="평_평택STP_01_09_27_Pt_CN Financial Model-정부제출-062504-기준모델_CN Financial Model-090704-4%" xfId="36674"/>
    <cellStyle name="평_평택STP_01_09_27_Pt_CN Financial Model-정부제출-062504-기준모델_CN Financial Model-090704-4% 2" xfId="36675"/>
    <cellStyle name="평_평택STP_01_09_27_Pt_CN Financial Model-정부제출-062504-기준모델_CN Financial Model-102004" xfId="36676"/>
    <cellStyle name="평_평택STP_01_09_27_Pt_CN Financial Model-정부제출-062504-기준모델_CN Financial Model-102004 2" xfId="36677"/>
    <cellStyle name="평_평택STP_01_09_27_Pt_CN Pjt Valuation_0520" xfId="36678"/>
    <cellStyle name="평_평택STP_01_09_27_Pt_CN Pjt Valuation_0520 2" xfId="36679"/>
    <cellStyle name="평_평택STP_01_09_27_Pt_CN Pjt Valuation_0520_112504_CN FM_보장조정_협약변경-재조달순-rv1" xfId="36680"/>
    <cellStyle name="평_평택STP_01_09_27_Pt_CN Pjt Valuation_0520_112504_CN FM_보장조정_협약변경-재조달순-rv1 2" xfId="36681"/>
    <cellStyle name="평_평택STP_01_09_27_Pt_CN Pjt Valuation_0520_CN Financial Model-090704-4%" xfId="36682"/>
    <cellStyle name="평_평택STP_01_09_27_Pt_CN Pjt Valuation_0520_CN Financial Model-090704-4% 2" xfId="36683"/>
    <cellStyle name="평_평택STP_01_09_27_Pt_CN Pjt Valuation_0520_CN Financial Model-102004" xfId="36684"/>
    <cellStyle name="평_평택STP_01_09_27_Pt_CN Pjt Valuation_0520_CN Financial Model-102004 2" xfId="36685"/>
    <cellStyle name="평_평택STP_01_09_27_Pt_C-PROJECT FINANCIAL MODEL_0704" xfId="36686"/>
    <cellStyle name="평_평택STP_01_09_27_Pt_C-PROJECT FINANCIAL MODEL_0704 2" xfId="36687"/>
    <cellStyle name="평_평택STP_01_09_27_Pt_C-PROJECT FINANCIAL MODEL_0704_112504_CN FM_보장조정_협약변경-재조달순-rv1" xfId="36688"/>
    <cellStyle name="평_평택STP_01_09_27_Pt_C-PROJECT FINANCIAL MODEL_0704_112504_CN FM_보장조정_협약변경-재조달순-rv1 2" xfId="36689"/>
    <cellStyle name="평_평택STP_01_09_27_Pt_C-PROJECT FINANCIAL MODEL_0704_CN Financial Model-090704-4%" xfId="36690"/>
    <cellStyle name="평_평택STP_01_09_27_Pt_C-PROJECT FINANCIAL MODEL_0704_CN Financial Model-090704-4% 2" xfId="36691"/>
    <cellStyle name="평_평택STP_01_09_27_Pt_C-PROJECT FINANCIAL MODEL_0704_CN Financial Model-102004" xfId="36692"/>
    <cellStyle name="평_평택STP_01_09_27_Pt_C-PROJECT FINANCIAL MODEL_0704_CN Financial Model-102004 2" xfId="36693"/>
    <cellStyle name="평_평택STP_01_09_27_Pt_C-PROJECT_0722_pm2" xfId="36694"/>
    <cellStyle name="평_평택STP_01_09_27_Pt_C-PROJECT_0722_pm2 2" xfId="36695"/>
    <cellStyle name="평_평택STP_01_09_27_Pt_C-PROJECT_0722_pm2_112504_CN FM_보장조정_협약변경-재조달순-rv1" xfId="36696"/>
    <cellStyle name="평_평택STP_01_09_27_Pt_C-PROJECT_0722_pm2_112504_CN FM_보장조정_협약변경-재조달순-rv1 2" xfId="36697"/>
    <cellStyle name="평_평택STP_01_09_27_Pt_C-PROJECT_0722_pm2_CN Financial Model-090704-4%" xfId="36698"/>
    <cellStyle name="평_평택STP_01_09_27_Pt_C-PROJECT_0722_pm2_CN Financial Model-090704-4% 2" xfId="36699"/>
    <cellStyle name="평_평택STP_01_09_27_Pt_C-PROJECT_0722_pm2_CN Financial Model-102004" xfId="36700"/>
    <cellStyle name="평_평택STP_01_09_27_Pt_C-PROJECT_0722_pm2_CN Financial Model-102004 2" xfId="36701"/>
    <cellStyle name="평_평택STP_01_09_27_Pt_C-PROJECT_0801" xfId="36702"/>
    <cellStyle name="평_평택STP_01_09_27_Pt_C-PROJECT_0801 2" xfId="36703"/>
    <cellStyle name="평_평택STP_01_09_27_Pt_C-PROJECT_0801_112504_CN FM_보장조정_협약변경-재조달순-rv1" xfId="36704"/>
    <cellStyle name="평_평택STP_01_09_27_Pt_C-PROJECT_0801_112504_CN FM_보장조정_협약변경-재조달순-rv1 2" xfId="36705"/>
    <cellStyle name="평_평택STP_01_09_27_Pt_C-PROJECT_0801_CN Financial Model-090704-4%" xfId="36706"/>
    <cellStyle name="평_평택STP_01_09_27_Pt_C-PROJECT_0801_CN Financial Model-090704-4% 2" xfId="36707"/>
    <cellStyle name="평_평택STP_01_09_27_Pt_C-PROJECT_0801_CN Financial Model-102004" xfId="36708"/>
    <cellStyle name="평_평택STP_01_09_27_Pt_C-PROJECT_0801_CN Financial Model-102004 2" xfId="36709"/>
    <cellStyle name="평_평택STP_01_09_27_Pt_Financial model_(가칭)경남e-스쿨주식회사" xfId="466"/>
    <cellStyle name="평_평택STP_01_09_27_Pt_Financial model_(가칭)경남e-스쿨주식회사_재무모델_김천하수관거_0221" xfId="467"/>
    <cellStyle name="평_평택STP_01_09_27_Pt_Financial model_(가칭)경남e-스쿨주식회사_재무모델_김천하수관거_0222" xfId="468"/>
    <cellStyle name="평_평택STP_01_09_27_Pt_Financial model_(가칭)경남e-스쿨주식회사_재무모델_김천하수관거_0224" xfId="469"/>
    <cellStyle name="평_평택STP_01_09_27_Pt_Financial model_(가칭)경남e-스쿨주식회사_재무모델_김천하수관거_부속작업중" xfId="470"/>
    <cellStyle name="평_평택STP_01_09_27_Pt_Financial model_중리초 외 4개교(백)" xfId="471"/>
    <cellStyle name="평_평택STP_01_09_27_Pt_Financial model_중리초 외 4개교(백)_재무모델_김천하수관거_0221" xfId="472"/>
    <cellStyle name="평_평택STP_01_09_27_Pt_Financial model_중리초 외 4개교(백)_재무모델_김천하수관거_0222" xfId="473"/>
    <cellStyle name="평_평택STP_01_09_27_Pt_Financial model_중리초 외 4개교(백)_재무모델_김천하수관거_0224" xfId="474"/>
    <cellStyle name="평_평택STP_01_09_27_Pt_Financial model_중리초 외 4개교(백)_재무모델_김천하수관거_부속작업중" xfId="475"/>
    <cellStyle name="평_평택STP_01_09_27_Pt_FinancialModel1108(2)" xfId="476"/>
    <cellStyle name="평_평택STP_01_09_27_Pt_FinancialModel1108(2) 2" xfId="36710"/>
    <cellStyle name="평_평택STP_01_09_27_Pt_FinancialModel1108(2)_112504_CN FM_보장조정_협약변경-재조달순-rv1" xfId="36711"/>
    <cellStyle name="평_평택STP_01_09_27_Pt_FinancialModel1108(2)_112504_CN FM_보장조정_협약변경-재조달순-rv1 2" xfId="36712"/>
    <cellStyle name="평_평택STP_01_09_27_Pt_FinancialModel1108(2)_CN Financial Model-090704-4%" xfId="36713"/>
    <cellStyle name="평_평택STP_01_09_27_Pt_FinancialModel1108(2)_CN Financial Model-090704-4% 2" xfId="36714"/>
    <cellStyle name="평_평택STP_01_09_27_Pt_FinancialModel1108(2)_CN Financial Model-102004" xfId="36715"/>
    <cellStyle name="평_평택STP_01_09_27_Pt_FinancialModel1108(2)_CN Financial Model-102004 2" xfId="36716"/>
    <cellStyle name="평_평택STP_01_09_27_Pt_FinancialModel1108(2)_재무모델_김천하수관거_0221" xfId="477"/>
    <cellStyle name="평_평택STP_01_09_27_Pt_FinancialModel1108(2)_재무모델_김천하수관거_0222" xfId="478"/>
    <cellStyle name="평_평택STP_01_09_27_Pt_FinancialModel1108(2)_재무모델_김천하수관거_0224" xfId="479"/>
    <cellStyle name="평_평택STP_01_09_27_Pt_FinancialModel1108(2)_재무모델_김천하수관거_부속작업중" xfId="480"/>
    <cellStyle name="평_평택STP_01_09_27_Pt_I-Pjt Fm(1028)" xfId="36717"/>
    <cellStyle name="평_평택STP_01_09_27_Pt_I-Pjt Fm(1028) 2" xfId="36718"/>
    <cellStyle name="평_평택STP_01_09_27_Pt_I-Pjt Fm(1028)_112504_CN FM_보장조정_협약변경-재조달순-rv1" xfId="36719"/>
    <cellStyle name="평_평택STP_01_09_27_Pt_I-Pjt Fm(1028)_112504_CN FM_보장조정_협약변경-재조달순-rv1 2" xfId="36720"/>
    <cellStyle name="평_평택STP_01_09_27_Pt_I-Pjt Fm(1028)_CN Financial Model-090704-4%" xfId="36721"/>
    <cellStyle name="평_평택STP_01_09_27_Pt_I-Pjt Fm(1028)_CN Financial Model-090704-4% 2" xfId="36722"/>
    <cellStyle name="평_평택STP_01_09_27_Pt_I-Pjt Fm(1028)_CN Financial Model-102004" xfId="36723"/>
    <cellStyle name="평_평택STP_01_09_27_Pt_I-Pjt Fm(1028)_CN Financial Model-102004 2" xfId="36724"/>
    <cellStyle name="평_평택STP_01_09_27_Pt_I-Pjt Fm(1031)" xfId="36725"/>
    <cellStyle name="평_평택STP_01_09_27_Pt_I-Pjt Fm(1031) 2" xfId="36726"/>
    <cellStyle name="평_평택STP_01_09_27_Pt_I-Pjt Fm(1031)_112504_CN FM_보장조정_협약변경-재조달순-rv1" xfId="36727"/>
    <cellStyle name="평_평택STP_01_09_27_Pt_I-Pjt Fm(1031)_112504_CN FM_보장조정_협약변경-재조달순-rv1 2" xfId="36728"/>
    <cellStyle name="평_평택STP_01_09_27_Pt_I-Pjt Fm(1031)_CN Financial Model-090704-4%" xfId="36729"/>
    <cellStyle name="평_평택STP_01_09_27_Pt_I-Pjt Fm(1031)_CN Financial Model-090704-4% 2" xfId="36730"/>
    <cellStyle name="평_평택STP_01_09_27_Pt_I-Pjt Fm(1031)_CN Financial Model-102004" xfId="36731"/>
    <cellStyle name="평_평택STP_01_09_27_Pt_I-Pjt Fm(1031)_CN Financial Model-102004 2" xfId="36732"/>
    <cellStyle name="평_평택STP_01_09_27_Pt_MODEL_0117" xfId="36733"/>
    <cellStyle name="평_평택STP_01_09_27_Pt_MODEL_0117 2" xfId="36734"/>
    <cellStyle name="평_평택STP_01_09_27_Pt_MODEL_0117_112504_CN FM_보장조정_협약변경-재조달순-rv1" xfId="36735"/>
    <cellStyle name="평_평택STP_01_09_27_Pt_MODEL_0117_112504_CN FM_보장조정_협약변경-재조달순-rv1 2" xfId="36736"/>
    <cellStyle name="평_평택STP_01_09_27_Pt_MODEL_0117_CN Financial Model-090704-4%" xfId="36737"/>
    <cellStyle name="평_평택STP_01_09_27_Pt_MODEL_0117_CN Financial Model-090704-4% 2" xfId="36738"/>
    <cellStyle name="평_평택STP_01_09_27_Pt_MODEL_0117_CN Financial Model-102004" xfId="36739"/>
    <cellStyle name="평_평택STP_01_09_27_Pt_MODEL_0117_CN Financial Model-102004 2" xfId="36740"/>
    <cellStyle name="평_평택STP_01_09_27_Pt_MODEL_0118" xfId="36741"/>
    <cellStyle name="평_평택STP_01_09_27_Pt_MODEL_0118 2" xfId="36742"/>
    <cellStyle name="평_평택STP_01_09_27_Pt_MODEL_0118_112504_CN FM_보장조정_협약변경-재조달순-rv1" xfId="36743"/>
    <cellStyle name="평_평택STP_01_09_27_Pt_MODEL_0118_112504_CN FM_보장조정_협약변경-재조달순-rv1 2" xfId="36744"/>
    <cellStyle name="평_평택STP_01_09_27_Pt_MODEL_0118_CN Financial Model-090704-4%" xfId="36745"/>
    <cellStyle name="평_평택STP_01_09_27_Pt_MODEL_0118_CN Financial Model-090704-4% 2" xfId="36746"/>
    <cellStyle name="평_평택STP_01_09_27_Pt_MODEL_0118_CN Financial Model-102004" xfId="36747"/>
    <cellStyle name="평_평택STP_01_09_27_Pt_MODEL_0118_CN Financial Model-102004 2" xfId="36748"/>
    <cellStyle name="평_평택STP_01_09_27_Pt_MODEL0205" xfId="36749"/>
    <cellStyle name="평_평택STP_01_09_27_Pt_MODEL0205 2" xfId="36750"/>
    <cellStyle name="평_평택STP_01_09_27_Pt_MODEL0205_112504_CN FM_보장조정_협약변경-재조달순-rv1" xfId="36751"/>
    <cellStyle name="평_평택STP_01_09_27_Pt_MODEL0205_112504_CN FM_보장조정_협약변경-재조달순-rv1 2" xfId="36752"/>
    <cellStyle name="평_평택STP_01_09_27_Pt_MODEL0205_CN Financial Model-090704-4%" xfId="36753"/>
    <cellStyle name="평_평택STP_01_09_27_Pt_MODEL0205_CN Financial Model-090704-4% 2" xfId="36754"/>
    <cellStyle name="평_평택STP_01_09_27_Pt_MODEL0205_CN Financial Model-102004" xfId="36755"/>
    <cellStyle name="평_평택STP_01_09_27_Pt_MODEL0205_CN Financial Model-102004 2" xfId="36756"/>
    <cellStyle name="평_평택STP_01_09_27_Pt_MODEL0209" xfId="36757"/>
    <cellStyle name="평_평택STP_01_09_27_Pt_MODEL0209 2" xfId="36758"/>
    <cellStyle name="평_평택STP_01_09_27_Pt_MODEL0209_112504_CN FM_보장조정_협약변경-재조달순-rv1" xfId="36759"/>
    <cellStyle name="평_평택STP_01_09_27_Pt_MODEL0209_112504_CN FM_보장조정_협약변경-재조달순-rv1 2" xfId="36760"/>
    <cellStyle name="평_평택STP_01_09_27_Pt_MODEL0209_CN Financial Model-090704-4%" xfId="36761"/>
    <cellStyle name="평_평택STP_01_09_27_Pt_MODEL0209_CN Financial Model-090704-4% 2" xfId="36762"/>
    <cellStyle name="평_평택STP_01_09_27_Pt_MODEL0209_CN Financial Model-102004" xfId="36763"/>
    <cellStyle name="평_평택STP_01_09_27_Pt_MODEL0209_CN Financial Model-102004 2" xfId="36764"/>
    <cellStyle name="평_평택STP_01_09_27_Pt_MODEL0221" xfId="36765"/>
    <cellStyle name="평_평택STP_01_09_27_Pt_MODEL0221 2" xfId="36766"/>
    <cellStyle name="평_평택STP_01_09_27_Pt_MODEL0221_112504_CN FM_보장조정_협약변경-재조달순-rv1" xfId="36767"/>
    <cellStyle name="평_평택STP_01_09_27_Pt_MODEL0221_112504_CN FM_보장조정_협약변경-재조달순-rv1 2" xfId="36768"/>
    <cellStyle name="평_평택STP_01_09_27_Pt_MODEL0221_CN Financial Model-090704-4%" xfId="36769"/>
    <cellStyle name="평_평택STP_01_09_27_Pt_MODEL0221_CN Financial Model-090704-4% 2" xfId="36770"/>
    <cellStyle name="평_평택STP_01_09_27_Pt_MODEL0221_CN Financial Model-102004" xfId="36771"/>
    <cellStyle name="평_평택STP_01_09_27_Pt_MODEL0221_CN Financial Model-102004 2" xfId="36772"/>
    <cellStyle name="평_평택STP_01_09_27_Pt_MODEL0309" xfId="36773"/>
    <cellStyle name="평_평택STP_01_09_27_Pt_MODEL0309 2" xfId="36774"/>
    <cellStyle name="평_평택STP_01_09_27_Pt_MODEL0309_112504_CN FM_보장조정_협약변경-재조달순-rv1" xfId="36775"/>
    <cellStyle name="평_평택STP_01_09_27_Pt_MODEL0309_112504_CN FM_보장조정_협약변경-재조달순-rv1 2" xfId="36776"/>
    <cellStyle name="평_평택STP_01_09_27_Pt_MODEL0309_CN Financial Model-090704-4%" xfId="36777"/>
    <cellStyle name="평_평택STP_01_09_27_Pt_MODEL0309_CN Financial Model-090704-4% 2" xfId="36778"/>
    <cellStyle name="평_평택STP_01_09_27_Pt_MODEL0309_CN Financial Model-102004" xfId="36779"/>
    <cellStyle name="평_평택STP_01_09_27_Pt_MODEL0309_CN Financial Model-102004 2" xfId="36780"/>
    <cellStyle name="평_평택STP_01_09_27_Pt_MODEL0316" xfId="36781"/>
    <cellStyle name="평_평택STP_01_09_27_Pt_MODEL0316 2" xfId="36782"/>
    <cellStyle name="평_평택STP_01_09_27_Pt_MODEL0316_112504_CN FM_보장조정_협약변경-재조달순-rv1" xfId="36783"/>
    <cellStyle name="평_평택STP_01_09_27_Pt_MODEL0316_112504_CN FM_보장조정_협약변경-재조달순-rv1 2" xfId="36784"/>
    <cellStyle name="평_평택STP_01_09_27_Pt_MODEL0316_CN Financial Model-090704-4%" xfId="36785"/>
    <cellStyle name="평_평택STP_01_09_27_Pt_MODEL0316_CN Financial Model-090704-4% 2" xfId="36786"/>
    <cellStyle name="평_평택STP_01_09_27_Pt_MODEL0316_CN Financial Model-102004" xfId="36787"/>
    <cellStyle name="평_평택STP_01_09_27_Pt_MODEL0316_CN Financial Model-102004 2" xfId="36788"/>
    <cellStyle name="평_평택STP_01_09_27_Pt_MODEL0318" xfId="36789"/>
    <cellStyle name="평_평택STP_01_09_27_Pt_MODEL0318 2" xfId="36790"/>
    <cellStyle name="평_평택STP_01_09_27_Pt_MODEL0318_112504_CN FM_보장조정_협약변경-재조달순-rv1" xfId="36791"/>
    <cellStyle name="평_평택STP_01_09_27_Pt_MODEL0318_112504_CN FM_보장조정_협약변경-재조달순-rv1 2" xfId="36792"/>
    <cellStyle name="평_평택STP_01_09_27_Pt_MODEL0318_CN Financial Model-090704-4%" xfId="36793"/>
    <cellStyle name="평_평택STP_01_09_27_Pt_MODEL0318_CN Financial Model-090704-4% 2" xfId="36794"/>
    <cellStyle name="평_평택STP_01_09_27_Pt_MODEL0318_CN Financial Model-102004" xfId="36795"/>
    <cellStyle name="평_평택STP_01_09_27_Pt_MODEL0318_CN Financial Model-102004 2" xfId="36796"/>
    <cellStyle name="평_평택STP_01_09_27_Pt_MODEL0320-1" xfId="36797"/>
    <cellStyle name="평_평택STP_01_09_27_Pt_MODEL0320-1 2" xfId="36798"/>
    <cellStyle name="평_평택STP_01_09_27_Pt_MODEL0320-1_112504_CN FM_보장조정_협약변경-재조달순-rv1" xfId="36799"/>
    <cellStyle name="평_평택STP_01_09_27_Pt_MODEL0320-1_112504_CN FM_보장조정_협약변경-재조달순-rv1 2" xfId="36800"/>
    <cellStyle name="평_평택STP_01_09_27_Pt_MODEL0320-1_CN Financial Model-090704-4%" xfId="36801"/>
    <cellStyle name="평_평택STP_01_09_27_Pt_MODEL0320-1_CN Financial Model-090704-4% 2" xfId="36802"/>
    <cellStyle name="평_평택STP_01_09_27_Pt_MODEL0320-1_CN Financial Model-102004" xfId="36803"/>
    <cellStyle name="평_평택STP_01_09_27_Pt_MODEL0320-1_CN Financial Model-102004 2" xfId="36804"/>
    <cellStyle name="평_평택STP_01_09_27_Pt_MODEL0321" xfId="36805"/>
    <cellStyle name="평_평택STP_01_09_27_Pt_MODEL0321 2" xfId="36806"/>
    <cellStyle name="평_평택STP_01_09_27_Pt_MODEL0321_112504_CN FM_보장조정_협약변경-재조달순-rv1" xfId="36807"/>
    <cellStyle name="평_평택STP_01_09_27_Pt_MODEL0321_112504_CN FM_보장조정_협약변경-재조달순-rv1 2" xfId="36808"/>
    <cellStyle name="평_평택STP_01_09_27_Pt_MODEL0321_CN Financial Model-090704-4%" xfId="36809"/>
    <cellStyle name="평_평택STP_01_09_27_Pt_MODEL0321_CN Financial Model-090704-4% 2" xfId="36810"/>
    <cellStyle name="평_평택STP_01_09_27_Pt_MODEL0321_CN Financial Model-102004" xfId="36811"/>
    <cellStyle name="평_평택STP_01_09_27_Pt_MODEL0321_CN Financial Model-102004 2" xfId="36812"/>
    <cellStyle name="평_평택STP_01_09_27_Pt_MODEL0328" xfId="36813"/>
    <cellStyle name="평_평택STP_01_09_27_Pt_MODEL0328 2" xfId="36814"/>
    <cellStyle name="평_평택STP_01_09_27_Pt_MODEL0328_112504_CN FM_보장조정_협약변경-재조달순-rv1" xfId="36815"/>
    <cellStyle name="평_평택STP_01_09_27_Pt_MODEL0328_112504_CN FM_보장조정_협약변경-재조달순-rv1 2" xfId="36816"/>
    <cellStyle name="평_평택STP_01_09_27_Pt_MODEL0328_CN Financial Model-090704-4%" xfId="36817"/>
    <cellStyle name="평_평택STP_01_09_27_Pt_MODEL0328_CN Financial Model-090704-4% 2" xfId="36818"/>
    <cellStyle name="평_평택STP_01_09_27_Pt_MODEL0328_CN Financial Model-102004" xfId="36819"/>
    <cellStyle name="평_평택STP_01_09_27_Pt_MODEL0328_CN Financial Model-102004 2" xfId="36820"/>
    <cellStyle name="평_평택STP_01_09_27_Pt_MODEL정말최종" xfId="36821"/>
    <cellStyle name="평_평택STP_01_09_27_Pt_MODEL정말최종 2" xfId="36822"/>
    <cellStyle name="평_평택STP_01_09_27_Pt_MODEL정말최종_112504_CN FM_보장조정_협약변경-재조달순-rv1" xfId="36823"/>
    <cellStyle name="평_평택STP_01_09_27_Pt_MODEL정말최종_112504_CN FM_보장조정_협약변경-재조달순-rv1 2" xfId="36824"/>
    <cellStyle name="평_평택STP_01_09_27_Pt_MODEL정말최종_CN Financial Model-090704-4%" xfId="36825"/>
    <cellStyle name="평_평택STP_01_09_27_Pt_MODEL정말최종_CN Financial Model-090704-4% 2" xfId="36826"/>
    <cellStyle name="평_평택STP_01_09_27_Pt_MODEL정말최종_CN Financial Model-102004" xfId="36827"/>
    <cellStyle name="평_평택STP_01_09_27_Pt_MODEL정말최종_CN Financial Model-102004 2" xfId="36828"/>
    <cellStyle name="평_평택STP_01_09_27_Pt_MODEL최종" xfId="36829"/>
    <cellStyle name="평_평택STP_01_09_27_Pt_MODEL최종 2" xfId="36830"/>
    <cellStyle name="평_평택STP_01_09_27_Pt_MODEL최종_112504_CN FM_보장조정_협약변경-재조달순-rv1" xfId="36831"/>
    <cellStyle name="평_평택STP_01_09_27_Pt_MODEL최종_112504_CN FM_보장조정_협약변경-재조달순-rv1 2" xfId="36832"/>
    <cellStyle name="평_평택STP_01_09_27_Pt_MODEL최종_CN Financial Model-090704-4%" xfId="36833"/>
    <cellStyle name="평_평택STP_01_09_27_Pt_MODEL최종_CN Financial Model-090704-4% 2" xfId="36834"/>
    <cellStyle name="평_평택STP_01_09_27_Pt_MODEL최종_CN Financial Model-102004" xfId="36835"/>
    <cellStyle name="평_평택STP_01_09_27_Pt_MODEL최종_CN Financial Model-102004 2" xfId="36836"/>
    <cellStyle name="평_평택STP_01_09_27_Pt_NA Hiway Pjt Valuation(통행료 2년마다 인상)" xfId="36837"/>
    <cellStyle name="평_평택STP_01_09_27_Pt_NA Hiway Pjt Valuation(통행료 2년마다 인상) 2" xfId="36838"/>
    <cellStyle name="평_평택STP_01_09_27_Pt_NA Hiway Pjt Valuation(통행료 2년마다 인상)_112504_CN FM_보장조정_협약변경-재조달순-rv1" xfId="36839"/>
    <cellStyle name="평_평택STP_01_09_27_Pt_NA Hiway Pjt Valuation(통행료 2년마다 인상)_112504_CN FM_보장조정_협약변경-재조달순-rv1 2" xfId="36840"/>
    <cellStyle name="평_평택STP_01_09_27_Pt_NA Hiway Pjt Valuation(통행료 2년마다 인상)_CN Financial Model-090704-4%" xfId="36841"/>
    <cellStyle name="평_평택STP_01_09_27_Pt_NA Hiway Pjt Valuation(통행료 2년마다 인상)_CN Financial Model-090704-4% 2" xfId="36842"/>
    <cellStyle name="평_평택STP_01_09_27_Pt_NA Hiway Pjt Valuation(통행료 2년마다 인상)_CN Financial Model-102004" xfId="36843"/>
    <cellStyle name="평_평택STP_01_09_27_Pt_NA Hiway Pjt Valuation(통행료 2년마다 인상)_CN Financial Model-102004 2" xfId="36844"/>
    <cellStyle name="평_평택STP_01_09_27_Pt_ROE" xfId="36845"/>
    <cellStyle name="평_평택STP_01_09_27_Pt_ROE 2" xfId="36846"/>
    <cellStyle name="평_평택STP_01_09_27_Pt_ROE_112504_CN FM_보장조정_협약변경-재조달순-rv1" xfId="36847"/>
    <cellStyle name="평_평택STP_01_09_27_Pt_ROE_112504_CN FM_보장조정_협약변경-재조달순-rv1 2" xfId="36848"/>
    <cellStyle name="평_평택STP_01_09_27_Pt_ROE_CN Financial Model-090704-4%" xfId="36849"/>
    <cellStyle name="평_평택STP_01_09_27_Pt_ROE_CN Financial Model-090704-4% 2" xfId="36850"/>
    <cellStyle name="평_평택STP_01_09_27_Pt_ROE_CN Financial Model-102004" xfId="36851"/>
    <cellStyle name="평_평택STP_01_09_27_Pt_ROE_CN Financial Model-102004 2" xfId="36852"/>
    <cellStyle name="평_평택STP_01_09_27_Pt_Valuation(예비투자설명회)_0228" xfId="36853"/>
    <cellStyle name="평_평택STP_01_09_27_Pt_Valuation(예비투자설명회)_0228 2" xfId="36854"/>
    <cellStyle name="평_평택STP_01_09_27_Pt_Valuation(예비투자설명회)_0228_112504_CN FM_보장조정_협약변경-재조달순-rv1" xfId="36855"/>
    <cellStyle name="평_평택STP_01_09_27_Pt_Valuation(예비투자설명회)_0228_112504_CN FM_보장조정_협약변경-재조달순-rv1 2" xfId="36856"/>
    <cellStyle name="평_평택STP_01_09_27_Pt_Valuation(예비투자설명회)_0228_CN Financial Model-090704-4%" xfId="36857"/>
    <cellStyle name="평_평택STP_01_09_27_Pt_Valuation(예비투자설명회)_0228_CN Financial Model-090704-4% 2" xfId="36858"/>
    <cellStyle name="평_평택STP_01_09_27_Pt_Valuation(예비투자설명회)_0228_CN Financial Model-102004" xfId="36859"/>
    <cellStyle name="평_평택STP_01_09_27_Pt_Valuation(예비투자설명회)_0228_CN Financial Model-102004 2" xfId="36860"/>
    <cellStyle name="평_평택STP_01_09_27_Pt_Y-Pjt(FncMdl)_0912AM" xfId="36861"/>
    <cellStyle name="평_평택STP_01_09_27_Pt_Y-Pjt(FncMdl)_0912AM 2" xfId="36862"/>
    <cellStyle name="평_평택STP_01_09_27_Pt_Y-Pjt(FncMdl)_0912AM_112504_CN FM_보장조정_협약변경-재조달순-rv1" xfId="36863"/>
    <cellStyle name="평_평택STP_01_09_27_Pt_Y-Pjt(FncMdl)_0912AM_112504_CN FM_보장조정_협약변경-재조달순-rv1 2" xfId="36864"/>
    <cellStyle name="평_평택STP_01_09_27_Pt_Y-Pjt(FncMdl)_0912AM_CN Financial Model-090704-4%" xfId="36865"/>
    <cellStyle name="평_평택STP_01_09_27_Pt_Y-Pjt(FncMdl)_0912AM_CN Financial Model-090704-4% 2" xfId="36866"/>
    <cellStyle name="평_평택STP_01_09_27_Pt_Y-Pjt(FncMdl)_0912AM_CN Financial Model-102004" xfId="36867"/>
    <cellStyle name="평_평택STP_01_09_27_Pt_Y-Pjt(FncMdl)_0912AM_CN Financial Model-102004 2" xfId="36868"/>
    <cellStyle name="평_평택STP_01_09_27_Pt_Y-Pjt_0905(PM4)" xfId="36869"/>
    <cellStyle name="평_평택STP_01_09_27_Pt_Y-Pjt_0905(PM4) 2" xfId="36870"/>
    <cellStyle name="평_평택STP_01_09_27_Pt_Y-Pjt_0905(PM4)_112504_CN FM_보장조정_협약변경-재조달순-rv1" xfId="36871"/>
    <cellStyle name="평_평택STP_01_09_27_Pt_Y-Pjt_0905(PM4)_112504_CN FM_보장조정_협약변경-재조달순-rv1 2" xfId="36872"/>
    <cellStyle name="평_평택STP_01_09_27_Pt_Y-Pjt_0905(PM4)_CN Financial Model-090704-4%" xfId="36873"/>
    <cellStyle name="평_평택STP_01_09_27_Pt_Y-Pjt_0905(PM4)_CN Financial Model-090704-4% 2" xfId="36874"/>
    <cellStyle name="평_평택STP_01_09_27_Pt_Y-Pjt_0905(PM4)_CN Financial Model-102004" xfId="36875"/>
    <cellStyle name="평_평택STP_01_09_27_Pt_Y-Pjt_0905(PM4)_CN Financial Model-102004 2" xfId="36876"/>
    <cellStyle name="평_평택STP_01_09_27_Pt_Y-Pjt_0906(AM10)" xfId="36877"/>
    <cellStyle name="평_평택STP_01_09_27_Pt_Y-Pjt_0906(AM10) 2" xfId="36878"/>
    <cellStyle name="평_평택STP_01_09_27_Pt_Y-Pjt_0906(AM10)_112504_CN FM_보장조정_협약변경-재조달순-rv1" xfId="36879"/>
    <cellStyle name="평_평택STP_01_09_27_Pt_Y-Pjt_0906(AM10)_112504_CN FM_보장조정_협약변경-재조달순-rv1 2" xfId="36880"/>
    <cellStyle name="평_평택STP_01_09_27_Pt_Y-Pjt_0906(AM10)_CN Financial Model-090704-4%" xfId="36881"/>
    <cellStyle name="평_평택STP_01_09_27_Pt_Y-Pjt_0906(AM10)_CN Financial Model-090704-4% 2" xfId="36882"/>
    <cellStyle name="평_평택STP_01_09_27_Pt_Y-Pjt_0906(AM10)_CN Financial Model-102004" xfId="36883"/>
    <cellStyle name="평_평택STP_01_09_27_Pt_Y-Pjt_0906(AM10)_CN Financial Model-102004 2" xfId="36884"/>
    <cellStyle name="평_평택STP_01_09_27_Pt_Y-PROJECT_0812" xfId="36885"/>
    <cellStyle name="평_평택STP_01_09_27_Pt_Y-PROJECT_0812 2" xfId="36886"/>
    <cellStyle name="평_평택STP_01_09_27_Pt_Y-PROJECT_0812_112504_CN FM_보장조정_협약변경-재조달순-rv1" xfId="36887"/>
    <cellStyle name="평_평택STP_01_09_27_Pt_Y-PROJECT_0812_112504_CN FM_보장조정_협약변경-재조달순-rv1 2" xfId="36888"/>
    <cellStyle name="평_평택STP_01_09_27_Pt_Y-PROJECT_0812_CN Financial Model-090704-4%" xfId="36889"/>
    <cellStyle name="평_평택STP_01_09_27_Pt_Y-PROJECT_0812_CN Financial Model-090704-4% 2" xfId="36890"/>
    <cellStyle name="평_평택STP_01_09_27_Pt_Y-PROJECT_0812_CN Financial Model-102004" xfId="36891"/>
    <cellStyle name="평_평택STP_01_09_27_Pt_Y-PROJECT_0812_CN Financial Model-102004 2" xfId="36892"/>
    <cellStyle name="평_평택STP_01_09_27_Pt_Y-PROJECT_0813_PM10" xfId="36893"/>
    <cellStyle name="평_평택STP_01_09_27_Pt_Y-PROJECT_0813_PM10 2" xfId="36894"/>
    <cellStyle name="평_평택STP_01_09_27_Pt_Y-PROJECT_0813_PM10_112504_CN FM_보장조정_협약변경-재조달순-rv1" xfId="36895"/>
    <cellStyle name="평_평택STP_01_09_27_Pt_Y-PROJECT_0813_PM10_112504_CN FM_보장조정_협약변경-재조달순-rv1 2" xfId="36896"/>
    <cellStyle name="평_평택STP_01_09_27_Pt_Y-PROJECT_0813_PM10_CN Financial Model-090704-4%" xfId="36897"/>
    <cellStyle name="평_평택STP_01_09_27_Pt_Y-PROJECT_0813_PM10_CN Financial Model-090704-4% 2" xfId="36898"/>
    <cellStyle name="평_평택STP_01_09_27_Pt_Y-PROJECT_0813_PM10_CN Financial Model-102004" xfId="36899"/>
    <cellStyle name="평_평택STP_01_09_27_Pt_Y-PROJECT_0813_PM10_CN Financial Model-102004 2" xfId="36900"/>
    <cellStyle name="평_평택STP_01_09_27_Pt_Y-PROJECT_0820(PM7)" xfId="36901"/>
    <cellStyle name="평_평택STP_01_09_27_Pt_Y-PROJECT_0820(PM7) 2" xfId="36902"/>
    <cellStyle name="평_평택STP_01_09_27_Pt_Y-PROJECT_0820(PM7)_112504_CN FM_보장조정_협약변경-재조달순-rv1" xfId="36903"/>
    <cellStyle name="평_평택STP_01_09_27_Pt_Y-PROJECT_0820(PM7)_112504_CN FM_보장조정_협약변경-재조달순-rv1 2" xfId="36904"/>
    <cellStyle name="평_평택STP_01_09_27_Pt_Y-PROJECT_0820(PM7)_CN Financial Model-090704-4%" xfId="36905"/>
    <cellStyle name="평_평택STP_01_09_27_Pt_Y-PROJECT_0820(PM7)_CN Financial Model-090704-4% 2" xfId="36906"/>
    <cellStyle name="평_평택STP_01_09_27_Pt_Y-PROJECT_0820(PM7)_CN Financial Model-102004" xfId="36907"/>
    <cellStyle name="평_평택STP_01_09_27_Pt_Y-PROJECT_0820(PM7)_CN Financial Model-102004 2" xfId="36908"/>
    <cellStyle name="평_평택STP_01_09_27_Pt_건설기간중대안2최종" xfId="36909"/>
    <cellStyle name="평_평택STP_01_09_27_Pt_건설기간중대안2최종 2" xfId="36910"/>
    <cellStyle name="평_평택STP_01_09_27_Pt_건설기간중대안2최종_112504_CN FM_보장조정_협약변경-재조달순-rv1" xfId="36911"/>
    <cellStyle name="평_평택STP_01_09_27_Pt_건설기간중대안2최종_112504_CN FM_보장조정_협약변경-재조달순-rv1 2" xfId="36912"/>
    <cellStyle name="평_평택STP_01_09_27_Pt_건설기간중대안2최종_CN Financial Model-090704-4%" xfId="36913"/>
    <cellStyle name="평_평택STP_01_09_27_Pt_건설기간중대안2최종_CN Financial Model-090704-4% 2" xfId="36914"/>
    <cellStyle name="평_평택STP_01_09_27_Pt_건설기간중대안2최종_CN Financial Model-102004" xfId="36915"/>
    <cellStyle name="평_평택STP_01_09_27_Pt_건설기간중대안2최종_CN Financial Model-102004 2" xfId="36916"/>
    <cellStyle name="평_평택STP_01_09_27_Pt_경기도수성0319" xfId="36917"/>
    <cellStyle name="평_평택STP_01_09_27_Pt_경기도수성0319 2" xfId="36918"/>
    <cellStyle name="평_평택STP_01_09_27_Pt_경기도수성0319_112504_CN FM_보장조정_협약변경-재조달순-rv1" xfId="36919"/>
    <cellStyle name="평_평택STP_01_09_27_Pt_경기도수성0319_112504_CN FM_보장조정_협약변경-재조달순-rv1 2" xfId="36920"/>
    <cellStyle name="평_평택STP_01_09_27_Pt_경기도수성0319_CN Financial Model-090704-4%" xfId="36921"/>
    <cellStyle name="평_평택STP_01_09_27_Pt_경기도수성0319_CN Financial Model-090704-4% 2" xfId="36922"/>
    <cellStyle name="평_평택STP_01_09_27_Pt_경기도수성0319_CN Financial Model-102004" xfId="36923"/>
    <cellStyle name="평_평택STP_01_09_27_Pt_경기도수성0319_CN Financial Model-102004 2" xfId="36924"/>
    <cellStyle name="평_평택STP_01_09_27_Pt_광명 지역난방 민간투자사업 재무모델_0619" xfId="36925"/>
    <cellStyle name="평_평택STP_01_09_27_Pt_광명 지역난방 민간투자사업 재무모델_0619 2" xfId="36926"/>
    <cellStyle name="평_평택STP_01_09_27_Pt_광명 지역난방 민간투자사업 재무모델_0619_112504_CN FM_보장조정_협약변경-재조달순-rv1" xfId="36927"/>
    <cellStyle name="평_평택STP_01_09_27_Pt_광명 지역난방 민간투자사업 재무모델_0619_112504_CN FM_보장조정_협약변경-재조달순-rv1 2" xfId="36928"/>
    <cellStyle name="평_평택STP_01_09_27_Pt_광명 지역난방 민간투자사업 재무모델_0619_CN Financial Model-090704-4%" xfId="36929"/>
    <cellStyle name="평_평택STP_01_09_27_Pt_광명 지역난방 민간투자사업 재무모델_0619_CN Financial Model-090704-4% 2" xfId="36930"/>
    <cellStyle name="평_평택STP_01_09_27_Pt_광명 지역난방 민간투자사업 재무모델_0619_CN Financial Model-102004" xfId="36931"/>
    <cellStyle name="평_평택STP_01_09_27_Pt_광명 지역난방 민간투자사업 재무모델_0619_CN Financial Model-102004 2" xfId="36932"/>
    <cellStyle name="평_평택STP_01_09_27_Pt_대안1(1129)" xfId="36933"/>
    <cellStyle name="평_평택STP_01_09_27_Pt_대안1(1129) 2" xfId="36934"/>
    <cellStyle name="평_평택STP_01_09_27_Pt_대안1(1129)_112504_CN FM_보장조정_협약변경-재조달순-rv1" xfId="36935"/>
    <cellStyle name="평_평택STP_01_09_27_Pt_대안1(1129)_112504_CN FM_보장조정_협약변경-재조달순-rv1 2" xfId="36936"/>
    <cellStyle name="평_평택STP_01_09_27_Pt_대안1(1129)_CN Financial Model-090704-4%" xfId="36937"/>
    <cellStyle name="평_평택STP_01_09_27_Pt_대안1(1129)_CN Financial Model-090704-4% 2" xfId="36938"/>
    <cellStyle name="평_평택STP_01_09_27_Pt_대안1(1129)_CN Financial Model-102004" xfId="36939"/>
    <cellStyle name="평_평택STP_01_09_27_Pt_대안1(1129)_CN Financial Model-102004 2" xfId="36940"/>
    <cellStyle name="평_평택STP_01_09_27_Pt_대안2(1201)" xfId="36941"/>
    <cellStyle name="평_평택STP_01_09_27_Pt_대안2(1201) 2" xfId="36942"/>
    <cellStyle name="평_평택STP_01_09_27_Pt_대안2(1201)_112504_CN FM_보장조정_협약변경-재조달순-rv1" xfId="36943"/>
    <cellStyle name="평_평택STP_01_09_27_Pt_대안2(1201)_112504_CN FM_보장조정_협약변경-재조달순-rv1 2" xfId="36944"/>
    <cellStyle name="평_평택STP_01_09_27_Pt_대안2(1201)_CN Financial Model-090704-4%" xfId="36945"/>
    <cellStyle name="평_평택STP_01_09_27_Pt_대안2(1201)_CN Financial Model-090704-4% 2" xfId="36946"/>
    <cellStyle name="평_평택STP_01_09_27_Pt_대안2(1201)_CN Financial Model-102004" xfId="36947"/>
    <cellStyle name="평_평택STP_01_09_27_Pt_대안2(1201)_CN Financial Model-102004 2" xfId="36948"/>
    <cellStyle name="평_평택STP_01_09_27_Pt_사본 - MODEL_0105" xfId="36949"/>
    <cellStyle name="평_평택STP_01_09_27_Pt_사본 - MODEL_0105 2" xfId="36950"/>
    <cellStyle name="평_평택STP_01_09_27_Pt_사본 - MODEL_0105_112504_CN FM_보장조정_협약변경-재조달순-rv1" xfId="36951"/>
    <cellStyle name="평_평택STP_01_09_27_Pt_사본 - MODEL_0105_112504_CN FM_보장조정_협약변경-재조달순-rv1 2" xfId="36952"/>
    <cellStyle name="평_평택STP_01_09_27_Pt_사본 - MODEL_0105_CN Financial Model-090704-4%" xfId="36953"/>
    <cellStyle name="평_평택STP_01_09_27_Pt_사본 - MODEL_0105_CN Financial Model-090704-4% 2" xfId="36954"/>
    <cellStyle name="평_평택STP_01_09_27_Pt_사본 - MODEL_0105_CN Financial Model-102004" xfId="36955"/>
    <cellStyle name="평_평택STP_01_09_27_Pt_사본 - MODEL_0105_CN Financial Model-102004 2" xfId="36956"/>
    <cellStyle name="평_평택STP_01_09_27_Pt_사본 - 사본 - 사본 - MODEL_0105" xfId="36957"/>
    <cellStyle name="평_평택STP_01_09_27_Pt_사본 - 사본 - 사본 - MODEL_0105 2" xfId="36958"/>
    <cellStyle name="평_평택STP_01_09_27_Pt_사본 - 사본 - 사본 - MODEL_0105_112504_CN FM_보장조정_협약변경-재조달순-rv1" xfId="36959"/>
    <cellStyle name="평_평택STP_01_09_27_Pt_사본 - 사본 - 사본 - MODEL_0105_112504_CN FM_보장조정_협약변경-재조달순-rv1 2" xfId="36960"/>
    <cellStyle name="평_평택STP_01_09_27_Pt_사본 - 사본 - 사본 - MODEL_0105_CN Financial Model-090704-4%" xfId="36961"/>
    <cellStyle name="평_평택STP_01_09_27_Pt_사본 - 사본 - 사본 - MODEL_0105_CN Financial Model-090704-4% 2" xfId="36962"/>
    <cellStyle name="평_평택STP_01_09_27_Pt_사본 - 사본 - 사본 - MODEL_0105_CN Financial Model-102004" xfId="36963"/>
    <cellStyle name="평_평택STP_01_09_27_Pt_사본 - 사본 - 사본 - MODEL_0105_CN Financial Model-102004 2" xfId="36964"/>
    <cellStyle name="평_평택STP_01_09_27_Pt_양식" xfId="36965"/>
    <cellStyle name="평_평택STP_01_09_27_Pt_양식 2" xfId="36966"/>
    <cellStyle name="평_평택STP_01_09_27_Pt_양식_112504_CN FM_보장조정_협약변경-재조달순-rv1" xfId="36967"/>
    <cellStyle name="평_평택STP_01_09_27_Pt_양식_112504_CN FM_보장조정_협약변경-재조달순-rv1 2" xfId="36968"/>
    <cellStyle name="평_평택STP_01_09_27_Pt_양식_CN Financial Model-090704-4%" xfId="36969"/>
    <cellStyle name="평_평택STP_01_09_27_Pt_양식_CN Financial Model-090704-4% 2" xfId="36970"/>
    <cellStyle name="평_평택STP_01_09_27_Pt_양식_CN Financial Model-102004" xfId="36971"/>
    <cellStyle name="평_평택STP_01_09_27_Pt_양식_CN Financial Model-102004 2" xfId="36972"/>
    <cellStyle name="평_평택STP_01_09_27_Pt_용인 LRT_0619" xfId="36973"/>
    <cellStyle name="평_평택STP_01_09_27_Pt_용인 LRT_0619 2" xfId="36974"/>
    <cellStyle name="평_평택STP_01_09_27_Pt_용인 LRT_0619_112504_CN FM_보장조정_협약변경-재조달순-rv1" xfId="36975"/>
    <cellStyle name="평_평택STP_01_09_27_Pt_용인 LRT_0619_112504_CN FM_보장조정_협약변경-재조달순-rv1 2" xfId="36976"/>
    <cellStyle name="평_평택STP_01_09_27_Pt_용인 LRT_0619_CN Financial Model-090704-4%" xfId="36977"/>
    <cellStyle name="평_평택STP_01_09_27_Pt_용인 LRT_0619_CN Financial Model-090704-4% 2" xfId="36978"/>
    <cellStyle name="평_평택STP_01_09_27_Pt_용인 LRT_0619_CN Financial Model-102004" xfId="36979"/>
    <cellStyle name="평_평택STP_01_09_27_Pt_용인 LRT_0619_CN Financial Model-102004 2" xfId="36980"/>
    <cellStyle name="평_평택STP_01_09_27_Pt_용인 LRT_0619-2" xfId="36981"/>
    <cellStyle name="평_평택STP_01_09_27_Pt_용인 LRT_0619-2 2" xfId="36982"/>
    <cellStyle name="평_평택STP_01_09_27_Pt_용인 LRT_0619-2_112504_CN FM_보장조정_협약변경-재조달순-rv1" xfId="36983"/>
    <cellStyle name="평_평택STP_01_09_27_Pt_용인 LRT_0619-2_112504_CN FM_보장조정_협약변경-재조달순-rv1 2" xfId="36984"/>
    <cellStyle name="평_평택STP_01_09_27_Pt_용인 LRT_0619-2_CN Financial Model-090704-4%" xfId="36985"/>
    <cellStyle name="평_평택STP_01_09_27_Pt_용인 LRT_0619-2_CN Financial Model-090704-4% 2" xfId="36986"/>
    <cellStyle name="평_평택STP_01_09_27_Pt_용인 LRT_0619-2_CN Financial Model-102004" xfId="36987"/>
    <cellStyle name="평_평택STP_01_09_27_Pt_용인 LRT_0619-2_CN Financial Model-102004 2" xfId="36988"/>
    <cellStyle name="평_평택STP_01_09_27_Pt_용인 LRT_0620" xfId="36989"/>
    <cellStyle name="평_평택STP_01_09_27_Pt_용인 LRT_0620 2" xfId="36990"/>
    <cellStyle name="평_평택STP_01_09_27_Pt_용인 LRT_0620_112504_CN FM_보장조정_협약변경-재조달순-rv1" xfId="36991"/>
    <cellStyle name="평_평택STP_01_09_27_Pt_용인 LRT_0620_112504_CN FM_보장조정_협약변경-재조달순-rv1 2" xfId="36992"/>
    <cellStyle name="평_평택STP_01_09_27_Pt_용인 LRT_0620_CN Financial Model-090704-4%" xfId="36993"/>
    <cellStyle name="평_평택STP_01_09_27_Pt_용인 LRT_0620_CN Financial Model-090704-4% 2" xfId="36994"/>
    <cellStyle name="평_평택STP_01_09_27_Pt_용인 LRT_0620_CN Financial Model-102004" xfId="36995"/>
    <cellStyle name="평_평택STP_01_09_27_Pt_용인 LRT_0620_CN Financial Model-102004 2" xfId="36996"/>
    <cellStyle name="평_평택STP_01_09_27_Pt_용인 경량전철 민간투자사업 재무모델" xfId="36997"/>
    <cellStyle name="평_평택STP_01_09_27_Pt_용인 경량전철 민간투자사업 재무모델 2" xfId="36998"/>
    <cellStyle name="평_평택STP_01_09_27_Pt_용인 경량전철 민간투자사업 재무모델_112504_CN FM_보장조정_협약변경-재조달순-rv1" xfId="36999"/>
    <cellStyle name="평_평택STP_01_09_27_Pt_용인 경량전철 민간투자사업 재무모델_112504_CN FM_보장조정_협약변경-재조달순-rv1 2" xfId="37000"/>
    <cellStyle name="평_평택STP_01_09_27_Pt_용인 경량전철 민간투자사업 재무모델_CN Financial Model-090704-4%" xfId="37001"/>
    <cellStyle name="평_평택STP_01_09_27_Pt_용인 경량전철 민간투자사업 재무모델_CN Financial Model-090704-4% 2" xfId="37002"/>
    <cellStyle name="평_평택STP_01_09_27_Pt_용인 경량전철 민간투자사업 재무모델_CN Financial Model-102004" xfId="37003"/>
    <cellStyle name="평_평택STP_01_09_27_Pt_용인 경량전철 민간투자사업 재무모델_CN Financial Model-102004 2" xfId="37004"/>
    <cellStyle name="평_평택STP_01_09_27_Pt_운영설비비(고기리0320)" xfId="37005"/>
    <cellStyle name="평_평택STP_01_09_27_Pt_운영설비비(고기리0320) 2" xfId="37006"/>
    <cellStyle name="평_평택STP_01_09_27_Pt_운영설비비(고기리0320)_112504_CN FM_보장조정_협약변경-재조달순-rv1" xfId="37007"/>
    <cellStyle name="평_평택STP_01_09_27_Pt_운영설비비(고기리0320)_112504_CN FM_보장조정_협약변경-재조달순-rv1 2" xfId="37008"/>
    <cellStyle name="평_평택STP_01_09_27_Pt_운영설비비(고기리0320)_CN Financial Model-090704-4%" xfId="37009"/>
    <cellStyle name="평_평택STP_01_09_27_Pt_운영설비비(고기리0320)_CN Financial Model-090704-4% 2" xfId="37010"/>
    <cellStyle name="평_평택STP_01_09_27_Pt_운영설비비(고기리0320)_CN Financial Model-102004" xfId="37011"/>
    <cellStyle name="평_평택STP_01_09_27_Pt_운영설비비(고기리0320)_CN Financial Model-102004 2" xfId="37012"/>
    <cellStyle name="평_평택STP_01_09_27_Pt_재무모델_김천하수관거_0221" xfId="481"/>
    <cellStyle name="평_평택STP_01_09_27_Pt_재무모델_김천하수관거_0222" xfId="482"/>
    <cellStyle name="평_평택STP_01_09_27_Pt_재무모델_김천하수관거_0224" xfId="483"/>
    <cellStyle name="평_평택STP_01_09_27_Pt_재무모델_김천하수관거_부속작업중" xfId="484"/>
    <cellStyle name="평_평택STP_01_09_27_Pt_재무모델_인천신현고외" xfId="485"/>
    <cellStyle name="평_평택STP_01_09_27_Pt_재무모델_인천신현고외_재무모델_김천하수관거_0221" xfId="486"/>
    <cellStyle name="평_평택STP_01_09_27_Pt_재무모델_인천신현고외_재무모델_김천하수관거_0222" xfId="487"/>
    <cellStyle name="평_평택STP_01_09_27_Pt_재무모델_인천신현고외_재무모델_김천하수관거_0224" xfId="488"/>
    <cellStyle name="평_평택STP_01_09_27_Pt_재무모델_인천신현고외_재무모델_김천하수관거_부속작업중" xfId="489"/>
    <cellStyle name="평_평택STP_01_09_27_Pt_천안논산 Valuation_0426" xfId="37013"/>
    <cellStyle name="평_평택STP_01_09_27_Pt_천안논산 Valuation_0426 2" xfId="37014"/>
    <cellStyle name="평_평택STP_01_09_27_Pt_천안논산 Valuation_0426_112504_CN FM_보장조정_협약변경-재조달순-rv1" xfId="37015"/>
    <cellStyle name="평_평택STP_01_09_27_Pt_천안논산 Valuation_0426_112504_CN FM_보장조정_협약변경-재조달순-rv1 2" xfId="37016"/>
    <cellStyle name="평_평택STP_01_09_27_Pt_천안논산 Valuation_0426_CN Financial Model-090704-4%" xfId="37017"/>
    <cellStyle name="평_평택STP_01_09_27_Pt_천안논산 Valuation_0426_CN Financial Model-090704-4% 2" xfId="37018"/>
    <cellStyle name="평_평택STP_01_09_27_Pt_천안논산 Valuation_0426_CN Financial Model-102004" xfId="37019"/>
    <cellStyle name="평_평택STP_01_09_27_Pt_천안논산 Valuation_0426_CN Financial Model-102004 2" xfId="37020"/>
    <cellStyle name="평_평택STP_01_09_27_Pt_천안논산 Valuation_0428" xfId="37021"/>
    <cellStyle name="평_평택STP_01_09_27_Pt_천안논산 Valuation_0428 2" xfId="37022"/>
    <cellStyle name="평_평택STP_01_09_27_Pt_천안논산 Valuation_0428_112504_CN FM_보장조정_협약변경-재조달순-rv1" xfId="37023"/>
    <cellStyle name="평_평택STP_01_09_27_Pt_천안논산 Valuation_0428_112504_CN FM_보장조정_협약변경-재조달순-rv1 2" xfId="37024"/>
    <cellStyle name="평_평택STP_01_09_27_Pt_천안논산 Valuation_0428_CN Financial Model-090704-4%" xfId="37025"/>
    <cellStyle name="평_평택STP_01_09_27_Pt_천안논산 Valuation_0428_CN Financial Model-090704-4% 2" xfId="37026"/>
    <cellStyle name="평_평택STP_01_09_27_Pt_천안논산 Valuation_0428_CN Financial Model-102004" xfId="37027"/>
    <cellStyle name="평_평택STP_01_09_27_Pt_천안논산 Valuation_0428_CN Financial Model-102004 2" xfId="37028"/>
    <cellStyle name="평_평택STP_01_09_27_Pt_천안논산 Valuation_0430" xfId="37029"/>
    <cellStyle name="평_평택STP_01_09_27_Pt_천안논산 Valuation_0430 2" xfId="37030"/>
    <cellStyle name="평_평택STP_01_09_27_Pt_천안논산 Valuation_0430_112504_CN FM_보장조정_협약변경-재조달순-rv1" xfId="37031"/>
    <cellStyle name="평_평택STP_01_09_27_Pt_천안논산 Valuation_0430_112504_CN FM_보장조정_협약변경-재조달순-rv1 2" xfId="37032"/>
    <cellStyle name="평_평택STP_01_09_27_Pt_천안논산 Valuation_0430_CN Financial Model-090704-4%" xfId="37033"/>
    <cellStyle name="평_평택STP_01_09_27_Pt_천안논산 Valuation_0430_CN Financial Model-090704-4% 2" xfId="37034"/>
    <cellStyle name="평_평택STP_01_09_27_Pt_천안논산 Valuation_0430_CN Financial Model-102004" xfId="37035"/>
    <cellStyle name="평_평택STP_01_09_27_Pt_천안논산 Valuation_0430_CN Financial Model-102004 2" xfId="37036"/>
    <cellStyle name="평_평택STP_01_09_27_Pt_천안논산 Valuation_0502" xfId="37037"/>
    <cellStyle name="평_평택STP_01_09_27_Pt_천안논산 Valuation_0502 2" xfId="37038"/>
    <cellStyle name="평_평택STP_01_09_27_Pt_천안논산 Valuation_0502_112504_CN FM_보장조정_협약변경-재조달순-rv1" xfId="37039"/>
    <cellStyle name="평_평택STP_01_09_27_Pt_천안논산 Valuation_0502_112504_CN FM_보장조정_협약변경-재조달순-rv1 2" xfId="37040"/>
    <cellStyle name="평_평택STP_01_09_27_Pt_천안논산 Valuation_0502_CN Financial Model-090704-4%" xfId="37041"/>
    <cellStyle name="평_평택STP_01_09_27_Pt_천안논산 Valuation_0502_CN Financial Model-090704-4% 2" xfId="37042"/>
    <cellStyle name="평_평택STP_01_09_27_Pt_천안논산 Valuation_0502_CN Financial Model-102004" xfId="37043"/>
    <cellStyle name="평_평택STP_01_09_27_Pt_천안논산 Valuation_0502_CN Financial Model-102004 2" xfId="37044"/>
    <cellStyle name="평_평택STP_01_09_27_재무모델_김천하수관거_0221" xfId="490"/>
    <cellStyle name="평_평택STP_01_09_27_재무모델_김천하수관거_0222" xfId="491"/>
    <cellStyle name="평_평택STP_01_09_27_재무모델_김천하수관거_0224" xfId="492"/>
    <cellStyle name="평_평택STP_01_09_27_재무모델_김천하수관거_부속작업중" xfId="493"/>
    <cellStyle name="표" xfId="698"/>
    <cellStyle name="표(가는선,가운데,중앙)" xfId="37045"/>
    <cellStyle name="표(가는선,왼쪽,중앙)" xfId="37046"/>
    <cellStyle name="표(세로쓰기)" xfId="37047"/>
    <cellStyle name="표_20030218144011020-E1C865BF" xfId="37048"/>
    <cellStyle name="표_20030218144011020-E1C865BF_현대오일뱅크 철골공사" xfId="37049"/>
    <cellStyle name="표_경매(공매)보고" xfId="699"/>
    <cellStyle name="표_김포 한강신도시 Ab-12(11.06.09)" xfId="700"/>
    <cellStyle name="표_도로" xfId="3021"/>
    <cellStyle name="표_동대문구 장안동 도심형생활주택(11.05.20)" xfId="701"/>
    <cellStyle name="표_부대초안" xfId="3022"/>
    <cellStyle name="표_부대초안_견적의뢰" xfId="3023"/>
    <cellStyle name="표_부대초안_견적의뢰_삽교천개수공사(03.30)" xfId="3024"/>
    <cellStyle name="표_부대초안_견적의뢰_삽교천개수공사(03.30)_구일초(06.17)-부대" xfId="3025"/>
    <cellStyle name="표_부대초안_견적의뢰_삽교천개수공사(03.30)_남성지구(05.26)" xfId="3026"/>
    <cellStyle name="표_부대초안_견적의뢰_삽교천개수공사(03.30)_동산초(06.1)" xfId="3027"/>
    <cellStyle name="표_부대초안_견적의뢰_삽교천개수공사(03.30)_삽교천개수공사(03.30)" xfId="3028"/>
    <cellStyle name="표_부대초안_견적의뢰_삽교천개수공사(03.30)_안산남부경찰서(06.16)-부대" xfId="3029"/>
    <cellStyle name="표_부대초안_견적의뢰_삽교천개수공사(03.30)_제주제성교(05.27)" xfId="3030"/>
    <cellStyle name="표_부대초안_견적의뢰_삽교천개수공사(03.30)_행목지구하천환경(05.25)" xfId="3031"/>
    <cellStyle name="표_부대초안_김포투찰" xfId="3032"/>
    <cellStyle name="표_부대초안_김포투찰_견적의뢰" xfId="3033"/>
    <cellStyle name="표_부대초안_김포투찰_견적의뢰_삽교천개수공사(03.30)" xfId="3034"/>
    <cellStyle name="표_부대초안_김포투찰_견적의뢰_삽교천개수공사(03.30)_구일초(06.17)-부대" xfId="3035"/>
    <cellStyle name="표_부대초안_김포투찰_견적의뢰_삽교천개수공사(03.30)_남성지구(05.26)" xfId="3036"/>
    <cellStyle name="표_부대초안_김포투찰_견적의뢰_삽교천개수공사(03.30)_동산초(06.1)" xfId="3037"/>
    <cellStyle name="표_부대초안_김포투찰_견적의뢰_삽교천개수공사(03.30)_삽교천개수공사(03.30)" xfId="3038"/>
    <cellStyle name="표_부대초안_김포투찰_견적의뢰_삽교천개수공사(03.30)_안산남부경찰서(06.16)-부대" xfId="3039"/>
    <cellStyle name="표_부대초안_김포투찰_견적의뢰_삽교천개수공사(03.30)_제주제성교(05.27)" xfId="3040"/>
    <cellStyle name="표_부대초안_김포투찰_견적의뢰_삽교천개수공사(03.30)_행목지구하천환경(05.25)" xfId="3041"/>
    <cellStyle name="표_부대초안_삽교천개수공사(03.30)" xfId="3042"/>
    <cellStyle name="표_부대초안_삽교천개수공사(03.30)_구일초(06.17)-부대" xfId="3043"/>
    <cellStyle name="표_부대초안_삽교천개수공사(03.30)_남성지구(05.26)" xfId="3044"/>
    <cellStyle name="표_부대초안_삽교천개수공사(03.30)_동산초(06.1)" xfId="3045"/>
    <cellStyle name="표_부대초안_삽교천개수공사(03.30)_삽교천개수공사(03.30)" xfId="3046"/>
    <cellStyle name="표_부대초안_삽교천개수공사(03.30)_안산남부경찰서(06.16)-부대" xfId="3047"/>
    <cellStyle name="표_부대초안_삽교천개수공사(03.30)_제주제성교(05.27)" xfId="3048"/>
    <cellStyle name="표_부대초안_삽교천개수공사(03.30)_행목지구하천환경(05.25)" xfId="3049"/>
    <cellStyle name="표_사급재료비및운반비" xfId="37050"/>
    <cellStyle name="표_사급재료비및운반비_현대오일뱅크 철골공사" xfId="37051"/>
    <cellStyle name="표_삽교천개수공사(03.30)" xfId="3050"/>
    <cellStyle name="표_삽교천개수공사(03.30)_구일초(06.17)-부대" xfId="3051"/>
    <cellStyle name="표_삽교천개수공사(03.30)_남성지구(05.26)" xfId="3052"/>
    <cellStyle name="표_삽교천개수공사(03.30)_동산초(06.1)" xfId="3053"/>
    <cellStyle name="표_삽교천개수공사(03.30)_삽교천개수공사(03.30)" xfId="3054"/>
    <cellStyle name="표_삽교천개수공사(03.30)_안산남부경찰서(06.16)-부대" xfId="3055"/>
    <cellStyle name="표_삽교천개수공사(03.30)_제주제성교(05.27)" xfId="3056"/>
    <cellStyle name="표_삽교천개수공사(03.30)_행목지구하천환경(05.25)" xfId="3057"/>
    <cellStyle name="표_수량및 단가 산출내용표" xfId="37052"/>
    <cellStyle name="표_수량및 단가 산출내용표_현대오일뱅크 철골공사" xfId="37053"/>
    <cellStyle name="표_영흥#3,4 보일러철골설치및마감(MC-01)FINAL" xfId="37054"/>
    <cellStyle name="표_영흥#3,4 보일러철골설치및마감(MC-01)FINAL_현대오일뱅크 철골공사" xfId="37055"/>
    <cellStyle name="표_영흥#3,4 옥내기기기초(AC-05)" xfId="37056"/>
    <cellStyle name="표_영흥#3,4 옥내기기기초(AC-05)_현대오일뱅크 철골공사" xfId="37057"/>
    <cellStyle name="표_영흥#3,4 터빈발전기기초(AC-04)" xfId="37058"/>
    <cellStyle name="표_영흥#3,4 터빈발전기기초(AC-04)_현대오일뱅크 철골공사" xfId="37059"/>
    <cellStyle name="표_토목내역서" xfId="3058"/>
    <cellStyle name="표_토목내역서_도로" xfId="3059"/>
    <cellStyle name="표_토목내역서_부대초안" xfId="3060"/>
    <cellStyle name="표_토목내역서_부대초안_견적의뢰" xfId="3061"/>
    <cellStyle name="표_토목내역서_부대초안_견적의뢰_삽교천개수공사(03.30)" xfId="3062"/>
    <cellStyle name="표_토목내역서_부대초안_견적의뢰_삽교천개수공사(03.30)_구일초(06.17)-부대" xfId="3063"/>
    <cellStyle name="표_토목내역서_부대초안_견적의뢰_삽교천개수공사(03.30)_남성지구(05.26)" xfId="3064"/>
    <cellStyle name="표_토목내역서_부대초안_견적의뢰_삽교천개수공사(03.30)_동산초(06.1)" xfId="3065"/>
    <cellStyle name="표_토목내역서_부대초안_견적의뢰_삽교천개수공사(03.30)_삽교천개수공사(03.30)" xfId="3066"/>
    <cellStyle name="표_토목내역서_부대초안_견적의뢰_삽교천개수공사(03.30)_안산남부경찰서(06.16)-부대" xfId="3067"/>
    <cellStyle name="표_토목내역서_부대초안_견적의뢰_삽교천개수공사(03.30)_제주제성교(05.27)" xfId="3068"/>
    <cellStyle name="표_토목내역서_부대초안_견적의뢰_삽교천개수공사(03.30)_행목지구하천환경(05.25)" xfId="3069"/>
    <cellStyle name="표_토목내역서_부대초안_김포투찰" xfId="3070"/>
    <cellStyle name="표_토목내역서_부대초안_김포투찰_견적의뢰" xfId="3071"/>
    <cellStyle name="표_토목내역서_부대초안_김포투찰_견적의뢰_삽교천개수공사(03.30)" xfId="3072"/>
    <cellStyle name="표_토목내역서_부대초안_김포투찰_견적의뢰_삽교천개수공사(03.30)_구일초(06.17)-부대" xfId="3073"/>
    <cellStyle name="표_토목내역서_부대초안_김포투찰_견적의뢰_삽교천개수공사(03.30)_남성지구(05.26)" xfId="3074"/>
    <cellStyle name="표_토목내역서_부대초안_김포투찰_견적의뢰_삽교천개수공사(03.30)_동산초(06.1)" xfId="3075"/>
    <cellStyle name="표_토목내역서_부대초안_김포투찰_견적의뢰_삽교천개수공사(03.30)_삽교천개수공사(03.30)" xfId="3076"/>
    <cellStyle name="표_토목내역서_부대초안_김포투찰_견적의뢰_삽교천개수공사(03.30)_안산남부경찰서(06.16)-부대" xfId="3077"/>
    <cellStyle name="표_토목내역서_부대초안_김포투찰_견적의뢰_삽교천개수공사(03.30)_제주제성교(05.27)" xfId="3078"/>
    <cellStyle name="표_토목내역서_부대초안_김포투찰_견적의뢰_삽교천개수공사(03.30)_행목지구하천환경(05.25)" xfId="3079"/>
    <cellStyle name="표_토목내역서_부대초안_삽교천개수공사(03.30)" xfId="3080"/>
    <cellStyle name="표_토목내역서_부대초안_삽교천개수공사(03.30)_구일초(06.17)-부대" xfId="3081"/>
    <cellStyle name="표_토목내역서_부대초안_삽교천개수공사(03.30)_남성지구(05.26)" xfId="3082"/>
    <cellStyle name="표_토목내역서_부대초안_삽교천개수공사(03.30)_동산초(06.1)" xfId="3083"/>
    <cellStyle name="표_토목내역서_부대초안_삽교천개수공사(03.30)_삽교천개수공사(03.30)" xfId="3084"/>
    <cellStyle name="표_토목내역서_부대초안_삽교천개수공사(03.30)_안산남부경찰서(06.16)-부대" xfId="3085"/>
    <cellStyle name="표_토목내역서_부대초안_삽교천개수공사(03.30)_제주제성교(05.27)" xfId="3086"/>
    <cellStyle name="표_토목내역서_부대초안_삽교천개수공사(03.30)_행목지구하천환경(05.25)" xfId="3087"/>
    <cellStyle name="표_토목내역서_삽교천개수공사(03.30)" xfId="3088"/>
    <cellStyle name="표_토목내역서_삽교천개수공사(03.30)_구일초(06.17)-부대" xfId="3089"/>
    <cellStyle name="표_토목내역서_삽교천개수공사(03.30)_남성지구(05.26)" xfId="3090"/>
    <cellStyle name="표_토목내역서_삽교천개수공사(03.30)_동산초(06.1)" xfId="3091"/>
    <cellStyle name="표_토목내역서_삽교천개수공사(03.30)_삽교천개수공사(03.30)" xfId="3092"/>
    <cellStyle name="표_토목내역서_삽교천개수공사(03.30)_안산남부경찰서(06.16)-부대" xfId="3093"/>
    <cellStyle name="표_토목내역서_삽교천개수공사(03.30)_제주제성교(05.27)" xfId="3094"/>
    <cellStyle name="표_토목내역서_삽교천개수공사(03.30)_행목지구하천환경(05.25)" xfId="3095"/>
    <cellStyle name="표머릿글(上)" xfId="37060"/>
    <cellStyle name="표머릿글(上) 2" xfId="37061"/>
    <cellStyle name="표머릿글(中)" xfId="37062"/>
    <cellStyle name="표머릿글(中) 2" xfId="37063"/>
    <cellStyle name="표머릿글(下)" xfId="37064"/>
    <cellStyle name="표-소제목" xfId="37065"/>
    <cellStyle name="표-소제목 2" xfId="37066"/>
    <cellStyle name="표-소제목 3" xfId="37067"/>
    <cellStyle name="표양식(gray1)" xfId="8"/>
    <cellStyle name="표양식(gray1) 2" xfId="544"/>
    <cellStyle name="표양식(gray1) 2 2" xfId="3142"/>
    <cellStyle name="표양식(gray1) 2 2 2" xfId="3881"/>
    <cellStyle name="표양식(gray1) 2 2 2 2" xfId="4949"/>
    <cellStyle name="표양식(gray1) 2 2 2 3" xfId="5272"/>
    <cellStyle name="표양식(gray1) 2 2 3" xfId="3882"/>
    <cellStyle name="표양식(gray1) 2 2 3 2" xfId="4950"/>
    <cellStyle name="표양식(gray1) 2 2 3 3" xfId="5273"/>
    <cellStyle name="표양식(gray1) 2 2 4" xfId="3883"/>
    <cellStyle name="표양식(gray1) 2 2 4 2" xfId="4951"/>
    <cellStyle name="표양식(gray1) 2 2 4 3" xfId="5274"/>
    <cellStyle name="표양식(gray1) 2 2 5" xfId="4557"/>
    <cellStyle name="표양식(gray1) 2 2 6" xfId="4493"/>
    <cellStyle name="표양식(gray1) 2 3" xfId="3884"/>
    <cellStyle name="표양식(gray1) 2 3 2" xfId="4952"/>
    <cellStyle name="표양식(gray1) 2 3 3" xfId="5275"/>
    <cellStyle name="표양식(gray1) 2 4" xfId="3885"/>
    <cellStyle name="표양식(gray1) 2 4 2" xfId="4953"/>
    <cellStyle name="표양식(gray1) 2 4 3" xfId="5276"/>
    <cellStyle name="표양식(gray1) 2 5" xfId="3886"/>
    <cellStyle name="표양식(gray1) 2 5 2" xfId="4954"/>
    <cellStyle name="표양식(gray1) 2 5 3" xfId="5277"/>
    <cellStyle name="표양식(gray1) 3" xfId="572"/>
    <cellStyle name="표양식(gray1) 3 2" xfId="3170"/>
    <cellStyle name="표양식(gray1) 3 2 2" xfId="3887"/>
    <cellStyle name="표양식(gray1) 3 2 2 2" xfId="4955"/>
    <cellStyle name="표양식(gray1) 3 2 2 3" xfId="5278"/>
    <cellStyle name="표양식(gray1) 3 2 3" xfId="3888"/>
    <cellStyle name="표양식(gray1) 3 2 3 2" xfId="4956"/>
    <cellStyle name="표양식(gray1) 3 2 3 3" xfId="5279"/>
    <cellStyle name="표양식(gray1) 3 2 4" xfId="3889"/>
    <cellStyle name="표양식(gray1) 3 2 4 2" xfId="4957"/>
    <cellStyle name="표양식(gray1) 3 2 4 3" xfId="5280"/>
    <cellStyle name="표양식(gray1) 3 2 5" xfId="4584"/>
    <cellStyle name="표양식(gray1) 3 2 6" xfId="4467"/>
    <cellStyle name="표양식(gray1) 3 3" xfId="3890"/>
    <cellStyle name="표양식(gray1) 3 3 2" xfId="4958"/>
    <cellStyle name="표양식(gray1) 3 3 3" xfId="5281"/>
    <cellStyle name="표양식(gray1) 3 4" xfId="3891"/>
    <cellStyle name="표양식(gray1) 3 4 2" xfId="4959"/>
    <cellStyle name="표양식(gray1) 3 4 3" xfId="5282"/>
    <cellStyle name="표양식(gray1) 3 5" xfId="3892"/>
    <cellStyle name="표양식(gray1) 3 5 2" xfId="4960"/>
    <cellStyle name="표양식(gray1) 3 5 3" xfId="5283"/>
    <cellStyle name="표양식(gray1) 4" xfId="596"/>
    <cellStyle name="표양식(gray1) 4 2" xfId="3194"/>
    <cellStyle name="표양식(gray1) 4 2 2" xfId="3893"/>
    <cellStyle name="표양식(gray1) 4 2 2 2" xfId="4961"/>
    <cellStyle name="표양식(gray1) 4 2 2 3" xfId="5284"/>
    <cellStyle name="표양식(gray1) 4 2 3" xfId="3894"/>
    <cellStyle name="표양식(gray1) 4 2 3 2" xfId="4962"/>
    <cellStyle name="표양식(gray1) 4 2 3 3" xfId="5285"/>
    <cellStyle name="표양식(gray1) 4 2 4" xfId="3895"/>
    <cellStyle name="표양식(gray1) 4 2 4 2" xfId="4963"/>
    <cellStyle name="표양식(gray1) 4 2 4 3" xfId="5286"/>
    <cellStyle name="표양식(gray1) 4 2 5" xfId="4608"/>
    <cellStyle name="표양식(gray1) 4 2 6" xfId="4504"/>
    <cellStyle name="표양식(gray1) 4 3" xfId="3896"/>
    <cellStyle name="표양식(gray1) 4 3 2" xfId="4964"/>
    <cellStyle name="표양식(gray1) 4 3 3" xfId="5287"/>
    <cellStyle name="표양식(gray1) 4 4" xfId="3897"/>
    <cellStyle name="표양식(gray1) 4 4 2" xfId="4965"/>
    <cellStyle name="표양식(gray1) 4 4 3" xfId="5288"/>
    <cellStyle name="표양식(gray1) 4 5" xfId="3898"/>
    <cellStyle name="표양식(gray1) 4 5 2" xfId="4966"/>
    <cellStyle name="표양식(gray1) 4 5 3" xfId="5289"/>
    <cellStyle name="표양식(gray1) 5" xfId="3113"/>
    <cellStyle name="표양식(gray1) 5 2" xfId="3899"/>
    <cellStyle name="표양식(gray1) 5 2 2" xfId="4967"/>
    <cellStyle name="표양식(gray1) 5 2 3" xfId="5290"/>
    <cellStyle name="표양식(gray1) 5 3" xfId="3900"/>
    <cellStyle name="표양식(gray1) 5 3 2" xfId="4968"/>
    <cellStyle name="표양식(gray1) 5 3 3" xfId="5291"/>
    <cellStyle name="표양식(gray1) 5 4" xfId="3901"/>
    <cellStyle name="표양식(gray1) 5 4 2" xfId="4969"/>
    <cellStyle name="표양식(gray1) 5 4 3" xfId="5292"/>
    <cellStyle name="표양식(gray1) 5 5" xfId="4528"/>
    <cellStyle name="표양식(gray1) 5 6" xfId="4502"/>
    <cellStyle name="표양식(gray1) 6" xfId="3902"/>
    <cellStyle name="표양식(gray1) 6 2" xfId="4970"/>
    <cellStyle name="표양식(gray1) 6 3" xfId="5293"/>
    <cellStyle name="표양식(gray1) 7" xfId="3903"/>
    <cellStyle name="표양식(gray1) 7 2" xfId="4971"/>
    <cellStyle name="표양식(gray1) 7 3" xfId="5294"/>
    <cellStyle name="표양식(gray1) 8" xfId="3904"/>
    <cellStyle name="표양식(gray1) 8 2" xfId="4972"/>
    <cellStyle name="표양식(gray1) 8 3" xfId="5295"/>
    <cellStyle name="표준" xfId="0" builtinId="0"/>
    <cellStyle name="표준 10" xfId="512"/>
    <cellStyle name="표준 10 10" xfId="3261"/>
    <cellStyle name="표준 10 11" xfId="3262"/>
    <cellStyle name="표준 10 12" xfId="3263"/>
    <cellStyle name="표준 10 13" xfId="3264"/>
    <cellStyle name="표준 10 14" xfId="3265"/>
    <cellStyle name="표준 10 15" xfId="3266"/>
    <cellStyle name="표준 10 16" xfId="3267"/>
    <cellStyle name="표준 10 17" xfId="3268"/>
    <cellStyle name="표준 10 18" xfId="3269"/>
    <cellStyle name="표준 10 19" xfId="3270"/>
    <cellStyle name="표준 10 2" xfId="3271"/>
    <cellStyle name="표준 10 20" xfId="3272"/>
    <cellStyle name="표준 10 21" xfId="3273"/>
    <cellStyle name="표준 10 22" xfId="3274"/>
    <cellStyle name="표준 10 3" xfId="525"/>
    <cellStyle name="표준 10 3 2" xfId="528"/>
    <cellStyle name="표준 10 4" xfId="3275"/>
    <cellStyle name="표준 10 5" xfId="3276"/>
    <cellStyle name="표준 10 6" xfId="3277"/>
    <cellStyle name="표준 10 7" xfId="3278"/>
    <cellStyle name="표준 10 8" xfId="3279"/>
    <cellStyle name="표준 10 9" xfId="3280"/>
    <cellStyle name="표준 100" xfId="37068"/>
    <cellStyle name="표준 100 2" xfId="37069"/>
    <cellStyle name="표준 101 2" xfId="37070"/>
    <cellStyle name="표준 102 2" xfId="37071"/>
    <cellStyle name="표준 103" xfId="37072"/>
    <cellStyle name="표준 103 2" xfId="37073"/>
    <cellStyle name="표준 103 2 2" xfId="37074"/>
    <cellStyle name="표준 104 2" xfId="37075"/>
    <cellStyle name="표준 105 2" xfId="37076"/>
    <cellStyle name="표준 106" xfId="37077"/>
    <cellStyle name="표준 106 2" xfId="37078"/>
    <cellStyle name="표준 107" xfId="37079"/>
    <cellStyle name="표준 107 2" xfId="37080"/>
    <cellStyle name="표준 107 2 2" xfId="37081"/>
    <cellStyle name="표준 107 3" xfId="37082"/>
    <cellStyle name="표준 108" xfId="37083"/>
    <cellStyle name="표준 108 2" xfId="37084"/>
    <cellStyle name="표준 109" xfId="37085"/>
    <cellStyle name="표준 109 2" xfId="37086"/>
    <cellStyle name="표준 11" xfId="513"/>
    <cellStyle name="표준 11 10" xfId="3281"/>
    <cellStyle name="표준 11 11" xfId="3282"/>
    <cellStyle name="표준 11 12" xfId="3283"/>
    <cellStyle name="표준 11 13" xfId="3284"/>
    <cellStyle name="표준 11 14" xfId="3285"/>
    <cellStyle name="표준 11 15" xfId="3286"/>
    <cellStyle name="표준 11 16" xfId="3287"/>
    <cellStyle name="표준 11 17" xfId="3288"/>
    <cellStyle name="표준 11 18" xfId="3289"/>
    <cellStyle name="표준 11 19" xfId="3290"/>
    <cellStyle name="표준 11 2" xfId="3291"/>
    <cellStyle name="표준 11 20" xfId="3292"/>
    <cellStyle name="표준 11 21" xfId="3293"/>
    <cellStyle name="표준 11 22" xfId="3294"/>
    <cellStyle name="표준 11 3" xfId="3295"/>
    <cellStyle name="표준 11 4" xfId="3296"/>
    <cellStyle name="표준 11 5" xfId="3297"/>
    <cellStyle name="표준 11 6" xfId="3298"/>
    <cellStyle name="표준 11 7" xfId="3299"/>
    <cellStyle name="표준 11 8" xfId="3300"/>
    <cellStyle name="표준 11 9" xfId="3301"/>
    <cellStyle name="표준 110 2" xfId="37087"/>
    <cellStyle name="표준 111" xfId="37088"/>
    <cellStyle name="표준 111 2" xfId="37089"/>
    <cellStyle name="표준 112 2" xfId="37090"/>
    <cellStyle name="표준 113 2" xfId="37091"/>
    <cellStyle name="표준 114 2" xfId="37092"/>
    <cellStyle name="표준 115 2" xfId="37093"/>
    <cellStyle name="표준 116 2" xfId="37094"/>
    <cellStyle name="표준 117" xfId="37095"/>
    <cellStyle name="표준 117 2" xfId="37096"/>
    <cellStyle name="표준 117 3" xfId="37097"/>
    <cellStyle name="표준 118" xfId="37098"/>
    <cellStyle name="표준 118 2" xfId="37099"/>
    <cellStyle name="표준 118 3" xfId="37100"/>
    <cellStyle name="표준 119" xfId="37101"/>
    <cellStyle name="표준 119 2" xfId="37102"/>
    <cellStyle name="표준 119 3" xfId="37103"/>
    <cellStyle name="표준 12" xfId="519"/>
    <cellStyle name="표준 12 10" xfId="3302"/>
    <cellStyle name="표준 12 11" xfId="3303"/>
    <cellStyle name="표준 12 12" xfId="3304"/>
    <cellStyle name="표준 12 13" xfId="3305"/>
    <cellStyle name="표준 12 14" xfId="3306"/>
    <cellStyle name="표준 12 15" xfId="3307"/>
    <cellStyle name="표준 12 16" xfId="3308"/>
    <cellStyle name="표준 12 17" xfId="3309"/>
    <cellStyle name="표준 12 18" xfId="3310"/>
    <cellStyle name="표준 12 19" xfId="3311"/>
    <cellStyle name="표준 12 2" xfId="580"/>
    <cellStyle name="표준 12 2 2" xfId="3096"/>
    <cellStyle name="표준 12 2 3" xfId="3178"/>
    <cellStyle name="표준 12 2 3 2" xfId="4592"/>
    <cellStyle name="표준 12 2 4" xfId="4435"/>
    <cellStyle name="표준 12 2_계룡시 공공임대아파트 도급공사" xfId="3097"/>
    <cellStyle name="표준 12 20" xfId="3312"/>
    <cellStyle name="표준 12 21" xfId="3313"/>
    <cellStyle name="표준 12 22" xfId="3314"/>
    <cellStyle name="표준 12 23" xfId="4420"/>
    <cellStyle name="표준 12 3" xfId="3130"/>
    <cellStyle name="표준 12 3 2" xfId="3905"/>
    <cellStyle name="표준 12 3 2 2" xfId="4973"/>
    <cellStyle name="표준 12 3 3" xfId="4545"/>
    <cellStyle name="표준 12 4" xfId="3315"/>
    <cellStyle name="표준 12 5" xfId="3316"/>
    <cellStyle name="표준 12 6" xfId="3317"/>
    <cellStyle name="표준 12 7" xfId="3318"/>
    <cellStyle name="표준 12 8" xfId="3319"/>
    <cellStyle name="표준 12 9" xfId="3320"/>
    <cellStyle name="표준 12_계룡시 공공임대아파트 도급공사" xfId="3098"/>
    <cellStyle name="표준 120" xfId="37104"/>
    <cellStyle name="표준 13" xfId="527"/>
    <cellStyle name="표준 13 10" xfId="3321"/>
    <cellStyle name="표준 13 11" xfId="3322"/>
    <cellStyle name="표준 13 12" xfId="3323"/>
    <cellStyle name="표준 13 13" xfId="3324"/>
    <cellStyle name="표준 13 14" xfId="3325"/>
    <cellStyle name="표준 13 15" xfId="3326"/>
    <cellStyle name="표준 13 16" xfId="3327"/>
    <cellStyle name="표준 13 17" xfId="3328"/>
    <cellStyle name="표준 13 18" xfId="3329"/>
    <cellStyle name="표준 13 19" xfId="3330"/>
    <cellStyle name="표준 13 2" xfId="585"/>
    <cellStyle name="표준 13 2 2" xfId="3099"/>
    <cellStyle name="표준 13 2 3" xfId="3183"/>
    <cellStyle name="표준 13 2 3 2" xfId="4597"/>
    <cellStyle name="표준 13 2 4" xfId="4440"/>
    <cellStyle name="표준 13 2_계룡시 공공임대아파트 도급공사" xfId="3100"/>
    <cellStyle name="표준 13 20" xfId="3331"/>
    <cellStyle name="표준 13 21" xfId="3332"/>
    <cellStyle name="표준 13 22" xfId="3333"/>
    <cellStyle name="표준 13 23" xfId="4425"/>
    <cellStyle name="표준 13 3" xfId="3135"/>
    <cellStyle name="표준 13 3 2" xfId="3906"/>
    <cellStyle name="표준 13 3 2 2" xfId="4974"/>
    <cellStyle name="표준 13 3 3" xfId="4550"/>
    <cellStyle name="표준 13 4" xfId="3334"/>
    <cellStyle name="표준 13 5" xfId="3335"/>
    <cellStyle name="표준 13 6" xfId="3336"/>
    <cellStyle name="표준 13 7" xfId="3337"/>
    <cellStyle name="표준 13 8" xfId="3338"/>
    <cellStyle name="표준 13 9" xfId="3339"/>
    <cellStyle name="표준 13_계룡시 공공임대아파트 도급공사" xfId="3101"/>
    <cellStyle name="표준 132" xfId="37105"/>
    <cellStyle name="표준 136" xfId="37106"/>
    <cellStyle name="표준 137" xfId="37107"/>
    <cellStyle name="표준 14" xfId="529"/>
    <cellStyle name="표준 14 10" xfId="3340"/>
    <cellStyle name="표준 14 11" xfId="3341"/>
    <cellStyle name="표준 14 12" xfId="3342"/>
    <cellStyle name="표준 14 13" xfId="3343"/>
    <cellStyle name="표준 14 14" xfId="3344"/>
    <cellStyle name="표준 14 15" xfId="3345"/>
    <cellStyle name="표준 14 16" xfId="3346"/>
    <cellStyle name="표준 14 17" xfId="3347"/>
    <cellStyle name="표준 14 18" xfId="3348"/>
    <cellStyle name="표준 14 19" xfId="3349"/>
    <cellStyle name="표준 14 2" xfId="586"/>
    <cellStyle name="표준 14 2 2" xfId="3184"/>
    <cellStyle name="표준 14 2 2 2" xfId="3907"/>
    <cellStyle name="표준 14 2 2 2 2" xfId="4975"/>
    <cellStyle name="표준 14 2 2 3" xfId="4598"/>
    <cellStyle name="표준 14 2 3" xfId="3908"/>
    <cellStyle name="표준 14 2 3 2" xfId="4976"/>
    <cellStyle name="표준 14 2 4" xfId="4441"/>
    <cellStyle name="표준 14 20" xfId="3350"/>
    <cellStyle name="표준 14 21" xfId="3351"/>
    <cellStyle name="표준 14 22" xfId="3352"/>
    <cellStyle name="표준 14 23" xfId="4426"/>
    <cellStyle name="표준 14 3" xfId="3136"/>
    <cellStyle name="표준 14 3 2" xfId="3909"/>
    <cellStyle name="표준 14 3 2 2" xfId="4977"/>
    <cellStyle name="표준 14 3 3" xfId="4551"/>
    <cellStyle name="표준 14 4" xfId="3353"/>
    <cellStyle name="표준 14 5" xfId="3354"/>
    <cellStyle name="표준 14 6" xfId="3355"/>
    <cellStyle name="표준 14 7" xfId="3356"/>
    <cellStyle name="표준 14 8" xfId="3357"/>
    <cellStyle name="표준 14 9" xfId="3358"/>
    <cellStyle name="표준 142" xfId="37108"/>
    <cellStyle name="표준 147" xfId="37109"/>
    <cellStyle name="표준 148" xfId="37110"/>
    <cellStyle name="표준 148 2" xfId="37111"/>
    <cellStyle name="표준 15" xfId="535"/>
    <cellStyle name="표준 15 10" xfId="3359"/>
    <cellStyle name="표준 15 11" xfId="3360"/>
    <cellStyle name="표준 15 12" xfId="3361"/>
    <cellStyle name="표준 15 13" xfId="3362"/>
    <cellStyle name="표준 15 14" xfId="3363"/>
    <cellStyle name="표준 15 15" xfId="3364"/>
    <cellStyle name="표준 15 16" xfId="3365"/>
    <cellStyle name="표준 15 17" xfId="3366"/>
    <cellStyle name="표준 15 18" xfId="3367"/>
    <cellStyle name="표준 15 19" xfId="3368"/>
    <cellStyle name="표준 15 2" xfId="590"/>
    <cellStyle name="표준 15 2 2" xfId="3188"/>
    <cellStyle name="표준 15 2 2 2" xfId="3910"/>
    <cellStyle name="표준 15 2 2 2 2" xfId="4978"/>
    <cellStyle name="표준 15 2 2 3" xfId="4602"/>
    <cellStyle name="표준 15 2 3" xfId="3911"/>
    <cellStyle name="표준 15 2 3 2" xfId="4979"/>
    <cellStyle name="표준 15 2 4" xfId="4445"/>
    <cellStyle name="표준 15 20" xfId="3369"/>
    <cellStyle name="표준 15 21" xfId="3370"/>
    <cellStyle name="표준 15 22" xfId="3371"/>
    <cellStyle name="표준 15 23" xfId="4430"/>
    <cellStyle name="표준 15 24" xfId="5317"/>
    <cellStyle name="표준 15 3" xfId="3140"/>
    <cellStyle name="표준 15 3 2" xfId="3912"/>
    <cellStyle name="표준 15 3 2 2" xfId="4980"/>
    <cellStyle name="표준 15 3 3" xfId="4555"/>
    <cellStyle name="표준 15 4" xfId="3372"/>
    <cellStyle name="표준 15 5" xfId="3373"/>
    <cellStyle name="표준 15 6" xfId="3374"/>
    <cellStyle name="표준 15 7" xfId="3375"/>
    <cellStyle name="표준 15 8" xfId="3376"/>
    <cellStyle name="표준 15 9" xfId="3377"/>
    <cellStyle name="표준 151" xfId="37112"/>
    <cellStyle name="표준 151 2" xfId="37113"/>
    <cellStyle name="표준 152" xfId="37114"/>
    <cellStyle name="표준 152 2" xfId="37115"/>
    <cellStyle name="표준 153" xfId="37116"/>
    <cellStyle name="표준 153 2" xfId="37117"/>
    <cellStyle name="표준 154" xfId="37118"/>
    <cellStyle name="표준 154 2" xfId="37119"/>
    <cellStyle name="표준 158" xfId="37120"/>
    <cellStyle name="표준 158 2" xfId="37121"/>
    <cellStyle name="표준 16" xfId="538"/>
    <cellStyle name="표준 16 10" xfId="3378"/>
    <cellStyle name="표준 16 11" xfId="3379"/>
    <cellStyle name="표준 16 12" xfId="3380"/>
    <cellStyle name="표준 16 13" xfId="3381"/>
    <cellStyle name="표준 16 14" xfId="3382"/>
    <cellStyle name="표준 16 15" xfId="3383"/>
    <cellStyle name="표준 16 16" xfId="3384"/>
    <cellStyle name="표준 16 17" xfId="3385"/>
    <cellStyle name="표준 16 18" xfId="3386"/>
    <cellStyle name="표준 16 19" xfId="3387"/>
    <cellStyle name="표준 16 2" xfId="3388"/>
    <cellStyle name="표준 16 20" xfId="3389"/>
    <cellStyle name="표준 16 21" xfId="3390"/>
    <cellStyle name="표준 16 22" xfId="3391"/>
    <cellStyle name="표준 16 3" xfId="3392"/>
    <cellStyle name="표준 16 4" xfId="3393"/>
    <cellStyle name="표준 16 5" xfId="3394"/>
    <cellStyle name="표준 16 6" xfId="3395"/>
    <cellStyle name="표준 16 7" xfId="3396"/>
    <cellStyle name="표준 16 8" xfId="3397"/>
    <cellStyle name="표준 16 9" xfId="3398"/>
    <cellStyle name="표준 160" xfId="37122"/>
    <cellStyle name="표준 160 2" xfId="37123"/>
    <cellStyle name="표준 161" xfId="37124"/>
    <cellStyle name="표준 161 2" xfId="37125"/>
    <cellStyle name="표준 162" xfId="37126"/>
    <cellStyle name="표준 162 2" xfId="37127"/>
    <cellStyle name="표준 163" xfId="37128"/>
    <cellStyle name="표준 163 2" xfId="37129"/>
    <cellStyle name="표준 164" xfId="37130"/>
    <cellStyle name="표준 164 2" xfId="37131"/>
    <cellStyle name="표준 165" xfId="37132"/>
    <cellStyle name="표준 165 2" xfId="37133"/>
    <cellStyle name="표준 166" xfId="37134"/>
    <cellStyle name="표준 166 2" xfId="37135"/>
    <cellStyle name="표준 167" xfId="37136"/>
    <cellStyle name="표준 167 2" xfId="37137"/>
    <cellStyle name="표준 168" xfId="37138"/>
    <cellStyle name="표준 168 2" xfId="37139"/>
    <cellStyle name="표준 169" xfId="37140"/>
    <cellStyle name="표준 169 2" xfId="37141"/>
    <cellStyle name="표준 17" xfId="605"/>
    <cellStyle name="표준 17 10" xfId="3399"/>
    <cellStyle name="표준 17 11" xfId="3400"/>
    <cellStyle name="표준 17 12" xfId="3401"/>
    <cellStyle name="표준 17 13" xfId="3402"/>
    <cellStyle name="표준 17 14" xfId="3403"/>
    <cellStyle name="표준 17 15" xfId="3404"/>
    <cellStyle name="표준 17 16" xfId="3405"/>
    <cellStyle name="표준 17 17" xfId="3406"/>
    <cellStyle name="표준 17 18" xfId="3407"/>
    <cellStyle name="표준 17 19" xfId="3408"/>
    <cellStyle name="표준 17 2" xfId="3195"/>
    <cellStyle name="표준 17 2 2" xfId="3913"/>
    <cellStyle name="표준 17 2 2 2" xfId="4981"/>
    <cellStyle name="표준 17 2 3" xfId="4609"/>
    <cellStyle name="표준 17 20" xfId="3409"/>
    <cellStyle name="표준 17 21" xfId="3410"/>
    <cellStyle name="표준 17 22" xfId="3411"/>
    <cellStyle name="표준 17 23" xfId="4447"/>
    <cellStyle name="표준 17 3" xfId="3412"/>
    <cellStyle name="표준 17 4" xfId="3413"/>
    <cellStyle name="표준 17 5" xfId="3414"/>
    <cellStyle name="표준 17 6" xfId="3415"/>
    <cellStyle name="표준 17 7" xfId="3416"/>
    <cellStyle name="표준 17 8" xfId="3417"/>
    <cellStyle name="표준 17 9" xfId="3418"/>
    <cellStyle name="표준 170" xfId="37142"/>
    <cellStyle name="표준 170 2" xfId="37143"/>
    <cellStyle name="표준 171" xfId="37144"/>
    <cellStyle name="표준 171 2" xfId="37145"/>
    <cellStyle name="표준 172" xfId="37146"/>
    <cellStyle name="표준 172 2" xfId="37147"/>
    <cellStyle name="표준 173" xfId="37148"/>
    <cellStyle name="표준 173 2" xfId="37149"/>
    <cellStyle name="표준 174" xfId="37150"/>
    <cellStyle name="표준 174 2" xfId="37151"/>
    <cellStyle name="표준 175" xfId="37152"/>
    <cellStyle name="표준 175 2" xfId="37153"/>
    <cellStyle name="표준 176" xfId="37154"/>
    <cellStyle name="표준 176 2" xfId="37155"/>
    <cellStyle name="표준 177" xfId="37156"/>
    <cellStyle name="표준 177 2" xfId="37157"/>
    <cellStyle name="표준 178" xfId="37158"/>
    <cellStyle name="표준 178 2" xfId="37159"/>
    <cellStyle name="표준 179" xfId="37160"/>
    <cellStyle name="표준 179 2" xfId="37161"/>
    <cellStyle name="표준 18" xfId="3102"/>
    <cellStyle name="표준 18 2" xfId="3103"/>
    <cellStyle name="표준 18 2 2" xfId="3207"/>
    <cellStyle name="표준 18 2 2 2" xfId="4621"/>
    <cellStyle name="표준 18 2 3" xfId="4522"/>
    <cellStyle name="표준 18 3" xfId="3206"/>
    <cellStyle name="표준 18 3 2" xfId="4620"/>
    <cellStyle name="표준 18 4" xfId="4521"/>
    <cellStyle name="표준 180" xfId="37162"/>
    <cellStyle name="표준 180 2" xfId="37163"/>
    <cellStyle name="표준 181" xfId="37164"/>
    <cellStyle name="표준 181 2" xfId="37165"/>
    <cellStyle name="표준 182" xfId="37166"/>
    <cellStyle name="표준 182 2" xfId="37167"/>
    <cellStyle name="표준 183" xfId="37168"/>
    <cellStyle name="표준 183 2" xfId="37169"/>
    <cellStyle name="표준 184" xfId="37170"/>
    <cellStyle name="표준 184 2" xfId="37171"/>
    <cellStyle name="표준 185" xfId="37172"/>
    <cellStyle name="표준 185 2" xfId="37173"/>
    <cellStyle name="표준 186" xfId="37174"/>
    <cellStyle name="표준 186 2" xfId="37175"/>
    <cellStyle name="표준 187" xfId="37176"/>
    <cellStyle name="표준 187 2" xfId="37177"/>
    <cellStyle name="표준 188" xfId="37178"/>
    <cellStyle name="표준 188 2" xfId="37179"/>
    <cellStyle name="표준 189" xfId="37180"/>
    <cellStyle name="표준 189 2" xfId="37181"/>
    <cellStyle name="표준 19" xfId="3108"/>
    <cellStyle name="표준 19 10" xfId="3419"/>
    <cellStyle name="표준 19 11" xfId="3420"/>
    <cellStyle name="표준 19 12" xfId="3421"/>
    <cellStyle name="표준 19 13" xfId="3422"/>
    <cellStyle name="표준 19 14" xfId="3423"/>
    <cellStyle name="표준 19 15" xfId="3424"/>
    <cellStyle name="표준 19 16" xfId="3425"/>
    <cellStyle name="표준 19 17" xfId="3426"/>
    <cellStyle name="표준 19 18" xfId="3427"/>
    <cellStyle name="표준 19 19" xfId="3428"/>
    <cellStyle name="표준 19 2" xfId="3212"/>
    <cellStyle name="표준 19 2 2" xfId="4626"/>
    <cellStyle name="표준 19 20" xfId="3429"/>
    <cellStyle name="표준 19 21" xfId="3430"/>
    <cellStyle name="표준 19 22" xfId="3431"/>
    <cellStyle name="표준 19 23" xfId="4523"/>
    <cellStyle name="표준 19 3" xfId="3210"/>
    <cellStyle name="표준 19 3 2" xfId="4624"/>
    <cellStyle name="표준 19 4" xfId="3432"/>
    <cellStyle name="표준 19 5" xfId="3433"/>
    <cellStyle name="표준 19 6" xfId="3434"/>
    <cellStyle name="표준 19 7" xfId="3435"/>
    <cellStyle name="표준 19 8" xfId="3436"/>
    <cellStyle name="표준 19 9" xfId="3437"/>
    <cellStyle name="표준 190" xfId="37182"/>
    <cellStyle name="표준 190 2" xfId="37183"/>
    <cellStyle name="표준 191" xfId="37184"/>
    <cellStyle name="표준 191 2" xfId="37185"/>
    <cellStyle name="표준 192" xfId="37186"/>
    <cellStyle name="표준 192 2" xfId="37187"/>
    <cellStyle name="표준 193" xfId="37188"/>
    <cellStyle name="표준 193 2" xfId="37189"/>
    <cellStyle name="표준 194" xfId="37190"/>
    <cellStyle name="표준 194 2" xfId="37191"/>
    <cellStyle name="표준 195" xfId="37192"/>
    <cellStyle name="표준 195 2" xfId="37193"/>
    <cellStyle name="표준 196" xfId="37194"/>
    <cellStyle name="표준 196 2" xfId="37195"/>
    <cellStyle name="표준 197" xfId="37196"/>
    <cellStyle name="표준 197 2" xfId="37197"/>
    <cellStyle name="표준 198" xfId="37198"/>
    <cellStyle name="표준 198 2" xfId="37199"/>
    <cellStyle name="표준 199" xfId="37200"/>
    <cellStyle name="표준 199 2" xfId="37201"/>
    <cellStyle name="표준 2" xfId="494"/>
    <cellStyle name="표준 2 10" xfId="3438"/>
    <cellStyle name="표준 2 10 2" xfId="37202"/>
    <cellStyle name="표준 2 100" xfId="37203"/>
    <cellStyle name="표준 2 101" xfId="37204"/>
    <cellStyle name="표준 2 102" xfId="37205"/>
    <cellStyle name="표준 2 103" xfId="37206"/>
    <cellStyle name="표준 2 104" xfId="37207"/>
    <cellStyle name="표준 2 105" xfId="37208"/>
    <cellStyle name="표준 2 106" xfId="37209"/>
    <cellStyle name="표준 2 107" xfId="37210"/>
    <cellStyle name="표준 2 11" xfId="3439"/>
    <cellStyle name="표준 2 12" xfId="3440"/>
    <cellStyle name="표준 2 13" xfId="3441"/>
    <cellStyle name="표준 2 14" xfId="3442"/>
    <cellStyle name="표준 2 15" xfId="3443"/>
    <cellStyle name="표준 2 16" xfId="3444"/>
    <cellStyle name="표준 2 17" xfId="3445"/>
    <cellStyle name="표준 2 18" xfId="3446"/>
    <cellStyle name="표준 2 19" xfId="3447"/>
    <cellStyle name="표준 2 2" xfId="495"/>
    <cellStyle name="표준 2 2 10" xfId="37211"/>
    <cellStyle name="표준 2 2 11" xfId="37212"/>
    <cellStyle name="표준 2 2 12" xfId="37213"/>
    <cellStyle name="표준 2 2 13" xfId="37214"/>
    <cellStyle name="표준 2 2 14" xfId="37215"/>
    <cellStyle name="표준 2 2 15" xfId="37216"/>
    <cellStyle name="표준 2 2 16" xfId="37217"/>
    <cellStyle name="표준 2 2 17" xfId="37218"/>
    <cellStyle name="표준 2 2 18" xfId="37219"/>
    <cellStyle name="표준 2 2 19" xfId="37220"/>
    <cellStyle name="표준 2 2 2" xfId="532"/>
    <cellStyle name="표준 2 2 2 2" xfId="4406"/>
    <cellStyle name="표준 2 2 2 2 2" xfId="37221"/>
    <cellStyle name="표준 2 2 2 2 2 2" xfId="37222"/>
    <cellStyle name="표준 2 2 2 2 3" xfId="37223"/>
    <cellStyle name="표준 2 2 2 3" xfId="37224"/>
    <cellStyle name="표준 2 2 2 3 2" xfId="37225"/>
    <cellStyle name="표준 2 2 2 4" xfId="37226"/>
    <cellStyle name="표준 2 2 20" xfId="37227"/>
    <cellStyle name="표준 2 2 21" xfId="37228"/>
    <cellStyle name="표준 2 2 22" xfId="37229"/>
    <cellStyle name="표준 2 2 23" xfId="37230"/>
    <cellStyle name="표준 2 2 24" xfId="37231"/>
    <cellStyle name="표준 2 2 25" xfId="37232"/>
    <cellStyle name="표준 2 2 26" xfId="37233"/>
    <cellStyle name="표준 2 2 27" xfId="37234"/>
    <cellStyle name="표준 2 2 28" xfId="37235"/>
    <cellStyle name="표준 2 2 29" xfId="37236"/>
    <cellStyle name="표준 2 2 3" xfId="4407"/>
    <cellStyle name="표준 2 2 3 2" xfId="37237"/>
    <cellStyle name="표준 2 2 3 2 2" xfId="37238"/>
    <cellStyle name="표준 2 2 3 3" xfId="37239"/>
    <cellStyle name="표준 2 2 30" xfId="37240"/>
    <cellStyle name="표준 2 2 31" xfId="37241"/>
    <cellStyle name="표준 2 2 32" xfId="37242"/>
    <cellStyle name="표준 2 2 33" xfId="37243"/>
    <cellStyle name="표준 2 2 34" xfId="37244"/>
    <cellStyle name="표준 2 2 35" xfId="37245"/>
    <cellStyle name="표준 2 2 36" xfId="37246"/>
    <cellStyle name="표준 2 2 37" xfId="37247"/>
    <cellStyle name="표준 2 2 38" xfId="37248"/>
    <cellStyle name="표준 2 2 39" xfId="37249"/>
    <cellStyle name="표준 2 2 4" xfId="4408"/>
    <cellStyle name="표준 2 2 4 2" xfId="37250"/>
    <cellStyle name="표준 2 2 40" xfId="37251"/>
    <cellStyle name="표준 2 2 41" xfId="37252"/>
    <cellStyle name="표준 2 2 42" xfId="37253"/>
    <cellStyle name="표준 2 2 43" xfId="37254"/>
    <cellStyle name="표준 2 2 44" xfId="37255"/>
    <cellStyle name="표준 2 2 45" xfId="37256"/>
    <cellStyle name="표준 2 2 46" xfId="37257"/>
    <cellStyle name="표준 2 2 47" xfId="37258"/>
    <cellStyle name="표준 2 2 48" xfId="37259"/>
    <cellStyle name="표준 2 2 49" xfId="37260"/>
    <cellStyle name="표준 2 2 5" xfId="37261"/>
    <cellStyle name="표준 2 2 50" xfId="37262"/>
    <cellStyle name="표준 2 2 51" xfId="37263"/>
    <cellStyle name="표준 2 2 52" xfId="37264"/>
    <cellStyle name="표준 2 2 53" xfId="37265"/>
    <cellStyle name="표준 2 2 54" xfId="37266"/>
    <cellStyle name="표준 2 2 55" xfId="37267"/>
    <cellStyle name="표준 2 2 56" xfId="37268"/>
    <cellStyle name="표준 2 2 57" xfId="37269"/>
    <cellStyle name="표준 2 2 58" xfId="37270"/>
    <cellStyle name="표준 2 2 59" xfId="37271"/>
    <cellStyle name="표준 2 2 6" xfId="37272"/>
    <cellStyle name="표준 2 2 60" xfId="37273"/>
    <cellStyle name="표준 2 2 7" xfId="37274"/>
    <cellStyle name="표준 2 2 8" xfId="37275"/>
    <cellStyle name="표준 2 2 9" xfId="37276"/>
    <cellStyle name="표준 2 20" xfId="3448"/>
    <cellStyle name="표준 2 21" xfId="3449"/>
    <cellStyle name="표준 2 22" xfId="3450"/>
    <cellStyle name="표준 2 23" xfId="37277"/>
    <cellStyle name="표준 2 24" xfId="37278"/>
    <cellStyle name="표준 2 25" xfId="37279"/>
    <cellStyle name="표준 2 26" xfId="37280"/>
    <cellStyle name="표준 2 27" xfId="37281"/>
    <cellStyle name="표준 2 28" xfId="37282"/>
    <cellStyle name="표준 2 29" xfId="37283"/>
    <cellStyle name="표준 2 3" xfId="496"/>
    <cellStyle name="표준 2 3 2" xfId="4409"/>
    <cellStyle name="표준 2 3 2 2" xfId="37284"/>
    <cellStyle name="표준 2 3 2 2 2" xfId="37285"/>
    <cellStyle name="표준 2 3 2 3" xfId="37286"/>
    <cellStyle name="표준 2 3 3" xfId="37287"/>
    <cellStyle name="표준 2 3 3 2" xfId="37288"/>
    <cellStyle name="표준 2 3 4" xfId="37289"/>
    <cellStyle name="표준 2 3 5" xfId="37290"/>
    <cellStyle name="표준 2 30" xfId="37291"/>
    <cellStyle name="표준 2 31" xfId="37292"/>
    <cellStyle name="표준 2 32" xfId="37293"/>
    <cellStyle name="표준 2 33" xfId="37294"/>
    <cellStyle name="표준 2 34" xfId="37295"/>
    <cellStyle name="표준 2 35" xfId="37296"/>
    <cellStyle name="표준 2 36" xfId="37297"/>
    <cellStyle name="표준 2 37" xfId="37298"/>
    <cellStyle name="표준 2 38" xfId="37299"/>
    <cellStyle name="표준 2 39" xfId="37300"/>
    <cellStyle name="표준 2 4" xfId="497"/>
    <cellStyle name="표준 2 4 2" xfId="37301"/>
    <cellStyle name="표준 2 4 2 2" xfId="37302"/>
    <cellStyle name="표준 2 4 3" xfId="37303"/>
    <cellStyle name="표준 2 40" xfId="37304"/>
    <cellStyle name="표준 2 41" xfId="37305"/>
    <cellStyle name="표준 2 42" xfId="37306"/>
    <cellStyle name="표준 2 43" xfId="37307"/>
    <cellStyle name="표준 2 44" xfId="37308"/>
    <cellStyle name="표준 2 45" xfId="37309"/>
    <cellStyle name="표준 2 46" xfId="37310"/>
    <cellStyle name="표준 2 47" xfId="37311"/>
    <cellStyle name="표준 2 48" xfId="37312"/>
    <cellStyle name="표준 2 49" xfId="37313"/>
    <cellStyle name="표준 2 5" xfId="498"/>
    <cellStyle name="표준 2 5 2" xfId="37314"/>
    <cellStyle name="표준 2 50" xfId="37315"/>
    <cellStyle name="표준 2 51" xfId="37316"/>
    <cellStyle name="표준 2 52" xfId="37317"/>
    <cellStyle name="표준 2 53" xfId="37318"/>
    <cellStyle name="표준 2 54" xfId="37319"/>
    <cellStyle name="표준 2 55" xfId="37320"/>
    <cellStyle name="표준 2 56" xfId="37321"/>
    <cellStyle name="표준 2 57" xfId="37322"/>
    <cellStyle name="표준 2 58" xfId="37323"/>
    <cellStyle name="표준 2 59" xfId="37324"/>
    <cellStyle name="표준 2 6" xfId="533"/>
    <cellStyle name="표준 2 60" xfId="37325"/>
    <cellStyle name="표준 2 61" xfId="37326"/>
    <cellStyle name="표준 2 62" xfId="37327"/>
    <cellStyle name="표준 2 63" xfId="37328"/>
    <cellStyle name="표준 2 64" xfId="37329"/>
    <cellStyle name="표준 2 65" xfId="37330"/>
    <cellStyle name="표준 2 66" xfId="37331"/>
    <cellStyle name="표준 2 67" xfId="37332"/>
    <cellStyle name="표준 2 68" xfId="37333"/>
    <cellStyle name="표준 2 69" xfId="37334"/>
    <cellStyle name="표준 2 7" xfId="3451"/>
    <cellStyle name="표준 2 70" xfId="37335"/>
    <cellStyle name="표준 2 71" xfId="37336"/>
    <cellStyle name="표준 2 72" xfId="37337"/>
    <cellStyle name="표준 2 73" xfId="37338"/>
    <cellStyle name="표준 2 74" xfId="37339"/>
    <cellStyle name="표준 2 75" xfId="37340"/>
    <cellStyle name="표준 2 76" xfId="37341"/>
    <cellStyle name="표준 2 77" xfId="37342"/>
    <cellStyle name="표준 2 78" xfId="37343"/>
    <cellStyle name="표준 2 79" xfId="37344"/>
    <cellStyle name="표준 2 8" xfId="3452"/>
    <cellStyle name="표준 2 80" xfId="37345"/>
    <cellStyle name="표준 2 81" xfId="37346"/>
    <cellStyle name="표준 2 82" xfId="37347"/>
    <cellStyle name="표준 2 83" xfId="37348"/>
    <cellStyle name="표준 2 84" xfId="37349"/>
    <cellStyle name="표준 2 85" xfId="37350"/>
    <cellStyle name="표준 2 86" xfId="37351"/>
    <cellStyle name="표준 2 87" xfId="37352"/>
    <cellStyle name="표준 2 88" xfId="37353"/>
    <cellStyle name="표준 2 89" xfId="37354"/>
    <cellStyle name="표준 2 9" xfId="3453"/>
    <cellStyle name="표준 2 90" xfId="37355"/>
    <cellStyle name="표준 2 91" xfId="37356"/>
    <cellStyle name="표준 2 92" xfId="37357"/>
    <cellStyle name="표준 2 93" xfId="37358"/>
    <cellStyle name="표준 2 94" xfId="37359"/>
    <cellStyle name="표준 2 95" xfId="37360"/>
    <cellStyle name="표준 2 96" xfId="37361"/>
    <cellStyle name="표준 2 97" xfId="37362"/>
    <cellStyle name="표준 2 98" xfId="37363"/>
    <cellStyle name="표준 2 99" xfId="37364"/>
    <cellStyle name="표준 2_(2011년)실적보고(3월15일보고)v110303" xfId="37365"/>
    <cellStyle name="표준 20" xfId="3110"/>
    <cellStyle name="표준 20 2" xfId="3215"/>
    <cellStyle name="표준 20 2 2" xfId="4629"/>
    <cellStyle name="표준 20 3" xfId="3218"/>
    <cellStyle name="표준 20 3 2" xfId="4632"/>
    <cellStyle name="표준 20 4" xfId="4525"/>
    <cellStyle name="표준 200" xfId="37366"/>
    <cellStyle name="표준 200 2" xfId="37367"/>
    <cellStyle name="표준 201" xfId="37368"/>
    <cellStyle name="표준 201 2" xfId="37369"/>
    <cellStyle name="표준 21" xfId="3454"/>
    <cellStyle name="표준 21 2" xfId="37370"/>
    <cellStyle name="표준 21 3" xfId="37371"/>
    <cellStyle name="표준 22" xfId="3455"/>
    <cellStyle name="표준 22 2" xfId="37372"/>
    <cellStyle name="표준 22 3" xfId="37373"/>
    <cellStyle name="표준 23" xfId="5296"/>
    <cellStyle name="표준 23 2" xfId="37374"/>
    <cellStyle name="표준 23 3" xfId="37375"/>
    <cellStyle name="표준 24" xfId="5305"/>
    <cellStyle name="표준 24 2" xfId="37376"/>
    <cellStyle name="표준 24 3" xfId="37377"/>
    <cellStyle name="표준 25" xfId="5307"/>
    <cellStyle name="표준 25 2" xfId="37378"/>
    <cellStyle name="표준 25 3" xfId="37379"/>
    <cellStyle name="표준 25 4" xfId="37380"/>
    <cellStyle name="표준 25 5" xfId="37381"/>
    <cellStyle name="표준 26" xfId="5310"/>
    <cellStyle name="표준 26 2" xfId="37382"/>
    <cellStyle name="표준 26 3" xfId="37383"/>
    <cellStyle name="표준 26 4" xfId="37384"/>
    <cellStyle name="표준 26 5" xfId="37385"/>
    <cellStyle name="표준 27" xfId="5311"/>
    <cellStyle name="표준 27 2" xfId="37386"/>
    <cellStyle name="표준 27 3" xfId="37387"/>
    <cellStyle name="표준 27 4" xfId="37388"/>
    <cellStyle name="표준 28" xfId="5313"/>
    <cellStyle name="표준 28 2" xfId="37389"/>
    <cellStyle name="표준 28 3" xfId="37390"/>
    <cellStyle name="표준 28 4" xfId="37391"/>
    <cellStyle name="표준 29" xfId="5315"/>
    <cellStyle name="표준 29 2" xfId="37392"/>
    <cellStyle name="표준 29 3" xfId="37393"/>
    <cellStyle name="표준 29 4" xfId="37394"/>
    <cellStyle name="표준 3" xfId="9"/>
    <cellStyle name="표준 3 10" xfId="3456"/>
    <cellStyle name="표준 3 11" xfId="3457"/>
    <cellStyle name="표준 3 12" xfId="3458"/>
    <cellStyle name="표준 3 13" xfId="3459"/>
    <cellStyle name="표준 3 14" xfId="3460"/>
    <cellStyle name="표준 3 15" xfId="3461"/>
    <cellStyle name="표준 3 16" xfId="3462"/>
    <cellStyle name="표준 3 17" xfId="3463"/>
    <cellStyle name="표준 3 18" xfId="3464"/>
    <cellStyle name="표준 3 19" xfId="3465"/>
    <cellStyle name="표준 3 2" xfId="518"/>
    <cellStyle name="표준 3 2 2" xfId="4410"/>
    <cellStyle name="표준 3 2 2 2" xfId="37395"/>
    <cellStyle name="표준 3 2 2 2 2" xfId="37396"/>
    <cellStyle name="표준 3 2 2 3" xfId="37397"/>
    <cellStyle name="표준 3 2 3" xfId="37398"/>
    <cellStyle name="표준 3 2 3 2" xfId="37399"/>
    <cellStyle name="표준 3 2 4" xfId="37400"/>
    <cellStyle name="표준 3 2 5" xfId="37401"/>
    <cellStyle name="표준 3 20" xfId="3466"/>
    <cellStyle name="표준 3 21" xfId="3467"/>
    <cellStyle name="표준 3 22" xfId="3468"/>
    <cellStyle name="표준 3 23" xfId="37402"/>
    <cellStyle name="표준 3 24" xfId="37403"/>
    <cellStyle name="표준 3 25" xfId="37404"/>
    <cellStyle name="표준 3 26" xfId="37405"/>
    <cellStyle name="표준 3 27" xfId="37406"/>
    <cellStyle name="표준 3 28" xfId="37407"/>
    <cellStyle name="표준 3 29" xfId="37408"/>
    <cellStyle name="표준 3 3" xfId="523"/>
    <cellStyle name="표준 3 3 2" xfId="37409"/>
    <cellStyle name="표준 3 3 2 2" xfId="37410"/>
    <cellStyle name="표준 3 3 3" xfId="37411"/>
    <cellStyle name="표준 3 30" xfId="37412"/>
    <cellStyle name="표준 3 31" xfId="37413"/>
    <cellStyle name="표준 3 32" xfId="37414"/>
    <cellStyle name="표준 3 33" xfId="37415"/>
    <cellStyle name="표준 3 34" xfId="37416"/>
    <cellStyle name="표준 3 35" xfId="37417"/>
    <cellStyle name="표준 3 36" xfId="37418"/>
    <cellStyle name="표준 3 37" xfId="37419"/>
    <cellStyle name="표준 3 38" xfId="37420"/>
    <cellStyle name="표준 3 39" xfId="37421"/>
    <cellStyle name="표준 3 4" xfId="540"/>
    <cellStyle name="표준 3 4 2" xfId="37422"/>
    <cellStyle name="표준 3 40" xfId="37423"/>
    <cellStyle name="표준 3 41" xfId="37424"/>
    <cellStyle name="표준 3 42" xfId="37425"/>
    <cellStyle name="표준 3 43" xfId="37426"/>
    <cellStyle name="표준 3 44" xfId="37427"/>
    <cellStyle name="표준 3 45" xfId="37428"/>
    <cellStyle name="표준 3 46" xfId="37429"/>
    <cellStyle name="표준 3 47" xfId="37430"/>
    <cellStyle name="표준 3 48" xfId="37431"/>
    <cellStyle name="표준 3 49" xfId="37432"/>
    <cellStyle name="표준 3 5" xfId="602"/>
    <cellStyle name="표준 3 50" xfId="37433"/>
    <cellStyle name="표준 3 51" xfId="37434"/>
    <cellStyle name="표준 3 52" xfId="37435"/>
    <cellStyle name="표준 3 53" xfId="37436"/>
    <cellStyle name="표준 3 54" xfId="37437"/>
    <cellStyle name="표준 3 55" xfId="37438"/>
    <cellStyle name="표준 3 56" xfId="37439"/>
    <cellStyle name="표준 3 57" xfId="37440"/>
    <cellStyle name="표준 3 6" xfId="3469"/>
    <cellStyle name="표준 3 7" xfId="3470"/>
    <cellStyle name="표준 3 8" xfId="3471"/>
    <cellStyle name="표준 3 9" xfId="3472"/>
    <cellStyle name="표준 3_Book2" xfId="37441"/>
    <cellStyle name="표준 30" xfId="5318"/>
    <cellStyle name="표준 30 2" xfId="37442"/>
    <cellStyle name="표준 30 3" xfId="37443"/>
    <cellStyle name="표준 30 4" xfId="37444"/>
    <cellStyle name="표준 31" xfId="37445"/>
    <cellStyle name="표준 31 2" xfId="37446"/>
    <cellStyle name="표준 31 3" xfId="37447"/>
    <cellStyle name="표준 32" xfId="37448"/>
    <cellStyle name="표준 32 2" xfId="37449"/>
    <cellStyle name="표준 32 3" xfId="37450"/>
    <cellStyle name="표준 33" xfId="37451"/>
    <cellStyle name="표준 33 2" xfId="37452"/>
    <cellStyle name="표준 33 3" xfId="37453"/>
    <cellStyle name="표준 34" xfId="37454"/>
    <cellStyle name="표준 34 2" xfId="37455"/>
    <cellStyle name="표준 34 3" xfId="37456"/>
    <cellStyle name="표준 35" xfId="37457"/>
    <cellStyle name="표준 35 2" xfId="37458"/>
    <cellStyle name="표준 36" xfId="37459"/>
    <cellStyle name="표준 36 2" xfId="37460"/>
    <cellStyle name="표준 37" xfId="37461"/>
    <cellStyle name="표준 37 2" xfId="37462"/>
    <cellStyle name="표준 37 3" xfId="37463"/>
    <cellStyle name="표준 38" xfId="37464"/>
    <cellStyle name="표준 38 2" xfId="37465"/>
    <cellStyle name="표준 39" xfId="37466"/>
    <cellStyle name="표준 39 2" xfId="37467"/>
    <cellStyle name="표준 39 3" xfId="37468"/>
    <cellStyle name="표준 4" xfId="499"/>
    <cellStyle name="표준 4 10" xfId="3473"/>
    <cellStyle name="표준 4 11" xfId="3474"/>
    <cellStyle name="표준 4 12" xfId="3475"/>
    <cellStyle name="표준 4 13" xfId="3476"/>
    <cellStyle name="표준 4 14" xfId="3477"/>
    <cellStyle name="표준 4 15" xfId="3478"/>
    <cellStyle name="표준 4 16" xfId="3479"/>
    <cellStyle name="표준 4 17" xfId="3480"/>
    <cellStyle name="표준 4 18" xfId="3481"/>
    <cellStyle name="표준 4 19" xfId="3482"/>
    <cellStyle name="표준 4 2" xfId="500"/>
    <cellStyle name="표준 4 2 2" xfId="37469"/>
    <cellStyle name="표준 4 2 2 2" xfId="37470"/>
    <cellStyle name="표준 4 2 2 3" xfId="37471"/>
    <cellStyle name="표준 4 2 3" xfId="37472"/>
    <cellStyle name="표준 4 2 3 2" xfId="37473"/>
    <cellStyle name="표준 4 2 4" xfId="37474"/>
    <cellStyle name="표준 4 20" xfId="3483"/>
    <cellStyle name="표준 4 21" xfId="3484"/>
    <cellStyle name="표준 4 22" xfId="3485"/>
    <cellStyle name="표준 4 23" xfId="4417"/>
    <cellStyle name="표준 4 24" xfId="37475"/>
    <cellStyle name="표준 4 25" xfId="37476"/>
    <cellStyle name="표준 4 26" xfId="37477"/>
    <cellStyle name="표준 4 27" xfId="37478"/>
    <cellStyle name="표준 4 28" xfId="37479"/>
    <cellStyle name="표준 4 29" xfId="37480"/>
    <cellStyle name="표준 4 3" xfId="521"/>
    <cellStyle name="표준 4 3 2" xfId="582"/>
    <cellStyle name="표준 4 3 2 2" xfId="3180"/>
    <cellStyle name="표준 4 3 2 2 2" xfId="3914"/>
    <cellStyle name="표준 4 3 2 2 2 2" xfId="4982"/>
    <cellStyle name="표준 4 3 2 2 3" xfId="4594"/>
    <cellStyle name="표준 4 3 2 3" xfId="3915"/>
    <cellStyle name="표준 4 3 2 3 2" xfId="4983"/>
    <cellStyle name="표준 4 3 2 4" xfId="4437"/>
    <cellStyle name="표준 4 3 3" xfId="3132"/>
    <cellStyle name="표준 4 3 3 2" xfId="3916"/>
    <cellStyle name="표준 4 3 3 2 2" xfId="4984"/>
    <cellStyle name="표준 4 3 3 3" xfId="4547"/>
    <cellStyle name="표준 4 3 4" xfId="3917"/>
    <cellStyle name="표준 4 3 4 2" xfId="4985"/>
    <cellStyle name="표준 4 3 5" xfId="4422"/>
    <cellStyle name="표준 4 30" xfId="37481"/>
    <cellStyle name="표준 4 31" xfId="37482"/>
    <cellStyle name="표준 4 32" xfId="37483"/>
    <cellStyle name="표준 4 33" xfId="37484"/>
    <cellStyle name="표준 4 34" xfId="37485"/>
    <cellStyle name="표준 4 35" xfId="37486"/>
    <cellStyle name="표준 4 36" xfId="37487"/>
    <cellStyle name="표준 4 37" xfId="37488"/>
    <cellStyle name="표준 4 38" xfId="37489"/>
    <cellStyle name="표준 4 39" xfId="37490"/>
    <cellStyle name="표준 4 4" xfId="537"/>
    <cellStyle name="표준 4 4 2" xfId="37491"/>
    <cellStyle name="표준 4 40" xfId="37492"/>
    <cellStyle name="표준 4 41" xfId="37493"/>
    <cellStyle name="표준 4 42" xfId="37494"/>
    <cellStyle name="표준 4 43" xfId="37495"/>
    <cellStyle name="표준 4 44" xfId="37496"/>
    <cellStyle name="표준 4 45" xfId="37497"/>
    <cellStyle name="표준 4 46" xfId="37498"/>
    <cellStyle name="표준 4 47" xfId="37499"/>
    <cellStyle name="표준 4 48" xfId="37500"/>
    <cellStyle name="표준 4 49" xfId="37501"/>
    <cellStyle name="표준 4 5" xfId="573"/>
    <cellStyle name="표준 4 5 2" xfId="3171"/>
    <cellStyle name="표준 4 5 2 2" xfId="3918"/>
    <cellStyle name="표준 4 5 2 2 2" xfId="4986"/>
    <cellStyle name="표준 4 5 2 3" xfId="4585"/>
    <cellStyle name="표준 4 5 3" xfId="3919"/>
    <cellStyle name="표준 4 5 3 2" xfId="4987"/>
    <cellStyle name="표준 4 5 4" xfId="4432"/>
    <cellStyle name="표준 4 50" xfId="37502"/>
    <cellStyle name="표준 4 51" xfId="37503"/>
    <cellStyle name="표준 4 52" xfId="37504"/>
    <cellStyle name="표준 4 53" xfId="37505"/>
    <cellStyle name="표준 4 54" xfId="37506"/>
    <cellStyle name="표준 4 55" xfId="37507"/>
    <cellStyle name="표준 4 56" xfId="37508"/>
    <cellStyle name="표준 4 57" xfId="37509"/>
    <cellStyle name="표준 4 6" xfId="3123"/>
    <cellStyle name="표준 4 6 2" xfId="3920"/>
    <cellStyle name="표준 4 6 2 2" xfId="4988"/>
    <cellStyle name="표준 4 6 3" xfId="4538"/>
    <cellStyle name="표준 4 7" xfId="3486"/>
    <cellStyle name="표준 4 8" xfId="3487"/>
    <cellStyle name="표준 4 9" xfId="3488"/>
    <cellStyle name="표준 4_2007년-일일업무보고-인사기획팀(1)" xfId="37510"/>
    <cellStyle name="표준 40" xfId="3112"/>
    <cellStyle name="표준 40 2" xfId="4527"/>
    <cellStyle name="표준 41" xfId="37511"/>
    <cellStyle name="표준 41 2" xfId="37512"/>
    <cellStyle name="표준 41 3" xfId="37513"/>
    <cellStyle name="표준 42" xfId="37514"/>
    <cellStyle name="표준 42 2" xfId="37515"/>
    <cellStyle name="표준 43" xfId="37516"/>
    <cellStyle name="표준 43 2" xfId="37517"/>
    <cellStyle name="표준 43 3" xfId="37518"/>
    <cellStyle name="표준 44" xfId="37519"/>
    <cellStyle name="표준 44 2" xfId="37520"/>
    <cellStyle name="표준 45" xfId="37521"/>
    <cellStyle name="표준 45 2" xfId="37522"/>
    <cellStyle name="표준 45 3" xfId="37523"/>
    <cellStyle name="표준 46" xfId="37524"/>
    <cellStyle name="표준 46 2" xfId="37525"/>
    <cellStyle name="표준 46 3" xfId="37526"/>
    <cellStyle name="표준 47" xfId="37527"/>
    <cellStyle name="표준 47 2" xfId="37528"/>
    <cellStyle name="표준 47 3" xfId="37529"/>
    <cellStyle name="표준 48" xfId="37530"/>
    <cellStyle name="표준 48 2" xfId="37531"/>
    <cellStyle name="표준 48 3" xfId="37532"/>
    <cellStyle name="표준 49" xfId="37533"/>
    <cellStyle name="표준 49 2" xfId="37534"/>
    <cellStyle name="표준 5" xfId="501"/>
    <cellStyle name="표준 5 10" xfId="3489"/>
    <cellStyle name="표준 5 11" xfId="3490"/>
    <cellStyle name="표준 5 12" xfId="3491"/>
    <cellStyle name="표준 5 13" xfId="3492"/>
    <cellStyle name="표준 5 14" xfId="3493"/>
    <cellStyle name="표준 5 15" xfId="3494"/>
    <cellStyle name="표준 5 16" xfId="3495"/>
    <cellStyle name="표준 5 17" xfId="3496"/>
    <cellStyle name="표준 5 18" xfId="3497"/>
    <cellStyle name="표준 5 19" xfId="3498"/>
    <cellStyle name="표준 5 2" xfId="707"/>
    <cellStyle name="표준 5 2 2" xfId="3198"/>
    <cellStyle name="표준 5 2 2 2" xfId="4612"/>
    <cellStyle name="표준 5 2 3" xfId="4455"/>
    <cellStyle name="표준 5 20" xfId="3499"/>
    <cellStyle name="표준 5 21" xfId="3500"/>
    <cellStyle name="표준 5 22" xfId="3501"/>
    <cellStyle name="표준 5 23" xfId="37535"/>
    <cellStyle name="표준 5 24" xfId="37536"/>
    <cellStyle name="표준 5 25" xfId="37537"/>
    <cellStyle name="표준 5 26" xfId="37538"/>
    <cellStyle name="표준 5 27" xfId="37539"/>
    <cellStyle name="표준 5 28" xfId="37540"/>
    <cellStyle name="표준 5 29" xfId="37541"/>
    <cellStyle name="표준 5 3" xfId="3222"/>
    <cellStyle name="표준 5 3 2" xfId="37542"/>
    <cellStyle name="표준 5 3 3" xfId="37543"/>
    <cellStyle name="표준 5 30" xfId="37544"/>
    <cellStyle name="표준 5 31" xfId="37545"/>
    <cellStyle name="표준 5 32" xfId="37546"/>
    <cellStyle name="표준 5 33" xfId="37547"/>
    <cellStyle name="표준 5 34" xfId="37548"/>
    <cellStyle name="표준 5 35" xfId="37549"/>
    <cellStyle name="표준 5 36" xfId="37550"/>
    <cellStyle name="표준 5 37" xfId="37551"/>
    <cellStyle name="표준 5 38" xfId="37552"/>
    <cellStyle name="표준 5 39" xfId="37553"/>
    <cellStyle name="표준 5 4" xfId="3502"/>
    <cellStyle name="표준 5 40" xfId="37554"/>
    <cellStyle name="표준 5 41" xfId="37555"/>
    <cellStyle name="표준 5 42" xfId="37556"/>
    <cellStyle name="표준 5 43" xfId="37557"/>
    <cellStyle name="표준 5 44" xfId="37558"/>
    <cellStyle name="표준 5 45" xfId="37559"/>
    <cellStyle name="표준 5 46" xfId="37560"/>
    <cellStyle name="표준 5 47" xfId="37561"/>
    <cellStyle name="표준 5 48" xfId="37562"/>
    <cellStyle name="표준 5 49" xfId="37563"/>
    <cellStyle name="표준 5 5" xfId="3503"/>
    <cellStyle name="표준 5 50" xfId="37564"/>
    <cellStyle name="표준 5 51" xfId="37565"/>
    <cellStyle name="표준 5 52" xfId="37566"/>
    <cellStyle name="표준 5 53" xfId="37567"/>
    <cellStyle name="표준 5 54" xfId="37568"/>
    <cellStyle name="표준 5 6" xfId="3504"/>
    <cellStyle name="표준 5 7" xfId="3505"/>
    <cellStyle name="표준 5 8" xfId="3506"/>
    <cellStyle name="표준 5 9" xfId="3507"/>
    <cellStyle name="표준 50" xfId="37569"/>
    <cellStyle name="표준 50 2" xfId="37570"/>
    <cellStyle name="표준 50 3" xfId="37571"/>
    <cellStyle name="표준 51" xfId="37572"/>
    <cellStyle name="표준 51 2" xfId="37573"/>
    <cellStyle name="표준 52" xfId="37574"/>
    <cellStyle name="표준 52 2" xfId="37575"/>
    <cellStyle name="표준 53" xfId="37576"/>
    <cellStyle name="표준 53 2" xfId="37577"/>
    <cellStyle name="표준 54" xfId="37578"/>
    <cellStyle name="표준 54 2" xfId="37579"/>
    <cellStyle name="표준 55" xfId="37580"/>
    <cellStyle name="표준 55 2" xfId="37581"/>
    <cellStyle name="표준 56" xfId="37582"/>
    <cellStyle name="표준 56 2" xfId="37583"/>
    <cellStyle name="표준 57" xfId="37584"/>
    <cellStyle name="표준 57 2" xfId="37585"/>
    <cellStyle name="표준 58" xfId="37586"/>
    <cellStyle name="표준 58 2" xfId="37587"/>
    <cellStyle name="표준 59" xfId="37588"/>
    <cellStyle name="표준 59 2" xfId="37589"/>
    <cellStyle name="표준 6" xfId="502"/>
    <cellStyle name="표준 6 10" xfId="3508"/>
    <cellStyle name="표준 6 11" xfId="3509"/>
    <cellStyle name="표준 6 12" xfId="3510"/>
    <cellStyle name="표준 6 13" xfId="3511"/>
    <cellStyle name="표준 6 14" xfId="3512"/>
    <cellStyle name="표준 6 15" xfId="3513"/>
    <cellStyle name="표준 6 16" xfId="3514"/>
    <cellStyle name="표준 6 17" xfId="3515"/>
    <cellStyle name="표준 6 18" xfId="3516"/>
    <cellStyle name="표준 6 19" xfId="3517"/>
    <cellStyle name="표준 6 2" xfId="543"/>
    <cellStyle name="표준 6 2 2" xfId="37590"/>
    <cellStyle name="표준 6 20" xfId="3518"/>
    <cellStyle name="표준 6 21" xfId="3519"/>
    <cellStyle name="표준 6 22" xfId="3520"/>
    <cellStyle name="표준 6 3" xfId="3521"/>
    <cellStyle name="표준 6 3 2" xfId="37591"/>
    <cellStyle name="표준 6 4" xfId="3522"/>
    <cellStyle name="표준 6 5" xfId="3523"/>
    <cellStyle name="표준 6 6" xfId="3524"/>
    <cellStyle name="표준 6 7" xfId="3525"/>
    <cellStyle name="표준 6 8" xfId="3526"/>
    <cellStyle name="표준 6 9" xfId="3527"/>
    <cellStyle name="표준 60" xfId="37592"/>
    <cellStyle name="표준 60 2" xfId="37593"/>
    <cellStyle name="표준 61 2" xfId="37594"/>
    <cellStyle name="표준 62" xfId="37595"/>
    <cellStyle name="표준 62 2" xfId="37596"/>
    <cellStyle name="표준 63" xfId="37597"/>
    <cellStyle name="표준 63 2" xfId="37598"/>
    <cellStyle name="표준 64" xfId="37599"/>
    <cellStyle name="표준 64 2" xfId="37600"/>
    <cellStyle name="표준 64 3" xfId="37601"/>
    <cellStyle name="표준 65" xfId="37602"/>
    <cellStyle name="표준 65 2" xfId="37603"/>
    <cellStyle name="표준 66 2" xfId="37604"/>
    <cellStyle name="표준 67" xfId="37605"/>
    <cellStyle name="표준 67 2" xfId="37606"/>
    <cellStyle name="표준 68" xfId="37607"/>
    <cellStyle name="표준 68 2" xfId="37608"/>
    <cellStyle name="표준 69" xfId="37609"/>
    <cellStyle name="표준 69 2" xfId="37610"/>
    <cellStyle name="표준 7" xfId="503"/>
    <cellStyle name="표준 7 2" xfId="541"/>
    <cellStyle name="표준 7 2 2" xfId="4411"/>
    <cellStyle name="표준 7 3" xfId="4412"/>
    <cellStyle name="표준 7 3 2" xfId="37611"/>
    <cellStyle name="표준 7 4" xfId="37612"/>
    <cellStyle name="표준 70" xfId="37613"/>
    <cellStyle name="표준 70 2" xfId="37614"/>
    <cellStyle name="표준 71" xfId="37615"/>
    <cellStyle name="표준 71 2" xfId="37616"/>
    <cellStyle name="표준 72" xfId="37617"/>
    <cellStyle name="표준 72 2" xfId="37618"/>
    <cellStyle name="표준 73" xfId="37619"/>
    <cellStyle name="표준 73 2" xfId="37620"/>
    <cellStyle name="표준 74" xfId="37621"/>
    <cellStyle name="표준 74 2" xfId="37622"/>
    <cellStyle name="표준 75 2" xfId="37623"/>
    <cellStyle name="표준 76" xfId="37624"/>
    <cellStyle name="표준 76 2" xfId="37625"/>
    <cellStyle name="표준 77" xfId="37626"/>
    <cellStyle name="표준 77 2" xfId="37627"/>
    <cellStyle name="표준 78" xfId="37628"/>
    <cellStyle name="표준 78 2" xfId="37629"/>
    <cellStyle name="표준 79" xfId="37630"/>
    <cellStyle name="표준 79 2" xfId="37631"/>
    <cellStyle name="표준 8" xfId="504"/>
    <cellStyle name="표준 8 10" xfId="3528"/>
    <cellStyle name="표준 8 11" xfId="3529"/>
    <cellStyle name="표준 8 12" xfId="3530"/>
    <cellStyle name="표준 8 13" xfId="3531"/>
    <cellStyle name="표준 8 14" xfId="3532"/>
    <cellStyle name="표준 8 15" xfId="3533"/>
    <cellStyle name="표준 8 16" xfId="3534"/>
    <cellStyle name="표준 8 17" xfId="3535"/>
    <cellStyle name="표준 8 18" xfId="3536"/>
    <cellStyle name="표준 8 19" xfId="3537"/>
    <cellStyle name="표준 8 2" xfId="542"/>
    <cellStyle name="표준 8 20" xfId="3538"/>
    <cellStyle name="표준 8 21" xfId="3539"/>
    <cellStyle name="표준 8 22" xfId="3540"/>
    <cellStyle name="표준 8 3" xfId="705"/>
    <cellStyle name="표준 8 4" xfId="3541"/>
    <cellStyle name="표준 8 5" xfId="3542"/>
    <cellStyle name="표준 8 6" xfId="3543"/>
    <cellStyle name="표준 8 7" xfId="3544"/>
    <cellStyle name="표준 8 8" xfId="3545"/>
    <cellStyle name="표준 8 9" xfId="3546"/>
    <cellStyle name="표준 8_Book2" xfId="37632"/>
    <cellStyle name="표준 80" xfId="37633"/>
    <cellStyle name="표준 80 2" xfId="37634"/>
    <cellStyle name="표준 81" xfId="37635"/>
    <cellStyle name="표준 81 2" xfId="37636"/>
    <cellStyle name="표준 82" xfId="37637"/>
    <cellStyle name="표준 82 2" xfId="37638"/>
    <cellStyle name="표준 83" xfId="37639"/>
    <cellStyle name="표준 83 2" xfId="37640"/>
    <cellStyle name="표준 84" xfId="37641"/>
    <cellStyle name="표준 84 2" xfId="37642"/>
    <cellStyle name="표준 85" xfId="37643"/>
    <cellStyle name="표준 85 2" xfId="37644"/>
    <cellStyle name="표준 86" xfId="37645"/>
    <cellStyle name="표준 86 2" xfId="37646"/>
    <cellStyle name="표준 87" xfId="37647"/>
    <cellStyle name="표준 87 2" xfId="37648"/>
    <cellStyle name="표준 88" xfId="37649"/>
    <cellStyle name="표준 88 2" xfId="37650"/>
    <cellStyle name="표준 89 2" xfId="37651"/>
    <cellStyle name="표준 9" xfId="508"/>
    <cellStyle name="표준 9 10" xfId="3547"/>
    <cellStyle name="표준 9 11" xfId="3548"/>
    <cellStyle name="표준 9 12" xfId="3549"/>
    <cellStyle name="표준 9 13" xfId="3550"/>
    <cellStyle name="표준 9 14" xfId="3551"/>
    <cellStyle name="표준 9 15" xfId="3552"/>
    <cellStyle name="표준 9 16" xfId="3553"/>
    <cellStyle name="표준 9 17" xfId="3554"/>
    <cellStyle name="표준 9 18" xfId="3555"/>
    <cellStyle name="표준 9 19" xfId="3556"/>
    <cellStyle name="표준 9 2" xfId="511"/>
    <cellStyle name="표준 9 2 2" xfId="4413"/>
    <cellStyle name="표준 9 20" xfId="3557"/>
    <cellStyle name="표준 9 21" xfId="3558"/>
    <cellStyle name="표준 9 22" xfId="3559"/>
    <cellStyle name="표준 9 23" xfId="4418"/>
    <cellStyle name="표준 9 3" xfId="574"/>
    <cellStyle name="표준 9 3 2" xfId="3172"/>
    <cellStyle name="표준 9 3 2 2" xfId="3921"/>
    <cellStyle name="표준 9 3 2 2 2" xfId="4989"/>
    <cellStyle name="표준 9 3 2 3" xfId="4586"/>
    <cellStyle name="표준 9 3 3" xfId="3922"/>
    <cellStyle name="표준 9 3 3 2" xfId="4990"/>
    <cellStyle name="표준 9 3 4" xfId="4433"/>
    <cellStyle name="표준 9 4" xfId="706"/>
    <cellStyle name="표준 9 5" xfId="3124"/>
    <cellStyle name="표준 9 5 2" xfId="4539"/>
    <cellStyle name="표준 9 6" xfId="3560"/>
    <cellStyle name="표준 9 7" xfId="3561"/>
    <cellStyle name="표준 9 8" xfId="3562"/>
    <cellStyle name="표준 9 9" xfId="3563"/>
    <cellStyle name="표준 90" xfId="37652"/>
    <cellStyle name="표준 90 2" xfId="37653"/>
    <cellStyle name="표준 90 2 2" xfId="37654"/>
    <cellStyle name="표준 90 3" xfId="37655"/>
    <cellStyle name="표준 91" xfId="37656"/>
    <cellStyle name="표준 91 2" xfId="37657"/>
    <cellStyle name="표준 92" xfId="37658"/>
    <cellStyle name="표준 92 2" xfId="37659"/>
    <cellStyle name="표준 92 2 2" xfId="37660"/>
    <cellStyle name="표준 92 3" xfId="37661"/>
    <cellStyle name="표준 93" xfId="37662"/>
    <cellStyle name="표준 93 2" xfId="37663"/>
    <cellStyle name="표준 94" xfId="37664"/>
    <cellStyle name="표준 94 2" xfId="37665"/>
    <cellStyle name="표준 95" xfId="37666"/>
    <cellStyle name="표준 95 2" xfId="37667"/>
    <cellStyle name="표준 96" xfId="37668"/>
    <cellStyle name="표준 96 2" xfId="37669"/>
    <cellStyle name="표준 96 2 2" xfId="37670"/>
    <cellStyle name="표준 96 3" xfId="37671"/>
    <cellStyle name="표준 97" xfId="37672"/>
    <cellStyle name="표준 97 2" xfId="37673"/>
    <cellStyle name="표준 97 2 2" xfId="37674"/>
    <cellStyle name="표준 98" xfId="37675"/>
    <cellStyle name="표준 98 2" xfId="37676"/>
    <cellStyle name="표준 99 2" xfId="37677"/>
    <cellStyle name="標準_03.1-6honsyamejyuru" xfId="37678"/>
    <cellStyle name="표준_수지분석표" xfId="10"/>
    <cellStyle name="표준△서식_NASIGN1" xfId="37679"/>
    <cellStyle name="표준1" xfId="3104"/>
    <cellStyle name="표준2" xfId="37680"/>
    <cellStyle name="표준2 2" xfId="37681"/>
    <cellStyle name="표준2 3" xfId="37682"/>
    <cellStyle name="표준℘Sheet8 (3)" xfId="37683"/>
    <cellStyle name="표준날짜" xfId="37684"/>
    <cellStyle name="표준숫자" xfId="37685"/>
    <cellStyle name="프로젝트개발UNIT" xfId="37686"/>
    <cellStyle name="하이퍼링크 2" xfId="3105"/>
    <cellStyle name="하이퍼링크 2 2" xfId="37687"/>
    <cellStyle name="하이퍼링크 3" xfId="37688"/>
    <cellStyle name="하이퍼링크 3 2" xfId="37689"/>
    <cellStyle name="하이퍼링크 4" xfId="37690"/>
    <cellStyle name="하이퍼링크 5" xfId="37691"/>
    <cellStyle name="합산" xfId="505"/>
    <cellStyle name="합산 2" xfId="37692"/>
    <cellStyle name="합산 3" xfId="37693"/>
    <cellStyle name="貨幣 [0]_CFB617" xfId="37694"/>
    <cellStyle name="貨幣[0]_Dialog2" xfId="37695"/>
    <cellStyle name="貨幣_CFB617" xfId="37696"/>
    <cellStyle name="화폐기호" xfId="506"/>
    <cellStyle name="화폐기호 2" xfId="702"/>
    <cellStyle name="화폐기호 3" xfId="4414"/>
    <cellStyle name="화폐기호0" xfId="507"/>
    <cellStyle name="화폐기호0 2" xfId="703"/>
    <cellStyle name="화폐기호0 3" xfId="4415"/>
    <cellStyle name="회색테두리" xfId="37697"/>
    <cellStyle name="회색테두리 2" xfId="37698"/>
    <cellStyle name="ㅣ" xfId="3106"/>
    <cellStyle name="ㅣ 2" xfId="3107"/>
    <cellStyle name="ㅣ 2 2" xfId="3209"/>
    <cellStyle name="ㅣ 2 2 2" xfId="4623"/>
    <cellStyle name="ㅣ 3" xfId="3208"/>
    <cellStyle name="ㅣ 3 2" xfId="462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styles" Target="style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sharedStrings" Target="sharedStrings.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theme" Target="theme/theme1.xml"/><Relationship Id="rId81"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54889;&#49457;&#54872;\shareddocs\060613%20&#54924;&#51109;&#48372;&#44256;\1&#54620;&#50577;&#44060;&#48156;\&#49324;&#50629;&#44160;&#53664;\&#49324;&#50629;&#44160;&#53664;&#51473;\&#44053;&#46041;&#44396;%20&#52380;&#54840;&#46041;%20&#51452;&#49345;&#48373;&#54633;\My%20Documents\12&#51088;&#44552;&#49688;&#51648;\2001&#51088;&#44552;\5&#50900;\&#51076;&#50896;&#54924;&#51032;\&#50629;&#47924;&#48372;&#44256;\1123\My%20Documents\&#51076;&#50896;&#54924;&#51032;\&#50629;&#47924;&#48372;&#44256;\&#51452;&#44036;09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44204;&#51201;&#49892;\&#44592;&#53440;\&#44060;&#51064;\4.&#45824;&#47532;\&#51060;&#51116;&#44592;\&#51068;&#48152;-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50504;&#50577;2.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hanvit_rl_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51068;&#48152;CF.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wn\ASSET\2004.07.20\&#49688;&#51648;&#48516;&#49437;_&#50689;&#53685;&#46041;%20958-3%20(kapln10720)&#49688;&#49888;&#44060;&#5083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IIIIIIIIIIIIIIIIKamco_abs\Template\&#49688;&#51221;Template\&#52380;&#44305;&#49328;&#50629;(&#5145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4889;&#49457;&#54872;\shareddocs\060613%20&#54924;&#51109;&#48372;&#44256;\1&#54620;&#50577;&#44060;&#48156;\&#49324;&#50629;&#44160;&#53664;\&#49324;&#50629;&#44160;&#53664;&#51473;\&#44053;&#46041;&#44396;%20&#52380;&#54840;&#46041;%20&#51452;&#49345;&#48373;&#54633;\My%20Documents\&#48155;&#45716;&#54632;\My%20Documents\&#51076;&#50896;&#54924;&#51032;\&#50629;&#47924;&#48372;&#44256;\1123\My%20Documents\&#51076;&#50896;&#54924;&#51032;\&#50629;&#47924;&#48372;&#44256;\MyDocuments\8W-1231(kun).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48372;&#44256;&#51221;&#47532;&#44228;&#54925;&#51064;&#4403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sers\&#44608;&#50864;&#51473;\Documents\&#47560;&#47532;&#45208;&#48288;&#51060;&#44277;&#4459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44277;&#50976;\&#49352;%20&#54260;&#45908;\&#49457;&#50629;&#44277;&#49324;-&#49688;&#51221;\&#50864;&#49457;&#47784;&#5164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50668;&#51061;&#49340;\&#44277;&#50976;%20&#47928;&#49436;\Documents%20and%20Settings\Administrator\&#48148;&#53461;%20&#54868;&#47732;\combo_li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51068;&#48152;&#44221;&#475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4889;&#49457;&#54872;\shareddocs\060613%20&#54924;&#51109;&#48372;&#44256;\1&#54620;&#50577;&#44060;&#48156;\&#49324;&#50629;&#44160;&#53664;\&#49324;&#50629;&#44160;&#53664;&#51473;\&#44053;&#46041;&#44396;%20&#52380;&#54840;&#46041;%20&#51452;&#49345;&#48373;&#54633;\My%20Documents\&#48155;&#45716;&#54632;\My%20Documents\&#51076;&#50896;&#54924;&#51032;\&#50629;&#47924;&#48372;&#44256;\1123\My%20Documents\&#51076;&#50896;&#54924;&#51032;\&#50629;&#47924;&#48372;&#44256;\&#51452;&#44036;091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WORKSHO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WINDOWS\&#48148;&#53461;%20&#54868;&#47732;\&#49340;&#50577;&#49324;\&#47784;&#45944;&#51216;&#44160;\My%20Documents\&#49888;&#46041;&#48169;\SoybeanSDB.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My%20Documents\FAS\3.M&amp;A\&#49340;&#50577;&#49324;\SoybeanSDB_4&#51032;%20&#48177;&#50629;.xlk"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4608;&#51116;&#51473;\MY%20DOCUMENTS\ahjkim\&#51109;&#44592;&#44228;&#54925;\&#50857;&#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notesm2.doosanheavy.com/mail5/h112615.nsf/($webinbox)/DD0AB4AD18285FE649256C480023257A/$FILE/_226us64e7s0g13htg270ce4dvtck13gum270rs4dsuo8s390hnr42ibjodhpg_/&#50900;&#52264;&#44208;&#49328;/9604&#50900;&#5226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SOC\BTL\&#54616;&#49688;&#44288;&#44144;\&#54861;&#52380;&#54616;&#49688;&#44288;&#44144;\&#51116;&#47924;&#47784;&#45944;\(&#44032;&#52845;)&#54861;&#52380;%20&#50640;&#53076;&#46972;&#51064;(&#51452;)_&#51116;&#47924;&#47784;&#4594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44608;&#51116;&#51473;\MY%20DOCUMENTS\ahjkim\&#44592;&#53440;&#51088;&#47308;\&#45824;&#50808;&#44277;&#47928;.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54620;&#48731;2&#52264;&#49688;&#51221;cas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44204;&#51201;&#49892;\&#44592;&#53440;\&#44060;&#51064;\4.&#45824;&#47532;\&#51060;&#49457;&#54616;\FILE\&#44277;&#53685;&#48708;F\&#45432;&#50516;&#44277;&#5368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49688;&#47785;&#51068;&#50948;.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6&#54840;&#44592;"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4889;&#49457;&#54872;\shareddocs\060613%20&#54924;&#51109;&#48372;&#44256;\Documents%20and%20Settings\All%20Users\Documents\My%20Documents\&#51076;&#50896;&#54924;&#51032;\&#50629;&#47924;&#48372;&#44256;\1123\My%20Documents\&#51076;&#50896;&#54924;&#51032;\&#50629;&#47924;&#48372;&#44256;\MyDocuments\8W-1231(ku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54889;&#49457;&#54872;\shareddocs\060613%20&#54924;&#51109;&#48372;&#44256;\1&#54620;&#50577;&#44060;&#48156;\&#49324;&#50629;&#44160;&#53664;\&#49324;&#50629;&#44160;&#53664;&#51473;\&#44053;&#46041;&#44396;%20&#52380;&#54840;&#46041;%20&#51452;&#49345;&#48373;&#54633;\My%20Documents\&#51076;&#50896;&#54924;&#51032;\&#50629;&#47924;&#48372;&#44256;\1123\My%20Documents\&#51076;&#50896;&#54924;&#51032;\&#50629;&#47924;&#48372;&#44256;\&#51452;&#44036;091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server\MIS\&#51452;&#51064;&#51109;\&#48372;&#44256;\&#53664;&#51648;\&#53664;&#51648;&#47588;&#51077;.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1060;&#49345;&#54980;\&#44277;&#50976;&#48169;\&#44592;&#53440;&#50577;&#49885;\&#52509;&#44292;&#45824;&#50668;&#44552;&#54788;&#54889;.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Documents%20and%20Settings\HOME\Application%20Data\Microsoft\Excel\&#44228;&#47329;&#49884;%20&#51076;&#45824;&#50500;&#54028;&#53944;%20&#49324;&#50629;&#44160;&#53664;&#4943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Users\&#44608;&#50864;&#51473;\AppData\Local\Microsoft\Windows\Temporary%20Internet%20Files\Content.IE5\Q602R040\2015&#45380;%20&#50976;&#50532;&#50500;&#51060;&#54848;&#46377;&#49828;(&#51452;)%20&#51068;&#44228;&#54364;(2015&#45380;%20&#45236;&#50669;&#51221;&#4753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My%20Documents\&#44221;&#485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0668;&#51061;&#49340;\&#44277;&#50976;%20&#47928;&#49436;\Documents%20and%20Settings\&#51312;&#48276;&#47536;1\My%20Documents\&#48155;&#51008;%20&#54028;&#51068;\Cash%20Flow(Template)(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47749;&#49688;&#48177;&#50629;&#54028;&#51068;\BTL\&#52488;&#51473;&#44256;\&#44608;&#51228;&#50857;&#51648;&#51473;&#50808;%209&#44368;(&#44608;&#47749;&#49688;)\&#52280;&#44256;&#51116;&#47924;&#47784;&#45944;\&#51060;&#52649;&#44256;%20&#51116;&#47924;&#47784;&#45944;(1118)1&#50504;%20&#45236;&#48512;&#50857;.xl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50976;&#47548;&#53080;&#460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Documents%20and%20Settings\&#48376;&#51064;&#51032;%20Netware%20Login%20ID\My%20Documents\client\project\DDR\Dwc\projection\BP_Dwc_v23.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50976;&#47548;&#44264;&#51312;"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4889;&#49457;&#54872;\shareddocs\060613%20&#54924;&#51109;&#48372;&#44256;\1&#54620;&#50577;&#44060;&#48156;\&#49324;&#50629;&#44160;&#53664;\&#49324;&#50629;&#44160;&#53664;&#51473;\&#44053;&#46041;&#44396;%20&#52380;&#54840;&#46041;%20&#51452;&#49345;&#48373;&#54633;\My%20Documents\&#51076;&#50896;&#54924;&#51032;\&#50629;&#47924;&#48372;&#44256;\1123\My%20Documents\&#51076;&#50896;&#54924;&#51032;\&#50629;&#47924;&#48372;&#44256;\MyDocuments\8W-1231(kun).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51089;&#50629;2000\&#51077;&#52272;2000\&#44060;&#49688;&#51221;&#47148;\&#44060;&#49688;&#51221;&#47148;.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Hdedms\Mepss\&#50629;&#47924;\&#52265;&#49688;&#44208;&#51032;&#49436;\&#48520;&#44305;1&#44396;&#50669;\&#44204;&#51201;&#49892;\&#44592;&#53440;\&#44060;&#51064;\4.&#45824;&#47532;\&#51060;&#49457;&#54616;\FILE\&#50696;&#49328;F\&#50500;&#54028;&#53944;F\&#44368;&#46041;&#54788;&#51109;.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Cashflow&#54032;(&#53945;&#48324;&#51064;&#440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44277;&#50976;\&#49352;%20&#54260;&#45908;\&#49457;&#50629;&#44277;&#49324;-&#49688;&#51221;\&#46041;&#49436;&#44032;&#443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dapp\mepss\Project\&#44060;&#47029;&#44204;&#51201;\&#50500;&#54028;&#53944;\&#49436;&#50872;\&#54620;&#45224;&#46041;\KBLEE\&#44592;&#53440;\&#54364;&#51456;\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50629;&#47924;\01.&#54532;&#47196;&#51229;&#53944;\2019&#45380;\04.2018.01_&#51064;&#52380;%20&#45224;&#46041;&#44396;%20&#45436;&#54788;&#46041;%20&#50724;&#54588;&#49828;&#53588;_&#48124;&#51652;&#55148;&#51060;&#49324;&#45784;\01.&#49688;&#51648;&#48516;&#49437;\v4.&#51008;&#54217;&#45684;&#53440;&#50868;_5BL_&#49324;&#50629;&#49688;&#51648;_Ver.4_141221(&#49888;&#54620;)-&#49688;&#47161;&#51088;&#4730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ocuments%20and%20Settings\&#44608;&#49457;&#50864;\My%20Documents\SOC\BTL\&#54617;&#44368;\&#52285;&#45909;&#51473;\&#52285;&#45909;&#51473;&#52572;&#51333;1.10\&#47784;&#45944;&#51228;&#52636;&#50857;\&#52285;&#45909;&#51473;%20&#44060;&#52629;&#50808;%2010&#44148;%20&#51076;&#45824;&#54805;%20&#48124;&#51088;&#49324;&#50629;(BTL)-&#49340;&#51221;&#51088;&#51473;%20&#44060;&#44368;&#51068;%202009.03.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4608;&#51333;&#54788;1\&#47196;&#52972;%20&#46356;&#49828;&#53356;%20(d)\&#44221;&#45224;%20&#49324;&#50629;&#44160;&#53664;(5&#50900;%2014&#51068;&#51060;&#54980;)\&#48516;&#50577;&#44032;%20&#49345;&#54620;&#51228;%20&#44221;&#45224;%20&#51088;&#47308;\Documents%20and%20Settings\Administrator\My%20Documents\&#45348;&#51060;&#53944;&#50728;%20&#48155;&#51008;%20&#54028;&#51068;\My%20Documents\&#48516;&#50577;&#49688;&#51077;&#44552;\&#48177;&#50629;(&#45796;&#47480;&#52980;&#44732;)\&#49324;&#50629;&#51652;&#54665;&#54788;&#51109;\&#51221;&#55148;&#46024;\&#49324;&#50629;&#48708;%20&#45236;&#50669;%20&#46041;&#53444;&#51648;&#44396;\&#45209;&#52272;&#53469;&#51648;%20&#54788;&#54889;%20&#48143;%20&#54693;&#54980;%20&#44228;&#5492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1076;&#45804;&#49688;\2002&#45380;%20&#50672;&#47568;\2002&#45380;%20&#49345;&#48152;&#44592;%20&#54924;&#44228;&#44048;&#49324;\My%20Documents\'99&#45380;%20&#50900;&#52264;&#49552;&#51061;\12&#50900;%20&#50900;&#52264;&#44208;&#49328;\&#53748;&#52649;&#44552;(12&#50900;).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Cashflow&#54032;(&#53945;&#4832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Documents%20and%20Settings\&#48177;&#49849;&#50685;\My%20Documents\&#45824;&#54788;&#54924;&#44228;&#48277;&#51064;\BTL\&#54616;&#49688;&#44288;&#44144;BTL\&#54861;&#52380;&#44400;&#54616;&#49688;&#44288;&#44144;\&#44592;&#53440;&#51088;&#47308;\&#54861;&#52380;&#44400;%20&#50976;&#51648;&#44288;&#47532;&#48708;&#50857;%20&#49324;&#50629;&#45800;%20ver.2-06123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YHS\SharedDocs\Documents%20and%20Settings\&#50980;&#54617;&#49688;\&#48148;&#53461;%20&#54868;&#47732;\&#50689;&#50629;&#44288;&#47532;&#51068;&#4837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44608;&#50689;&#51068;\&#49324;&#50629;&#49457;&#48516;&#49437;\&#44592;&#53440;&#50577;&#49885;\&#52509;&#44292;&#45824;&#50668;&#44552;&#54788;&#5488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51060;&#49345;&#54980;\&#44277;&#50976;&#48169;\MSOFFICE\EXCEL\&#51088;&#44552;&#49688;&#51648;\&#51088;&#44552;&#49688;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44221;&#45224;%20&#49324;&#50629;&#44160;&#53664;(5&#50900;%2014&#51068;&#51060;&#54980;)\&#48516;&#50577;&#44032;%20&#49345;&#54620;&#51228;%20&#44221;&#45224;%20&#51088;&#47308;\Documents%20and%20Settings\Administrator\My%20Documents\&#45348;&#51060;&#53944;&#50728;%20&#48155;&#51008;%20&#54028;&#51068;\My%20Documents\&#48516;&#50577;&#49688;&#51077;&#44552;\&#48177;&#50629;(&#45796;&#47480;&#52980;&#44732;)\&#49324;&#50629;&#51652;&#54665;&#54788;&#51109;\&#51221;&#55148;&#46024;\&#49324;&#50629;&#48708;%20&#45236;&#50669;%20&#46041;&#53444;&#51648;&#44396;\&#45209;&#52272;&#53469;&#51648;%20&#54788;&#54889;%20&#48143;%20&#54693;&#54980;%20&#44228;&#5492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www.koland.co.kr/Project/&#54868;&#49457;&#51648;&#44396;&#45800;&#50948;/&#54200;&#51648;&#48169;/From&#49436;&#50689;/&#44032;&#44396;&#48143;&#54925;&#51648;&#51312;&#49436;(121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44608;&#44221;&#50857;\97BUDGET\&#52509;&#44288;&#47532;&#4870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44204;&#51201;&#49892;\&#44592;&#53440;\&#44060;&#51064;\4.&#45824;&#47532;\&#51060;&#49457;&#54616;\FILE\&#50696;&#49328;F\&#50500;&#54028;&#53944;F\&#44368;&#46041;&#54788;&#5110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dfile\haus\excellent\&#49892;&#44204;&#51201;\&#48716;&#46972;&#53944;\&#46020;&#44257;E-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50629;&#47924;\01.&#54532;&#47196;&#51229;&#53944;\2019&#45380;\26.---2018.10_&#45824;&#51204;%20&#48393;&#47749;&#46041;%20&#51452;&#49345;&#48373;&#54633;%20&#49888;&#52629;&#49324;&#50629;_&#45824;&#54620;&#53664;&#51648;&#49888;&#53441;%20&#44608;&#44288;&#49885;&#54016;&#51109;,%20KB&#51613;&#44428;%20&#51060;&#54984;&#48512;&#51109;,%20&#44144;&#51109;&#44544;&#47196;&#48268;%20&#48149;&#51221;&#49436;&#45824;&#54364;_42,353&#48177;&#47564;&#50896;\08.&#49688;&#51648;&#48516;&#49437;\&#53440;&#49324;&#47168;\1.%20&#48516;&#50577;&#44032;&#44201;&#54364;(&#44396;&#48120;&#49569;&#51221;&#53468;&#50773;&#50500;&#45320;&#49828;).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82DC60E0\&#54868;&#49457;&#46041;&#53444;%20&#54925;&#51648;&#54788;&#5488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ocuments%20and%20Settings\xnote\Application%20Data\Microsoft\Excel\Windows\Temporary%20Internet%20Files\Content.IE5\81YR8HEN\WINDOWS\&#48148;&#53461;%20&#54868;&#47732;\&#45824;&#47749;&#54889;&#49892;\&#48149;&#52384;&#44305;%20&#51204;&#52404;&#54260;&#45908;\&#54620;&#51652;&#51221;&#49328;&#44288;&#47144;\&#54620;&#51652;1&#52264;&#51221;&#49328;&#44288;&#47144;\&#54620;&#51652;&#51221;&#49328;&#44552;%20&#45236;&#50669;.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D:\Documents%20and%20Settings\xnote\Application%20Data\Microsoft\Excel\Windows\Temporary%20Internet%20Files\Content.IE5\81YR8HEN\WINDOWS\&#48148;&#53461;%20&#54868;&#47732;\&#45824;&#47749;&#54889;&#49892;\T\My%20Documents\&#50900;&#44228;\&#49884;&#44277;&#49324;\&#54620;&#54868;\&#51221;&#49328;\1&#52264;&#51221;&#49328;\&#50900;&#44228;&#51221;&#49328;&#51088;&#47308;(&#54620;&#5486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54889;&#49457;&#54872;\shareddocs\060613%20&#54924;&#51109;&#48372;&#44256;\1&#54620;&#50577;&#44060;&#48156;\&#49324;&#50629;&#44160;&#53664;\&#49324;&#50629;&#44160;&#53664;&#51473;\&#44053;&#46041;&#44396;%20&#52380;&#54840;&#46041;%20&#51452;&#49345;&#48373;&#54633;\My%20Documents\12&#51088;&#44552;&#49688;&#51648;\2001&#51088;&#44552;\5&#50900;\&#51076;&#50896;&#54924;&#51032;\&#50629;&#47924;&#48372;&#44256;\1123\My%20Documents\&#51076;&#50896;&#54924;&#51032;\&#50629;&#47924;&#48372;&#44256;\MyDocuments\8W-1231(kun).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49324;&#48376;%20-%20Cashflow&#54032;(&#51068;&#4815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49688;&#49353;&#49324;&#50629;&#49457;&#44160;&#53664;\4&#48660;&#47085;\&#49324;&#50629;&#49457;&#44160;&#53664;%20&#49444;&#44228;&#48320;&#44221;(4BL%20&#54788;&#45824;&#51228;&#52636;).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48149;&#44305;&#49345;\SharedDocs\My%20Documents\12&#51088;&#44552;&#49688;&#51648;\2001&#51088;&#44552;\5&#50900;\&#51076;&#50896;&#54924;&#51032;\&#50629;&#47924;&#48372;&#44256;\1123\My%20Documents\&#51076;&#50896;&#54924;&#51032;\&#50629;&#47924;&#48372;&#44256;\&#51452;&#44036;091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51089;&#50629;\XLS\&#51088;&#44552;&#49688;&#51648;\97&#45380;\&#49688;&#51648;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51076;&#45804;&#49688;\2002&#45380;%20&#50672;&#47568;\My%20Documents\'99&#45380;%20&#50900;&#52264;&#49552;&#51061;\12&#50900;%20&#50900;&#52264;&#44208;&#49328;\&#53748;&#52649;&#44552;(12&#509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Users\&#44608;&#50864;&#51473;\Desktop\&#44305;&#44368;&#50669;%20&#50724;&#54588;&#49828;&#53588;\08.&#48516;&#50577;&#47732;&#51201;&#54364;\&#48516;&#50577;&#47732;&#51201;&#54364;(2014.06.18&#49688;&#5122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xnote\Application%20Data\Microsoft\Excel\Documents%20and%20Settings\&#51312;&#48276;&#47536;1\My%20Documents\&#48155;&#51008;%20&#54028;&#51068;\Cash%20Flow(Template)(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51060;&#49345;&#54980;\&#44277;&#50976;&#48169;\&#51089;&#50629;\XLS\&#51088;&#44552;&#49688;&#51648;\97&#45380;\&#49688;&#51648;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BRC\3&#48660;&#47085;&#50500;&#54028;&#53944;&#54805;&#44277;&#51109;&#49324;&#50629;\&#49324;&#50629;&#49688;&#51648;\&#51116;&#47924;&#47784;&#45944;\&#49569;&#46020;%20BRC%20&#50500;&#54028;&#53944;&#54805;%20&#44277;&#51109;%20&#51116;&#47924;&#47784;&#45944;_20100930.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44053;&#44221;&#44508;\ABS\&#49892;&#49324;09\2&#52264;ABS\&#54620;&#48731;\&#49440;&#49692;&#50948;\0523\Cashflow&#54032;(Special_CRC).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52572;&#49457;&#50865;\&#51116;&#44148;&#49688;&#51452;\WINDOWS\TEMP\&#54840;&#50896;APT\&#49324;&#50629;&#51221;&#49328;\&#49688;&#44552;&#54788;&#5488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Documents%20and%20Settings\xnote\Application%20Data\Microsoft\Excel\Windows\Temporary%20Internet%20Files\Content.IE5\81YR8HEN\WINDOWS\&#48148;&#53461;%20&#54868;&#47732;\HANJIN\&#49324;&#50629;&#48372;&#44256;\PJT&#48372;&#44256;\&#49345;&#44032;&#51648;&#52636;\&#49345;&#44032;&#5106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자금수지"/>
      <sheetName val="분양현황"/>
      <sheetName val="수주추진"/>
      <sheetName val="아코텍"/>
      <sheetName val="공사"/>
      <sheetName val="영업"/>
      <sheetName val="서울사업"/>
      <sheetName val="대전사업"/>
      <sheetName val="관리"/>
      <sheetName val="일산"/>
      <sheetName val="관저"/>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콘도"/>
      <sheetName val="역삼원룸"/>
      <sheetName val="고양점소"/>
      <sheetName val="변산리조트"/>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부대시설"/>
      <sheetName val="Apt내역"/>
      <sheetName val="1안가"/>
      <sheetName val="첨부6"/>
      <sheetName val="세금자료"/>
      <sheetName val="세대구분목록"/>
      <sheetName val="자금운영"/>
      <sheetName val="갑지(추정)"/>
      <sheetName val="유림콘도"/>
      <sheetName val="식재인부"/>
      <sheetName val="0226"/>
      <sheetName val="부산제일극장"/>
      <sheetName val="유림골조"/>
      <sheetName val="공사개요"/>
      <sheetName val="Inv_sum"/>
      <sheetName val="내역"/>
      <sheetName val="CTEMCOST"/>
      <sheetName val="품종별월계"/>
      <sheetName val="EE-PROP"/>
      <sheetName val="Eq. Mobilization"/>
      <sheetName val="내   역"/>
      <sheetName val="일위대가(가설)"/>
      <sheetName val="집계표"/>
      <sheetName val="목표세부명세"/>
      <sheetName val="Sheet1"/>
      <sheetName val="기성내역서(을지)"/>
      <sheetName val="건축집계"/>
      <sheetName val="Baby일위대가"/>
      <sheetName val="총사업비명세"/>
      <sheetName val="보고서"/>
      <sheetName val="안양2"/>
      <sheetName val="일반부표"/>
      <sheetName val="금융"/>
      <sheetName val="Eq__Mobilization"/>
      <sheetName val="내___역"/>
      <sheetName val="2공구산출내역"/>
      <sheetName val="TTL"/>
      <sheetName val="공통비총괄표"/>
      <sheetName val="Sheet2"/>
      <sheetName val="코드"/>
      <sheetName val="FAB별"/>
      <sheetName val="목록"/>
      <sheetName val="1062-X방향 "/>
      <sheetName val="조명시설"/>
      <sheetName val="Sheet1 (2)"/>
      <sheetName val="영업소실적"/>
      <sheetName val="DHEQSU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_Memo"/>
      <sheetName val="Borrower"/>
      <sheetName val="Guarantor"/>
      <sheetName val="SellingDebt"/>
      <sheetName val="SuspensePayments"/>
      <sheetName val="Property"/>
      <sheetName val="PropertyDetailed"/>
      <sheetName val="OurLien"/>
      <sheetName val="LienStructure"/>
      <sheetName val="X-3 ENG"/>
      <sheetName val="blocktime"/>
      <sheetName val="해외출자현황(원본틀)"/>
      <sheetName val="수입"/>
      <sheetName val="대차"/>
      <sheetName val="손익"/>
      <sheetName val="KUNGDEVI"/>
      <sheetName val="정리채권_확정"/>
      <sheetName val="Sheet1"/>
      <sheetName val="점수계산1-2"/>
      <sheetName val="점별(추정)"/>
      <sheetName val="LA(INVENTORY)"/>
      <sheetName val="Ⅱ1-0타"/>
      <sheetName val="적용환율"/>
      <sheetName val="CashFlow(중간집계)"/>
      <sheetName val="조회서"/>
      <sheetName val="인근점포"/>
      <sheetName val="#REF"/>
      <sheetName val="Variables"/>
      <sheetName val="Mainmap"/>
      <sheetName val="main_map"/>
    </sheetNames>
    <sheetDataSet>
      <sheetData sheetId="0" refreshError="1"/>
      <sheetData sheetId="1" refreshError="1">
        <row r="10">
          <cell r="B10">
            <v>201</v>
          </cell>
          <cell r="D10" t="str">
            <v>신화건설(주)</v>
          </cell>
          <cell r="E10" t="str">
            <v>Shinwha construction co,.Ltd.</v>
          </cell>
        </row>
        <row r="11">
          <cell r="B11">
            <v>204</v>
          </cell>
          <cell r="D11" t="str">
            <v>남양통상(주)</v>
          </cell>
          <cell r="E11" t="str">
            <v>Nam-yang Tongsang</v>
          </cell>
        </row>
        <row r="12">
          <cell r="B12">
            <v>206</v>
          </cell>
          <cell r="D12" t="str">
            <v>(주)성문국제,윤여균</v>
          </cell>
          <cell r="E12" t="str">
            <v>Sung-mon Kuk-Je Co.</v>
          </cell>
        </row>
        <row r="13">
          <cell r="B13">
            <v>207</v>
          </cell>
          <cell r="D13" t="str">
            <v>(주)오영앤씨</v>
          </cell>
          <cell r="E13" t="str">
            <v>O-Young  NC co,.Ltd.</v>
          </cell>
        </row>
        <row r="14">
          <cell r="B14">
            <v>209</v>
          </cell>
          <cell r="D14" t="str">
            <v>(주)영창전기</v>
          </cell>
          <cell r="E14" t="str">
            <v>Youngchang electric co,.Ltd.</v>
          </cell>
        </row>
        <row r="15">
          <cell r="B15">
            <v>210</v>
          </cell>
          <cell r="D15" t="str">
            <v>(주)삼전폴리머</v>
          </cell>
          <cell r="E15" t="str">
            <v>Samchun Polimer Co, Ltd.</v>
          </cell>
        </row>
        <row r="16">
          <cell r="B16">
            <v>211</v>
          </cell>
          <cell r="D16" t="str">
            <v>희성철강</v>
          </cell>
          <cell r="E16" t="str">
            <v>Hee-Sung steel Co.</v>
          </cell>
        </row>
        <row r="17">
          <cell r="B17">
            <v>212</v>
          </cell>
          <cell r="D17" t="str">
            <v>보양기술공영(주)</v>
          </cell>
          <cell r="E17" t="str">
            <v>Boyang Kisul Construction Co, Ltd.</v>
          </cell>
        </row>
        <row r="18">
          <cell r="B18">
            <v>213</v>
          </cell>
          <cell r="D18" t="str">
            <v>(주)의연</v>
          </cell>
          <cell r="E18" t="str">
            <v>Ui-Yon Co.</v>
          </cell>
        </row>
        <row r="19">
          <cell r="B19">
            <v>214</v>
          </cell>
          <cell r="D19" t="str">
            <v>아이지텔레콤(주)</v>
          </cell>
          <cell r="E19" t="str">
            <v xml:space="preserve"> IGTelecom Inc</v>
          </cell>
        </row>
        <row r="20">
          <cell r="B20">
            <v>215</v>
          </cell>
          <cell r="D20" t="str">
            <v>광양종합기계(주)</v>
          </cell>
          <cell r="E20" t="str">
            <v xml:space="preserve">Kwangyang Diesel Engin Co., Ltd </v>
          </cell>
        </row>
        <row r="21">
          <cell r="B21">
            <v>216</v>
          </cell>
          <cell r="D21" t="str">
            <v>(주)성도비젼</v>
          </cell>
          <cell r="E21" t="str">
            <v>Sungdo Vision Co, Ltd.</v>
          </cell>
        </row>
        <row r="22">
          <cell r="B22">
            <v>217</v>
          </cell>
          <cell r="D22" t="str">
            <v>맥아통상</v>
          </cell>
          <cell r="E22" t="str">
            <v>Mac-a trading co.,Ltd.</v>
          </cell>
        </row>
        <row r="23">
          <cell r="B23">
            <v>218</v>
          </cell>
          <cell r="D23" t="str">
            <v>체이스노블</v>
          </cell>
          <cell r="E23" t="str">
            <v>Chasenoble co.,Ltd.</v>
          </cell>
        </row>
        <row r="24">
          <cell r="B24">
            <v>219</v>
          </cell>
          <cell r="D24" t="str">
            <v>대동전선(주)</v>
          </cell>
          <cell r="E24" t="str">
            <v>Daedong cheonsun co,.Ltd.</v>
          </cell>
        </row>
        <row r="25">
          <cell r="B25">
            <v>220</v>
          </cell>
          <cell r="D25" t="str">
            <v>고려보일러</v>
          </cell>
          <cell r="E25" t="str">
            <v>Korea boiler co,.Ltd.</v>
          </cell>
        </row>
        <row r="26">
          <cell r="B26">
            <v>221</v>
          </cell>
          <cell r="D26" t="str">
            <v>(주)신세기엔터프라이즈</v>
          </cell>
          <cell r="E26" t="str">
            <v>New century enterprise co,.Ltd.</v>
          </cell>
        </row>
        <row r="27">
          <cell r="B27">
            <v>222</v>
          </cell>
          <cell r="D27" t="str">
            <v>(주)뷰티올,이영권</v>
          </cell>
          <cell r="E27" t="str">
            <v>Beautyol Co, Ltd.</v>
          </cell>
        </row>
        <row r="28">
          <cell r="B28">
            <v>223</v>
          </cell>
          <cell r="D28" t="str">
            <v>(주)정오정보통신</v>
          </cell>
          <cell r="E28" t="str">
            <v>Jungoh Internaitonal co,.Ltd.</v>
          </cell>
        </row>
        <row r="29">
          <cell r="B29">
            <v>224</v>
          </cell>
          <cell r="D29" t="str">
            <v>(주)광성신호</v>
          </cell>
          <cell r="E29" t="str">
            <v>Kwansung Shinho Co, Ltd</v>
          </cell>
        </row>
        <row r="30">
          <cell r="B30">
            <v>225</v>
          </cell>
          <cell r="D30" t="str">
            <v>(주)우창</v>
          </cell>
          <cell r="E30" t="str">
            <v>Woochang co.,Ltd.</v>
          </cell>
        </row>
        <row r="31">
          <cell r="B31">
            <v>226</v>
          </cell>
          <cell r="D31" t="str">
            <v>(주)뻬르띠에</v>
          </cell>
          <cell r="E31" t="str">
            <v>Pertier Co, Ltd.</v>
          </cell>
        </row>
        <row r="32">
          <cell r="B32">
            <v>227</v>
          </cell>
          <cell r="D32" t="str">
            <v>(주)두산유리공업</v>
          </cell>
          <cell r="E32" t="str">
            <v>Doosan Glass</v>
          </cell>
        </row>
        <row r="33">
          <cell r="B33">
            <v>228</v>
          </cell>
          <cell r="D33" t="str">
            <v>신종석(덕성기업사)</v>
          </cell>
          <cell r="E33" t="str">
            <v>Shin Jongsuck(Ducksung kiup)</v>
          </cell>
        </row>
        <row r="34">
          <cell r="B34">
            <v>229</v>
          </cell>
          <cell r="D34" t="str">
            <v>글로벌랜딩(주)</v>
          </cell>
          <cell r="E34" t="str">
            <v>Global lending co,.Ltd.</v>
          </cell>
        </row>
        <row r="35">
          <cell r="B35">
            <v>230</v>
          </cell>
          <cell r="D35" t="str">
            <v>장경숙(서원석재)</v>
          </cell>
          <cell r="E35" t="str">
            <v>Jang Kuyung Suk</v>
          </cell>
        </row>
        <row r="36">
          <cell r="B36">
            <v>232</v>
          </cell>
          <cell r="D36" t="str">
            <v>세진해양엔지니어링</v>
          </cell>
          <cell r="E36" t="str">
            <v>Sejin Haeyang Engineering</v>
          </cell>
        </row>
        <row r="37">
          <cell r="B37">
            <v>233</v>
          </cell>
          <cell r="D37" t="str">
            <v>오 건영-퍼스트 쵸이스</v>
          </cell>
          <cell r="E37" t="str">
            <v>Oh kyeun young</v>
          </cell>
        </row>
        <row r="38">
          <cell r="B38">
            <v>234</v>
          </cell>
          <cell r="D38" t="str">
            <v>자연비료(주)</v>
          </cell>
          <cell r="E38" t="str">
            <v>Ja-yan Bi-ryo Co.</v>
          </cell>
        </row>
        <row r="39">
          <cell r="B39">
            <v>236</v>
          </cell>
          <cell r="D39" t="str">
            <v>(주)전천후</v>
          </cell>
          <cell r="E39" t="str">
            <v>Junchunhu Co,Ltd.</v>
          </cell>
        </row>
        <row r="40">
          <cell r="B40">
            <v>237</v>
          </cell>
          <cell r="D40" t="str">
            <v>벤처정보코리아(주)</v>
          </cell>
          <cell r="E40" t="str">
            <v>Venture information korea co.</v>
          </cell>
        </row>
        <row r="41">
          <cell r="B41">
            <v>238</v>
          </cell>
          <cell r="D41" t="str">
            <v>문인숙</v>
          </cell>
          <cell r="E41" t="str">
            <v>Moon in-suk</v>
          </cell>
        </row>
        <row r="42">
          <cell r="B42">
            <v>239</v>
          </cell>
          <cell r="D42" t="str">
            <v>정영수-글로발 테마플라자</v>
          </cell>
          <cell r="E42" t="str">
            <v>Jung youngsoo-Global theme plaza</v>
          </cell>
        </row>
        <row r="43">
          <cell r="B43">
            <v>240</v>
          </cell>
          <cell r="D43" t="str">
            <v>두익에너지</v>
          </cell>
          <cell r="E43" t="str">
            <v>Dookik Energy Co, Ltd.</v>
          </cell>
        </row>
        <row r="44">
          <cell r="B44">
            <v>241</v>
          </cell>
          <cell r="D44" t="str">
            <v>성산개발</v>
          </cell>
          <cell r="E44" t="str">
            <v>Sungsan development co,.Ltd.</v>
          </cell>
        </row>
        <row r="45">
          <cell r="B45">
            <v>242</v>
          </cell>
          <cell r="D45" t="str">
            <v>인화진흥(주)</v>
          </cell>
          <cell r="E45" t="str">
            <v>Inhwa Jinhung Co, Ltd.</v>
          </cell>
        </row>
        <row r="46">
          <cell r="B46">
            <v>243</v>
          </cell>
          <cell r="D46" t="str">
            <v>박창규</v>
          </cell>
          <cell r="E46" t="str">
            <v>Park changgyoo</v>
          </cell>
        </row>
        <row r="47">
          <cell r="B47">
            <v>244</v>
          </cell>
          <cell r="D47" t="str">
            <v>(주)서북전자</v>
          </cell>
        </row>
        <row r="48">
          <cell r="B48">
            <v>245</v>
          </cell>
          <cell r="D48" t="str">
            <v>고윤필</v>
          </cell>
        </row>
        <row r="49">
          <cell r="B49">
            <v>246</v>
          </cell>
          <cell r="D49" t="str">
            <v>(주)현대전기통신</v>
          </cell>
        </row>
        <row r="50">
          <cell r="B50">
            <v>247</v>
          </cell>
          <cell r="D50" t="str">
            <v>신영종합상사(주)</v>
          </cell>
          <cell r="E50" t="str">
            <v>Shin-young Co.</v>
          </cell>
        </row>
        <row r="51">
          <cell r="B51">
            <v>248</v>
          </cell>
          <cell r="D51" t="str">
            <v>(주)보승</v>
          </cell>
          <cell r="E51" t="str">
            <v>Bo-seung Co.</v>
          </cell>
        </row>
        <row r="52">
          <cell r="B52">
            <v>250</v>
          </cell>
          <cell r="D52" t="str">
            <v>자운엔지니어링(주)</v>
          </cell>
          <cell r="E52" t="str">
            <v>Ja-woon ENG Co.</v>
          </cell>
        </row>
        <row r="53">
          <cell r="B53">
            <v>251</v>
          </cell>
          <cell r="D53" t="str">
            <v>(주)럭키제과</v>
          </cell>
        </row>
        <row r="54">
          <cell r="B54">
            <v>252</v>
          </cell>
          <cell r="D54" t="str">
            <v>(주)에너지서포트</v>
          </cell>
        </row>
        <row r="55">
          <cell r="B55">
            <v>253</v>
          </cell>
          <cell r="D55" t="str">
            <v>김남억</v>
          </cell>
        </row>
        <row r="56">
          <cell r="B56">
            <v>254</v>
          </cell>
          <cell r="D56" t="str">
            <v>윤인상 (일인상사)</v>
          </cell>
        </row>
        <row r="57">
          <cell r="B57">
            <v>255</v>
          </cell>
          <cell r="D57" t="str">
            <v>(주)대길</v>
          </cell>
        </row>
        <row r="58">
          <cell r="B58">
            <v>256</v>
          </cell>
          <cell r="D58" t="str">
            <v>최경동</v>
          </cell>
        </row>
        <row r="59">
          <cell r="B59">
            <v>257</v>
          </cell>
          <cell r="D59" t="str">
            <v>북아뜨리에</v>
          </cell>
        </row>
        <row r="60">
          <cell r="B60">
            <v>258</v>
          </cell>
          <cell r="D60" t="str">
            <v>박주용</v>
          </cell>
        </row>
        <row r="61">
          <cell r="B61">
            <v>259</v>
          </cell>
          <cell r="D61" t="str">
            <v>안상섭(하나전기)</v>
          </cell>
        </row>
        <row r="62">
          <cell r="B62">
            <v>260</v>
          </cell>
          <cell r="D62" t="str">
            <v>(주)화남코리아</v>
          </cell>
        </row>
        <row r="63">
          <cell r="B63">
            <v>261</v>
          </cell>
          <cell r="D63" t="str">
            <v>박권자(대성산업)</v>
          </cell>
        </row>
        <row r="64">
          <cell r="B64">
            <v>262</v>
          </cell>
          <cell r="D64" t="str">
            <v>진일기업</v>
          </cell>
        </row>
        <row r="65">
          <cell r="B65">
            <v>263</v>
          </cell>
          <cell r="D65" t="str">
            <v>일흥</v>
          </cell>
        </row>
        <row r="66">
          <cell r="B66">
            <v>264</v>
          </cell>
          <cell r="D66" t="str">
            <v>안광식(남광판지)</v>
          </cell>
        </row>
        <row r="67">
          <cell r="B67">
            <v>265</v>
          </cell>
          <cell r="D67" t="str">
            <v>비씨아이컨설팅</v>
          </cell>
        </row>
        <row r="68">
          <cell r="B68">
            <v>266</v>
          </cell>
          <cell r="D68" t="str">
            <v>동보테크</v>
          </cell>
        </row>
        <row r="69">
          <cell r="B69">
            <v>267</v>
          </cell>
          <cell r="D69" t="str">
            <v>대범산업</v>
          </cell>
        </row>
        <row r="70">
          <cell r="B70">
            <v>268</v>
          </cell>
          <cell r="D70" t="str">
            <v>신흥시너지</v>
          </cell>
        </row>
        <row r="71">
          <cell r="B71">
            <v>269</v>
          </cell>
          <cell r="D71" t="str">
            <v>문점례(문화상사)</v>
          </cell>
        </row>
        <row r="72">
          <cell r="B72">
            <v>270</v>
          </cell>
          <cell r="D72" t="str">
            <v>윤석원(아펙스 코리아)</v>
          </cell>
        </row>
        <row r="73">
          <cell r="B73">
            <v>271</v>
          </cell>
          <cell r="D73" t="str">
            <v>조은영</v>
          </cell>
        </row>
        <row r="74">
          <cell r="B74">
            <v>272</v>
          </cell>
          <cell r="D74" t="str">
            <v>박현선</v>
          </cell>
        </row>
        <row r="75">
          <cell r="B75">
            <v>274</v>
          </cell>
          <cell r="D75" t="str">
            <v>신기철</v>
          </cell>
        </row>
        <row r="76">
          <cell r="B76">
            <v>275</v>
          </cell>
          <cell r="D76" t="str">
            <v>박환수(삼환플라스틱)</v>
          </cell>
        </row>
        <row r="77">
          <cell r="B77">
            <v>276</v>
          </cell>
          <cell r="D77" t="str">
            <v>산시무역</v>
          </cell>
        </row>
        <row r="78">
          <cell r="B78">
            <v>277</v>
          </cell>
          <cell r="D78" t="str">
            <v>현명수(모원레저)</v>
          </cell>
        </row>
        <row r="79">
          <cell r="B79">
            <v>279</v>
          </cell>
          <cell r="D79" t="str">
            <v>최병철</v>
          </cell>
        </row>
        <row r="80">
          <cell r="B80">
            <v>280</v>
          </cell>
          <cell r="D80" t="str">
            <v>(주) 신안엔터프라이즈</v>
          </cell>
        </row>
        <row r="81">
          <cell r="B81">
            <v>281</v>
          </cell>
          <cell r="D81" t="str">
            <v>(주)진보합섬</v>
          </cell>
        </row>
        <row r="82">
          <cell r="B82">
            <v>282</v>
          </cell>
          <cell r="D82" t="str">
            <v>정인구</v>
          </cell>
        </row>
        <row r="83">
          <cell r="B83">
            <v>283</v>
          </cell>
          <cell r="D83" t="str">
            <v>김덕기</v>
          </cell>
        </row>
        <row r="84">
          <cell r="B84">
            <v>284</v>
          </cell>
          <cell r="D84" t="str">
            <v>이경자(두리랑)</v>
          </cell>
        </row>
        <row r="85">
          <cell r="B85">
            <v>285</v>
          </cell>
          <cell r="D85" t="str">
            <v>유니언항공(주)</v>
          </cell>
          <cell r="E85" t="str">
            <v>Union Air Co.</v>
          </cell>
        </row>
        <row r="86">
          <cell r="B86">
            <v>286</v>
          </cell>
          <cell r="D86" t="str">
            <v>미주실업(주)</v>
          </cell>
          <cell r="E86" t="str">
            <v>Mi-joo Co.</v>
          </cell>
          <cell r="F86" t="str">
            <v>Workout</v>
          </cell>
        </row>
        <row r="87">
          <cell r="B87">
            <v>287</v>
          </cell>
          <cell r="D87" t="str">
            <v>흥진건재(주)</v>
          </cell>
          <cell r="E87" t="str">
            <v>Hueng-jin Co.</v>
          </cell>
        </row>
        <row r="88">
          <cell r="B88">
            <v>288</v>
          </cell>
          <cell r="D88" t="str">
            <v>김영미</v>
          </cell>
          <cell r="E88" t="str">
            <v>Kim, Young-mi</v>
          </cell>
        </row>
        <row r="89">
          <cell r="B89">
            <v>289</v>
          </cell>
          <cell r="D89" t="str">
            <v>송해천</v>
          </cell>
          <cell r="E89" t="str">
            <v>Song, Hea-chun</v>
          </cell>
        </row>
        <row r="90">
          <cell r="B90">
            <v>290</v>
          </cell>
          <cell r="D90" t="str">
            <v>신숙자</v>
          </cell>
          <cell r="E90" t="str">
            <v>Shin, Sook-ja</v>
          </cell>
        </row>
        <row r="91">
          <cell r="B91">
            <v>291</v>
          </cell>
          <cell r="D91" t="str">
            <v>(주)에니마삼원</v>
          </cell>
          <cell r="E91" t="str">
            <v>Animasamwon Co.</v>
          </cell>
        </row>
        <row r="92">
          <cell r="B92">
            <v>292</v>
          </cell>
          <cell r="D92" t="str">
            <v>삼부캐터링 이현진</v>
          </cell>
          <cell r="E92" t="str">
            <v>Samboo Catering Lee, Hyun-jin</v>
          </cell>
        </row>
        <row r="93">
          <cell r="B93">
            <v>293</v>
          </cell>
          <cell r="D93" t="str">
            <v>정철희</v>
          </cell>
          <cell r="E93" t="str">
            <v>Jung,Chul-hee</v>
          </cell>
        </row>
        <row r="94">
          <cell r="B94">
            <v>294</v>
          </cell>
          <cell r="D94" t="str">
            <v>김용일</v>
          </cell>
          <cell r="E94" t="str">
            <v>Kim, Yong-il</v>
          </cell>
        </row>
        <row r="95">
          <cell r="B95">
            <v>295</v>
          </cell>
          <cell r="D95" t="str">
            <v>김양순</v>
          </cell>
          <cell r="E95" t="str">
            <v>Kim, Yang-soon</v>
          </cell>
        </row>
        <row r="96">
          <cell r="B96">
            <v>296</v>
          </cell>
          <cell r="D96" t="str">
            <v>최종악</v>
          </cell>
          <cell r="E96" t="str">
            <v>Cho,Jong-ak</v>
          </cell>
        </row>
        <row r="97">
          <cell r="B97">
            <v>297</v>
          </cell>
          <cell r="D97" t="str">
            <v>이희영</v>
          </cell>
          <cell r="E97" t="str">
            <v>Lee, Hee-young</v>
          </cell>
        </row>
        <row r="98">
          <cell r="B98">
            <v>298</v>
          </cell>
          <cell r="D98" t="str">
            <v>문태섭</v>
          </cell>
          <cell r="E98" t="str">
            <v>Moon, Tea-sub</v>
          </cell>
        </row>
        <row r="99">
          <cell r="B99">
            <v>299</v>
          </cell>
          <cell r="D99" t="str">
            <v>위드시스템</v>
          </cell>
          <cell r="E99" t="str">
            <v>With system Co.</v>
          </cell>
        </row>
        <row r="100">
          <cell r="B100">
            <v>300</v>
          </cell>
          <cell r="D100" t="str">
            <v>김병호</v>
          </cell>
          <cell r="E100" t="str">
            <v>Kim, Byoung-ho</v>
          </cell>
        </row>
        <row r="101">
          <cell r="B101">
            <v>301</v>
          </cell>
          <cell r="D101" t="str">
            <v>동서법랑(주)</v>
          </cell>
          <cell r="E101" t="str">
            <v>Dong-Suh Bub-rang Co.</v>
          </cell>
        </row>
        <row r="102">
          <cell r="B102">
            <v>302</v>
          </cell>
          <cell r="D102" t="str">
            <v>서문동</v>
          </cell>
          <cell r="E102" t="str">
            <v>Suh, Moon-dong</v>
          </cell>
        </row>
        <row r="103">
          <cell r="B103">
            <v>303</v>
          </cell>
          <cell r="D103" t="str">
            <v>배호진</v>
          </cell>
          <cell r="E103" t="str">
            <v>Bae, Ho-jin</v>
          </cell>
        </row>
        <row r="104">
          <cell r="B104">
            <v>304</v>
          </cell>
          <cell r="D104" t="str">
            <v>박미순</v>
          </cell>
          <cell r="E104" t="str">
            <v>Park, Mi-soon</v>
          </cell>
        </row>
        <row r="105">
          <cell r="B105">
            <v>305</v>
          </cell>
          <cell r="D105" t="str">
            <v>(주)매직스톤월드</v>
          </cell>
          <cell r="E105" t="str">
            <v>Magic Stone World Co.</v>
          </cell>
        </row>
        <row r="106">
          <cell r="B106">
            <v>306</v>
          </cell>
          <cell r="D106" t="str">
            <v>서두현</v>
          </cell>
          <cell r="E106" t="str">
            <v>Suh, Doo-hyun</v>
          </cell>
        </row>
        <row r="107">
          <cell r="B107">
            <v>307</v>
          </cell>
          <cell r="D107" t="str">
            <v>(주)썬파이</v>
          </cell>
          <cell r="E107" t="str">
            <v>Sun Pie Co.</v>
          </cell>
        </row>
        <row r="108">
          <cell r="B108">
            <v>308</v>
          </cell>
          <cell r="D108" t="str">
            <v>박은옥</v>
          </cell>
          <cell r="E108" t="str">
            <v>Park, Eun-ok</v>
          </cell>
        </row>
        <row r="109">
          <cell r="B109">
            <v>309</v>
          </cell>
          <cell r="D109" t="str">
            <v>홍명자</v>
          </cell>
          <cell r="E109" t="str">
            <v>Hong, Myoung-ja</v>
          </cell>
        </row>
        <row r="110">
          <cell r="B110">
            <v>311</v>
          </cell>
          <cell r="D110" t="str">
            <v>김광용</v>
          </cell>
          <cell r="E110" t="str">
            <v>Kim, Kwang-yong</v>
          </cell>
        </row>
        <row r="111">
          <cell r="B111">
            <v>312</v>
          </cell>
          <cell r="D111" t="str">
            <v>비.에프(주)</v>
          </cell>
          <cell r="E111" t="str">
            <v>B.F Co.</v>
          </cell>
        </row>
        <row r="112">
          <cell r="B112">
            <v>314</v>
          </cell>
          <cell r="D112" t="str">
            <v>황남미</v>
          </cell>
          <cell r="E112" t="str">
            <v>Hwang, Nam-mi</v>
          </cell>
        </row>
        <row r="113">
          <cell r="B113">
            <v>315</v>
          </cell>
          <cell r="D113" t="str">
            <v>선일마블(주)</v>
          </cell>
          <cell r="E113" t="str">
            <v>Sun-il Marble Co.</v>
          </cell>
        </row>
        <row r="114">
          <cell r="B114">
            <v>316</v>
          </cell>
          <cell r="D114" t="str">
            <v>양완목</v>
          </cell>
          <cell r="E114" t="str">
            <v>Yang, Wan-mok</v>
          </cell>
        </row>
        <row r="115">
          <cell r="B115">
            <v>317</v>
          </cell>
          <cell r="D115" t="str">
            <v>홍달유</v>
          </cell>
          <cell r="E115" t="str">
            <v>Hong, Dal-yoo</v>
          </cell>
        </row>
        <row r="116">
          <cell r="B116">
            <v>318</v>
          </cell>
          <cell r="D116" t="str">
            <v>이인행</v>
          </cell>
          <cell r="E116" t="str">
            <v>Lee, In-Heang</v>
          </cell>
        </row>
        <row r="117">
          <cell r="B117">
            <v>319</v>
          </cell>
          <cell r="D117" t="str">
            <v>이기호</v>
          </cell>
          <cell r="E117" t="str">
            <v>Lee, Ki-ho</v>
          </cell>
        </row>
        <row r="118">
          <cell r="B118">
            <v>320</v>
          </cell>
          <cell r="D118" t="str">
            <v>(주)뉴욕제과</v>
          </cell>
          <cell r="E118" t="str">
            <v>New York Bakery Co.</v>
          </cell>
        </row>
        <row r="119">
          <cell r="B119">
            <v>321</v>
          </cell>
          <cell r="D119" t="str">
            <v>이태창</v>
          </cell>
          <cell r="E119" t="str">
            <v>Lee-TaeChang</v>
          </cell>
        </row>
        <row r="120">
          <cell r="B120">
            <v>322</v>
          </cell>
          <cell r="D120" t="str">
            <v>이정주</v>
          </cell>
          <cell r="E120" t="str">
            <v>Lee-JungJu</v>
          </cell>
        </row>
        <row r="121">
          <cell r="B121">
            <v>323</v>
          </cell>
          <cell r="D121" t="str">
            <v>(주)일성산업안전</v>
          </cell>
        </row>
        <row r="122">
          <cell r="B122">
            <v>324</v>
          </cell>
          <cell r="D122" t="str">
            <v>(주)신어패럴</v>
          </cell>
        </row>
        <row r="123">
          <cell r="B123">
            <v>325</v>
          </cell>
          <cell r="D123" t="str">
            <v>현성전기상사-엄기성</v>
          </cell>
        </row>
        <row r="124">
          <cell r="B124">
            <v>326</v>
          </cell>
          <cell r="D124" t="str">
            <v>광진상사-홍사선</v>
          </cell>
          <cell r="E124" t="str">
            <v>Hong-SaSun</v>
          </cell>
        </row>
        <row r="125">
          <cell r="B125">
            <v>327</v>
          </cell>
          <cell r="D125" t="str">
            <v>양우식</v>
          </cell>
          <cell r="E125" t="str">
            <v>Yang-WooSick</v>
          </cell>
        </row>
        <row r="126">
          <cell r="B126">
            <v>328</v>
          </cell>
          <cell r="D126" t="str">
            <v>이상복</v>
          </cell>
          <cell r="E126" t="str">
            <v>Lee-SangBok</v>
          </cell>
        </row>
        <row r="127">
          <cell r="B127">
            <v>329</v>
          </cell>
          <cell r="D127" t="str">
            <v>보령석재-윤남선</v>
          </cell>
          <cell r="E127" t="str">
            <v>Yun-NamSun</v>
          </cell>
        </row>
        <row r="128">
          <cell r="B128">
            <v>330</v>
          </cell>
          <cell r="D128" t="str">
            <v>김재우</v>
          </cell>
          <cell r="E128" t="str">
            <v>Kim-JaeWoo</v>
          </cell>
        </row>
        <row r="129">
          <cell r="B129">
            <v>331</v>
          </cell>
          <cell r="D129" t="str">
            <v>죠디아클럽-최은희</v>
          </cell>
          <cell r="E129" t="str">
            <v>Choi-EunHee</v>
          </cell>
        </row>
        <row r="130">
          <cell r="B130">
            <v>332</v>
          </cell>
          <cell r="D130" t="str">
            <v>정하근</v>
          </cell>
          <cell r="E130" t="str">
            <v>Jung-HaKun</v>
          </cell>
        </row>
        <row r="131">
          <cell r="B131">
            <v>333</v>
          </cell>
          <cell r="D131" t="str">
            <v>정춘기</v>
          </cell>
          <cell r="E131" t="str">
            <v>Jung-ChunKi</v>
          </cell>
        </row>
        <row r="132">
          <cell r="B132">
            <v>334</v>
          </cell>
          <cell r="D132" t="str">
            <v>인창하이츠빌라일동-문병래</v>
          </cell>
          <cell r="E132" t="str">
            <v>Moon-ByungLae</v>
          </cell>
        </row>
        <row r="133">
          <cell r="B133">
            <v>335</v>
          </cell>
          <cell r="D133" t="str">
            <v>(주)준왕산업</v>
          </cell>
        </row>
        <row r="134">
          <cell r="B134">
            <v>336</v>
          </cell>
          <cell r="D134" t="str">
            <v>소합기업-최남정</v>
          </cell>
          <cell r="E134" t="str">
            <v>Choi-NamJung</v>
          </cell>
        </row>
        <row r="135">
          <cell r="B135">
            <v>337</v>
          </cell>
          <cell r="D135" t="str">
            <v>청운어학학원-성진모</v>
          </cell>
          <cell r="E135" t="str">
            <v>Seong-JinMo</v>
          </cell>
        </row>
        <row r="136">
          <cell r="B136">
            <v>338</v>
          </cell>
          <cell r="D136" t="str">
            <v>아흐바루-이순옥</v>
          </cell>
          <cell r="E136" t="str">
            <v>Lee-SunOak</v>
          </cell>
        </row>
        <row r="137">
          <cell r="B137">
            <v>339</v>
          </cell>
          <cell r="D137" t="str">
            <v>(주)대양공업</v>
          </cell>
        </row>
        <row r="138">
          <cell r="B138">
            <v>340</v>
          </cell>
          <cell r="D138" t="str">
            <v>(주)대한로재</v>
          </cell>
        </row>
        <row r="139">
          <cell r="B139">
            <v>342</v>
          </cell>
          <cell r="D139" t="str">
            <v>한영엠앤드아이</v>
          </cell>
        </row>
        <row r="140">
          <cell r="B140">
            <v>343</v>
          </cell>
          <cell r="D140" t="str">
            <v>신윤식</v>
          </cell>
        </row>
        <row r="141">
          <cell r="B141">
            <v>344</v>
          </cell>
          <cell r="D141" t="str">
            <v>강명순</v>
          </cell>
        </row>
        <row r="142">
          <cell r="B142">
            <v>345</v>
          </cell>
          <cell r="D142" t="str">
            <v>장규만</v>
          </cell>
        </row>
        <row r="143">
          <cell r="B143">
            <v>346</v>
          </cell>
          <cell r="D143" t="str">
            <v>클래식시네마오즈</v>
          </cell>
        </row>
        <row r="144">
          <cell r="B144">
            <v>347</v>
          </cell>
          <cell r="D144" t="str">
            <v>조관호</v>
          </cell>
        </row>
        <row r="145">
          <cell r="B145">
            <v>348</v>
          </cell>
          <cell r="D145" t="str">
            <v>조현수</v>
          </cell>
          <cell r="E145" t="str">
            <v>Cho, hyun shu</v>
          </cell>
        </row>
        <row r="146">
          <cell r="B146">
            <v>349</v>
          </cell>
          <cell r="D146" t="str">
            <v>송정환</v>
          </cell>
          <cell r="E146" t="str">
            <v>Song, sung han</v>
          </cell>
        </row>
        <row r="147">
          <cell r="B147">
            <v>350</v>
          </cell>
          <cell r="D147" t="str">
            <v>이흥석-이성전기</v>
          </cell>
          <cell r="E147" t="str">
            <v>Lee, hung suk</v>
          </cell>
        </row>
        <row r="148">
          <cell r="B148">
            <v>351</v>
          </cell>
          <cell r="D148" t="str">
            <v>본가설렁탕-안춘자</v>
          </cell>
          <cell r="E148" t="str">
            <v>Ahn-ChunJa</v>
          </cell>
        </row>
        <row r="149">
          <cell r="B149">
            <v>352</v>
          </cell>
          <cell r="D149" t="str">
            <v>서울통신-유재훈</v>
          </cell>
          <cell r="E149" t="str">
            <v>Yu-JaeHun</v>
          </cell>
        </row>
        <row r="150">
          <cell r="B150">
            <v>353</v>
          </cell>
          <cell r="D150" t="str">
            <v>정락희</v>
          </cell>
          <cell r="E150" t="str">
            <v>Jung-RakHee</v>
          </cell>
        </row>
        <row r="151">
          <cell r="B151">
            <v>354</v>
          </cell>
          <cell r="D151" t="str">
            <v>(주)열린마음</v>
          </cell>
        </row>
        <row r="152">
          <cell r="B152">
            <v>355</v>
          </cell>
          <cell r="D152" t="str">
            <v>(주)에스피시</v>
          </cell>
        </row>
        <row r="153">
          <cell r="B153">
            <v>356</v>
          </cell>
          <cell r="D153" t="str">
            <v>태림조경산업</v>
          </cell>
        </row>
        <row r="154">
          <cell r="B154">
            <v>357</v>
          </cell>
          <cell r="D154" t="str">
            <v>최재웅</v>
          </cell>
          <cell r="E154" t="str">
            <v>Choi-JaeWoong</v>
          </cell>
        </row>
        <row r="155">
          <cell r="B155">
            <v>358</v>
          </cell>
          <cell r="D155" t="str">
            <v>두영전산시스템</v>
          </cell>
        </row>
        <row r="156">
          <cell r="B156">
            <v>359</v>
          </cell>
          <cell r="D156" t="str">
            <v>서광순</v>
          </cell>
          <cell r="E156" t="str">
            <v>Seo-KwangSoon</v>
          </cell>
        </row>
        <row r="157">
          <cell r="B157">
            <v>360</v>
          </cell>
          <cell r="D157" t="str">
            <v>(주)대봉아트</v>
          </cell>
        </row>
        <row r="158">
          <cell r="B158">
            <v>361</v>
          </cell>
          <cell r="D158" t="str">
            <v>오정균</v>
          </cell>
          <cell r="E158" t="str">
            <v>Oh-JungGun</v>
          </cell>
        </row>
        <row r="159">
          <cell r="B159">
            <v>362</v>
          </cell>
          <cell r="D159" t="str">
            <v>세일전기조명-이진섭</v>
          </cell>
        </row>
        <row r="160">
          <cell r="B160">
            <v>363</v>
          </cell>
          <cell r="D160" t="str">
            <v>선진시스템-이진섭</v>
          </cell>
          <cell r="E160" t="str">
            <v>Lee-JinSeup</v>
          </cell>
        </row>
        <row r="161">
          <cell r="B161">
            <v>364</v>
          </cell>
          <cell r="D161" t="str">
            <v>윤병석</v>
          </cell>
        </row>
        <row r="162">
          <cell r="B162">
            <v>365</v>
          </cell>
          <cell r="D162" t="str">
            <v>정동주</v>
          </cell>
          <cell r="E162" t="str">
            <v>Jung-DongJu</v>
          </cell>
        </row>
        <row r="163">
          <cell r="B163">
            <v>366</v>
          </cell>
          <cell r="D163" t="str">
            <v>손명순</v>
          </cell>
          <cell r="E163" t="str">
            <v>Son-MyungSun</v>
          </cell>
        </row>
        <row r="164">
          <cell r="B164">
            <v>367</v>
          </cell>
          <cell r="D164" t="str">
            <v>장계희</v>
          </cell>
          <cell r="E164" t="str">
            <v>Jang-KeiHee</v>
          </cell>
        </row>
        <row r="165">
          <cell r="B165">
            <v>368</v>
          </cell>
          <cell r="D165" t="str">
            <v>성광체인 권선수퍼 박상구</v>
          </cell>
          <cell r="E165" t="str">
            <v>Park-SangGu</v>
          </cell>
        </row>
        <row r="166">
          <cell r="B166">
            <v>369</v>
          </cell>
          <cell r="D166" t="str">
            <v>심승욱</v>
          </cell>
          <cell r="E166" t="str">
            <v>Shim-SungWook</v>
          </cell>
        </row>
        <row r="167">
          <cell r="B167">
            <v>370</v>
          </cell>
          <cell r="D167" t="str">
            <v>세원산업-김세영</v>
          </cell>
          <cell r="E167" t="str">
            <v>Kim-SaeYoung</v>
          </cell>
        </row>
        <row r="168">
          <cell r="B168">
            <v>371</v>
          </cell>
          <cell r="D168" t="str">
            <v>이정민</v>
          </cell>
        </row>
        <row r="169">
          <cell r="B169">
            <v>372</v>
          </cell>
          <cell r="D169" t="str">
            <v>성기표</v>
          </cell>
        </row>
        <row r="170">
          <cell r="B170">
            <v>373</v>
          </cell>
          <cell r="D170" t="str">
            <v>정낙현</v>
          </cell>
        </row>
        <row r="171">
          <cell r="B171">
            <v>374</v>
          </cell>
          <cell r="D171" t="str">
            <v>공효숙</v>
          </cell>
        </row>
        <row r="172">
          <cell r="B172">
            <v>375</v>
          </cell>
          <cell r="D172" t="str">
            <v>민대복</v>
          </cell>
        </row>
        <row r="173">
          <cell r="B173">
            <v>376</v>
          </cell>
          <cell r="D173" t="str">
            <v>황미숙</v>
          </cell>
        </row>
        <row r="174">
          <cell r="B174">
            <v>377</v>
          </cell>
          <cell r="D174" t="str">
            <v>신행웅</v>
          </cell>
        </row>
        <row r="175">
          <cell r="B175">
            <v>378</v>
          </cell>
          <cell r="D175" t="str">
            <v>(주)대양비지네스</v>
          </cell>
          <cell r="E175" t="str">
            <v>DaeYang Business Co., Ltd.</v>
          </cell>
        </row>
        <row r="176">
          <cell r="B176">
            <v>379</v>
          </cell>
          <cell r="D176" t="str">
            <v>김기모</v>
          </cell>
        </row>
        <row r="177">
          <cell r="B177">
            <v>380</v>
          </cell>
          <cell r="D177" t="str">
            <v>김영훈</v>
          </cell>
        </row>
        <row r="178">
          <cell r="B178">
            <v>381</v>
          </cell>
          <cell r="D178" t="str">
            <v>(주)남성상재</v>
          </cell>
        </row>
        <row r="179">
          <cell r="B179">
            <v>382</v>
          </cell>
          <cell r="D179" t="str">
            <v>대성냉장식품(주)</v>
          </cell>
        </row>
        <row r="180">
          <cell r="B180">
            <v>383</v>
          </cell>
          <cell r="D180" t="str">
            <v>대대산업개발(주)</v>
          </cell>
        </row>
        <row r="181">
          <cell r="B181">
            <v>384</v>
          </cell>
          <cell r="D181" t="str">
            <v>이영희</v>
          </cell>
        </row>
        <row r="182">
          <cell r="B182">
            <v>385</v>
          </cell>
          <cell r="D182" t="str">
            <v>장호순</v>
          </cell>
        </row>
        <row r="183">
          <cell r="B183">
            <v>386</v>
          </cell>
          <cell r="D183" t="str">
            <v>이정남</v>
          </cell>
        </row>
        <row r="184">
          <cell r="B184">
            <v>387</v>
          </cell>
          <cell r="D184" t="str">
            <v>심능섭</v>
          </cell>
        </row>
        <row r="185">
          <cell r="B185">
            <v>388</v>
          </cell>
          <cell r="D185" t="str">
            <v>이계주</v>
          </cell>
        </row>
        <row r="186">
          <cell r="B186">
            <v>389</v>
          </cell>
          <cell r="D186" t="str">
            <v>김군일</v>
          </cell>
        </row>
        <row r="187">
          <cell r="B187">
            <v>391</v>
          </cell>
          <cell r="D187" t="str">
            <v>박숙정</v>
          </cell>
        </row>
        <row r="188">
          <cell r="B188">
            <v>392</v>
          </cell>
          <cell r="D188" t="str">
            <v>박진석</v>
          </cell>
        </row>
        <row r="189">
          <cell r="B189">
            <v>393</v>
          </cell>
          <cell r="D189" t="str">
            <v>박순분</v>
          </cell>
        </row>
        <row r="190">
          <cell r="B190">
            <v>394</v>
          </cell>
          <cell r="D190" t="str">
            <v>아람정공(주)</v>
          </cell>
        </row>
        <row r="191">
          <cell r="B191">
            <v>395</v>
          </cell>
          <cell r="D191" t="str">
            <v>대유토건(주)</v>
          </cell>
        </row>
        <row r="192">
          <cell r="B192">
            <v>396</v>
          </cell>
          <cell r="D192" t="str">
            <v>심성택</v>
          </cell>
        </row>
        <row r="193">
          <cell r="B193">
            <v>397</v>
          </cell>
          <cell r="D193" t="str">
            <v>한창유통 윤숙</v>
          </cell>
        </row>
        <row r="194">
          <cell r="B194">
            <v>398</v>
          </cell>
          <cell r="D194" t="str">
            <v>박문주</v>
          </cell>
        </row>
        <row r="195">
          <cell r="B195">
            <v>399</v>
          </cell>
          <cell r="D195" t="str">
            <v>임상호</v>
          </cell>
        </row>
        <row r="196">
          <cell r="B196">
            <v>400</v>
          </cell>
          <cell r="D196" t="str">
            <v>장명숙</v>
          </cell>
        </row>
        <row r="197">
          <cell r="B197">
            <v>401</v>
          </cell>
          <cell r="D197" t="str">
            <v>이광재</v>
          </cell>
        </row>
        <row r="198">
          <cell r="B198">
            <v>402</v>
          </cell>
          <cell r="D198" t="str">
            <v>(주)리주서키트</v>
          </cell>
        </row>
        <row r="199">
          <cell r="B199">
            <v>403</v>
          </cell>
          <cell r="D199" t="str">
            <v>오성환</v>
          </cell>
        </row>
        <row r="200">
          <cell r="B200">
            <v>404</v>
          </cell>
          <cell r="D200" t="str">
            <v>신완순</v>
          </cell>
        </row>
        <row r="201">
          <cell r="B201">
            <v>405</v>
          </cell>
          <cell r="D201" t="str">
            <v>조병화</v>
          </cell>
        </row>
        <row r="202">
          <cell r="B202">
            <v>406</v>
          </cell>
          <cell r="D202" t="str">
            <v>이미순</v>
          </cell>
        </row>
        <row r="203">
          <cell r="B203">
            <v>407</v>
          </cell>
          <cell r="D203" t="str">
            <v>강대혁</v>
          </cell>
        </row>
        <row r="204">
          <cell r="B204">
            <v>408</v>
          </cell>
          <cell r="D204" t="str">
            <v>이성이</v>
          </cell>
        </row>
        <row r="205">
          <cell r="B205">
            <v>409</v>
          </cell>
          <cell r="D205" t="str">
            <v>김혁</v>
          </cell>
        </row>
        <row r="206">
          <cell r="B206">
            <v>410</v>
          </cell>
          <cell r="D206" t="str">
            <v>최윤기</v>
          </cell>
        </row>
        <row r="207">
          <cell r="B207">
            <v>412</v>
          </cell>
          <cell r="D207" t="str">
            <v>젤로존(주)</v>
          </cell>
        </row>
        <row r="208">
          <cell r="B208">
            <v>413</v>
          </cell>
          <cell r="D208" t="str">
            <v>임정순</v>
          </cell>
        </row>
        <row r="209">
          <cell r="B209">
            <v>414</v>
          </cell>
          <cell r="D209" t="str">
            <v>장동훈</v>
          </cell>
        </row>
        <row r="210">
          <cell r="B210">
            <v>415</v>
          </cell>
          <cell r="D210" t="str">
            <v>동산건철 오호진</v>
          </cell>
        </row>
        <row r="211">
          <cell r="B211">
            <v>416</v>
          </cell>
          <cell r="D211" t="str">
            <v>(주)제프코럴 구 승환물산(주)</v>
          </cell>
        </row>
        <row r="212">
          <cell r="B212">
            <v>417</v>
          </cell>
          <cell r="D212" t="str">
            <v>박동린</v>
          </cell>
        </row>
        <row r="213">
          <cell r="B213">
            <v>418</v>
          </cell>
          <cell r="D213" t="str">
            <v>명병주</v>
          </cell>
        </row>
        <row r="214">
          <cell r="B214">
            <v>419</v>
          </cell>
          <cell r="D214" t="str">
            <v>전일복</v>
          </cell>
        </row>
        <row r="215">
          <cell r="B215">
            <v>420</v>
          </cell>
          <cell r="D215" t="str">
            <v>조연일</v>
          </cell>
        </row>
        <row r="216">
          <cell r="B216">
            <v>421</v>
          </cell>
          <cell r="D216" t="str">
            <v>백남우</v>
          </cell>
        </row>
        <row r="217">
          <cell r="B217">
            <v>422</v>
          </cell>
          <cell r="D217" t="str">
            <v>김동원</v>
          </cell>
        </row>
        <row r="218">
          <cell r="B218">
            <v>423</v>
          </cell>
          <cell r="D218" t="str">
            <v>우일필름(주)</v>
          </cell>
        </row>
        <row r="219">
          <cell r="B219">
            <v>424</v>
          </cell>
          <cell r="D219" t="str">
            <v>함은재</v>
          </cell>
        </row>
        <row r="220">
          <cell r="B220">
            <v>425</v>
          </cell>
          <cell r="D220" t="str">
            <v>이선행</v>
          </cell>
        </row>
        <row r="221">
          <cell r="B221">
            <v>426</v>
          </cell>
          <cell r="D221" t="str">
            <v>이경이</v>
          </cell>
        </row>
        <row r="222">
          <cell r="B222">
            <v>427</v>
          </cell>
          <cell r="D222" t="str">
            <v>송근자</v>
          </cell>
        </row>
        <row r="223">
          <cell r="B223">
            <v>428</v>
          </cell>
          <cell r="D223" t="str">
            <v>홍성진-성진기공</v>
          </cell>
        </row>
        <row r="224">
          <cell r="B224">
            <v>429</v>
          </cell>
          <cell r="D224" t="str">
            <v>강미숙</v>
          </cell>
        </row>
        <row r="225">
          <cell r="B225">
            <v>430</v>
          </cell>
          <cell r="D225" t="str">
            <v>이왕건</v>
          </cell>
        </row>
        <row r="226">
          <cell r="B226">
            <v>431</v>
          </cell>
          <cell r="D226" t="str">
            <v>박건용</v>
          </cell>
        </row>
        <row r="227">
          <cell r="B227">
            <v>432</v>
          </cell>
          <cell r="D227" t="str">
            <v>문명욱</v>
          </cell>
        </row>
        <row r="228">
          <cell r="B228">
            <v>433</v>
          </cell>
          <cell r="D228" t="str">
            <v>박규진</v>
          </cell>
        </row>
        <row r="229">
          <cell r="B229">
            <v>434</v>
          </cell>
          <cell r="D229" t="str">
            <v>신천순</v>
          </cell>
        </row>
        <row r="230">
          <cell r="B230">
            <v>435</v>
          </cell>
          <cell r="D230" t="str">
            <v>백창봉</v>
          </cell>
        </row>
        <row r="231">
          <cell r="B231">
            <v>436</v>
          </cell>
          <cell r="D231" t="str">
            <v>오희국-성도엔지니어링</v>
          </cell>
        </row>
        <row r="232">
          <cell r="B232">
            <v>437</v>
          </cell>
          <cell r="D232" t="str">
            <v>(주)동원자동차</v>
          </cell>
        </row>
        <row r="233">
          <cell r="B233">
            <v>438</v>
          </cell>
          <cell r="D233" t="str">
            <v>김종범</v>
          </cell>
        </row>
        <row r="234">
          <cell r="B234">
            <v>439</v>
          </cell>
          <cell r="D234" t="str">
            <v>남송환</v>
          </cell>
        </row>
        <row r="235">
          <cell r="B235">
            <v>440</v>
          </cell>
          <cell r="D235" t="str">
            <v>우종득</v>
          </cell>
        </row>
        <row r="236">
          <cell r="B236">
            <v>442</v>
          </cell>
          <cell r="D236" t="str">
            <v>주영일-국제물산</v>
          </cell>
        </row>
        <row r="237">
          <cell r="B237">
            <v>443</v>
          </cell>
          <cell r="D237" t="str">
            <v>송경란</v>
          </cell>
        </row>
        <row r="238">
          <cell r="B238">
            <v>444</v>
          </cell>
          <cell r="D238" t="str">
            <v>윤종성</v>
          </cell>
        </row>
        <row r="239">
          <cell r="B239">
            <v>445</v>
          </cell>
          <cell r="D239" t="str">
            <v>박순창-국민문구사</v>
          </cell>
        </row>
        <row r="240">
          <cell r="B240">
            <v>446</v>
          </cell>
          <cell r="D240" t="str">
            <v>박희원</v>
          </cell>
        </row>
        <row r="241">
          <cell r="B241">
            <v>447</v>
          </cell>
          <cell r="D241" t="str">
            <v>(주)신일씨스템</v>
          </cell>
        </row>
        <row r="242">
          <cell r="B242">
            <v>448</v>
          </cell>
          <cell r="D242" t="str">
            <v>김병만</v>
          </cell>
        </row>
        <row r="243">
          <cell r="B243">
            <v>449</v>
          </cell>
          <cell r="D243" t="str">
            <v>장회익</v>
          </cell>
        </row>
        <row r="244">
          <cell r="B244">
            <v>450</v>
          </cell>
          <cell r="D244" t="str">
            <v>문영희</v>
          </cell>
        </row>
        <row r="245">
          <cell r="B245">
            <v>451</v>
          </cell>
          <cell r="D245" t="str">
            <v>정환기</v>
          </cell>
        </row>
        <row r="246">
          <cell r="B246">
            <v>452</v>
          </cell>
          <cell r="D246" t="str">
            <v>윤석란</v>
          </cell>
        </row>
        <row r="247">
          <cell r="B247">
            <v>453</v>
          </cell>
          <cell r="D247" t="str">
            <v>최갑열</v>
          </cell>
        </row>
        <row r="248">
          <cell r="B248">
            <v>454</v>
          </cell>
          <cell r="D248" t="str">
            <v>유정순</v>
          </cell>
        </row>
        <row r="249">
          <cell r="B249">
            <v>455</v>
          </cell>
          <cell r="D249" t="str">
            <v>(주)대진종합건설</v>
          </cell>
        </row>
        <row r="250">
          <cell r="B250">
            <v>456</v>
          </cell>
          <cell r="D250" t="str">
            <v>손영곤</v>
          </cell>
        </row>
        <row r="251">
          <cell r="B251">
            <v>457</v>
          </cell>
          <cell r="D251" t="str">
            <v>이좌성</v>
          </cell>
        </row>
        <row r="252">
          <cell r="B252">
            <v>458</v>
          </cell>
          <cell r="D252" t="str">
            <v>서종대</v>
          </cell>
        </row>
        <row r="253">
          <cell r="B253">
            <v>459</v>
          </cell>
          <cell r="D253" t="str">
            <v>송장호-동남통상</v>
          </cell>
        </row>
        <row r="254">
          <cell r="B254">
            <v>460</v>
          </cell>
          <cell r="D254" t="str">
            <v>김원식</v>
          </cell>
        </row>
        <row r="255">
          <cell r="B255">
            <v>461</v>
          </cell>
          <cell r="D255" t="str">
            <v>황성기</v>
          </cell>
        </row>
        <row r="256">
          <cell r="B256">
            <v>462</v>
          </cell>
          <cell r="D256" t="str">
            <v>이주순</v>
          </cell>
        </row>
        <row r="257">
          <cell r="B257">
            <v>463</v>
          </cell>
          <cell r="D257" t="str">
            <v>김남균-신태양농장</v>
          </cell>
        </row>
        <row r="258">
          <cell r="B258">
            <v>464</v>
          </cell>
          <cell r="D258" t="str">
            <v>박정님</v>
          </cell>
        </row>
        <row r="259">
          <cell r="B259">
            <v>465</v>
          </cell>
          <cell r="D259" t="str">
            <v>양운호-대성건재</v>
          </cell>
        </row>
        <row r="260">
          <cell r="B260">
            <v>466</v>
          </cell>
          <cell r="D260" t="str">
            <v>허승무</v>
          </cell>
        </row>
        <row r="261">
          <cell r="B261">
            <v>467</v>
          </cell>
          <cell r="D261" t="str">
            <v>강승구-피크닉식품</v>
          </cell>
        </row>
        <row r="262">
          <cell r="B262">
            <v>468</v>
          </cell>
          <cell r="D262" t="str">
            <v>배호순</v>
          </cell>
        </row>
        <row r="263">
          <cell r="B263">
            <v>469</v>
          </cell>
          <cell r="D263" t="str">
            <v>(주)덕신뉴텍-송정환</v>
          </cell>
        </row>
        <row r="264">
          <cell r="B264">
            <v>470</v>
          </cell>
          <cell r="D264" t="str">
            <v>이상열</v>
          </cell>
        </row>
        <row r="265">
          <cell r="B265">
            <v>471</v>
          </cell>
          <cell r="D265" t="str">
            <v>이상순</v>
          </cell>
        </row>
        <row r="266">
          <cell r="B266">
            <v>472</v>
          </cell>
          <cell r="D266" t="str">
            <v>배윤환</v>
          </cell>
        </row>
        <row r="267">
          <cell r="B267">
            <v>473</v>
          </cell>
          <cell r="D267" t="str">
            <v>이종례</v>
          </cell>
        </row>
        <row r="268">
          <cell r="B268">
            <v>474</v>
          </cell>
          <cell r="D268" t="str">
            <v>원순옥</v>
          </cell>
        </row>
        <row r="269">
          <cell r="B269">
            <v>475</v>
          </cell>
          <cell r="D269" t="str">
            <v>(주)예원리빙패션</v>
          </cell>
        </row>
        <row r="270">
          <cell r="B270">
            <v>476</v>
          </cell>
          <cell r="D270" t="str">
            <v>(주)대일금형</v>
          </cell>
        </row>
        <row r="271">
          <cell r="B271">
            <v>477</v>
          </cell>
          <cell r="D271" t="str">
            <v>이원삼</v>
          </cell>
        </row>
        <row r="272">
          <cell r="B272">
            <v>479</v>
          </cell>
          <cell r="D272" t="str">
            <v>(주)중앙식품공업</v>
          </cell>
        </row>
        <row r="273">
          <cell r="B273">
            <v>481</v>
          </cell>
          <cell r="D273" t="str">
            <v>이성분</v>
          </cell>
          <cell r="E273" t="str">
            <v>Lee, sung bun</v>
          </cell>
        </row>
        <row r="274">
          <cell r="B274">
            <v>482</v>
          </cell>
          <cell r="D274" t="str">
            <v>권준기</v>
          </cell>
        </row>
        <row r="275">
          <cell r="B275">
            <v>483</v>
          </cell>
          <cell r="D275" t="str">
            <v>방제혁-청운실업</v>
          </cell>
        </row>
        <row r="276">
          <cell r="B276">
            <v>484</v>
          </cell>
          <cell r="D276" t="str">
            <v>임종민</v>
          </cell>
        </row>
        <row r="277">
          <cell r="B277">
            <v>485</v>
          </cell>
          <cell r="D277" t="str">
            <v>김기홍</v>
          </cell>
        </row>
        <row r="278">
          <cell r="B278">
            <v>486</v>
          </cell>
          <cell r="D278" t="str">
            <v>정명자-평양초계탕</v>
          </cell>
        </row>
        <row r="279">
          <cell r="B279">
            <v>487</v>
          </cell>
          <cell r="D279" t="str">
            <v>김국태-모나코제화</v>
          </cell>
        </row>
        <row r="280">
          <cell r="B280">
            <v>488</v>
          </cell>
          <cell r="D280" t="str">
            <v>김인태</v>
          </cell>
        </row>
        <row r="281">
          <cell r="B281">
            <v>489</v>
          </cell>
          <cell r="D281" t="str">
            <v>금진상공</v>
          </cell>
          <cell r="E281" t="str">
            <v>Kumjin Industrial Co.</v>
          </cell>
        </row>
        <row r="282">
          <cell r="B282">
            <v>490</v>
          </cell>
          <cell r="D282" t="str">
            <v>(주)피엠씨코리아</v>
          </cell>
          <cell r="E282" t="str">
            <v xml:space="preserve">P.M.C Korea Co.,Ltd. </v>
          </cell>
        </row>
        <row r="283">
          <cell r="B283">
            <v>491</v>
          </cell>
          <cell r="D283" t="str">
            <v>(주)금촌건설</v>
          </cell>
          <cell r="E283" t="str">
            <v>Kumchon Construction Co.,Ltd.</v>
          </cell>
        </row>
        <row r="284">
          <cell r="B284">
            <v>492</v>
          </cell>
          <cell r="D284" t="str">
            <v>남궁순-선릉맥섬석 체험실</v>
          </cell>
        </row>
        <row r="285">
          <cell r="B285">
            <v>493</v>
          </cell>
          <cell r="D285" t="str">
            <v>(주)홍해</v>
          </cell>
        </row>
        <row r="286">
          <cell r="B286">
            <v>494</v>
          </cell>
          <cell r="D286" t="str">
            <v>김자영</v>
          </cell>
        </row>
        <row r="287">
          <cell r="B287">
            <v>495</v>
          </cell>
          <cell r="D287" t="str">
            <v>최용태</v>
          </cell>
        </row>
        <row r="288">
          <cell r="B288">
            <v>496</v>
          </cell>
          <cell r="D288" t="str">
            <v>서광프랜트</v>
          </cell>
        </row>
        <row r="289">
          <cell r="B289">
            <v>497</v>
          </cell>
          <cell r="D289" t="str">
            <v>지지크리에이션</v>
          </cell>
        </row>
        <row r="290">
          <cell r="B290">
            <v>498</v>
          </cell>
          <cell r="D290" t="str">
            <v>나우엔지니어링</v>
          </cell>
        </row>
        <row r="291">
          <cell r="B291">
            <v>499</v>
          </cell>
          <cell r="D291" t="str">
            <v>김낙규</v>
          </cell>
        </row>
        <row r="292">
          <cell r="B292">
            <v>500</v>
          </cell>
          <cell r="D292" t="str">
            <v>백덕기</v>
          </cell>
        </row>
        <row r="293">
          <cell r="B293">
            <v>501</v>
          </cell>
          <cell r="D293" t="str">
            <v>정정섭</v>
          </cell>
        </row>
        <row r="294">
          <cell r="B294">
            <v>502</v>
          </cell>
          <cell r="D294" t="str">
            <v>배춘례</v>
          </cell>
        </row>
        <row r="295">
          <cell r="B295">
            <v>503</v>
          </cell>
          <cell r="D295" t="str">
            <v>(주)준진</v>
          </cell>
          <cell r="E295" t="str">
            <v>jun jin corporation</v>
          </cell>
        </row>
        <row r="296">
          <cell r="B296">
            <v>504</v>
          </cell>
          <cell r="D296" t="str">
            <v>김정진</v>
          </cell>
        </row>
        <row r="297">
          <cell r="B297">
            <v>505</v>
          </cell>
          <cell r="D297" t="str">
            <v>박정양</v>
          </cell>
          <cell r="E297" t="str">
            <v>Park , jungyang</v>
          </cell>
        </row>
        <row r="298">
          <cell r="B298">
            <v>506</v>
          </cell>
          <cell r="D298" t="str">
            <v>(주)장미전자</v>
          </cell>
          <cell r="E298" t="str">
            <v>changmi Co, Ltd</v>
          </cell>
        </row>
        <row r="299">
          <cell r="B299">
            <v>507</v>
          </cell>
          <cell r="D299" t="str">
            <v>(주)엠케이월드트레이딩</v>
          </cell>
          <cell r="E299" t="str">
            <v>M,K. WORLD TRADING Co.,Ltd.</v>
          </cell>
        </row>
        <row r="300">
          <cell r="B300">
            <v>508</v>
          </cell>
          <cell r="D300" t="str">
            <v>옥광섬유(주)</v>
          </cell>
        </row>
        <row r="301">
          <cell r="B301">
            <v>510</v>
          </cell>
          <cell r="D301" t="str">
            <v>나어때녹화방-조성문</v>
          </cell>
          <cell r="E301" t="str">
            <v>Cho-SungMun</v>
          </cell>
        </row>
        <row r="302">
          <cell r="B302">
            <v>511</v>
          </cell>
          <cell r="D302" t="str">
            <v>용신 B/L -이병남</v>
          </cell>
          <cell r="E302" t="str">
            <v>Lee-ByungNam</v>
          </cell>
        </row>
        <row r="303">
          <cell r="B303">
            <v>512</v>
          </cell>
          <cell r="D303" t="str">
            <v>유승준</v>
          </cell>
          <cell r="E303" t="str">
            <v>Yu-SeongJun</v>
          </cell>
        </row>
        <row r="304">
          <cell r="B304">
            <v>513</v>
          </cell>
          <cell r="D304" t="str">
            <v>대아산업-박헌복</v>
          </cell>
          <cell r="E304" t="str">
            <v>Park-HunBok</v>
          </cell>
        </row>
        <row r="305">
          <cell r="B305">
            <v>514</v>
          </cell>
          <cell r="D305" t="str">
            <v>경성화학-전춘택</v>
          </cell>
          <cell r="E305" t="str">
            <v>Chun-CunTak</v>
          </cell>
        </row>
        <row r="306">
          <cell r="B306">
            <v>515</v>
          </cell>
          <cell r="D306" t="str">
            <v>(주)청학텍스타일</v>
          </cell>
        </row>
        <row r="307">
          <cell r="B307">
            <v>516</v>
          </cell>
          <cell r="D307" t="str">
            <v>(주)환진텍스타일</v>
          </cell>
        </row>
        <row r="308">
          <cell r="B308">
            <v>518</v>
          </cell>
          <cell r="D308" t="str">
            <v>이갑순</v>
          </cell>
        </row>
        <row r="309">
          <cell r="B309">
            <v>519</v>
          </cell>
          <cell r="D309" t="str">
            <v>이만용</v>
          </cell>
        </row>
        <row r="310">
          <cell r="B310">
            <v>520</v>
          </cell>
          <cell r="D310" t="str">
            <v>이형인</v>
          </cell>
        </row>
        <row r="311">
          <cell r="B311">
            <v>521</v>
          </cell>
          <cell r="D311" t="str">
            <v>(주)신성식품냉동냉장</v>
          </cell>
        </row>
        <row r="312">
          <cell r="B312">
            <v>522</v>
          </cell>
          <cell r="D312" t="str">
            <v>(주)전일</v>
          </cell>
        </row>
        <row r="313">
          <cell r="B313">
            <v>524</v>
          </cell>
          <cell r="D313" t="str">
            <v>(주)태아무역</v>
          </cell>
        </row>
        <row r="314">
          <cell r="B314">
            <v>525</v>
          </cell>
          <cell r="D314" t="str">
            <v>관영실업</v>
          </cell>
        </row>
        <row r="315">
          <cell r="B315">
            <v>526</v>
          </cell>
          <cell r="D315" t="str">
            <v>유석열</v>
          </cell>
        </row>
        <row r="316">
          <cell r="B316">
            <v>527</v>
          </cell>
          <cell r="D316" t="str">
            <v>최준웅</v>
          </cell>
        </row>
        <row r="317">
          <cell r="B317">
            <v>528</v>
          </cell>
          <cell r="D317" t="str">
            <v>김미경</v>
          </cell>
        </row>
        <row r="318">
          <cell r="B318">
            <v>529</v>
          </cell>
          <cell r="D318" t="str">
            <v>김여겸</v>
          </cell>
        </row>
        <row r="319">
          <cell r="B319">
            <v>530</v>
          </cell>
          <cell r="D319" t="str">
            <v>김용기</v>
          </cell>
        </row>
        <row r="320">
          <cell r="B320">
            <v>531</v>
          </cell>
          <cell r="D320" t="str">
            <v>이재권-거성물산</v>
          </cell>
        </row>
        <row r="321">
          <cell r="B321">
            <v>532</v>
          </cell>
          <cell r="D321" t="str">
            <v>백호상사</v>
          </cell>
        </row>
        <row r="322">
          <cell r="B322">
            <v>533</v>
          </cell>
          <cell r="D322" t="str">
            <v>김왕</v>
          </cell>
        </row>
        <row r="323">
          <cell r="B323">
            <v>534</v>
          </cell>
          <cell r="D323" t="str">
            <v>남명자</v>
          </cell>
        </row>
        <row r="324">
          <cell r="B324">
            <v>535</v>
          </cell>
          <cell r="D324" t="str">
            <v>한진중장비</v>
          </cell>
        </row>
        <row r="325">
          <cell r="B325">
            <v>105</v>
          </cell>
          <cell r="C325" t="str">
            <v>Top</v>
          </cell>
          <cell r="D325" t="str">
            <v>(주) 우성건설</v>
          </cell>
          <cell r="E325" t="str">
            <v>Woosung Construction Co.,Ltd</v>
          </cell>
          <cell r="F325" t="str">
            <v>Other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XXXXX"/>
      <sheetName val="VXXX"/>
      <sheetName val="물건Ref"/>
      <sheetName val="채권Ref"/>
      <sheetName val="경매채권별"/>
      <sheetName val="경매물건별"/>
      <sheetName val="신용"/>
      <sheetName val="할인어음"/>
      <sheetName val="할어CF"/>
      <sheetName val="CF총괄"/>
      <sheetName val="Variables"/>
      <sheetName val="RE9604"/>
      <sheetName val="Borrower"/>
      <sheetName val="variable"/>
      <sheetName val="특외대"/>
      <sheetName val="MAIN"/>
      <sheetName val="ENG"/>
      <sheetName val="CONT"/>
      <sheetName val="980731"/>
      <sheetName val="일반CF"/>
      <sheetName val="외주수리비"/>
      <sheetName val="정산표"/>
      <sheetName val="평가보고서"/>
      <sheetName val="수입"/>
      <sheetName val="집계표"/>
      <sheetName val="npv"/>
      <sheetName val="Cashflow(spc)ABCP"/>
      <sheetName val="국외감가상각내역0103"/>
      <sheetName val="시실누(모) "/>
      <sheetName val="현우실적"/>
      <sheetName val="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5">
          <cell r="B15">
            <v>7.3899999999999993E-2</v>
          </cell>
        </row>
        <row r="16">
          <cell r="B16">
            <v>5.0000000000000001E-3</v>
          </cell>
        </row>
        <row r="18">
          <cell r="B18">
            <v>-3.5000000000000001E-3</v>
          </cell>
        </row>
        <row r="19">
          <cell r="B19">
            <v>0</v>
          </cell>
        </row>
        <row r="20">
          <cell r="B20">
            <v>4.4999999999999997E-3</v>
          </cell>
        </row>
        <row r="21">
          <cell r="B21">
            <v>1.3299999999999999E-2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_"/>
      <sheetName val="900-370-64(-)"/>
      <sheetName val="870-370-75.9(-)"/>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대금리"/>
      <sheetName val="check"/>
      <sheetName val="확인서"/>
      <sheetName val="별제권_정리담보권"/>
      <sheetName val="화의채권_정리채권"/>
      <sheetName val="전체 통합"/>
      <sheetName val="계약서상Schedule"/>
      <sheetName val="할인율"/>
      <sheetName val="별제권_정리담보권1"/>
    </sheetNames>
    <sheetDataSet>
      <sheetData sheetId="0" refreshError="1"/>
      <sheetData sheetId="1" refreshError="1"/>
      <sheetData sheetId="2" refreshError="1"/>
      <sheetData sheetId="3" refreshError="1">
        <row r="5">
          <cell r="F5">
            <v>0</v>
          </cell>
          <cell r="L5">
            <v>0</v>
          </cell>
          <cell r="Q5">
            <v>0</v>
          </cell>
          <cell r="R5">
            <v>0</v>
          </cell>
          <cell r="S5">
            <v>0</v>
          </cell>
          <cell r="T5">
            <v>0</v>
          </cell>
          <cell r="U5">
            <v>0</v>
          </cell>
        </row>
        <row r="7">
          <cell r="K7">
            <v>365</v>
          </cell>
          <cell r="S7">
            <v>0</v>
          </cell>
          <cell r="T7">
            <v>0</v>
          </cell>
          <cell r="U7">
            <v>0</v>
          </cell>
          <cell r="V7">
            <v>0</v>
          </cell>
        </row>
        <row r="8">
          <cell r="K8">
            <v>365</v>
          </cell>
          <cell r="S8">
            <v>0</v>
          </cell>
          <cell r="T8">
            <v>0</v>
          </cell>
          <cell r="U8">
            <v>0</v>
          </cell>
          <cell r="V8">
            <v>0</v>
          </cell>
        </row>
        <row r="9">
          <cell r="K9">
            <v>365</v>
          </cell>
          <cell r="S9">
            <v>0</v>
          </cell>
          <cell r="T9">
            <v>0</v>
          </cell>
          <cell r="U9">
            <v>0</v>
          </cell>
          <cell r="V9">
            <v>0</v>
          </cell>
        </row>
        <row r="10">
          <cell r="K10">
            <v>365</v>
          </cell>
          <cell r="S10">
            <v>0</v>
          </cell>
          <cell r="T10">
            <v>0</v>
          </cell>
          <cell r="U10">
            <v>0</v>
          </cell>
          <cell r="V10">
            <v>0</v>
          </cell>
        </row>
        <row r="11">
          <cell r="K11">
            <v>365</v>
          </cell>
          <cell r="S11">
            <v>0</v>
          </cell>
          <cell r="T11">
            <v>0</v>
          </cell>
          <cell r="U11">
            <v>0</v>
          </cell>
          <cell r="V11">
            <v>0</v>
          </cell>
        </row>
        <row r="12">
          <cell r="K12">
            <v>365</v>
          </cell>
          <cell r="S12">
            <v>0</v>
          </cell>
          <cell r="T12">
            <v>0</v>
          </cell>
          <cell r="U12">
            <v>0</v>
          </cell>
          <cell r="V12">
            <v>0</v>
          </cell>
        </row>
        <row r="13">
          <cell r="K13">
            <v>365</v>
          </cell>
          <cell r="S13">
            <v>0</v>
          </cell>
          <cell r="T13">
            <v>0</v>
          </cell>
          <cell r="U13">
            <v>0</v>
          </cell>
          <cell r="V13">
            <v>0</v>
          </cell>
        </row>
        <row r="14">
          <cell r="K14">
            <v>365</v>
          </cell>
          <cell r="S14">
            <v>0</v>
          </cell>
          <cell r="T14">
            <v>0</v>
          </cell>
          <cell r="U14">
            <v>0</v>
          </cell>
          <cell r="V14">
            <v>0</v>
          </cell>
        </row>
        <row r="15">
          <cell r="K15">
            <v>365</v>
          </cell>
          <cell r="S15">
            <v>0</v>
          </cell>
          <cell r="T15">
            <v>0</v>
          </cell>
          <cell r="U15">
            <v>0</v>
          </cell>
          <cell r="V15">
            <v>0</v>
          </cell>
        </row>
        <row r="16">
          <cell r="K16">
            <v>365</v>
          </cell>
          <cell r="S16">
            <v>0</v>
          </cell>
          <cell r="T16">
            <v>0</v>
          </cell>
          <cell r="U16">
            <v>0</v>
          </cell>
          <cell r="V16">
            <v>0</v>
          </cell>
        </row>
        <row r="17">
          <cell r="K17">
            <v>365</v>
          </cell>
          <cell r="S17">
            <v>0</v>
          </cell>
          <cell r="T17">
            <v>0</v>
          </cell>
          <cell r="U17">
            <v>0</v>
          </cell>
          <cell r="V17">
            <v>0</v>
          </cell>
        </row>
        <row r="18">
          <cell r="K18">
            <v>365</v>
          </cell>
          <cell r="S18">
            <v>0</v>
          </cell>
          <cell r="T18">
            <v>0</v>
          </cell>
          <cell r="U18">
            <v>0</v>
          </cell>
          <cell r="V18">
            <v>0</v>
          </cell>
        </row>
        <row r="19">
          <cell r="K19">
            <v>365</v>
          </cell>
          <cell r="S19">
            <v>0</v>
          </cell>
          <cell r="T19">
            <v>0</v>
          </cell>
          <cell r="U19">
            <v>0</v>
          </cell>
          <cell r="V19">
            <v>0</v>
          </cell>
        </row>
        <row r="20">
          <cell r="K20">
            <v>365</v>
          </cell>
          <cell r="S20">
            <v>0</v>
          </cell>
          <cell r="T20">
            <v>0</v>
          </cell>
          <cell r="U20">
            <v>0</v>
          </cell>
          <cell r="V20">
            <v>0</v>
          </cell>
        </row>
        <row r="21">
          <cell r="K21">
            <v>365</v>
          </cell>
          <cell r="S21">
            <v>0</v>
          </cell>
          <cell r="T21">
            <v>0</v>
          </cell>
          <cell r="U21">
            <v>0</v>
          </cell>
          <cell r="V21">
            <v>0</v>
          </cell>
        </row>
        <row r="22">
          <cell r="K22">
            <v>365</v>
          </cell>
          <cell r="S22">
            <v>0</v>
          </cell>
          <cell r="T22">
            <v>0</v>
          </cell>
          <cell r="U22">
            <v>0</v>
          </cell>
          <cell r="V22">
            <v>0</v>
          </cell>
        </row>
        <row r="23">
          <cell r="K23">
            <v>365</v>
          </cell>
          <cell r="S23">
            <v>0</v>
          </cell>
          <cell r="T23">
            <v>0</v>
          </cell>
          <cell r="U23">
            <v>0</v>
          </cell>
          <cell r="V23">
            <v>0</v>
          </cell>
        </row>
        <row r="24">
          <cell r="K24">
            <v>365</v>
          </cell>
          <cell r="S24">
            <v>0</v>
          </cell>
          <cell r="T24">
            <v>0</v>
          </cell>
          <cell r="U24">
            <v>0</v>
          </cell>
          <cell r="V24">
            <v>0</v>
          </cell>
        </row>
        <row r="25">
          <cell r="K25">
            <v>365</v>
          </cell>
          <cell r="S25">
            <v>0</v>
          </cell>
          <cell r="T25">
            <v>0</v>
          </cell>
          <cell r="U25">
            <v>0</v>
          </cell>
          <cell r="V25">
            <v>0</v>
          </cell>
        </row>
        <row r="26">
          <cell r="K26">
            <v>365</v>
          </cell>
          <cell r="S26">
            <v>0</v>
          </cell>
          <cell r="T26">
            <v>0</v>
          </cell>
          <cell r="U26">
            <v>0</v>
          </cell>
          <cell r="V26">
            <v>0</v>
          </cell>
        </row>
        <row r="27">
          <cell r="K27">
            <v>365</v>
          </cell>
          <cell r="S27">
            <v>0</v>
          </cell>
          <cell r="T27">
            <v>0</v>
          </cell>
          <cell r="U27">
            <v>0</v>
          </cell>
          <cell r="V27">
            <v>0</v>
          </cell>
        </row>
        <row r="28">
          <cell r="K28">
            <v>365</v>
          </cell>
          <cell r="S28">
            <v>0</v>
          </cell>
          <cell r="T28">
            <v>0</v>
          </cell>
          <cell r="U28">
            <v>0</v>
          </cell>
          <cell r="V28">
            <v>0</v>
          </cell>
        </row>
        <row r="29">
          <cell r="K29">
            <v>365</v>
          </cell>
          <cell r="S29">
            <v>0</v>
          </cell>
          <cell r="T29">
            <v>0</v>
          </cell>
          <cell r="U29">
            <v>0</v>
          </cell>
          <cell r="V29">
            <v>0</v>
          </cell>
        </row>
        <row r="30">
          <cell r="F30">
            <v>0</v>
          </cell>
          <cell r="J30">
            <v>4</v>
          </cell>
          <cell r="K30">
            <v>365</v>
          </cell>
          <cell r="L30">
            <v>0</v>
          </cell>
          <cell r="S30">
            <v>0</v>
          </cell>
          <cell r="T30">
            <v>0</v>
          </cell>
          <cell r="U30">
            <v>0</v>
          </cell>
          <cell r="V30">
            <v>0</v>
          </cell>
        </row>
        <row r="31">
          <cell r="F31">
            <v>0</v>
          </cell>
          <cell r="J31">
            <v>31</v>
          </cell>
          <cell r="K31">
            <v>365</v>
          </cell>
          <cell r="L31">
            <v>0</v>
          </cell>
          <cell r="S31">
            <v>0</v>
          </cell>
          <cell r="T31">
            <v>0</v>
          </cell>
          <cell r="U31">
            <v>0</v>
          </cell>
          <cell r="V31">
            <v>0</v>
          </cell>
        </row>
        <row r="32">
          <cell r="F32">
            <v>0</v>
          </cell>
          <cell r="J32">
            <v>28</v>
          </cell>
          <cell r="K32">
            <v>365</v>
          </cell>
          <cell r="L32">
            <v>0</v>
          </cell>
          <cell r="S32">
            <v>0</v>
          </cell>
          <cell r="T32">
            <v>0</v>
          </cell>
          <cell r="U32">
            <v>0</v>
          </cell>
          <cell r="V32">
            <v>0</v>
          </cell>
        </row>
        <row r="33">
          <cell r="F33">
            <v>0</v>
          </cell>
          <cell r="J33">
            <v>31</v>
          </cell>
          <cell r="K33">
            <v>365</v>
          </cell>
          <cell r="L33">
            <v>0</v>
          </cell>
          <cell r="S33">
            <v>0</v>
          </cell>
          <cell r="T33">
            <v>0</v>
          </cell>
          <cell r="U33">
            <v>0</v>
          </cell>
          <cell r="V33">
            <v>0</v>
          </cell>
        </row>
        <row r="34">
          <cell r="F34">
            <v>0</v>
          </cell>
          <cell r="J34">
            <v>30</v>
          </cell>
          <cell r="K34">
            <v>365</v>
          </cell>
          <cell r="L34">
            <v>0</v>
          </cell>
          <cell r="S34">
            <v>0</v>
          </cell>
          <cell r="T34">
            <v>0</v>
          </cell>
          <cell r="U34">
            <v>0</v>
          </cell>
          <cell r="V34">
            <v>0</v>
          </cell>
        </row>
        <row r="35">
          <cell r="F35">
            <v>0</v>
          </cell>
          <cell r="J35">
            <v>31</v>
          </cell>
          <cell r="K35">
            <v>365</v>
          </cell>
          <cell r="L35">
            <v>0</v>
          </cell>
          <cell r="M35">
            <v>0</v>
          </cell>
          <cell r="S35">
            <v>0</v>
          </cell>
          <cell r="T35">
            <v>0</v>
          </cell>
          <cell r="U35">
            <v>0</v>
          </cell>
          <cell r="V35">
            <v>0</v>
          </cell>
        </row>
        <row r="36">
          <cell r="F36">
            <v>0</v>
          </cell>
          <cell r="J36">
            <v>30</v>
          </cell>
          <cell r="K36">
            <v>365</v>
          </cell>
          <cell r="L36">
            <v>0</v>
          </cell>
          <cell r="R36">
            <v>0</v>
          </cell>
          <cell r="S36">
            <v>0</v>
          </cell>
          <cell r="T36">
            <v>0</v>
          </cell>
          <cell r="U36">
            <v>0</v>
          </cell>
          <cell r="V36">
            <v>0</v>
          </cell>
        </row>
        <row r="37">
          <cell r="F37">
            <v>0</v>
          </cell>
          <cell r="J37">
            <v>31</v>
          </cell>
          <cell r="K37">
            <v>365</v>
          </cell>
          <cell r="L37">
            <v>0</v>
          </cell>
          <cell r="S37">
            <v>0</v>
          </cell>
          <cell r="T37">
            <v>0</v>
          </cell>
          <cell r="U37">
            <v>0</v>
          </cell>
          <cell r="V37">
            <v>0</v>
          </cell>
        </row>
        <row r="38">
          <cell r="F38">
            <v>0</v>
          </cell>
          <cell r="J38">
            <v>31</v>
          </cell>
          <cell r="K38">
            <v>365</v>
          </cell>
          <cell r="L38">
            <v>0</v>
          </cell>
          <cell r="S38">
            <v>0</v>
          </cell>
          <cell r="T38">
            <v>0</v>
          </cell>
          <cell r="U38">
            <v>0</v>
          </cell>
          <cell r="V38">
            <v>0</v>
          </cell>
        </row>
        <row r="39">
          <cell r="F39">
            <v>0</v>
          </cell>
          <cell r="J39">
            <v>30</v>
          </cell>
          <cell r="K39">
            <v>365</v>
          </cell>
          <cell r="L39">
            <v>0</v>
          </cell>
          <cell r="S39">
            <v>0</v>
          </cell>
          <cell r="T39">
            <v>0</v>
          </cell>
          <cell r="U39">
            <v>0</v>
          </cell>
          <cell r="V39">
            <v>0</v>
          </cell>
        </row>
        <row r="40">
          <cell r="F40">
            <v>0</v>
          </cell>
          <cell r="J40">
            <v>31</v>
          </cell>
          <cell r="K40">
            <v>365</v>
          </cell>
          <cell r="L40">
            <v>0</v>
          </cell>
          <cell r="S40">
            <v>0</v>
          </cell>
          <cell r="T40">
            <v>0</v>
          </cell>
          <cell r="U40">
            <v>0</v>
          </cell>
          <cell r="V40">
            <v>0</v>
          </cell>
        </row>
        <row r="41">
          <cell r="F41">
            <v>0</v>
          </cell>
          <cell r="J41">
            <v>30</v>
          </cell>
          <cell r="K41">
            <v>365</v>
          </cell>
          <cell r="L41">
            <v>0</v>
          </cell>
          <cell r="S41">
            <v>0</v>
          </cell>
          <cell r="T41">
            <v>0</v>
          </cell>
          <cell r="U41">
            <v>0</v>
          </cell>
          <cell r="V41">
            <v>0</v>
          </cell>
        </row>
        <row r="42">
          <cell r="F42">
            <v>0</v>
          </cell>
          <cell r="J42">
            <v>31</v>
          </cell>
          <cell r="K42">
            <v>365</v>
          </cell>
          <cell r="L42">
            <v>0</v>
          </cell>
          <cell r="R42">
            <v>0</v>
          </cell>
          <cell r="S42">
            <v>0</v>
          </cell>
          <cell r="T42">
            <v>0</v>
          </cell>
          <cell r="U42">
            <v>0</v>
          </cell>
          <cell r="V42">
            <v>0</v>
          </cell>
        </row>
        <row r="43">
          <cell r="F43">
            <v>0</v>
          </cell>
          <cell r="J43">
            <v>31</v>
          </cell>
          <cell r="K43">
            <v>366</v>
          </cell>
          <cell r="L43">
            <v>0</v>
          </cell>
          <cell r="S43">
            <v>0</v>
          </cell>
          <cell r="T43">
            <v>0</v>
          </cell>
          <cell r="U43">
            <v>0</v>
          </cell>
          <cell r="V43">
            <v>0</v>
          </cell>
        </row>
        <row r="44">
          <cell r="H44" t="str">
            <v>실제상황액</v>
          </cell>
          <cell r="L44">
            <v>0</v>
          </cell>
          <cell r="N44">
            <v>0</v>
          </cell>
          <cell r="O44">
            <v>0</v>
          </cell>
          <cell r="P44">
            <v>0</v>
          </cell>
          <cell r="Q44">
            <v>0</v>
          </cell>
          <cell r="R44">
            <v>0</v>
          </cell>
          <cell r="S44">
            <v>0</v>
          </cell>
          <cell r="T44">
            <v>0</v>
          </cell>
          <cell r="U44">
            <v>0</v>
          </cell>
          <cell r="V44">
            <v>0</v>
          </cell>
        </row>
        <row r="45">
          <cell r="H45" t="str">
            <v>계획상환액</v>
          </cell>
          <cell r="S45">
            <v>0</v>
          </cell>
          <cell r="T45">
            <v>0</v>
          </cell>
          <cell r="U45">
            <v>0</v>
          </cell>
          <cell r="V45">
            <v>0</v>
          </cell>
        </row>
        <row r="46">
          <cell r="H46" t="str">
            <v>조기상환액(연체금액)</v>
          </cell>
          <cell r="P46">
            <v>0</v>
          </cell>
          <cell r="S46">
            <v>0</v>
          </cell>
          <cell r="T46">
            <v>0</v>
          </cell>
          <cell r="U46">
            <v>0</v>
          </cell>
          <cell r="V46">
            <v>0</v>
          </cell>
        </row>
        <row r="47">
          <cell r="F47">
            <v>0</v>
          </cell>
          <cell r="J47">
            <v>29</v>
          </cell>
          <cell r="K47">
            <v>366</v>
          </cell>
          <cell r="L47">
            <v>0</v>
          </cell>
          <cell r="S47">
            <v>0</v>
          </cell>
          <cell r="T47">
            <v>0</v>
          </cell>
          <cell r="U47">
            <v>0</v>
          </cell>
          <cell r="V47">
            <v>0</v>
          </cell>
        </row>
        <row r="48">
          <cell r="F48">
            <v>0</v>
          </cell>
          <cell r="J48">
            <v>31</v>
          </cell>
          <cell r="K48">
            <v>366</v>
          </cell>
          <cell r="L48">
            <v>0</v>
          </cell>
          <cell r="S48">
            <v>0</v>
          </cell>
          <cell r="T48">
            <v>0</v>
          </cell>
          <cell r="U48">
            <v>0</v>
          </cell>
          <cell r="V48">
            <v>0</v>
          </cell>
        </row>
        <row r="49">
          <cell r="F49">
            <v>0</v>
          </cell>
          <cell r="J49">
            <v>30</v>
          </cell>
          <cell r="K49">
            <v>366</v>
          </cell>
          <cell r="L49">
            <v>0</v>
          </cell>
          <cell r="S49">
            <v>0</v>
          </cell>
          <cell r="T49">
            <v>0</v>
          </cell>
          <cell r="U49">
            <v>0</v>
          </cell>
          <cell r="V49">
            <v>0</v>
          </cell>
        </row>
        <row r="50">
          <cell r="F50">
            <v>0</v>
          </cell>
          <cell r="J50">
            <v>31</v>
          </cell>
          <cell r="K50">
            <v>366</v>
          </cell>
          <cell r="L50">
            <v>0</v>
          </cell>
          <cell r="S50">
            <v>0</v>
          </cell>
          <cell r="T50">
            <v>0</v>
          </cell>
          <cell r="U50">
            <v>0</v>
          </cell>
          <cell r="V50">
            <v>0</v>
          </cell>
        </row>
        <row r="51">
          <cell r="F51">
            <v>0</v>
          </cell>
          <cell r="J51">
            <v>30</v>
          </cell>
          <cell r="K51">
            <v>366</v>
          </cell>
          <cell r="L51">
            <v>0</v>
          </cell>
          <cell r="R51">
            <v>0</v>
          </cell>
          <cell r="S51">
            <v>0</v>
          </cell>
          <cell r="T51">
            <v>0</v>
          </cell>
          <cell r="U51">
            <v>0</v>
          </cell>
          <cell r="V51">
            <v>0</v>
          </cell>
        </row>
        <row r="52">
          <cell r="F52">
            <v>0</v>
          </cell>
          <cell r="J52">
            <v>31</v>
          </cell>
          <cell r="K52">
            <v>366</v>
          </cell>
          <cell r="L52">
            <v>0</v>
          </cell>
          <cell r="S52">
            <v>0</v>
          </cell>
          <cell r="T52">
            <v>0</v>
          </cell>
          <cell r="U52">
            <v>0</v>
          </cell>
          <cell r="V52">
            <v>0</v>
          </cell>
        </row>
        <row r="53">
          <cell r="F53">
            <v>0</v>
          </cell>
          <cell r="J53">
            <v>31</v>
          </cell>
          <cell r="K53">
            <v>366</v>
          </cell>
          <cell r="L53">
            <v>0</v>
          </cell>
          <cell r="S53">
            <v>0</v>
          </cell>
          <cell r="T53">
            <v>0</v>
          </cell>
          <cell r="U53">
            <v>0</v>
          </cell>
          <cell r="V53">
            <v>0</v>
          </cell>
        </row>
        <row r="54">
          <cell r="F54">
            <v>0</v>
          </cell>
          <cell r="J54">
            <v>30</v>
          </cell>
          <cell r="K54">
            <v>366</v>
          </cell>
          <cell r="L54">
            <v>0</v>
          </cell>
          <cell r="S54">
            <v>0</v>
          </cell>
          <cell r="T54">
            <v>0</v>
          </cell>
          <cell r="U54">
            <v>0</v>
          </cell>
          <cell r="V54">
            <v>0</v>
          </cell>
        </row>
        <row r="55">
          <cell r="F55">
            <v>0</v>
          </cell>
          <cell r="J55">
            <v>31</v>
          </cell>
          <cell r="K55">
            <v>366</v>
          </cell>
          <cell r="L55">
            <v>0</v>
          </cell>
          <cell r="S55">
            <v>0</v>
          </cell>
          <cell r="T55">
            <v>0</v>
          </cell>
          <cell r="U55">
            <v>0</v>
          </cell>
          <cell r="V55">
            <v>0</v>
          </cell>
        </row>
        <row r="56">
          <cell r="F56">
            <v>0</v>
          </cell>
          <cell r="J56">
            <v>30</v>
          </cell>
          <cell r="K56">
            <v>366</v>
          </cell>
          <cell r="L56">
            <v>0</v>
          </cell>
          <cell r="S56">
            <v>0</v>
          </cell>
          <cell r="T56">
            <v>0</v>
          </cell>
          <cell r="U56">
            <v>0</v>
          </cell>
          <cell r="V56">
            <v>0</v>
          </cell>
        </row>
        <row r="57">
          <cell r="F57">
            <v>0</v>
          </cell>
          <cell r="J57">
            <v>31</v>
          </cell>
          <cell r="K57">
            <v>366</v>
          </cell>
          <cell r="L57">
            <v>0</v>
          </cell>
          <cell r="R57">
            <v>0</v>
          </cell>
          <cell r="S57">
            <v>0</v>
          </cell>
          <cell r="T57">
            <v>0</v>
          </cell>
          <cell r="U57">
            <v>0</v>
          </cell>
          <cell r="V57">
            <v>0</v>
          </cell>
        </row>
        <row r="58">
          <cell r="F58">
            <v>0</v>
          </cell>
          <cell r="J58">
            <v>31</v>
          </cell>
          <cell r="K58">
            <v>365</v>
          </cell>
          <cell r="L58">
            <v>0</v>
          </cell>
          <cell r="S58">
            <v>0</v>
          </cell>
          <cell r="T58">
            <v>0</v>
          </cell>
          <cell r="U58">
            <v>0</v>
          </cell>
          <cell r="V58">
            <v>0</v>
          </cell>
        </row>
        <row r="59">
          <cell r="F59">
            <v>0</v>
          </cell>
          <cell r="J59">
            <v>28</v>
          </cell>
          <cell r="K59">
            <v>365</v>
          </cell>
          <cell r="L59">
            <v>0</v>
          </cell>
          <cell r="S59">
            <v>0</v>
          </cell>
          <cell r="T59">
            <v>0</v>
          </cell>
          <cell r="U59">
            <v>0</v>
          </cell>
          <cell r="V59">
            <v>0</v>
          </cell>
        </row>
        <row r="60">
          <cell r="F60">
            <v>0</v>
          </cell>
          <cell r="J60">
            <v>31</v>
          </cell>
          <cell r="K60">
            <v>365</v>
          </cell>
          <cell r="L60">
            <v>0</v>
          </cell>
          <cell r="S60">
            <v>0</v>
          </cell>
          <cell r="T60">
            <v>0</v>
          </cell>
          <cell r="U60">
            <v>0</v>
          </cell>
          <cell r="V60">
            <v>0</v>
          </cell>
        </row>
        <row r="61">
          <cell r="F61">
            <v>0</v>
          </cell>
          <cell r="J61">
            <v>30</v>
          </cell>
          <cell r="K61">
            <v>365</v>
          </cell>
          <cell r="L61">
            <v>0</v>
          </cell>
          <cell r="S61">
            <v>0</v>
          </cell>
          <cell r="T61">
            <v>0</v>
          </cell>
          <cell r="U61">
            <v>0</v>
          </cell>
          <cell r="V61">
            <v>0</v>
          </cell>
        </row>
        <row r="62">
          <cell r="F62">
            <v>0</v>
          </cell>
          <cell r="J62">
            <v>31</v>
          </cell>
          <cell r="K62">
            <v>365</v>
          </cell>
          <cell r="L62">
            <v>0</v>
          </cell>
          <cell r="S62">
            <v>0</v>
          </cell>
          <cell r="T62">
            <v>0</v>
          </cell>
          <cell r="U62">
            <v>0</v>
          </cell>
          <cell r="V62">
            <v>0</v>
          </cell>
        </row>
        <row r="63">
          <cell r="F63">
            <v>0</v>
          </cell>
          <cell r="J63">
            <v>30</v>
          </cell>
          <cell r="K63">
            <v>365</v>
          </cell>
          <cell r="L63">
            <v>0</v>
          </cell>
          <cell r="R63">
            <v>0</v>
          </cell>
          <cell r="S63">
            <v>0</v>
          </cell>
          <cell r="T63">
            <v>0</v>
          </cell>
          <cell r="U63">
            <v>0</v>
          </cell>
          <cell r="V63">
            <v>0</v>
          </cell>
        </row>
        <row r="64">
          <cell r="F64">
            <v>0</v>
          </cell>
          <cell r="J64">
            <v>31</v>
          </cell>
          <cell r="K64">
            <v>365</v>
          </cell>
          <cell r="L64">
            <v>0</v>
          </cell>
          <cell r="S64">
            <v>0</v>
          </cell>
          <cell r="T64">
            <v>0</v>
          </cell>
          <cell r="U64">
            <v>0</v>
          </cell>
          <cell r="V64">
            <v>0</v>
          </cell>
        </row>
        <row r="65">
          <cell r="F65">
            <v>0</v>
          </cell>
          <cell r="J65">
            <v>31</v>
          </cell>
          <cell r="K65">
            <v>365</v>
          </cell>
          <cell r="L65">
            <v>0</v>
          </cell>
          <cell r="S65">
            <v>0</v>
          </cell>
          <cell r="T65">
            <v>0</v>
          </cell>
          <cell r="U65">
            <v>0</v>
          </cell>
          <cell r="V65">
            <v>0</v>
          </cell>
        </row>
        <row r="66">
          <cell r="F66">
            <v>0</v>
          </cell>
          <cell r="J66">
            <v>30</v>
          </cell>
          <cell r="K66">
            <v>365</v>
          </cell>
          <cell r="L66">
            <v>0</v>
          </cell>
          <cell r="S66">
            <v>0</v>
          </cell>
          <cell r="T66">
            <v>0</v>
          </cell>
          <cell r="U66">
            <v>0</v>
          </cell>
          <cell r="V66">
            <v>0</v>
          </cell>
        </row>
        <row r="67">
          <cell r="F67">
            <v>0</v>
          </cell>
          <cell r="J67">
            <v>31</v>
          </cell>
          <cell r="K67">
            <v>365</v>
          </cell>
          <cell r="L67">
            <v>0</v>
          </cell>
          <cell r="S67">
            <v>0</v>
          </cell>
          <cell r="T67">
            <v>0</v>
          </cell>
          <cell r="U67">
            <v>0</v>
          </cell>
          <cell r="V67">
            <v>0</v>
          </cell>
        </row>
        <row r="68">
          <cell r="F68">
            <v>0</v>
          </cell>
          <cell r="J68">
            <v>30</v>
          </cell>
          <cell r="K68">
            <v>365</v>
          </cell>
          <cell r="L68">
            <v>0</v>
          </cell>
          <cell r="S68">
            <v>0</v>
          </cell>
          <cell r="T68">
            <v>0</v>
          </cell>
          <cell r="U68">
            <v>0</v>
          </cell>
          <cell r="V68">
            <v>0</v>
          </cell>
        </row>
        <row r="69">
          <cell r="F69">
            <v>0</v>
          </cell>
          <cell r="J69">
            <v>31</v>
          </cell>
          <cell r="K69">
            <v>365</v>
          </cell>
          <cell r="L69">
            <v>0</v>
          </cell>
          <cell r="R69">
            <v>0</v>
          </cell>
          <cell r="S69">
            <v>0</v>
          </cell>
          <cell r="T69">
            <v>0</v>
          </cell>
          <cell r="U69">
            <v>0</v>
          </cell>
          <cell r="V69">
            <v>0</v>
          </cell>
        </row>
        <row r="70">
          <cell r="F70">
            <v>0</v>
          </cell>
          <cell r="J70">
            <v>31</v>
          </cell>
          <cell r="K70">
            <v>365</v>
          </cell>
          <cell r="L70">
            <v>0</v>
          </cell>
          <cell r="S70">
            <v>0</v>
          </cell>
          <cell r="T70">
            <v>0</v>
          </cell>
          <cell r="U70">
            <v>0</v>
          </cell>
          <cell r="V70">
            <v>0</v>
          </cell>
        </row>
        <row r="71">
          <cell r="F71">
            <v>0</v>
          </cell>
          <cell r="J71">
            <v>28</v>
          </cell>
          <cell r="K71">
            <v>365</v>
          </cell>
          <cell r="L71">
            <v>0</v>
          </cell>
          <cell r="S71">
            <v>0</v>
          </cell>
          <cell r="T71">
            <v>0</v>
          </cell>
          <cell r="U71">
            <v>0</v>
          </cell>
          <cell r="V71">
            <v>0</v>
          </cell>
        </row>
        <row r="72">
          <cell r="F72">
            <v>0</v>
          </cell>
          <cell r="J72">
            <v>31</v>
          </cell>
          <cell r="K72">
            <v>365</v>
          </cell>
          <cell r="L72">
            <v>0</v>
          </cell>
          <cell r="S72">
            <v>0</v>
          </cell>
          <cell r="T72">
            <v>0</v>
          </cell>
          <cell r="U72">
            <v>0</v>
          </cell>
          <cell r="V72">
            <v>0</v>
          </cell>
        </row>
        <row r="73">
          <cell r="F73">
            <v>0</v>
          </cell>
          <cell r="J73">
            <v>30</v>
          </cell>
          <cell r="K73">
            <v>365</v>
          </cell>
          <cell r="L73">
            <v>0</v>
          </cell>
          <cell r="S73">
            <v>0</v>
          </cell>
          <cell r="T73">
            <v>0</v>
          </cell>
          <cell r="U73">
            <v>0</v>
          </cell>
          <cell r="V73">
            <v>0</v>
          </cell>
        </row>
        <row r="74">
          <cell r="F74">
            <v>0</v>
          </cell>
          <cell r="J74">
            <v>31</v>
          </cell>
          <cell r="K74">
            <v>365</v>
          </cell>
          <cell r="L74">
            <v>0</v>
          </cell>
          <cell r="S74">
            <v>0</v>
          </cell>
          <cell r="T74">
            <v>0</v>
          </cell>
          <cell r="U74">
            <v>0</v>
          </cell>
          <cell r="V74">
            <v>0</v>
          </cell>
        </row>
        <row r="75">
          <cell r="F75">
            <v>0</v>
          </cell>
          <cell r="J75">
            <v>30</v>
          </cell>
          <cell r="K75">
            <v>365</v>
          </cell>
          <cell r="L75">
            <v>0</v>
          </cell>
          <cell r="R75">
            <v>0</v>
          </cell>
          <cell r="S75">
            <v>0</v>
          </cell>
          <cell r="T75">
            <v>0</v>
          </cell>
          <cell r="U75">
            <v>0</v>
          </cell>
          <cell r="V75">
            <v>0</v>
          </cell>
        </row>
        <row r="76">
          <cell r="F76">
            <v>0</v>
          </cell>
          <cell r="J76">
            <v>31</v>
          </cell>
          <cell r="K76">
            <v>365</v>
          </cell>
          <cell r="L76">
            <v>0</v>
          </cell>
          <cell r="S76">
            <v>0</v>
          </cell>
          <cell r="T76">
            <v>0</v>
          </cell>
          <cell r="U76">
            <v>0</v>
          </cell>
          <cell r="V76">
            <v>0</v>
          </cell>
        </row>
        <row r="77">
          <cell r="F77">
            <v>0</v>
          </cell>
          <cell r="J77">
            <v>31</v>
          </cell>
          <cell r="K77">
            <v>365</v>
          </cell>
          <cell r="L77">
            <v>0</v>
          </cell>
          <cell r="S77">
            <v>0</v>
          </cell>
          <cell r="T77">
            <v>0</v>
          </cell>
          <cell r="U77">
            <v>0</v>
          </cell>
          <cell r="V77">
            <v>0</v>
          </cell>
        </row>
        <row r="78">
          <cell r="F78">
            <v>0</v>
          </cell>
          <cell r="J78">
            <v>30</v>
          </cell>
          <cell r="K78">
            <v>365</v>
          </cell>
          <cell r="L78">
            <v>0</v>
          </cell>
          <cell r="S78">
            <v>0</v>
          </cell>
          <cell r="T78">
            <v>0</v>
          </cell>
          <cell r="U78">
            <v>0</v>
          </cell>
          <cell r="V78">
            <v>0</v>
          </cell>
        </row>
        <row r="79">
          <cell r="F79">
            <v>0</v>
          </cell>
          <cell r="J79">
            <v>31</v>
          </cell>
          <cell r="K79">
            <v>365</v>
          </cell>
          <cell r="L79">
            <v>0</v>
          </cell>
          <cell r="S79">
            <v>0</v>
          </cell>
          <cell r="T79">
            <v>0</v>
          </cell>
          <cell r="U79">
            <v>0</v>
          </cell>
          <cell r="V79">
            <v>0</v>
          </cell>
        </row>
        <row r="80">
          <cell r="F80">
            <v>0</v>
          </cell>
          <cell r="J80">
            <v>30</v>
          </cell>
          <cell r="K80">
            <v>365</v>
          </cell>
          <cell r="L80">
            <v>0</v>
          </cell>
          <cell r="S80">
            <v>0</v>
          </cell>
          <cell r="T80">
            <v>0</v>
          </cell>
          <cell r="U80">
            <v>0</v>
          </cell>
          <cell r="V80">
            <v>0</v>
          </cell>
        </row>
        <row r="81">
          <cell r="F81">
            <v>0</v>
          </cell>
          <cell r="J81">
            <v>31</v>
          </cell>
          <cell r="K81">
            <v>365</v>
          </cell>
          <cell r="L81">
            <v>0</v>
          </cell>
          <cell r="R81">
            <v>0</v>
          </cell>
          <cell r="S81">
            <v>0</v>
          </cell>
          <cell r="T81">
            <v>0</v>
          </cell>
          <cell r="U81">
            <v>0</v>
          </cell>
          <cell r="V81">
            <v>0</v>
          </cell>
        </row>
        <row r="82">
          <cell r="F82">
            <v>0</v>
          </cell>
          <cell r="J82">
            <v>31</v>
          </cell>
          <cell r="K82">
            <v>365</v>
          </cell>
          <cell r="L82">
            <v>0</v>
          </cell>
          <cell r="S82">
            <v>0</v>
          </cell>
          <cell r="T82">
            <v>0</v>
          </cell>
          <cell r="U82">
            <v>0</v>
          </cell>
          <cell r="V82">
            <v>0</v>
          </cell>
        </row>
        <row r="83">
          <cell r="F83">
            <v>0</v>
          </cell>
          <cell r="J83">
            <v>28</v>
          </cell>
          <cell r="K83">
            <v>365</v>
          </cell>
          <cell r="L83">
            <v>0</v>
          </cell>
          <cell r="S83">
            <v>0</v>
          </cell>
          <cell r="T83">
            <v>0</v>
          </cell>
          <cell r="U83">
            <v>0</v>
          </cell>
          <cell r="V83">
            <v>0</v>
          </cell>
        </row>
        <row r="84">
          <cell r="F84">
            <v>0</v>
          </cell>
          <cell r="J84">
            <v>31</v>
          </cell>
          <cell r="K84">
            <v>365</v>
          </cell>
          <cell r="L84">
            <v>0</v>
          </cell>
          <cell r="S84">
            <v>0</v>
          </cell>
          <cell r="T84">
            <v>0</v>
          </cell>
          <cell r="U84">
            <v>0</v>
          </cell>
          <cell r="V84">
            <v>0</v>
          </cell>
        </row>
        <row r="85">
          <cell r="F85">
            <v>0</v>
          </cell>
          <cell r="J85">
            <v>30</v>
          </cell>
          <cell r="K85">
            <v>365</v>
          </cell>
          <cell r="L85">
            <v>0</v>
          </cell>
          <cell r="S85">
            <v>0</v>
          </cell>
          <cell r="T85">
            <v>0</v>
          </cell>
          <cell r="U85">
            <v>0</v>
          </cell>
          <cell r="V85">
            <v>0</v>
          </cell>
        </row>
        <row r="86">
          <cell r="F86">
            <v>0</v>
          </cell>
          <cell r="J86">
            <v>31</v>
          </cell>
          <cell r="K86">
            <v>365</v>
          </cell>
          <cell r="L86">
            <v>0</v>
          </cell>
          <cell r="S86">
            <v>0</v>
          </cell>
          <cell r="T86">
            <v>0</v>
          </cell>
          <cell r="U86">
            <v>0</v>
          </cell>
          <cell r="V86">
            <v>0</v>
          </cell>
        </row>
        <row r="87">
          <cell r="F87">
            <v>0</v>
          </cell>
          <cell r="J87">
            <v>30</v>
          </cell>
          <cell r="K87">
            <v>365</v>
          </cell>
          <cell r="L87">
            <v>0</v>
          </cell>
          <cell r="R87">
            <v>0</v>
          </cell>
          <cell r="S87">
            <v>0</v>
          </cell>
          <cell r="T87">
            <v>0</v>
          </cell>
          <cell r="U87">
            <v>0</v>
          </cell>
          <cell r="V87">
            <v>0</v>
          </cell>
        </row>
        <row r="88">
          <cell r="F88">
            <v>0</v>
          </cell>
          <cell r="J88">
            <v>31</v>
          </cell>
          <cell r="K88">
            <v>365</v>
          </cell>
          <cell r="L88">
            <v>0</v>
          </cell>
          <cell r="S88">
            <v>0</v>
          </cell>
          <cell r="T88">
            <v>0</v>
          </cell>
          <cell r="U88">
            <v>0</v>
          </cell>
          <cell r="V88">
            <v>0</v>
          </cell>
        </row>
        <row r="89">
          <cell r="F89">
            <v>0</v>
          </cell>
          <cell r="J89">
            <v>31</v>
          </cell>
          <cell r="K89">
            <v>365</v>
          </cell>
          <cell r="L89">
            <v>0</v>
          </cell>
          <cell r="S89">
            <v>0</v>
          </cell>
          <cell r="T89">
            <v>0</v>
          </cell>
          <cell r="U89">
            <v>0</v>
          </cell>
          <cell r="V89">
            <v>0</v>
          </cell>
        </row>
        <row r="90">
          <cell r="F90">
            <v>0</v>
          </cell>
          <cell r="J90">
            <v>30</v>
          </cell>
          <cell r="K90">
            <v>365</v>
          </cell>
          <cell r="L90">
            <v>0</v>
          </cell>
          <cell r="S90">
            <v>0</v>
          </cell>
          <cell r="T90">
            <v>0</v>
          </cell>
          <cell r="U90">
            <v>0</v>
          </cell>
          <cell r="V90">
            <v>0</v>
          </cell>
        </row>
        <row r="91">
          <cell r="F91">
            <v>0</v>
          </cell>
          <cell r="J91">
            <v>31</v>
          </cell>
          <cell r="K91">
            <v>365</v>
          </cell>
          <cell r="L91">
            <v>0</v>
          </cell>
          <cell r="S91">
            <v>0</v>
          </cell>
          <cell r="T91">
            <v>0</v>
          </cell>
          <cell r="U91">
            <v>0</v>
          </cell>
          <cell r="V91">
            <v>0</v>
          </cell>
        </row>
        <row r="92">
          <cell r="F92">
            <v>0</v>
          </cell>
          <cell r="J92">
            <v>30</v>
          </cell>
          <cell r="K92">
            <v>365</v>
          </cell>
          <cell r="L92">
            <v>0</v>
          </cell>
          <cell r="S92">
            <v>0</v>
          </cell>
          <cell r="T92">
            <v>0</v>
          </cell>
          <cell r="U92">
            <v>0</v>
          </cell>
          <cell r="V92">
            <v>0</v>
          </cell>
        </row>
        <row r="93">
          <cell r="F93">
            <v>0</v>
          </cell>
          <cell r="J93">
            <v>31</v>
          </cell>
          <cell r="K93">
            <v>365</v>
          </cell>
          <cell r="L93">
            <v>0</v>
          </cell>
          <cell r="R93">
            <v>0</v>
          </cell>
          <cell r="S93">
            <v>0</v>
          </cell>
          <cell r="T93">
            <v>0</v>
          </cell>
          <cell r="U93">
            <v>0</v>
          </cell>
          <cell r="V93">
            <v>0</v>
          </cell>
        </row>
        <row r="94">
          <cell r="F94">
            <v>0</v>
          </cell>
          <cell r="J94">
            <v>31</v>
          </cell>
          <cell r="K94">
            <v>366</v>
          </cell>
          <cell r="L94">
            <v>0</v>
          </cell>
          <cell r="S94">
            <v>0</v>
          </cell>
          <cell r="T94">
            <v>0</v>
          </cell>
          <cell r="U94">
            <v>0</v>
          </cell>
          <cell r="V94">
            <v>0</v>
          </cell>
        </row>
        <row r="95">
          <cell r="F95">
            <v>0</v>
          </cell>
          <cell r="J95">
            <v>29</v>
          </cell>
          <cell r="K95">
            <v>366</v>
          </cell>
          <cell r="L95">
            <v>0</v>
          </cell>
          <cell r="S95">
            <v>0</v>
          </cell>
          <cell r="T95">
            <v>0</v>
          </cell>
          <cell r="U95">
            <v>0</v>
          </cell>
          <cell r="V95">
            <v>0</v>
          </cell>
        </row>
        <row r="96">
          <cell r="F96">
            <v>0</v>
          </cell>
          <cell r="J96">
            <v>31</v>
          </cell>
          <cell r="K96">
            <v>366</v>
          </cell>
          <cell r="L96">
            <v>0</v>
          </cell>
          <cell r="S96">
            <v>0</v>
          </cell>
          <cell r="T96">
            <v>0</v>
          </cell>
          <cell r="U96">
            <v>0</v>
          </cell>
          <cell r="V96">
            <v>0</v>
          </cell>
        </row>
        <row r="97">
          <cell r="F97">
            <v>0</v>
          </cell>
          <cell r="J97">
            <v>30</v>
          </cell>
          <cell r="K97">
            <v>366</v>
          </cell>
          <cell r="L97">
            <v>0</v>
          </cell>
          <cell r="S97">
            <v>0</v>
          </cell>
          <cell r="T97">
            <v>0</v>
          </cell>
          <cell r="U97">
            <v>0</v>
          </cell>
          <cell r="V97">
            <v>0</v>
          </cell>
        </row>
        <row r="98">
          <cell r="F98">
            <v>0</v>
          </cell>
          <cell r="J98">
            <v>31</v>
          </cell>
          <cell r="K98">
            <v>366</v>
          </cell>
          <cell r="L98">
            <v>0</v>
          </cell>
          <cell r="S98">
            <v>0</v>
          </cell>
          <cell r="T98">
            <v>0</v>
          </cell>
          <cell r="U98">
            <v>0</v>
          </cell>
          <cell r="V98">
            <v>0</v>
          </cell>
        </row>
        <row r="99">
          <cell r="F99">
            <v>0</v>
          </cell>
          <cell r="J99">
            <v>30</v>
          </cell>
          <cell r="K99">
            <v>366</v>
          </cell>
          <cell r="L99">
            <v>0</v>
          </cell>
          <cell r="R99">
            <v>0</v>
          </cell>
          <cell r="S99">
            <v>0</v>
          </cell>
          <cell r="T99">
            <v>0</v>
          </cell>
          <cell r="U99">
            <v>0</v>
          </cell>
          <cell r="V99">
            <v>0</v>
          </cell>
        </row>
        <row r="100">
          <cell r="F100">
            <v>0</v>
          </cell>
          <cell r="J100">
            <v>31</v>
          </cell>
          <cell r="K100">
            <v>366</v>
          </cell>
          <cell r="L100">
            <v>0</v>
          </cell>
          <cell r="S100">
            <v>0</v>
          </cell>
          <cell r="T100">
            <v>0</v>
          </cell>
          <cell r="U100">
            <v>0</v>
          </cell>
          <cell r="V100">
            <v>0</v>
          </cell>
        </row>
        <row r="101">
          <cell r="F101">
            <v>0</v>
          </cell>
          <cell r="J101">
            <v>31</v>
          </cell>
          <cell r="K101">
            <v>366</v>
          </cell>
          <cell r="L101">
            <v>0</v>
          </cell>
          <cell r="S101">
            <v>0</v>
          </cell>
          <cell r="T101">
            <v>0</v>
          </cell>
          <cell r="U101">
            <v>0</v>
          </cell>
          <cell r="V101">
            <v>0</v>
          </cell>
        </row>
        <row r="102">
          <cell r="F102">
            <v>0</v>
          </cell>
          <cell r="J102">
            <v>30</v>
          </cell>
          <cell r="K102">
            <v>366</v>
          </cell>
          <cell r="L102">
            <v>0</v>
          </cell>
          <cell r="S102">
            <v>0</v>
          </cell>
          <cell r="T102">
            <v>0</v>
          </cell>
          <cell r="U102">
            <v>0</v>
          </cell>
          <cell r="V102">
            <v>0</v>
          </cell>
        </row>
        <row r="103">
          <cell r="F103">
            <v>0</v>
          </cell>
          <cell r="J103">
            <v>31</v>
          </cell>
          <cell r="K103">
            <v>366</v>
          </cell>
          <cell r="L103">
            <v>0</v>
          </cell>
          <cell r="S103">
            <v>0</v>
          </cell>
          <cell r="T103">
            <v>0</v>
          </cell>
          <cell r="U103">
            <v>0</v>
          </cell>
          <cell r="V103">
            <v>0</v>
          </cell>
        </row>
        <row r="104">
          <cell r="F104">
            <v>0</v>
          </cell>
          <cell r="J104">
            <v>30</v>
          </cell>
          <cell r="K104">
            <v>366</v>
          </cell>
          <cell r="L104">
            <v>0</v>
          </cell>
          <cell r="S104">
            <v>0</v>
          </cell>
          <cell r="T104">
            <v>0</v>
          </cell>
          <cell r="U104">
            <v>0</v>
          </cell>
          <cell r="V104">
            <v>0</v>
          </cell>
        </row>
        <row r="105">
          <cell r="F105">
            <v>0</v>
          </cell>
          <cell r="J105">
            <v>31</v>
          </cell>
          <cell r="K105">
            <v>366</v>
          </cell>
          <cell r="L105">
            <v>0</v>
          </cell>
          <cell r="N105">
            <v>0</v>
          </cell>
          <cell r="O105">
            <v>0</v>
          </cell>
          <cell r="R105">
            <v>0</v>
          </cell>
          <cell r="S105">
            <v>0</v>
          </cell>
          <cell r="T105">
            <v>0</v>
          </cell>
          <cell r="U105">
            <v>0</v>
          </cell>
          <cell r="V105">
            <v>0</v>
          </cell>
        </row>
        <row r="106">
          <cell r="F106">
            <v>0</v>
          </cell>
          <cell r="J106">
            <v>31</v>
          </cell>
          <cell r="K106">
            <v>365</v>
          </cell>
          <cell r="L106">
            <v>0</v>
          </cell>
          <cell r="S106">
            <v>0</v>
          </cell>
          <cell r="T106">
            <v>0</v>
          </cell>
          <cell r="U106">
            <v>0</v>
          </cell>
          <cell r="V106">
            <v>0</v>
          </cell>
        </row>
        <row r="107">
          <cell r="F107">
            <v>0</v>
          </cell>
          <cell r="J107">
            <v>28</v>
          </cell>
          <cell r="K107">
            <v>365</v>
          </cell>
          <cell r="L107">
            <v>0</v>
          </cell>
          <cell r="S107">
            <v>0</v>
          </cell>
          <cell r="T107">
            <v>0</v>
          </cell>
          <cell r="U107">
            <v>0</v>
          </cell>
          <cell r="V107">
            <v>0</v>
          </cell>
        </row>
        <row r="108">
          <cell r="F108">
            <v>0</v>
          </cell>
          <cell r="J108">
            <v>31</v>
          </cell>
          <cell r="K108">
            <v>365</v>
          </cell>
          <cell r="L108">
            <v>0</v>
          </cell>
          <cell r="S108">
            <v>0</v>
          </cell>
          <cell r="T108">
            <v>0</v>
          </cell>
          <cell r="U108">
            <v>0</v>
          </cell>
          <cell r="V108">
            <v>0</v>
          </cell>
        </row>
        <row r="109">
          <cell r="F109">
            <v>0</v>
          </cell>
          <cell r="J109">
            <v>30</v>
          </cell>
          <cell r="K109">
            <v>365</v>
          </cell>
          <cell r="L109">
            <v>0</v>
          </cell>
          <cell r="S109">
            <v>0</v>
          </cell>
          <cell r="T109">
            <v>0</v>
          </cell>
          <cell r="U109">
            <v>0</v>
          </cell>
          <cell r="V109">
            <v>0</v>
          </cell>
        </row>
        <row r="110">
          <cell r="F110">
            <v>0</v>
          </cell>
          <cell r="J110">
            <v>31</v>
          </cell>
          <cell r="K110">
            <v>365</v>
          </cell>
          <cell r="L110">
            <v>0</v>
          </cell>
          <cell r="S110">
            <v>0</v>
          </cell>
          <cell r="T110">
            <v>0</v>
          </cell>
          <cell r="U110">
            <v>0</v>
          </cell>
          <cell r="V110">
            <v>0</v>
          </cell>
        </row>
        <row r="111">
          <cell r="F111">
            <v>0</v>
          </cell>
          <cell r="J111">
            <v>30</v>
          </cell>
          <cell r="K111">
            <v>365</v>
          </cell>
          <cell r="L111">
            <v>0</v>
          </cell>
          <cell r="R111">
            <v>0</v>
          </cell>
          <cell r="S111">
            <v>0</v>
          </cell>
          <cell r="T111">
            <v>0</v>
          </cell>
          <cell r="U111">
            <v>0</v>
          </cell>
          <cell r="V111">
            <v>0</v>
          </cell>
        </row>
        <row r="112">
          <cell r="F112">
            <v>0</v>
          </cell>
          <cell r="J112">
            <v>31</v>
          </cell>
          <cell r="K112">
            <v>365</v>
          </cell>
          <cell r="L112">
            <v>0</v>
          </cell>
          <cell r="S112">
            <v>0</v>
          </cell>
          <cell r="T112">
            <v>0</v>
          </cell>
          <cell r="U112">
            <v>0</v>
          </cell>
          <cell r="V112">
            <v>0</v>
          </cell>
        </row>
        <row r="113">
          <cell r="F113">
            <v>0</v>
          </cell>
          <cell r="J113">
            <v>31</v>
          </cell>
          <cell r="K113">
            <v>365</v>
          </cell>
          <cell r="L113">
            <v>0</v>
          </cell>
          <cell r="S113">
            <v>0</v>
          </cell>
          <cell r="T113">
            <v>0</v>
          </cell>
          <cell r="U113">
            <v>0</v>
          </cell>
          <cell r="V113">
            <v>0</v>
          </cell>
        </row>
        <row r="114">
          <cell r="F114">
            <v>0</v>
          </cell>
          <cell r="J114">
            <v>30</v>
          </cell>
          <cell r="K114">
            <v>365</v>
          </cell>
          <cell r="L114">
            <v>0</v>
          </cell>
          <cell r="S114">
            <v>0</v>
          </cell>
          <cell r="T114">
            <v>0</v>
          </cell>
          <cell r="U114">
            <v>0</v>
          </cell>
          <cell r="V114">
            <v>0</v>
          </cell>
        </row>
        <row r="115">
          <cell r="F115">
            <v>0</v>
          </cell>
          <cell r="J115">
            <v>31</v>
          </cell>
          <cell r="K115">
            <v>365</v>
          </cell>
          <cell r="L115">
            <v>0</v>
          </cell>
          <cell r="S115">
            <v>0</v>
          </cell>
          <cell r="T115">
            <v>0</v>
          </cell>
          <cell r="U115">
            <v>0</v>
          </cell>
          <cell r="V115">
            <v>0</v>
          </cell>
        </row>
        <row r="116">
          <cell r="F116">
            <v>0</v>
          </cell>
          <cell r="J116">
            <v>30</v>
          </cell>
          <cell r="K116">
            <v>365</v>
          </cell>
          <cell r="L116">
            <v>0</v>
          </cell>
          <cell r="S116">
            <v>0</v>
          </cell>
          <cell r="T116">
            <v>0</v>
          </cell>
          <cell r="U116">
            <v>0</v>
          </cell>
          <cell r="V116">
            <v>0</v>
          </cell>
        </row>
        <row r="117">
          <cell r="F117">
            <v>0</v>
          </cell>
          <cell r="J117">
            <v>31</v>
          </cell>
          <cell r="K117">
            <v>365</v>
          </cell>
          <cell r="L117">
            <v>0</v>
          </cell>
          <cell r="N117">
            <v>0</v>
          </cell>
          <cell r="O117">
            <v>0</v>
          </cell>
          <cell r="R117">
            <v>0</v>
          </cell>
          <cell r="S117">
            <v>0</v>
          </cell>
          <cell r="T117">
            <v>0</v>
          </cell>
          <cell r="U117">
            <v>0</v>
          </cell>
          <cell r="V117">
            <v>0</v>
          </cell>
        </row>
        <row r="118">
          <cell r="F118">
            <v>0</v>
          </cell>
          <cell r="J118">
            <v>31</v>
          </cell>
          <cell r="K118">
            <v>365</v>
          </cell>
          <cell r="L118">
            <v>0</v>
          </cell>
          <cell r="S118">
            <v>0</v>
          </cell>
          <cell r="T118">
            <v>0</v>
          </cell>
          <cell r="U118">
            <v>0</v>
          </cell>
          <cell r="V118">
            <v>0</v>
          </cell>
        </row>
        <row r="119">
          <cell r="F119">
            <v>0</v>
          </cell>
          <cell r="J119">
            <v>28</v>
          </cell>
          <cell r="K119">
            <v>365</v>
          </cell>
          <cell r="L119">
            <v>0</v>
          </cell>
          <cell r="S119">
            <v>0</v>
          </cell>
          <cell r="T119">
            <v>0</v>
          </cell>
          <cell r="U119">
            <v>0</v>
          </cell>
          <cell r="V119">
            <v>0</v>
          </cell>
        </row>
        <row r="120">
          <cell r="F120">
            <v>0</v>
          </cell>
          <cell r="J120">
            <v>31</v>
          </cell>
          <cell r="K120">
            <v>365</v>
          </cell>
          <cell r="L120">
            <v>0</v>
          </cell>
          <cell r="S120">
            <v>0</v>
          </cell>
          <cell r="T120">
            <v>0</v>
          </cell>
          <cell r="U120">
            <v>0</v>
          </cell>
          <cell r="V120">
            <v>0</v>
          </cell>
        </row>
        <row r="121">
          <cell r="F121">
            <v>0</v>
          </cell>
          <cell r="J121">
            <v>30</v>
          </cell>
          <cell r="K121">
            <v>365</v>
          </cell>
          <cell r="L121">
            <v>0</v>
          </cell>
          <cell r="S121">
            <v>0</v>
          </cell>
          <cell r="T121">
            <v>0</v>
          </cell>
          <cell r="U121">
            <v>0</v>
          </cell>
          <cell r="V121">
            <v>0</v>
          </cell>
        </row>
        <row r="122">
          <cell r="F122">
            <v>0</v>
          </cell>
          <cell r="J122">
            <v>31</v>
          </cell>
          <cell r="K122">
            <v>365</v>
          </cell>
          <cell r="L122">
            <v>0</v>
          </cell>
          <cell r="S122">
            <v>0</v>
          </cell>
          <cell r="T122">
            <v>0</v>
          </cell>
          <cell r="U122">
            <v>0</v>
          </cell>
          <cell r="V122">
            <v>0</v>
          </cell>
        </row>
        <row r="123">
          <cell r="F123">
            <v>0</v>
          </cell>
          <cell r="J123">
            <v>30</v>
          </cell>
          <cell r="K123">
            <v>365</v>
          </cell>
          <cell r="L123">
            <v>0</v>
          </cell>
          <cell r="R123">
            <v>0</v>
          </cell>
          <cell r="S123">
            <v>0</v>
          </cell>
          <cell r="T123">
            <v>0</v>
          </cell>
          <cell r="U123">
            <v>0</v>
          </cell>
          <cell r="V123">
            <v>0</v>
          </cell>
        </row>
        <row r="124">
          <cell r="F124">
            <v>0</v>
          </cell>
          <cell r="J124">
            <v>31</v>
          </cell>
          <cell r="K124">
            <v>365</v>
          </cell>
          <cell r="L124">
            <v>0</v>
          </cell>
          <cell r="S124">
            <v>0</v>
          </cell>
          <cell r="T124">
            <v>0</v>
          </cell>
          <cell r="U124">
            <v>0</v>
          </cell>
          <cell r="V124">
            <v>0</v>
          </cell>
        </row>
        <row r="125">
          <cell r="F125">
            <v>0</v>
          </cell>
          <cell r="J125">
            <v>31</v>
          </cell>
          <cell r="K125">
            <v>365</v>
          </cell>
          <cell r="L125">
            <v>0</v>
          </cell>
          <cell r="S125">
            <v>0</v>
          </cell>
          <cell r="T125">
            <v>0</v>
          </cell>
          <cell r="U125">
            <v>0</v>
          </cell>
          <cell r="V125">
            <v>0</v>
          </cell>
        </row>
        <row r="126">
          <cell r="F126">
            <v>0</v>
          </cell>
          <cell r="J126">
            <v>30</v>
          </cell>
          <cell r="K126">
            <v>365</v>
          </cell>
          <cell r="L126">
            <v>0</v>
          </cell>
          <cell r="S126">
            <v>0</v>
          </cell>
          <cell r="T126">
            <v>0</v>
          </cell>
          <cell r="U126">
            <v>0</v>
          </cell>
          <cell r="V126">
            <v>0</v>
          </cell>
        </row>
        <row r="127">
          <cell r="F127">
            <v>0</v>
          </cell>
          <cell r="J127">
            <v>31</v>
          </cell>
          <cell r="K127">
            <v>365</v>
          </cell>
          <cell r="L127">
            <v>0</v>
          </cell>
          <cell r="S127">
            <v>0</v>
          </cell>
          <cell r="T127">
            <v>0</v>
          </cell>
          <cell r="U127">
            <v>0</v>
          </cell>
          <cell r="V127">
            <v>0</v>
          </cell>
        </row>
        <row r="128">
          <cell r="F128">
            <v>0</v>
          </cell>
          <cell r="J128">
            <v>30</v>
          </cell>
          <cell r="K128">
            <v>365</v>
          </cell>
          <cell r="L128">
            <v>0</v>
          </cell>
          <cell r="S128">
            <v>0</v>
          </cell>
          <cell r="T128">
            <v>0</v>
          </cell>
          <cell r="U128">
            <v>0</v>
          </cell>
          <cell r="V128">
            <v>0</v>
          </cell>
        </row>
        <row r="129">
          <cell r="F129">
            <v>0</v>
          </cell>
          <cell r="J129">
            <v>31</v>
          </cell>
          <cell r="K129">
            <v>365</v>
          </cell>
          <cell r="L129">
            <v>0</v>
          </cell>
          <cell r="N129">
            <v>0</v>
          </cell>
          <cell r="O129">
            <v>0</v>
          </cell>
          <cell r="R129">
            <v>0</v>
          </cell>
          <cell r="S129">
            <v>0</v>
          </cell>
          <cell r="T129">
            <v>0</v>
          </cell>
          <cell r="U129">
            <v>0</v>
          </cell>
          <cell r="V129">
            <v>0</v>
          </cell>
        </row>
        <row r="130">
          <cell r="F130">
            <v>0</v>
          </cell>
          <cell r="J130">
            <v>31</v>
          </cell>
          <cell r="K130">
            <v>365</v>
          </cell>
          <cell r="L130">
            <v>0</v>
          </cell>
          <cell r="S130">
            <v>0</v>
          </cell>
          <cell r="T130">
            <v>0</v>
          </cell>
          <cell r="U130">
            <v>0</v>
          </cell>
          <cell r="V130">
            <v>0</v>
          </cell>
        </row>
        <row r="131">
          <cell r="F131">
            <v>0</v>
          </cell>
          <cell r="J131">
            <v>28</v>
          </cell>
          <cell r="K131">
            <v>365</v>
          </cell>
          <cell r="L131">
            <v>0</v>
          </cell>
          <cell r="S131">
            <v>0</v>
          </cell>
          <cell r="T131">
            <v>0</v>
          </cell>
          <cell r="U131">
            <v>0</v>
          </cell>
          <cell r="V131">
            <v>0</v>
          </cell>
        </row>
        <row r="132">
          <cell r="F132">
            <v>0</v>
          </cell>
          <cell r="J132">
            <v>31</v>
          </cell>
          <cell r="K132">
            <v>365</v>
          </cell>
          <cell r="L132">
            <v>0</v>
          </cell>
          <cell r="S132">
            <v>0</v>
          </cell>
          <cell r="T132">
            <v>0</v>
          </cell>
          <cell r="U132">
            <v>0</v>
          </cell>
          <cell r="V132">
            <v>0</v>
          </cell>
        </row>
        <row r="133">
          <cell r="F133">
            <v>0</v>
          </cell>
          <cell r="J133">
            <v>30</v>
          </cell>
          <cell r="K133">
            <v>365</v>
          </cell>
          <cell r="L133">
            <v>0</v>
          </cell>
          <cell r="S133">
            <v>0</v>
          </cell>
          <cell r="T133">
            <v>0</v>
          </cell>
          <cell r="U133">
            <v>0</v>
          </cell>
          <cell r="V133">
            <v>0</v>
          </cell>
        </row>
        <row r="134">
          <cell r="F134">
            <v>0</v>
          </cell>
          <cell r="J134">
            <v>31</v>
          </cell>
          <cell r="K134">
            <v>365</v>
          </cell>
          <cell r="L134">
            <v>0</v>
          </cell>
          <cell r="S134">
            <v>0</v>
          </cell>
          <cell r="T134">
            <v>0</v>
          </cell>
          <cell r="U134">
            <v>0</v>
          </cell>
          <cell r="V134">
            <v>0</v>
          </cell>
        </row>
        <row r="135">
          <cell r="F135">
            <v>0</v>
          </cell>
          <cell r="J135">
            <v>30</v>
          </cell>
          <cell r="K135">
            <v>365</v>
          </cell>
          <cell r="L135">
            <v>0</v>
          </cell>
          <cell r="R135">
            <v>0</v>
          </cell>
          <cell r="S135">
            <v>0</v>
          </cell>
          <cell r="T135">
            <v>0</v>
          </cell>
          <cell r="U135">
            <v>0</v>
          </cell>
          <cell r="V135">
            <v>0</v>
          </cell>
        </row>
        <row r="136">
          <cell r="F136">
            <v>0</v>
          </cell>
          <cell r="J136">
            <v>31</v>
          </cell>
          <cell r="K136">
            <v>365</v>
          </cell>
          <cell r="L136">
            <v>0</v>
          </cell>
          <cell r="S136">
            <v>0</v>
          </cell>
          <cell r="T136">
            <v>0</v>
          </cell>
          <cell r="U136">
            <v>0</v>
          </cell>
          <cell r="V136">
            <v>0</v>
          </cell>
        </row>
        <row r="137">
          <cell r="F137">
            <v>0</v>
          </cell>
          <cell r="J137">
            <v>31</v>
          </cell>
          <cell r="K137">
            <v>365</v>
          </cell>
          <cell r="L137">
            <v>0</v>
          </cell>
          <cell r="S137">
            <v>0</v>
          </cell>
          <cell r="T137">
            <v>0</v>
          </cell>
          <cell r="U137">
            <v>0</v>
          </cell>
          <cell r="V137">
            <v>0</v>
          </cell>
        </row>
        <row r="138">
          <cell r="F138">
            <v>0</v>
          </cell>
          <cell r="J138">
            <v>30</v>
          </cell>
          <cell r="K138">
            <v>365</v>
          </cell>
          <cell r="L138">
            <v>0</v>
          </cell>
          <cell r="S138">
            <v>0</v>
          </cell>
          <cell r="T138">
            <v>0</v>
          </cell>
          <cell r="U138">
            <v>0</v>
          </cell>
          <cell r="V138">
            <v>0</v>
          </cell>
        </row>
        <row r="139">
          <cell r="F139">
            <v>0</v>
          </cell>
          <cell r="J139">
            <v>31</v>
          </cell>
          <cell r="K139">
            <v>365</v>
          </cell>
          <cell r="L139">
            <v>0</v>
          </cell>
          <cell r="S139">
            <v>0</v>
          </cell>
          <cell r="T139">
            <v>0</v>
          </cell>
          <cell r="U139">
            <v>0</v>
          </cell>
          <cell r="V139">
            <v>0</v>
          </cell>
        </row>
        <row r="140">
          <cell r="F140">
            <v>0</v>
          </cell>
          <cell r="J140">
            <v>30</v>
          </cell>
          <cell r="K140">
            <v>365</v>
          </cell>
          <cell r="L140">
            <v>0</v>
          </cell>
          <cell r="S140">
            <v>0</v>
          </cell>
          <cell r="T140">
            <v>0</v>
          </cell>
          <cell r="U140">
            <v>0</v>
          </cell>
          <cell r="V140">
            <v>0</v>
          </cell>
        </row>
        <row r="141">
          <cell r="F141">
            <v>0</v>
          </cell>
          <cell r="J141">
            <v>31</v>
          </cell>
          <cell r="K141">
            <v>365</v>
          </cell>
          <cell r="L141">
            <v>0</v>
          </cell>
          <cell r="N141">
            <v>0</v>
          </cell>
          <cell r="O141">
            <v>0</v>
          </cell>
          <cell r="R141">
            <v>0</v>
          </cell>
          <cell r="S141">
            <v>0</v>
          </cell>
          <cell r="T141">
            <v>0</v>
          </cell>
          <cell r="U141">
            <v>0</v>
          </cell>
          <cell r="V141">
            <v>0</v>
          </cell>
        </row>
        <row r="142">
          <cell r="F142">
            <v>0</v>
          </cell>
          <cell r="J142">
            <v>31</v>
          </cell>
          <cell r="K142">
            <v>366</v>
          </cell>
          <cell r="L142">
            <v>0</v>
          </cell>
          <cell r="S142">
            <v>0</v>
          </cell>
          <cell r="T142">
            <v>0</v>
          </cell>
          <cell r="U142">
            <v>0</v>
          </cell>
          <cell r="V142">
            <v>0</v>
          </cell>
        </row>
        <row r="143">
          <cell r="F143">
            <v>0</v>
          </cell>
          <cell r="J143">
            <v>29</v>
          </cell>
          <cell r="K143">
            <v>366</v>
          </cell>
          <cell r="L143">
            <v>0</v>
          </cell>
          <cell r="S143">
            <v>0</v>
          </cell>
          <cell r="T143">
            <v>0</v>
          </cell>
          <cell r="U143">
            <v>0</v>
          </cell>
          <cell r="V143">
            <v>0</v>
          </cell>
        </row>
        <row r="144">
          <cell r="F144">
            <v>0</v>
          </cell>
          <cell r="J144">
            <v>31</v>
          </cell>
          <cell r="K144">
            <v>366</v>
          </cell>
          <cell r="L144">
            <v>0</v>
          </cell>
          <cell r="S144">
            <v>0</v>
          </cell>
          <cell r="T144">
            <v>0</v>
          </cell>
          <cell r="U144">
            <v>0</v>
          </cell>
          <cell r="V144">
            <v>0</v>
          </cell>
        </row>
        <row r="145">
          <cell r="F145">
            <v>0</v>
          </cell>
          <cell r="J145">
            <v>30</v>
          </cell>
          <cell r="K145">
            <v>366</v>
          </cell>
          <cell r="L145">
            <v>0</v>
          </cell>
          <cell r="S145">
            <v>0</v>
          </cell>
          <cell r="T145">
            <v>0</v>
          </cell>
          <cell r="U145">
            <v>0</v>
          </cell>
          <cell r="V145">
            <v>0</v>
          </cell>
        </row>
        <row r="146">
          <cell r="F146">
            <v>0</v>
          </cell>
          <cell r="J146">
            <v>31</v>
          </cell>
          <cell r="K146">
            <v>366</v>
          </cell>
          <cell r="L146">
            <v>0</v>
          </cell>
          <cell r="S146">
            <v>0</v>
          </cell>
          <cell r="T146">
            <v>0</v>
          </cell>
          <cell r="U146">
            <v>0</v>
          </cell>
          <cell r="V146">
            <v>0</v>
          </cell>
        </row>
        <row r="147">
          <cell r="F147">
            <v>0</v>
          </cell>
          <cell r="J147">
            <v>30</v>
          </cell>
          <cell r="K147">
            <v>366</v>
          </cell>
          <cell r="L147">
            <v>0</v>
          </cell>
          <cell r="R147">
            <v>0</v>
          </cell>
          <cell r="S147">
            <v>0</v>
          </cell>
          <cell r="T147">
            <v>0</v>
          </cell>
          <cell r="U147">
            <v>0</v>
          </cell>
          <cell r="V147">
            <v>0</v>
          </cell>
        </row>
        <row r="148">
          <cell r="F148">
            <v>0</v>
          </cell>
          <cell r="J148">
            <v>31</v>
          </cell>
          <cell r="K148">
            <v>366</v>
          </cell>
          <cell r="L148">
            <v>0</v>
          </cell>
          <cell r="S148">
            <v>0</v>
          </cell>
          <cell r="T148">
            <v>0</v>
          </cell>
          <cell r="U148">
            <v>0</v>
          </cell>
          <cell r="V148">
            <v>0</v>
          </cell>
        </row>
        <row r="149">
          <cell r="F149">
            <v>0</v>
          </cell>
          <cell r="J149">
            <v>31</v>
          </cell>
          <cell r="K149">
            <v>366</v>
          </cell>
          <cell r="L149">
            <v>0</v>
          </cell>
          <cell r="S149">
            <v>0</v>
          </cell>
          <cell r="T149">
            <v>0</v>
          </cell>
          <cell r="U149">
            <v>0</v>
          </cell>
          <cell r="V149">
            <v>0</v>
          </cell>
        </row>
        <row r="150">
          <cell r="F150">
            <v>0</v>
          </cell>
          <cell r="J150">
            <v>30</v>
          </cell>
          <cell r="K150">
            <v>366</v>
          </cell>
          <cell r="L150">
            <v>0</v>
          </cell>
          <cell r="S150">
            <v>0</v>
          </cell>
          <cell r="T150">
            <v>0</v>
          </cell>
          <cell r="U150">
            <v>0</v>
          </cell>
          <cell r="V150">
            <v>0</v>
          </cell>
        </row>
        <row r="151">
          <cell r="F151">
            <v>0</v>
          </cell>
          <cell r="J151">
            <v>31</v>
          </cell>
          <cell r="K151">
            <v>366</v>
          </cell>
          <cell r="L151">
            <v>0</v>
          </cell>
          <cell r="S151">
            <v>0</v>
          </cell>
          <cell r="T151">
            <v>0</v>
          </cell>
          <cell r="U151">
            <v>0</v>
          </cell>
          <cell r="V151">
            <v>0</v>
          </cell>
        </row>
        <row r="152">
          <cell r="F152">
            <v>0</v>
          </cell>
          <cell r="J152">
            <v>30</v>
          </cell>
          <cell r="K152">
            <v>366</v>
          </cell>
          <cell r="L152">
            <v>0</v>
          </cell>
          <cell r="S152">
            <v>0</v>
          </cell>
          <cell r="T152">
            <v>0</v>
          </cell>
          <cell r="U152">
            <v>0</v>
          </cell>
          <cell r="V152">
            <v>0</v>
          </cell>
        </row>
        <row r="153">
          <cell r="F153">
            <v>0</v>
          </cell>
          <cell r="J153">
            <v>31</v>
          </cell>
          <cell r="K153">
            <v>366</v>
          </cell>
          <cell r="L153">
            <v>0</v>
          </cell>
          <cell r="N153">
            <v>0</v>
          </cell>
          <cell r="O153">
            <v>0</v>
          </cell>
          <cell r="R153">
            <v>0</v>
          </cell>
          <cell r="S153">
            <v>0</v>
          </cell>
          <cell r="T153">
            <v>0</v>
          </cell>
          <cell r="U153">
            <v>0</v>
          </cell>
          <cell r="V153">
            <v>0</v>
          </cell>
        </row>
        <row r="154">
          <cell r="F154">
            <v>0</v>
          </cell>
          <cell r="J154">
            <v>31</v>
          </cell>
          <cell r="K154">
            <v>365</v>
          </cell>
          <cell r="L154">
            <v>0</v>
          </cell>
          <cell r="U154">
            <v>0</v>
          </cell>
        </row>
        <row r="155">
          <cell r="F155">
            <v>0</v>
          </cell>
          <cell r="J155">
            <v>28</v>
          </cell>
          <cell r="K155">
            <v>365</v>
          </cell>
          <cell r="L155">
            <v>0</v>
          </cell>
          <cell r="U155">
            <v>0</v>
          </cell>
        </row>
        <row r="156">
          <cell r="F156">
            <v>0</v>
          </cell>
          <cell r="J156">
            <v>31</v>
          </cell>
          <cell r="K156">
            <v>365</v>
          </cell>
          <cell r="L156">
            <v>0</v>
          </cell>
          <cell r="U156">
            <v>0</v>
          </cell>
        </row>
        <row r="157">
          <cell r="F157">
            <v>0</v>
          </cell>
          <cell r="J157">
            <v>30</v>
          </cell>
          <cell r="K157">
            <v>365</v>
          </cell>
          <cell r="L157">
            <v>0</v>
          </cell>
          <cell r="U157">
            <v>0</v>
          </cell>
        </row>
        <row r="158">
          <cell r="F158">
            <v>0</v>
          </cell>
          <cell r="J158">
            <v>31</v>
          </cell>
          <cell r="K158">
            <v>365</v>
          </cell>
          <cell r="L158">
            <v>0</v>
          </cell>
          <cell r="U158">
            <v>0</v>
          </cell>
        </row>
        <row r="159">
          <cell r="F159">
            <v>0</v>
          </cell>
          <cell r="J159">
            <v>30</v>
          </cell>
          <cell r="K159">
            <v>365</v>
          </cell>
          <cell r="L159">
            <v>0</v>
          </cell>
          <cell r="U159">
            <v>0</v>
          </cell>
        </row>
        <row r="160">
          <cell r="F160">
            <v>0</v>
          </cell>
          <cell r="J160">
            <v>31</v>
          </cell>
          <cell r="K160">
            <v>365</v>
          </cell>
          <cell r="L160">
            <v>0</v>
          </cell>
          <cell r="U160">
            <v>0</v>
          </cell>
        </row>
        <row r="161">
          <cell r="F161">
            <v>0</v>
          </cell>
          <cell r="J161">
            <v>31</v>
          </cell>
          <cell r="K161">
            <v>365</v>
          </cell>
          <cell r="L161">
            <v>0</v>
          </cell>
          <cell r="U161">
            <v>0</v>
          </cell>
        </row>
        <row r="162">
          <cell r="F162">
            <v>0</v>
          </cell>
          <cell r="J162">
            <v>30</v>
          </cell>
          <cell r="K162">
            <v>365</v>
          </cell>
          <cell r="L162">
            <v>0</v>
          </cell>
          <cell r="U162">
            <v>0</v>
          </cell>
        </row>
        <row r="163">
          <cell r="F163">
            <v>0</v>
          </cell>
          <cell r="J163">
            <v>31</v>
          </cell>
          <cell r="K163">
            <v>365</v>
          </cell>
          <cell r="L163">
            <v>0</v>
          </cell>
          <cell r="U163">
            <v>0</v>
          </cell>
        </row>
        <row r="164">
          <cell r="F164">
            <v>0</v>
          </cell>
          <cell r="J164">
            <v>30</v>
          </cell>
          <cell r="K164">
            <v>365</v>
          </cell>
          <cell r="L164">
            <v>0</v>
          </cell>
          <cell r="U164">
            <v>0</v>
          </cell>
        </row>
        <row r="165">
          <cell r="F165">
            <v>0</v>
          </cell>
          <cell r="J165">
            <v>31</v>
          </cell>
          <cell r="K165">
            <v>365</v>
          </cell>
          <cell r="L165">
            <v>0</v>
          </cell>
          <cell r="U165">
            <v>0</v>
          </cell>
        </row>
        <row r="166">
          <cell r="F166">
            <v>0</v>
          </cell>
          <cell r="J166">
            <v>31</v>
          </cell>
          <cell r="K166">
            <v>365</v>
          </cell>
          <cell r="L166">
            <v>0</v>
          </cell>
          <cell r="U166">
            <v>0</v>
          </cell>
        </row>
        <row r="167">
          <cell r="F167">
            <v>0</v>
          </cell>
          <cell r="J167">
            <v>28</v>
          </cell>
          <cell r="K167">
            <v>365</v>
          </cell>
          <cell r="L167">
            <v>0</v>
          </cell>
          <cell r="T167">
            <v>0</v>
          </cell>
          <cell r="U167">
            <v>0</v>
          </cell>
          <cell r="V167">
            <v>0</v>
          </cell>
        </row>
        <row r="168">
          <cell r="F168">
            <v>0</v>
          </cell>
          <cell r="J168">
            <v>31</v>
          </cell>
          <cell r="K168">
            <v>365</v>
          </cell>
          <cell r="L168">
            <v>0</v>
          </cell>
          <cell r="T168">
            <v>0</v>
          </cell>
          <cell r="U168">
            <v>0</v>
          </cell>
          <cell r="V168">
            <v>0</v>
          </cell>
        </row>
        <row r="169">
          <cell r="F169">
            <v>0</v>
          </cell>
          <cell r="J169">
            <v>30</v>
          </cell>
          <cell r="K169">
            <v>365</v>
          </cell>
          <cell r="L169">
            <v>0</v>
          </cell>
          <cell r="T169">
            <v>0</v>
          </cell>
          <cell r="U169">
            <v>0</v>
          </cell>
          <cell r="V169">
            <v>0</v>
          </cell>
        </row>
        <row r="170">
          <cell r="F170">
            <v>0</v>
          </cell>
          <cell r="J170">
            <v>31</v>
          </cell>
          <cell r="K170">
            <v>365</v>
          </cell>
          <cell r="L170">
            <v>0</v>
          </cell>
          <cell r="T170">
            <v>0</v>
          </cell>
          <cell r="U170">
            <v>0</v>
          </cell>
          <cell r="V170">
            <v>0</v>
          </cell>
        </row>
        <row r="171">
          <cell r="F171">
            <v>0</v>
          </cell>
          <cell r="J171">
            <v>30</v>
          </cell>
          <cell r="K171">
            <v>365</v>
          </cell>
          <cell r="L171">
            <v>0</v>
          </cell>
          <cell r="T171">
            <v>0</v>
          </cell>
          <cell r="U171">
            <v>0</v>
          </cell>
          <cell r="V171">
            <v>0</v>
          </cell>
        </row>
        <row r="172">
          <cell r="F172">
            <v>0</v>
          </cell>
          <cell r="J172">
            <v>31</v>
          </cell>
          <cell r="K172">
            <v>365</v>
          </cell>
          <cell r="T172">
            <v>0</v>
          </cell>
          <cell r="U172">
            <v>0</v>
          </cell>
          <cell r="V172">
            <v>0</v>
          </cell>
        </row>
        <row r="173">
          <cell r="F173">
            <v>0</v>
          </cell>
          <cell r="J173">
            <v>31</v>
          </cell>
          <cell r="K173">
            <v>365</v>
          </cell>
          <cell r="T173">
            <v>0</v>
          </cell>
          <cell r="U173">
            <v>0</v>
          </cell>
          <cell r="V173">
            <v>0</v>
          </cell>
        </row>
        <row r="174">
          <cell r="F174">
            <v>0</v>
          </cell>
          <cell r="J174">
            <v>30</v>
          </cell>
          <cell r="K174">
            <v>365</v>
          </cell>
          <cell r="T174">
            <v>0</v>
          </cell>
          <cell r="U174">
            <v>0</v>
          </cell>
          <cell r="V174">
            <v>0</v>
          </cell>
        </row>
        <row r="175">
          <cell r="F175">
            <v>0</v>
          </cell>
          <cell r="J175">
            <v>31</v>
          </cell>
          <cell r="K175">
            <v>365</v>
          </cell>
          <cell r="T175">
            <v>0</v>
          </cell>
          <cell r="U175">
            <v>0</v>
          </cell>
          <cell r="V175">
            <v>0</v>
          </cell>
        </row>
        <row r="176">
          <cell r="F176">
            <v>0</v>
          </cell>
          <cell r="J176">
            <v>30</v>
          </cell>
          <cell r="K176">
            <v>365</v>
          </cell>
          <cell r="T176">
            <v>0</v>
          </cell>
          <cell r="U176">
            <v>0</v>
          </cell>
          <cell r="V176">
            <v>0</v>
          </cell>
        </row>
        <row r="177">
          <cell r="F177">
            <v>0</v>
          </cell>
          <cell r="J177">
            <v>31</v>
          </cell>
          <cell r="K177">
            <v>365</v>
          </cell>
          <cell r="T177">
            <v>0</v>
          </cell>
          <cell r="U177">
            <v>0</v>
          </cell>
          <cell r="V177">
            <v>0</v>
          </cell>
        </row>
        <row r="178">
          <cell r="F178">
            <v>0</v>
          </cell>
          <cell r="J178">
            <v>31</v>
          </cell>
          <cell r="K178">
            <v>365</v>
          </cell>
          <cell r="T178">
            <v>0</v>
          </cell>
          <cell r="U178">
            <v>0</v>
          </cell>
          <cell r="V178">
            <v>0</v>
          </cell>
        </row>
        <row r="179">
          <cell r="F179">
            <v>0</v>
          </cell>
          <cell r="J179">
            <v>28</v>
          </cell>
          <cell r="K179">
            <v>365</v>
          </cell>
          <cell r="T179">
            <v>0</v>
          </cell>
          <cell r="U179">
            <v>0</v>
          </cell>
          <cell r="V179">
            <v>0</v>
          </cell>
        </row>
        <row r="180">
          <cell r="F180">
            <v>0</v>
          </cell>
          <cell r="J180">
            <v>31</v>
          </cell>
          <cell r="K180">
            <v>365</v>
          </cell>
          <cell r="T180">
            <v>0</v>
          </cell>
          <cell r="U180">
            <v>0</v>
          </cell>
          <cell r="V180">
            <v>0</v>
          </cell>
        </row>
        <row r="181">
          <cell r="F181">
            <v>0</v>
          </cell>
          <cell r="J181">
            <v>30</v>
          </cell>
          <cell r="K181">
            <v>365</v>
          </cell>
          <cell r="T181">
            <v>0</v>
          </cell>
          <cell r="U181">
            <v>0</v>
          </cell>
          <cell r="V181">
            <v>0</v>
          </cell>
        </row>
        <row r="182">
          <cell r="F182">
            <v>0</v>
          </cell>
          <cell r="J182">
            <v>31</v>
          </cell>
          <cell r="K182">
            <v>365</v>
          </cell>
          <cell r="T182">
            <v>0</v>
          </cell>
          <cell r="U182">
            <v>0</v>
          </cell>
          <cell r="V182">
            <v>0</v>
          </cell>
        </row>
        <row r="183">
          <cell r="F183">
            <v>0</v>
          </cell>
          <cell r="J183">
            <v>30</v>
          </cell>
          <cell r="K183">
            <v>365</v>
          </cell>
          <cell r="T183">
            <v>0</v>
          </cell>
          <cell r="U183">
            <v>0</v>
          </cell>
          <cell r="V183">
            <v>0</v>
          </cell>
        </row>
        <row r="184">
          <cell r="F184">
            <v>0</v>
          </cell>
          <cell r="J184">
            <v>31</v>
          </cell>
          <cell r="K184">
            <v>365</v>
          </cell>
          <cell r="T184">
            <v>0</v>
          </cell>
          <cell r="U184">
            <v>0</v>
          </cell>
          <cell r="V184">
            <v>0</v>
          </cell>
        </row>
        <row r="185">
          <cell r="F185">
            <v>0</v>
          </cell>
          <cell r="J185">
            <v>31</v>
          </cell>
          <cell r="K185">
            <v>365</v>
          </cell>
          <cell r="T185">
            <v>0</v>
          </cell>
          <cell r="U185">
            <v>0</v>
          </cell>
          <cell r="V185">
            <v>0</v>
          </cell>
        </row>
        <row r="186">
          <cell r="F186">
            <v>0</v>
          </cell>
          <cell r="J186">
            <v>30</v>
          </cell>
          <cell r="K186">
            <v>365</v>
          </cell>
          <cell r="T186">
            <v>0</v>
          </cell>
          <cell r="U186">
            <v>0</v>
          </cell>
          <cell r="V186">
            <v>0</v>
          </cell>
        </row>
        <row r="187">
          <cell r="F187">
            <v>0</v>
          </cell>
          <cell r="J187">
            <v>31</v>
          </cell>
          <cell r="K187">
            <v>365</v>
          </cell>
          <cell r="T187">
            <v>0</v>
          </cell>
          <cell r="U187">
            <v>0</v>
          </cell>
          <cell r="V187">
            <v>0</v>
          </cell>
        </row>
        <row r="188">
          <cell r="F188">
            <v>0</v>
          </cell>
          <cell r="J188">
            <v>30</v>
          </cell>
          <cell r="K188">
            <v>365</v>
          </cell>
          <cell r="T188">
            <v>0</v>
          </cell>
          <cell r="U188">
            <v>0</v>
          </cell>
          <cell r="V188">
            <v>0</v>
          </cell>
        </row>
        <row r="189">
          <cell r="F189">
            <v>0</v>
          </cell>
          <cell r="J189">
            <v>31</v>
          </cell>
          <cell r="K189">
            <v>365</v>
          </cell>
          <cell r="T189">
            <v>0</v>
          </cell>
          <cell r="U189">
            <v>0</v>
          </cell>
          <cell r="V189">
            <v>0</v>
          </cell>
        </row>
        <row r="190">
          <cell r="F190">
            <v>0</v>
          </cell>
          <cell r="J190">
            <v>31</v>
          </cell>
          <cell r="K190">
            <v>366</v>
          </cell>
          <cell r="T190">
            <v>0</v>
          </cell>
          <cell r="U190">
            <v>0</v>
          </cell>
          <cell r="V190">
            <v>0</v>
          </cell>
        </row>
        <row r="191">
          <cell r="F191">
            <v>0</v>
          </cell>
          <cell r="J191">
            <v>29</v>
          </cell>
          <cell r="K191">
            <v>366</v>
          </cell>
          <cell r="T191">
            <v>0</v>
          </cell>
          <cell r="U191">
            <v>0</v>
          </cell>
          <cell r="V191">
            <v>0</v>
          </cell>
        </row>
        <row r="192">
          <cell r="F192">
            <v>0</v>
          </cell>
          <cell r="J192">
            <v>31</v>
          </cell>
          <cell r="K192">
            <v>366</v>
          </cell>
          <cell r="T192">
            <v>0</v>
          </cell>
          <cell r="U192">
            <v>0</v>
          </cell>
          <cell r="V192">
            <v>0</v>
          </cell>
        </row>
        <row r="193">
          <cell r="F193">
            <v>0</v>
          </cell>
          <cell r="J193">
            <v>30</v>
          </cell>
          <cell r="K193">
            <v>366</v>
          </cell>
          <cell r="T193">
            <v>0</v>
          </cell>
          <cell r="U193">
            <v>0</v>
          </cell>
          <cell r="V193">
            <v>0</v>
          </cell>
        </row>
        <row r="194">
          <cell r="F194">
            <v>0</v>
          </cell>
          <cell r="J194">
            <v>31</v>
          </cell>
          <cell r="K194">
            <v>366</v>
          </cell>
          <cell r="T194">
            <v>0</v>
          </cell>
          <cell r="U194">
            <v>0</v>
          </cell>
          <cell r="V194">
            <v>0</v>
          </cell>
        </row>
        <row r="195">
          <cell r="F195">
            <v>0</v>
          </cell>
          <cell r="J195">
            <v>30</v>
          </cell>
          <cell r="K195">
            <v>366</v>
          </cell>
          <cell r="T195">
            <v>0</v>
          </cell>
          <cell r="U195">
            <v>0</v>
          </cell>
          <cell r="V195">
            <v>0</v>
          </cell>
        </row>
        <row r="196">
          <cell r="F196">
            <v>0</v>
          </cell>
          <cell r="J196">
            <v>31</v>
          </cell>
          <cell r="K196">
            <v>366</v>
          </cell>
          <cell r="T196">
            <v>0</v>
          </cell>
          <cell r="U196">
            <v>0</v>
          </cell>
          <cell r="V196">
            <v>0</v>
          </cell>
        </row>
        <row r="197">
          <cell r="F197">
            <v>0</v>
          </cell>
          <cell r="J197">
            <v>31</v>
          </cell>
          <cell r="K197">
            <v>366</v>
          </cell>
          <cell r="T197">
            <v>0</v>
          </cell>
          <cell r="U197">
            <v>0</v>
          </cell>
          <cell r="V197">
            <v>0</v>
          </cell>
        </row>
        <row r="198">
          <cell r="F198">
            <v>0</v>
          </cell>
          <cell r="J198">
            <v>30</v>
          </cell>
          <cell r="K198">
            <v>366</v>
          </cell>
          <cell r="T198">
            <v>0</v>
          </cell>
          <cell r="U198">
            <v>0</v>
          </cell>
          <cell r="V198">
            <v>0</v>
          </cell>
        </row>
        <row r="199">
          <cell r="F199">
            <v>0</v>
          </cell>
          <cell r="J199">
            <v>31</v>
          </cell>
          <cell r="K199">
            <v>366</v>
          </cell>
          <cell r="T199">
            <v>0</v>
          </cell>
          <cell r="U199">
            <v>0</v>
          </cell>
          <cell r="V199">
            <v>0</v>
          </cell>
        </row>
        <row r="200">
          <cell r="F200">
            <v>0</v>
          </cell>
          <cell r="J200">
            <v>30</v>
          </cell>
          <cell r="K200">
            <v>366</v>
          </cell>
          <cell r="T200">
            <v>0</v>
          </cell>
          <cell r="U200">
            <v>0</v>
          </cell>
          <cell r="V200">
            <v>0</v>
          </cell>
        </row>
        <row r="201">
          <cell r="F201">
            <v>0</v>
          </cell>
          <cell r="J201">
            <v>31</v>
          </cell>
          <cell r="K201">
            <v>366</v>
          </cell>
          <cell r="T201">
            <v>0</v>
          </cell>
          <cell r="U201">
            <v>0</v>
          </cell>
          <cell r="V201">
            <v>0</v>
          </cell>
        </row>
        <row r="202">
          <cell r="F202">
            <v>0</v>
          </cell>
          <cell r="J202">
            <v>31</v>
          </cell>
          <cell r="K202">
            <v>365</v>
          </cell>
          <cell r="T202">
            <v>0</v>
          </cell>
          <cell r="U202">
            <v>0</v>
          </cell>
          <cell r="V202">
            <v>0</v>
          </cell>
        </row>
        <row r="203">
          <cell r="F203">
            <v>0</v>
          </cell>
          <cell r="J203">
            <v>28</v>
          </cell>
          <cell r="K203">
            <v>365</v>
          </cell>
          <cell r="T203">
            <v>0</v>
          </cell>
          <cell r="U203">
            <v>0</v>
          </cell>
          <cell r="V203">
            <v>0</v>
          </cell>
        </row>
        <row r="204">
          <cell r="F204">
            <v>0</v>
          </cell>
          <cell r="J204">
            <v>31</v>
          </cell>
          <cell r="K204">
            <v>365</v>
          </cell>
          <cell r="T204">
            <v>0</v>
          </cell>
          <cell r="U204">
            <v>0</v>
          </cell>
          <cell r="V204">
            <v>0</v>
          </cell>
        </row>
        <row r="205">
          <cell r="F205">
            <v>0</v>
          </cell>
          <cell r="J205">
            <v>30</v>
          </cell>
          <cell r="K205">
            <v>365</v>
          </cell>
          <cell r="T205">
            <v>0</v>
          </cell>
          <cell r="U205">
            <v>0</v>
          </cell>
          <cell r="V205">
            <v>0</v>
          </cell>
        </row>
        <row r="206">
          <cell r="F206">
            <v>0</v>
          </cell>
          <cell r="J206">
            <v>31</v>
          </cell>
          <cell r="K206">
            <v>365</v>
          </cell>
          <cell r="T206">
            <v>0</v>
          </cell>
          <cell r="U206">
            <v>0</v>
          </cell>
          <cell r="V206">
            <v>0</v>
          </cell>
        </row>
        <row r="207">
          <cell r="F207">
            <v>0</v>
          </cell>
          <cell r="J207">
            <v>30</v>
          </cell>
          <cell r="K207">
            <v>365</v>
          </cell>
          <cell r="T207">
            <v>0</v>
          </cell>
          <cell r="U207">
            <v>0</v>
          </cell>
          <cell r="V207">
            <v>0</v>
          </cell>
        </row>
        <row r="208">
          <cell r="F208">
            <v>0</v>
          </cell>
          <cell r="J208">
            <v>31</v>
          </cell>
          <cell r="K208">
            <v>365</v>
          </cell>
          <cell r="T208">
            <v>0</v>
          </cell>
          <cell r="U208">
            <v>0</v>
          </cell>
          <cell r="V208">
            <v>0</v>
          </cell>
        </row>
        <row r="209">
          <cell r="F209">
            <v>0</v>
          </cell>
          <cell r="J209">
            <v>31</v>
          </cell>
          <cell r="K209">
            <v>365</v>
          </cell>
          <cell r="T209">
            <v>0</v>
          </cell>
          <cell r="U209">
            <v>0</v>
          </cell>
          <cell r="V209">
            <v>0</v>
          </cell>
        </row>
        <row r="210">
          <cell r="F210">
            <v>0</v>
          </cell>
          <cell r="J210">
            <v>30</v>
          </cell>
          <cell r="K210">
            <v>365</v>
          </cell>
          <cell r="T210">
            <v>0</v>
          </cell>
          <cell r="U210">
            <v>0</v>
          </cell>
          <cell r="V210">
            <v>0</v>
          </cell>
        </row>
        <row r="211">
          <cell r="F211">
            <v>0</v>
          </cell>
          <cell r="J211">
            <v>31</v>
          </cell>
          <cell r="K211">
            <v>365</v>
          </cell>
          <cell r="T211">
            <v>0</v>
          </cell>
          <cell r="U211">
            <v>0</v>
          </cell>
          <cell r="V211">
            <v>0</v>
          </cell>
        </row>
        <row r="212">
          <cell r="F212">
            <v>0</v>
          </cell>
          <cell r="J212">
            <v>30</v>
          </cell>
          <cell r="K212">
            <v>365</v>
          </cell>
          <cell r="T212">
            <v>0</v>
          </cell>
          <cell r="U212">
            <v>0</v>
          </cell>
          <cell r="V212">
            <v>0</v>
          </cell>
        </row>
        <row r="213">
          <cell r="F213">
            <v>0</v>
          </cell>
          <cell r="J213">
            <v>31</v>
          </cell>
          <cell r="K213">
            <v>365</v>
          </cell>
          <cell r="T213">
            <v>0</v>
          </cell>
          <cell r="U213">
            <v>0</v>
          </cell>
          <cell r="V213">
            <v>0</v>
          </cell>
        </row>
        <row r="214">
          <cell r="L214">
            <v>0</v>
          </cell>
          <cell r="N214">
            <v>0</v>
          </cell>
          <cell r="O214">
            <v>0</v>
          </cell>
          <cell r="Q214">
            <v>0</v>
          </cell>
          <cell r="R214">
            <v>0</v>
          </cell>
          <cell r="T214">
            <v>0</v>
          </cell>
        </row>
      </sheetData>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스포회원매출"/>
      <sheetName val="주간자금수지"/>
    </sheetNames>
    <sheetDataSet>
      <sheetData sheetId="0" refreshError="1"/>
      <sheetData sheetId="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tion"/>
      <sheetName val="OPB명세"/>
      <sheetName val="OPB(CF판용)"/>
      <sheetName val="할인율"/>
      <sheetName val="평가결과총괄"/>
      <sheetName val="평가결과_세부"/>
      <sheetName val="기대회수율산정"/>
      <sheetName val="기대회수Schedule"/>
      <sheetName val="계획Schedule"/>
      <sheetName val="외화계획Schedule"/>
      <sheetName val="외화통합"/>
      <sheetName val="통합Schedule"/>
      <sheetName val="LIST"/>
      <sheetName val="R&amp;D"/>
      <sheetName val="현금흐름(SPC)"/>
      <sheetName val="Sheet1"/>
      <sheetName val="WPL"/>
      <sheetName val="Borrower"/>
      <sheetName val="Sheet4"/>
      <sheetName val="TOWER 12TON"/>
      <sheetName val="TOWER 10TON"/>
      <sheetName val="가정"/>
      <sheetName val="보고정리계획인가"/>
      <sheetName val="첨부1"/>
      <sheetName val="민감도분석"/>
      <sheetName val="연간데이터"/>
      <sheetName val="불변현금흐름표"/>
      <sheetName val="노무비"/>
      <sheetName val="YHCODE"/>
      <sheetName val="Assumption"/>
      <sheetName val="건축개요"/>
      <sheetName val="별제권_정리담보권"/>
    </sheetNames>
    <sheetDataSet>
      <sheetData sheetId="0" refreshError="1"/>
      <sheetData sheetId="1" refreshError="1"/>
      <sheetData sheetId="2" refreshError="1"/>
      <sheetData sheetId="3" refreshError="1"/>
      <sheetData sheetId="4" refreshError="1"/>
      <sheetData sheetId="5" refreshError="1"/>
      <sheetData sheetId="6" refreshError="1">
        <row r="6">
          <cell r="B6" t="str">
            <v>HBS-01</v>
          </cell>
          <cell r="C6" t="str">
            <v>동아건설산업㈜</v>
          </cell>
          <cell r="D6" t="str">
            <v>파산</v>
          </cell>
          <cell r="E6" t="str">
            <v>기타특별</v>
          </cell>
          <cell r="F6">
            <v>18768000000</v>
          </cell>
          <cell r="G6">
            <v>3761312876</v>
          </cell>
          <cell r="H6">
            <v>22529312876</v>
          </cell>
          <cell r="I6">
            <v>10207052428.53281</v>
          </cell>
          <cell r="J6">
            <v>1</v>
          </cell>
          <cell r="K6">
            <v>0</v>
          </cell>
          <cell r="L6">
            <v>0</v>
          </cell>
          <cell r="M6">
            <v>8560947571.4671898</v>
          </cell>
          <cell r="N6">
            <v>0.03</v>
          </cell>
          <cell r="O6">
            <v>0.55753840876368432</v>
          </cell>
        </row>
        <row r="7">
          <cell r="B7" t="str">
            <v>HBS-02</v>
          </cell>
          <cell r="C7" t="str">
            <v>동서산업㈜</v>
          </cell>
          <cell r="D7" t="str">
            <v>법정관리 신청</v>
          </cell>
          <cell r="E7" t="str">
            <v>기타특별</v>
          </cell>
          <cell r="F7">
            <v>740642976</v>
          </cell>
          <cell r="G7">
            <v>71131925</v>
          </cell>
          <cell r="H7">
            <v>811774901</v>
          </cell>
          <cell r="I7">
            <v>772626723.1906507</v>
          </cell>
          <cell r="J7">
            <v>1</v>
          </cell>
          <cell r="K7">
            <v>0</v>
          </cell>
          <cell r="L7">
            <v>0</v>
          </cell>
          <cell r="N7">
            <v>0.03</v>
          </cell>
          <cell r="O7">
            <v>1</v>
          </cell>
        </row>
        <row r="8">
          <cell r="B8" t="str">
            <v>HBS-03</v>
          </cell>
          <cell r="C8" t="str">
            <v>한보종합건설</v>
          </cell>
          <cell r="D8" t="str">
            <v>화의</v>
          </cell>
          <cell r="E8" t="str">
            <v>화의인가</v>
          </cell>
          <cell r="F8">
            <v>340038957</v>
          </cell>
          <cell r="G8">
            <v>131429364</v>
          </cell>
          <cell r="H8">
            <v>471468321</v>
          </cell>
          <cell r="I8">
            <v>246328754.14495498</v>
          </cell>
          <cell r="J8">
            <v>1</v>
          </cell>
          <cell r="K8">
            <v>93710202.855045021</v>
          </cell>
          <cell r="L8">
            <v>0.1</v>
          </cell>
          <cell r="N8">
            <v>0.03</v>
          </cell>
          <cell r="O8">
            <v>0.75197199958021121</v>
          </cell>
        </row>
        <row r="9">
          <cell r="B9" t="str">
            <v>HBS-04</v>
          </cell>
          <cell r="C9" t="str">
            <v>대경전선공업㈜</v>
          </cell>
          <cell r="D9" t="str">
            <v>화의</v>
          </cell>
          <cell r="E9" t="str">
            <v>화의인가</v>
          </cell>
          <cell r="F9">
            <v>19557112</v>
          </cell>
          <cell r="G9">
            <v>0</v>
          </cell>
          <cell r="H9">
            <v>19557112</v>
          </cell>
          <cell r="I9">
            <v>0</v>
          </cell>
          <cell r="J9">
            <v>1</v>
          </cell>
          <cell r="K9">
            <v>19557112</v>
          </cell>
          <cell r="L9">
            <v>0.3</v>
          </cell>
          <cell r="N9">
            <v>0.03</v>
          </cell>
          <cell r="O9">
            <v>0.3</v>
          </cell>
        </row>
        <row r="10">
          <cell r="B10" t="str">
            <v>HBS-05</v>
          </cell>
          <cell r="C10" t="str">
            <v>경남모직</v>
          </cell>
          <cell r="D10" t="str">
            <v>화의</v>
          </cell>
          <cell r="E10" t="str">
            <v>화의인가</v>
          </cell>
          <cell r="F10">
            <v>5000000000</v>
          </cell>
          <cell r="G10">
            <v>0</v>
          </cell>
          <cell r="H10">
            <v>5000000000</v>
          </cell>
          <cell r="I10">
            <v>4824106327.130949</v>
          </cell>
          <cell r="J10">
            <v>1</v>
          </cell>
          <cell r="K10">
            <v>175893672.86905098</v>
          </cell>
          <cell r="L10">
            <v>0.1</v>
          </cell>
          <cell r="N10">
            <v>0.03</v>
          </cell>
          <cell r="O10">
            <v>0.96833913888357082</v>
          </cell>
        </row>
        <row r="11">
          <cell r="B11" t="str">
            <v>HBS-06</v>
          </cell>
          <cell r="C11" t="str">
            <v>뉴타운개발㈜</v>
          </cell>
          <cell r="D11" t="str">
            <v>법정관리</v>
          </cell>
          <cell r="E11" t="str">
            <v>법정관리</v>
          </cell>
          <cell r="F11">
            <v>10000000000</v>
          </cell>
          <cell r="G11">
            <v>0</v>
          </cell>
          <cell r="H11">
            <v>10000000000</v>
          </cell>
          <cell r="I11">
            <v>5599875128.3228321</v>
          </cell>
          <cell r="J11">
            <v>1</v>
          </cell>
          <cell r="K11">
            <v>4400124871.6771679</v>
          </cell>
          <cell r="L11">
            <v>0.3</v>
          </cell>
          <cell r="N11">
            <v>0.03</v>
          </cell>
          <cell r="O11">
            <v>0.69199125898259817</v>
          </cell>
        </row>
        <row r="12">
          <cell r="B12" t="str">
            <v>HBS-07</v>
          </cell>
          <cell r="C12" t="str">
            <v>시대종합건설㈜</v>
          </cell>
          <cell r="D12" t="str">
            <v>법정관리</v>
          </cell>
          <cell r="E12" t="str">
            <v>법정관리</v>
          </cell>
          <cell r="F12">
            <v>8189694339</v>
          </cell>
          <cell r="G12">
            <v>0</v>
          </cell>
          <cell r="H12">
            <v>8189694339</v>
          </cell>
          <cell r="I12">
            <v>0</v>
          </cell>
          <cell r="J12">
            <v>1</v>
          </cell>
          <cell r="K12">
            <v>8189694339</v>
          </cell>
          <cell r="L12">
            <v>0.3</v>
          </cell>
          <cell r="N12">
            <v>0.03</v>
          </cell>
          <cell r="O12">
            <v>0.3</v>
          </cell>
        </row>
        <row r="13">
          <cell r="B13" t="str">
            <v>HBS-08</v>
          </cell>
          <cell r="C13" t="str">
            <v>㈜진로</v>
          </cell>
          <cell r="D13" t="str">
            <v>화의</v>
          </cell>
          <cell r="E13" t="str">
            <v>화의인가</v>
          </cell>
          <cell r="F13">
            <v>11779178079</v>
          </cell>
          <cell r="G13">
            <v>0</v>
          </cell>
          <cell r="H13">
            <v>11779178079</v>
          </cell>
          <cell r="I13">
            <v>0</v>
          </cell>
          <cell r="J13">
            <v>1</v>
          </cell>
          <cell r="K13">
            <v>11779178079</v>
          </cell>
          <cell r="L13">
            <v>0.3</v>
          </cell>
          <cell r="N13">
            <v>0.03</v>
          </cell>
          <cell r="O13">
            <v>0.3</v>
          </cell>
        </row>
        <row r="14">
          <cell r="B14" t="str">
            <v>HBS-09</v>
          </cell>
          <cell r="C14" t="str">
            <v>㈜한일합섬</v>
          </cell>
          <cell r="D14" t="str">
            <v>법정관리</v>
          </cell>
          <cell r="E14" t="str">
            <v>법정관리</v>
          </cell>
          <cell r="F14">
            <v>35100000000</v>
          </cell>
          <cell r="G14">
            <v>0</v>
          </cell>
          <cell r="H14">
            <v>35100000000</v>
          </cell>
          <cell r="I14">
            <v>0</v>
          </cell>
          <cell r="J14">
            <v>1</v>
          </cell>
          <cell r="K14">
            <v>35100000000</v>
          </cell>
          <cell r="L14">
            <v>1</v>
          </cell>
          <cell r="N14">
            <v>0.03</v>
          </cell>
          <cell r="O14">
            <v>3.5221985178531361E-2</v>
          </cell>
        </row>
        <row r="15">
          <cell r="B15" t="str">
            <v>HBS-10</v>
          </cell>
          <cell r="C15" t="str">
            <v>대우캐피탈㈜</v>
          </cell>
          <cell r="D15" t="str">
            <v>Workout</v>
          </cell>
          <cell r="E15" t="str">
            <v>기타특별</v>
          </cell>
          <cell r="F15">
            <v>69500000000</v>
          </cell>
          <cell r="G15">
            <v>0</v>
          </cell>
          <cell r="H15">
            <v>69500000000</v>
          </cell>
          <cell r="I15">
            <v>0</v>
          </cell>
          <cell r="J15">
            <v>1</v>
          </cell>
          <cell r="K15">
            <v>69500000000</v>
          </cell>
          <cell r="L15">
            <v>1</v>
          </cell>
          <cell r="N15">
            <v>0.03</v>
          </cell>
          <cell r="O15">
            <v>0.43748190786379521</v>
          </cell>
        </row>
        <row r="16">
          <cell r="B16" t="str">
            <v>HBS-11</v>
          </cell>
          <cell r="C16" t="str">
            <v>대우자동차판매㈜</v>
          </cell>
          <cell r="D16" t="str">
            <v>Workout</v>
          </cell>
          <cell r="E16" t="str">
            <v>기타특별</v>
          </cell>
          <cell r="F16">
            <v>6600000000</v>
          </cell>
          <cell r="G16">
            <v>0</v>
          </cell>
          <cell r="H16">
            <v>6600000000</v>
          </cell>
          <cell r="I16">
            <v>0</v>
          </cell>
          <cell r="J16">
            <v>1</v>
          </cell>
          <cell r="K16">
            <v>6600000000</v>
          </cell>
          <cell r="L16">
            <v>0.3</v>
          </cell>
          <cell r="N16">
            <v>0.03</v>
          </cell>
          <cell r="O16">
            <v>0.3</v>
          </cell>
        </row>
        <row r="17">
          <cell r="B17" t="str">
            <v>HBS-12</v>
          </cell>
          <cell r="C17" t="str">
            <v>삼미금속</v>
          </cell>
          <cell r="D17" t="str">
            <v>법정관리</v>
          </cell>
          <cell r="E17" t="str">
            <v>법정관리</v>
          </cell>
          <cell r="F17">
            <v>16611958160</v>
          </cell>
          <cell r="G17">
            <v>7133835376</v>
          </cell>
          <cell r="H17">
            <v>23745793536</v>
          </cell>
          <cell r="I17">
            <v>1728670721.3430459</v>
          </cell>
          <cell r="J17">
            <v>1</v>
          </cell>
          <cell r="K17">
            <v>14883287438.656954</v>
          </cell>
          <cell r="L17">
            <v>0.1</v>
          </cell>
          <cell r="N17">
            <v>0.03</v>
          </cell>
          <cell r="O17">
            <v>0.19365564457987661</v>
          </cell>
        </row>
        <row r="18">
          <cell r="B18" t="str">
            <v>HBS-13</v>
          </cell>
          <cell r="C18" t="str">
            <v>㈜고제</v>
          </cell>
          <cell r="D18" t="str">
            <v>화의기각</v>
          </cell>
          <cell r="E18" t="str">
            <v>기타특별</v>
          </cell>
          <cell r="F18">
            <v>15329886188</v>
          </cell>
          <cell r="G18">
            <v>213303614</v>
          </cell>
          <cell r="H18">
            <v>15543189802</v>
          </cell>
          <cell r="I18">
            <v>7970707259.6098728</v>
          </cell>
          <cell r="J18">
            <v>1</v>
          </cell>
          <cell r="K18">
            <v>7359178928.3901272</v>
          </cell>
          <cell r="L18">
            <v>0</v>
          </cell>
          <cell r="N18">
            <v>0.03</v>
          </cell>
          <cell r="O18">
            <v>0.51994562528776112</v>
          </cell>
        </row>
        <row r="19">
          <cell r="B19" t="str">
            <v>HBS-14</v>
          </cell>
          <cell r="C19" t="str">
            <v>㈜범구</v>
          </cell>
          <cell r="D19" t="str">
            <v>법정관리</v>
          </cell>
          <cell r="E19" t="str">
            <v>법정관리</v>
          </cell>
          <cell r="F19">
            <v>6681178453</v>
          </cell>
          <cell r="G19">
            <v>5671567219</v>
          </cell>
          <cell r="H19">
            <v>12352745672</v>
          </cell>
          <cell r="I19">
            <v>5575971598.3451071</v>
          </cell>
          <cell r="J19">
            <v>1</v>
          </cell>
          <cell r="K19">
            <v>0</v>
          </cell>
          <cell r="L19">
            <v>0.1</v>
          </cell>
          <cell r="M19">
            <v>1105206855</v>
          </cell>
          <cell r="N19">
            <v>0.03</v>
          </cell>
          <cell r="O19">
            <v>0.83954168317065103</v>
          </cell>
        </row>
        <row r="20">
          <cell r="B20" t="str">
            <v>HBS-15</v>
          </cell>
          <cell r="C20" t="str">
            <v xml:space="preserve">두양금속㈜ </v>
          </cell>
          <cell r="D20" t="str">
            <v>법정관리</v>
          </cell>
          <cell r="E20" t="str">
            <v>법정관리</v>
          </cell>
          <cell r="F20">
            <v>1748969312</v>
          </cell>
          <cell r="G20">
            <v>229628930</v>
          </cell>
          <cell r="H20">
            <v>1978598242</v>
          </cell>
          <cell r="I20">
            <v>520651602.0946281</v>
          </cell>
          <cell r="J20">
            <v>1</v>
          </cell>
          <cell r="K20">
            <v>1228317709.9053719</v>
          </cell>
          <cell r="L20">
            <v>0.3</v>
          </cell>
          <cell r="N20">
            <v>0.03</v>
          </cell>
          <cell r="O20">
            <v>0.50838337126079869</v>
          </cell>
        </row>
        <row r="21">
          <cell r="B21" t="str">
            <v>HBS-16</v>
          </cell>
          <cell r="C21" t="str">
            <v>삼화제관</v>
          </cell>
          <cell r="D21" t="str">
            <v>화의</v>
          </cell>
          <cell r="E21" t="str">
            <v>화의인가</v>
          </cell>
          <cell r="F21">
            <v>6050947359</v>
          </cell>
          <cell r="G21">
            <v>678566469</v>
          </cell>
          <cell r="H21">
            <v>6729513828</v>
          </cell>
          <cell r="I21">
            <v>6433478738.3053026</v>
          </cell>
          <cell r="J21">
            <v>1</v>
          </cell>
          <cell r="K21">
            <v>0</v>
          </cell>
          <cell r="L21">
            <v>0.1</v>
          </cell>
          <cell r="N21">
            <v>0.03</v>
          </cell>
          <cell r="O21">
            <v>1</v>
          </cell>
        </row>
        <row r="22">
          <cell r="B22" t="str">
            <v>HBS-17</v>
          </cell>
          <cell r="C22" t="str">
            <v>한양공영</v>
          </cell>
          <cell r="D22" t="str">
            <v>파산</v>
          </cell>
          <cell r="E22" t="str">
            <v>기타특별</v>
          </cell>
          <cell r="F22">
            <v>29397077694</v>
          </cell>
          <cell r="G22">
            <v>10459721857</v>
          </cell>
          <cell r="H22">
            <v>39856799551</v>
          </cell>
          <cell r="I22">
            <v>21238443753.878082</v>
          </cell>
          <cell r="J22">
            <v>1</v>
          </cell>
          <cell r="K22">
            <v>0</v>
          </cell>
          <cell r="L22">
            <v>0</v>
          </cell>
          <cell r="M22">
            <v>8158633940.1219177</v>
          </cell>
          <cell r="N22">
            <v>0.03</v>
          </cell>
          <cell r="O22">
            <v>0.73079382228752976</v>
          </cell>
        </row>
        <row r="23">
          <cell r="B23" t="str">
            <v>HBS-18</v>
          </cell>
          <cell r="C23" t="str">
            <v>주식회사 한양목재</v>
          </cell>
          <cell r="D23" t="str">
            <v>파산</v>
          </cell>
          <cell r="E23" t="str">
            <v>기타특별</v>
          </cell>
          <cell r="F23">
            <v>13143885692</v>
          </cell>
          <cell r="G23">
            <v>7576060160</v>
          </cell>
          <cell r="H23">
            <v>20719945852</v>
          </cell>
          <cell r="I23">
            <v>19899544692.957203</v>
          </cell>
          <cell r="J23">
            <v>1</v>
          </cell>
          <cell r="K23">
            <v>0</v>
          </cell>
          <cell r="L23">
            <v>0</v>
          </cell>
          <cell r="N23">
            <v>0.03</v>
          </cell>
          <cell r="O23">
            <v>1</v>
          </cell>
        </row>
        <row r="24">
          <cell r="B24" t="str">
            <v>HBS-19</v>
          </cell>
          <cell r="C24" t="str">
            <v>한양산업</v>
          </cell>
          <cell r="D24" t="str">
            <v>파산</v>
          </cell>
          <cell r="E24" t="str">
            <v>기타특별</v>
          </cell>
          <cell r="F24">
            <v>1941695411</v>
          </cell>
          <cell r="G24">
            <v>1119182068</v>
          </cell>
          <cell r="H24">
            <v>3060877479</v>
          </cell>
          <cell r="I24">
            <v>2939682788.1742415</v>
          </cell>
          <cell r="J24">
            <v>1</v>
          </cell>
          <cell r="K24">
            <v>0</v>
          </cell>
          <cell r="L24">
            <v>0</v>
          </cell>
          <cell r="N24">
            <v>0.03</v>
          </cell>
          <cell r="O24">
            <v>1</v>
          </cell>
        </row>
        <row r="25">
          <cell r="B25" t="str">
            <v>HBS-20</v>
          </cell>
          <cell r="C25" t="str">
            <v>에이아이테크</v>
          </cell>
          <cell r="D25" t="str">
            <v>화의</v>
          </cell>
          <cell r="E25" t="str">
            <v>화의인가</v>
          </cell>
          <cell r="F25">
            <v>1003142782</v>
          </cell>
          <cell r="G25">
            <v>23466191</v>
          </cell>
          <cell r="H25">
            <v>1026608973</v>
          </cell>
          <cell r="I25">
            <v>0</v>
          </cell>
          <cell r="J25">
            <v>1</v>
          </cell>
          <cell r="K25">
            <v>1003142782</v>
          </cell>
          <cell r="L25">
            <v>0.3</v>
          </cell>
          <cell r="N25">
            <v>0.03</v>
          </cell>
          <cell r="O25">
            <v>0.3</v>
          </cell>
        </row>
        <row r="26">
          <cell r="B26" t="str">
            <v>HBS-21</v>
          </cell>
          <cell r="C26" t="str">
            <v>㈜에바스</v>
          </cell>
          <cell r="D26" t="str">
            <v>화의</v>
          </cell>
          <cell r="E26" t="str">
            <v>화의인가</v>
          </cell>
          <cell r="F26">
            <v>121264893</v>
          </cell>
          <cell r="G26">
            <v>42208606</v>
          </cell>
          <cell r="H26">
            <v>163473499</v>
          </cell>
          <cell r="I26">
            <v>0</v>
          </cell>
          <cell r="J26">
            <v>1</v>
          </cell>
          <cell r="K26">
            <v>121264893</v>
          </cell>
          <cell r="L26">
            <v>0.1</v>
          </cell>
          <cell r="N26">
            <v>0.03</v>
          </cell>
          <cell r="O26">
            <v>0.1</v>
          </cell>
        </row>
        <row r="27">
          <cell r="B27" t="str">
            <v>HBS-22</v>
          </cell>
          <cell r="C27" t="str">
            <v>삼성제약공업 주식회사</v>
          </cell>
          <cell r="D27" t="str">
            <v>화의</v>
          </cell>
          <cell r="E27" t="str">
            <v>화의인가</v>
          </cell>
          <cell r="F27">
            <v>835975646</v>
          </cell>
          <cell r="G27">
            <v>0</v>
          </cell>
          <cell r="H27">
            <v>835975646</v>
          </cell>
          <cell r="I27">
            <v>573605663.29802656</v>
          </cell>
          <cell r="J27">
            <v>1</v>
          </cell>
          <cell r="K27">
            <v>262369982.70197344</v>
          </cell>
          <cell r="L27">
            <v>0.1</v>
          </cell>
          <cell r="N27">
            <v>0.03</v>
          </cell>
          <cell r="O27">
            <v>0.71753604837457663</v>
          </cell>
        </row>
        <row r="28">
          <cell r="B28" t="str">
            <v>HBS-23</v>
          </cell>
          <cell r="C28" t="str">
            <v>㈜휴니드테크놀러지스</v>
          </cell>
          <cell r="D28" t="str">
            <v>법정관리 신청</v>
          </cell>
          <cell r="E28" t="str">
            <v>기타특별</v>
          </cell>
          <cell r="F28">
            <v>937036666</v>
          </cell>
          <cell r="G28">
            <v>54470364</v>
          </cell>
          <cell r="H28">
            <v>991507030</v>
          </cell>
          <cell r="I28">
            <v>551528597.52701271</v>
          </cell>
          <cell r="J28">
            <v>1</v>
          </cell>
          <cell r="K28">
            <v>385508068.47298729</v>
          </cell>
          <cell r="L28">
            <v>0</v>
          </cell>
          <cell r="N28">
            <v>0.03</v>
          </cell>
          <cell r="O28">
            <v>0.58858806441520051</v>
          </cell>
        </row>
        <row r="29">
          <cell r="B29" t="str">
            <v>HBS-24</v>
          </cell>
          <cell r="C29" t="str">
            <v>㈜ 공영토건</v>
          </cell>
          <cell r="D29" t="str">
            <v>파산</v>
          </cell>
          <cell r="E29" t="str">
            <v>기타특별</v>
          </cell>
          <cell r="F29">
            <v>75643483217</v>
          </cell>
          <cell r="G29">
            <v>50539657043</v>
          </cell>
          <cell r="H29">
            <v>126183140260</v>
          </cell>
          <cell r="I29">
            <v>5361267487.4501495</v>
          </cell>
          <cell r="J29">
            <v>1</v>
          </cell>
          <cell r="K29">
            <v>3021684576.5498505</v>
          </cell>
          <cell r="L29">
            <v>0</v>
          </cell>
          <cell r="M29">
            <v>67260531153</v>
          </cell>
          <cell r="N29">
            <v>0.03</v>
          </cell>
          <cell r="O29">
            <v>9.7550814798832347E-2</v>
          </cell>
        </row>
        <row r="30">
          <cell r="B30" t="str">
            <v>HBS-25</v>
          </cell>
          <cell r="C30" t="str">
            <v>스카이버</v>
          </cell>
          <cell r="D30" t="str">
            <v>파산</v>
          </cell>
          <cell r="E30" t="str">
            <v>기타특별</v>
          </cell>
          <cell r="F30">
            <v>370230756.19999999</v>
          </cell>
          <cell r="G30">
            <v>64677262.5</v>
          </cell>
          <cell r="H30">
            <v>434908018.69999999</v>
          </cell>
          <cell r="I30">
            <v>189703264.31922096</v>
          </cell>
          <cell r="J30">
            <v>1</v>
          </cell>
          <cell r="K30">
            <v>180527491.88077903</v>
          </cell>
          <cell r="L30">
            <v>0</v>
          </cell>
          <cell r="N30">
            <v>0.03</v>
          </cell>
          <cell r="O30">
            <v>0.51239196404510101</v>
          </cell>
        </row>
        <row r="31">
          <cell r="B31" t="str">
            <v>HBS-26</v>
          </cell>
          <cell r="C31" t="str">
            <v>삼웅기업㈜</v>
          </cell>
          <cell r="D31" t="str">
            <v>화의</v>
          </cell>
          <cell r="E31" t="str">
            <v>화의인가</v>
          </cell>
          <cell r="F31">
            <v>111435540</v>
          </cell>
          <cell r="G31">
            <v>4857854</v>
          </cell>
          <cell r="H31">
            <v>116293394</v>
          </cell>
          <cell r="I31">
            <v>0</v>
          </cell>
          <cell r="J31">
            <v>1</v>
          </cell>
          <cell r="K31">
            <v>111435540</v>
          </cell>
          <cell r="L31">
            <v>0.3</v>
          </cell>
          <cell r="N31">
            <v>0.03</v>
          </cell>
          <cell r="O31">
            <v>0.3</v>
          </cell>
        </row>
        <row r="32">
          <cell r="B32" t="str">
            <v>HBS-27</v>
          </cell>
          <cell r="C32" t="str">
            <v>쌍용자동차㈜</v>
          </cell>
          <cell r="D32" t="str">
            <v>워크아웃</v>
          </cell>
          <cell r="E32" t="str">
            <v>기타특별</v>
          </cell>
          <cell r="F32">
            <v>40000000000</v>
          </cell>
          <cell r="G32">
            <v>7736903</v>
          </cell>
          <cell r="H32">
            <v>40007736903</v>
          </cell>
          <cell r="I32">
            <v>7170070791.2253323</v>
          </cell>
          <cell r="J32">
            <v>1</v>
          </cell>
          <cell r="K32">
            <v>3036981637.307476</v>
          </cell>
          <cell r="L32">
            <v>0.3</v>
          </cell>
          <cell r="M32">
            <v>29792947571.46719</v>
          </cell>
          <cell r="N32">
            <v>0.03</v>
          </cell>
          <cell r="O32">
            <v>0.22437384273903976</v>
          </cell>
        </row>
        <row r="33">
          <cell r="B33" t="str">
            <v>HBS-28</v>
          </cell>
          <cell r="C33" t="str">
            <v>㈜한국일보</v>
          </cell>
          <cell r="D33" t="str">
            <v>워크아웃</v>
          </cell>
          <cell r="E33" t="str">
            <v>기타특별</v>
          </cell>
          <cell r="F33">
            <v>59901000000</v>
          </cell>
          <cell r="G33">
            <v>0</v>
          </cell>
          <cell r="H33">
            <v>59901000000</v>
          </cell>
          <cell r="I33">
            <v>0</v>
          </cell>
          <cell r="J33">
            <v>1</v>
          </cell>
          <cell r="K33">
            <v>59901000000</v>
          </cell>
          <cell r="L33">
            <v>0.3</v>
          </cell>
          <cell r="N33">
            <v>0.03</v>
          </cell>
          <cell r="O33">
            <v>0.2252054794520548</v>
          </cell>
        </row>
        <row r="34">
          <cell r="B34" t="str">
            <v>HBS-29</v>
          </cell>
          <cell r="C34" t="str">
            <v>갑 을</v>
          </cell>
          <cell r="D34" t="str">
            <v>워크아웃</v>
          </cell>
          <cell r="E34" t="str">
            <v>기타특별</v>
          </cell>
          <cell r="F34">
            <v>53020829372</v>
          </cell>
          <cell r="G34">
            <v>0</v>
          </cell>
          <cell r="H34">
            <v>53020829372</v>
          </cell>
          <cell r="I34">
            <v>51117114143.971542</v>
          </cell>
          <cell r="J34">
            <v>1</v>
          </cell>
          <cell r="K34">
            <v>1903715228.0284576</v>
          </cell>
          <cell r="L34">
            <v>0.3</v>
          </cell>
          <cell r="N34">
            <v>0.03</v>
          </cell>
          <cell r="O34">
            <v>1.0679660234198396</v>
          </cell>
        </row>
        <row r="35">
          <cell r="B35" t="str">
            <v>HBS-30</v>
          </cell>
          <cell r="C35" t="str">
            <v>새 한</v>
          </cell>
          <cell r="F35">
            <v>0</v>
          </cell>
          <cell r="G35">
            <v>0</v>
          </cell>
          <cell r="H35">
            <v>0</v>
          </cell>
          <cell r="I35">
            <v>0</v>
          </cell>
          <cell r="J35">
            <v>1</v>
          </cell>
          <cell r="K35">
            <v>0</v>
          </cell>
          <cell r="L35">
            <v>0.3</v>
          </cell>
          <cell r="N35">
            <v>0.03</v>
          </cell>
          <cell r="O35" t="e">
            <v>#DIV/0!</v>
          </cell>
        </row>
        <row r="36">
          <cell r="B36" t="str">
            <v>HBS-31</v>
          </cell>
          <cell r="C36" t="str">
            <v>기아모텍주식회사</v>
          </cell>
          <cell r="D36" t="str">
            <v>화의</v>
          </cell>
          <cell r="E36" t="str">
            <v>화의인가</v>
          </cell>
          <cell r="F36">
            <v>993871289</v>
          </cell>
          <cell r="G36">
            <v>0</v>
          </cell>
          <cell r="H36">
            <v>993871289</v>
          </cell>
          <cell r="I36">
            <v>0</v>
          </cell>
          <cell r="J36">
            <v>1</v>
          </cell>
          <cell r="K36">
            <v>993871289</v>
          </cell>
          <cell r="L36">
            <v>0.1</v>
          </cell>
          <cell r="N36">
            <v>0.03</v>
          </cell>
          <cell r="O36">
            <v>0.1</v>
          </cell>
        </row>
        <row r="37">
          <cell r="B37" t="str">
            <v>HBS-32</v>
          </cell>
          <cell r="C37" t="str">
            <v>㈜대일</v>
          </cell>
          <cell r="D37" t="str">
            <v>화의</v>
          </cell>
          <cell r="E37" t="str">
            <v>화의인가</v>
          </cell>
          <cell r="F37">
            <v>332746368</v>
          </cell>
          <cell r="G37">
            <v>51272483</v>
          </cell>
          <cell r="H37">
            <v>384018851</v>
          </cell>
          <cell r="I37">
            <v>177642696.87489316</v>
          </cell>
          <cell r="J37">
            <v>1</v>
          </cell>
          <cell r="K37">
            <v>155103671.12510684</v>
          </cell>
          <cell r="L37">
            <v>0.1</v>
          </cell>
          <cell r="N37">
            <v>0.03</v>
          </cell>
          <cell r="O37">
            <v>0.58048135926581723</v>
          </cell>
        </row>
        <row r="38">
          <cell r="B38" t="str">
            <v>HBS-33</v>
          </cell>
          <cell r="C38" t="str">
            <v>태일정밀</v>
          </cell>
          <cell r="D38" t="str">
            <v>화의</v>
          </cell>
          <cell r="E38" t="str">
            <v>화의인가</v>
          </cell>
          <cell r="F38">
            <v>15105788020</v>
          </cell>
          <cell r="G38">
            <v>0</v>
          </cell>
          <cell r="H38">
            <v>15105788020</v>
          </cell>
          <cell r="I38">
            <v>596725551.08822787</v>
          </cell>
          <cell r="J38">
            <v>1</v>
          </cell>
          <cell r="K38">
            <v>14509062468.911772</v>
          </cell>
          <cell r="L38">
            <v>0.1</v>
          </cell>
          <cell r="N38">
            <v>0.03</v>
          </cell>
          <cell r="O38">
            <v>0.13555279574083451</v>
          </cell>
        </row>
        <row r="39">
          <cell r="B39" t="str">
            <v>HBS-34</v>
          </cell>
          <cell r="C39" t="str">
            <v>우신정밀㈜</v>
          </cell>
          <cell r="D39" t="str">
            <v>화의</v>
          </cell>
          <cell r="E39" t="str">
            <v>화의인가</v>
          </cell>
          <cell r="F39">
            <v>81273887</v>
          </cell>
          <cell r="G39">
            <v>6687282.2228150684</v>
          </cell>
          <cell r="H39">
            <v>87961169.222815067</v>
          </cell>
          <cell r="I39">
            <v>42741463.06580922</v>
          </cell>
          <cell r="J39">
            <v>1</v>
          </cell>
          <cell r="K39">
            <v>38532423.93419078</v>
          </cell>
          <cell r="L39">
            <v>0.1</v>
          </cell>
          <cell r="N39">
            <v>0.03</v>
          </cell>
          <cell r="O39">
            <v>0.5733047498912941</v>
          </cell>
        </row>
        <row r="40">
          <cell r="B40" t="str">
            <v>HBS-35</v>
          </cell>
          <cell r="C40" t="str">
            <v>우신산업</v>
          </cell>
          <cell r="D40" t="str">
            <v>화의</v>
          </cell>
          <cell r="E40" t="str">
            <v>화의인가</v>
          </cell>
          <cell r="F40">
            <v>270808274</v>
          </cell>
          <cell r="G40">
            <v>22282327.366863012</v>
          </cell>
          <cell r="H40">
            <v>293090601.36686301</v>
          </cell>
          <cell r="I40">
            <v>280197381.33909494</v>
          </cell>
          <cell r="J40">
            <v>1</v>
          </cell>
          <cell r="K40">
            <v>0</v>
          </cell>
          <cell r="L40">
            <v>0.1</v>
          </cell>
          <cell r="N40">
            <v>0.03</v>
          </cell>
          <cell r="O40">
            <v>1</v>
          </cell>
        </row>
        <row r="41">
          <cell r="B41" t="str">
            <v>HBS-36</v>
          </cell>
          <cell r="C41" t="str">
            <v>(주)국제종합토건</v>
          </cell>
          <cell r="D41" t="str">
            <v>화의</v>
          </cell>
          <cell r="E41" t="str">
            <v>화의인가</v>
          </cell>
          <cell r="F41">
            <v>3861466148</v>
          </cell>
          <cell r="G41">
            <v>309975227.7709589</v>
          </cell>
          <cell r="H41">
            <v>4171441375.7709589</v>
          </cell>
          <cell r="I41">
            <v>1835791125.7821882</v>
          </cell>
          <cell r="J41">
            <v>1</v>
          </cell>
          <cell r="K41">
            <v>2025675022.2178118</v>
          </cell>
          <cell r="L41">
            <v>0.3</v>
          </cell>
          <cell r="N41">
            <v>0.03</v>
          </cell>
          <cell r="O41">
            <v>0.63278908549104074</v>
          </cell>
        </row>
        <row r="42">
          <cell r="B42" t="str">
            <v>HBS-37</v>
          </cell>
          <cell r="C42" t="str">
            <v>대선주조㈜</v>
          </cell>
          <cell r="D42" t="str">
            <v>화의</v>
          </cell>
          <cell r="E42" t="str">
            <v>화의인가</v>
          </cell>
          <cell r="F42">
            <v>8428000530</v>
          </cell>
          <cell r="G42">
            <v>936200771.20232892</v>
          </cell>
          <cell r="H42">
            <v>9364201301.2023296</v>
          </cell>
          <cell r="I42">
            <v>701748341.4897238</v>
          </cell>
          <cell r="J42">
            <v>1</v>
          </cell>
          <cell r="K42">
            <v>7726252188.5102758</v>
          </cell>
          <cell r="L42">
            <v>0.1</v>
          </cell>
          <cell r="N42">
            <v>0.03</v>
          </cell>
          <cell r="O42">
            <v>0.17493752582153094</v>
          </cell>
        </row>
        <row r="43">
          <cell r="B43" t="str">
            <v>HBS-38</v>
          </cell>
          <cell r="C43" t="str">
            <v>㈜ 에덴</v>
          </cell>
          <cell r="D43" t="str">
            <v>법정관리</v>
          </cell>
          <cell r="E43" t="str">
            <v>법정관리</v>
          </cell>
          <cell r="F43">
            <v>2759720404</v>
          </cell>
          <cell r="G43">
            <v>1323567677.2574794</v>
          </cell>
          <cell r="H43">
            <v>4083288081.2574797</v>
          </cell>
          <cell r="I43">
            <v>906706268.0514158</v>
          </cell>
          <cell r="J43">
            <v>1</v>
          </cell>
          <cell r="K43">
            <v>1853014135.9485841</v>
          </cell>
          <cell r="L43">
            <v>0.1</v>
          </cell>
          <cell r="N43">
            <v>0.03</v>
          </cell>
          <cell r="O43">
            <v>0.3956950421729295</v>
          </cell>
        </row>
        <row r="44">
          <cell r="B44" t="str">
            <v>HBS-39</v>
          </cell>
          <cell r="C44" t="str">
            <v>㈜삼경정밀</v>
          </cell>
          <cell r="D44" t="str">
            <v>화의</v>
          </cell>
          <cell r="E44" t="str">
            <v>화의인가</v>
          </cell>
          <cell r="F44">
            <v>227276405</v>
          </cell>
          <cell r="G44">
            <v>92934251</v>
          </cell>
          <cell r="H44">
            <v>320210656</v>
          </cell>
          <cell r="I44">
            <v>0</v>
          </cell>
          <cell r="J44">
            <v>1</v>
          </cell>
          <cell r="K44">
            <v>227276405</v>
          </cell>
          <cell r="L44">
            <v>0.1</v>
          </cell>
          <cell r="N44">
            <v>0.03</v>
          </cell>
          <cell r="O44">
            <v>0.1</v>
          </cell>
        </row>
        <row r="45">
          <cell r="B45" t="str">
            <v>HBS-40</v>
          </cell>
          <cell r="C45" t="str">
            <v>㈜한일합섬 70회</v>
          </cell>
          <cell r="D45" t="str">
            <v>법정관리</v>
          </cell>
          <cell r="E45" t="str">
            <v>법정관리</v>
          </cell>
          <cell r="F45">
            <v>742879719</v>
          </cell>
          <cell r="G45">
            <v>0</v>
          </cell>
          <cell r="H45">
            <v>742879719</v>
          </cell>
          <cell r="I45">
            <v>0</v>
          </cell>
          <cell r="J45">
            <v>1</v>
          </cell>
          <cell r="K45">
            <v>742879719</v>
          </cell>
          <cell r="L45">
            <v>0.3</v>
          </cell>
          <cell r="N45">
            <v>0.03</v>
          </cell>
          <cell r="O45">
            <v>0.3</v>
          </cell>
        </row>
        <row r="46">
          <cell r="B46" t="str">
            <v>HBS-41</v>
          </cell>
          <cell r="C46" t="str">
            <v>하이닉스</v>
          </cell>
          <cell r="D46" t="str">
            <v>워크아웃</v>
          </cell>
          <cell r="E46" t="str">
            <v>기타특별</v>
          </cell>
          <cell r="F46">
            <v>240941355000</v>
          </cell>
          <cell r="G46">
            <v>0</v>
          </cell>
          <cell r="H46">
            <v>240941355000</v>
          </cell>
          <cell r="I46">
            <v>0</v>
          </cell>
          <cell r="J46">
            <v>1</v>
          </cell>
          <cell r="K46">
            <v>240941355000</v>
          </cell>
          <cell r="L46">
            <v>1</v>
          </cell>
          <cell r="N46">
            <v>0.03</v>
          </cell>
          <cell r="O46">
            <v>0.50771795405657594</v>
          </cell>
        </row>
        <row r="47">
          <cell r="B47" t="str">
            <v>HBS-42</v>
          </cell>
          <cell r="C47" t="str">
            <v>(주)삼광수기</v>
          </cell>
          <cell r="D47" t="str">
            <v>화의</v>
          </cell>
          <cell r="E47" t="str">
            <v>화의인가</v>
          </cell>
          <cell r="F47">
            <v>44765058</v>
          </cell>
          <cell r="G47">
            <v>3927116</v>
          </cell>
          <cell r="H47">
            <v>48692174</v>
          </cell>
          <cell r="I47">
            <v>0</v>
          </cell>
          <cell r="J47">
            <v>1</v>
          </cell>
          <cell r="K47">
            <v>44765058</v>
          </cell>
          <cell r="L47">
            <v>0.3</v>
          </cell>
          <cell r="N47">
            <v>0.03</v>
          </cell>
          <cell r="O47">
            <v>0.3</v>
          </cell>
        </row>
        <row r="48">
          <cell r="B48" t="str">
            <v>HBS-43</v>
          </cell>
          <cell r="C48" t="str">
            <v>두양상사</v>
          </cell>
          <cell r="D48" t="str">
            <v>기타</v>
          </cell>
          <cell r="E48" t="str">
            <v>기타특별</v>
          </cell>
          <cell r="F48">
            <v>18888105052</v>
          </cell>
          <cell r="G48">
            <v>1362993024</v>
          </cell>
          <cell r="H48">
            <v>20251098076</v>
          </cell>
          <cell r="I48">
            <v>72398000</v>
          </cell>
          <cell r="J48">
            <v>1</v>
          </cell>
          <cell r="K48">
            <v>18815707052</v>
          </cell>
          <cell r="L48">
            <v>0.3</v>
          </cell>
          <cell r="N48">
            <v>0.03</v>
          </cell>
          <cell r="O48">
            <v>0.30268309604698185</v>
          </cell>
        </row>
        <row r="49">
          <cell r="B49" t="str">
            <v>소계</v>
          </cell>
          <cell r="F49">
            <v>781565164758.19995</v>
          </cell>
          <cell r="G49">
            <v>91892654241.32045</v>
          </cell>
          <cell r="H49">
            <v>873457818999.52026</v>
          </cell>
          <cell r="I49">
            <v>157534381291.51224</v>
          </cell>
          <cell r="J49">
            <v>1</v>
          </cell>
          <cell r="K49">
            <v>517330066987.94299</v>
          </cell>
          <cell r="L49">
            <v>0.3</v>
          </cell>
          <cell r="M49">
            <v>114878267091.0563</v>
          </cell>
          <cell r="O49">
            <v>0.40013733401826879</v>
          </cell>
        </row>
      </sheetData>
      <sheetData sheetId="7" refreshError="1">
        <row r="8">
          <cell r="B8" t="str">
            <v>HBS-01</v>
          </cell>
          <cell r="C8" t="str">
            <v>동아건설산업㈜</v>
          </cell>
          <cell r="D8">
            <v>0.55753840876368432</v>
          </cell>
          <cell r="E8" t="str">
            <v>담     보</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0</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0</v>
          </cell>
          <cell r="FS8">
            <v>0</v>
          </cell>
          <cell r="FT8">
            <v>0</v>
          </cell>
          <cell r="FU8">
            <v>0</v>
          </cell>
          <cell r="FV8">
            <v>0</v>
          </cell>
          <cell r="FW8">
            <v>0</v>
          </cell>
          <cell r="FX8">
            <v>0</v>
          </cell>
          <cell r="FY8">
            <v>0</v>
          </cell>
          <cell r="FZ8">
            <v>0</v>
          </cell>
          <cell r="GA8">
            <v>0</v>
          </cell>
          <cell r="GB8">
            <v>0</v>
          </cell>
          <cell r="GC8">
            <v>0</v>
          </cell>
          <cell r="GD8">
            <v>0</v>
          </cell>
          <cell r="GE8">
            <v>0</v>
          </cell>
          <cell r="GF8">
            <v>0</v>
          </cell>
          <cell r="GG8">
            <v>0</v>
          </cell>
          <cell r="GH8">
            <v>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cell r="GY8">
            <v>0</v>
          </cell>
          <cell r="GZ8">
            <v>0</v>
          </cell>
          <cell r="HA8">
            <v>0</v>
          </cell>
          <cell r="HB8">
            <v>0</v>
          </cell>
          <cell r="HC8">
            <v>0</v>
          </cell>
          <cell r="HD8">
            <v>0</v>
          </cell>
          <cell r="HE8">
            <v>0</v>
          </cell>
        </row>
        <row r="9">
          <cell r="D9">
            <v>0.55753840876368432</v>
          </cell>
          <cell r="E9" t="str">
            <v>무 담 보</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0</v>
          </cell>
          <cell r="EE9">
            <v>0</v>
          </cell>
          <cell r="EF9">
            <v>0</v>
          </cell>
          <cell r="EG9">
            <v>0</v>
          </cell>
          <cell r="EH9">
            <v>0</v>
          </cell>
          <cell r="EI9">
            <v>0</v>
          </cell>
          <cell r="EJ9">
            <v>0</v>
          </cell>
          <cell r="EK9">
            <v>0</v>
          </cell>
          <cell r="EL9">
            <v>0</v>
          </cell>
          <cell r="EM9">
            <v>0</v>
          </cell>
          <cell r="EN9">
            <v>0</v>
          </cell>
          <cell r="EO9">
            <v>0</v>
          </cell>
          <cell r="EP9">
            <v>0</v>
          </cell>
          <cell r="EQ9">
            <v>0</v>
          </cell>
          <cell r="ER9">
            <v>0</v>
          </cell>
          <cell r="ES9">
            <v>0</v>
          </cell>
          <cell r="ET9">
            <v>0</v>
          </cell>
          <cell r="EU9">
            <v>0</v>
          </cell>
          <cell r="EV9">
            <v>0</v>
          </cell>
          <cell r="EW9">
            <v>0</v>
          </cell>
          <cell r="EX9">
            <v>0</v>
          </cell>
          <cell r="EY9">
            <v>0</v>
          </cell>
          <cell r="EZ9">
            <v>0</v>
          </cell>
          <cell r="FA9">
            <v>0</v>
          </cell>
          <cell r="FB9">
            <v>0</v>
          </cell>
          <cell r="FC9">
            <v>0</v>
          </cell>
          <cell r="FD9">
            <v>0</v>
          </cell>
          <cell r="FE9">
            <v>0</v>
          </cell>
          <cell r="FF9">
            <v>0</v>
          </cell>
          <cell r="FG9">
            <v>0</v>
          </cell>
          <cell r="FH9">
            <v>0</v>
          </cell>
          <cell r="FI9">
            <v>0</v>
          </cell>
          <cell r="FJ9">
            <v>0</v>
          </cell>
          <cell r="FK9">
            <v>0</v>
          </cell>
          <cell r="FL9">
            <v>0</v>
          </cell>
          <cell r="FM9">
            <v>0</v>
          </cell>
          <cell r="FN9">
            <v>0</v>
          </cell>
          <cell r="FO9">
            <v>0</v>
          </cell>
          <cell r="FP9">
            <v>0</v>
          </cell>
          <cell r="FQ9">
            <v>0</v>
          </cell>
          <cell r="FR9">
            <v>0</v>
          </cell>
          <cell r="FS9">
            <v>0</v>
          </cell>
          <cell r="FT9">
            <v>0</v>
          </cell>
          <cell r="FU9">
            <v>0</v>
          </cell>
          <cell r="FV9">
            <v>0</v>
          </cell>
          <cell r="FW9">
            <v>0</v>
          </cell>
          <cell r="FX9">
            <v>0</v>
          </cell>
          <cell r="FY9">
            <v>0</v>
          </cell>
          <cell r="FZ9">
            <v>0</v>
          </cell>
          <cell r="GA9">
            <v>0</v>
          </cell>
          <cell r="GB9">
            <v>0</v>
          </cell>
          <cell r="GC9">
            <v>0</v>
          </cell>
          <cell r="GD9">
            <v>0</v>
          </cell>
          <cell r="GE9">
            <v>0</v>
          </cell>
          <cell r="GF9">
            <v>0</v>
          </cell>
          <cell r="GG9">
            <v>0</v>
          </cell>
          <cell r="GH9">
            <v>0</v>
          </cell>
          <cell r="GI9">
            <v>0</v>
          </cell>
          <cell r="GJ9">
            <v>0</v>
          </cell>
          <cell r="GK9">
            <v>0</v>
          </cell>
          <cell r="GL9">
            <v>0</v>
          </cell>
          <cell r="GM9">
            <v>0</v>
          </cell>
          <cell r="GN9">
            <v>0</v>
          </cell>
          <cell r="GO9">
            <v>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row>
        <row r="10">
          <cell r="E10" t="str">
            <v>Total</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Q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cell r="FI10">
            <v>0</v>
          </cell>
          <cell r="FJ10">
            <v>0</v>
          </cell>
          <cell r="FK10">
            <v>0</v>
          </cell>
          <cell r="FL10">
            <v>0</v>
          </cell>
          <cell r="FM10">
            <v>0</v>
          </cell>
          <cell r="FN10">
            <v>0</v>
          </cell>
          <cell r="FO10">
            <v>0</v>
          </cell>
          <cell r="FP10">
            <v>0</v>
          </cell>
          <cell r="FQ10">
            <v>0</v>
          </cell>
          <cell r="FR10">
            <v>0</v>
          </cell>
          <cell r="FS10">
            <v>0</v>
          </cell>
          <cell r="FT10">
            <v>0</v>
          </cell>
          <cell r="FU10">
            <v>0</v>
          </cell>
          <cell r="FV10">
            <v>0</v>
          </cell>
          <cell r="FW10">
            <v>0</v>
          </cell>
          <cell r="FX10">
            <v>0</v>
          </cell>
          <cell r="FY10">
            <v>0</v>
          </cell>
          <cell r="FZ10">
            <v>0</v>
          </cell>
          <cell r="GA10">
            <v>0</v>
          </cell>
          <cell r="GB10">
            <v>0</v>
          </cell>
          <cell r="GC10">
            <v>0</v>
          </cell>
          <cell r="GD10">
            <v>0</v>
          </cell>
          <cell r="GE10">
            <v>0</v>
          </cell>
          <cell r="GF10">
            <v>0</v>
          </cell>
          <cell r="GG10">
            <v>0</v>
          </cell>
          <cell r="GH10">
            <v>0</v>
          </cell>
          <cell r="GI10">
            <v>0</v>
          </cell>
          <cell r="GJ10">
            <v>0</v>
          </cell>
          <cell r="GK10">
            <v>0</v>
          </cell>
          <cell r="GL10">
            <v>0</v>
          </cell>
          <cell r="GM10">
            <v>0</v>
          </cell>
          <cell r="GN10">
            <v>0</v>
          </cell>
          <cell r="GO10">
            <v>0</v>
          </cell>
          <cell r="GP10">
            <v>0</v>
          </cell>
          <cell r="GQ10">
            <v>0</v>
          </cell>
          <cell r="GR10">
            <v>0</v>
          </cell>
          <cell r="GS10">
            <v>0</v>
          </cell>
          <cell r="GT10">
            <v>0</v>
          </cell>
          <cell r="GU10">
            <v>0</v>
          </cell>
          <cell r="GV10">
            <v>0</v>
          </cell>
          <cell r="GW10">
            <v>0</v>
          </cell>
          <cell r="GX10">
            <v>0</v>
          </cell>
          <cell r="GY10">
            <v>0</v>
          </cell>
          <cell r="GZ10">
            <v>0</v>
          </cell>
          <cell r="HA10">
            <v>0</v>
          </cell>
          <cell r="HB10">
            <v>0</v>
          </cell>
          <cell r="HC10">
            <v>0</v>
          </cell>
          <cell r="HD10">
            <v>0</v>
          </cell>
          <cell r="HE10">
            <v>0</v>
          </cell>
        </row>
        <row r="11">
          <cell r="A11" t="str">
            <v>HBS-01</v>
          </cell>
          <cell r="E11" t="str">
            <v>현     가</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0</v>
          </cell>
          <cell r="EL11">
            <v>0</v>
          </cell>
          <cell r="EM11">
            <v>0</v>
          </cell>
          <cell r="EN11">
            <v>0</v>
          </cell>
          <cell r="EO11">
            <v>0</v>
          </cell>
          <cell r="EP11">
            <v>0</v>
          </cell>
          <cell r="EQ11">
            <v>0</v>
          </cell>
          <cell r="ER11">
            <v>0</v>
          </cell>
          <cell r="ES11">
            <v>0</v>
          </cell>
          <cell r="ET11">
            <v>0</v>
          </cell>
          <cell r="EU11">
            <v>0</v>
          </cell>
          <cell r="EV11">
            <v>0</v>
          </cell>
          <cell r="EW11">
            <v>0</v>
          </cell>
          <cell r="EX11">
            <v>0</v>
          </cell>
          <cell r="EY11">
            <v>0</v>
          </cell>
          <cell r="EZ11">
            <v>0</v>
          </cell>
          <cell r="FA11">
            <v>0</v>
          </cell>
          <cell r="FB11">
            <v>0</v>
          </cell>
          <cell r="FC11">
            <v>0</v>
          </cell>
          <cell r="FD11">
            <v>0</v>
          </cell>
          <cell r="FE11">
            <v>0</v>
          </cell>
          <cell r="FF11">
            <v>0</v>
          </cell>
          <cell r="FG11">
            <v>0</v>
          </cell>
          <cell r="FH11">
            <v>0</v>
          </cell>
          <cell r="FI11">
            <v>0</v>
          </cell>
          <cell r="FJ11">
            <v>0</v>
          </cell>
          <cell r="FK11">
            <v>0</v>
          </cell>
          <cell r="FL11">
            <v>0</v>
          </cell>
          <cell r="FM11">
            <v>0</v>
          </cell>
          <cell r="FN11">
            <v>0</v>
          </cell>
          <cell r="FO11">
            <v>0</v>
          </cell>
          <cell r="FP11">
            <v>0</v>
          </cell>
          <cell r="FQ11">
            <v>0</v>
          </cell>
          <cell r="FR11">
            <v>0</v>
          </cell>
          <cell r="FS11">
            <v>0</v>
          </cell>
          <cell r="FT11">
            <v>0</v>
          </cell>
          <cell r="FU11">
            <v>0</v>
          </cell>
          <cell r="FV11">
            <v>0</v>
          </cell>
          <cell r="FW11">
            <v>0</v>
          </cell>
          <cell r="FX11">
            <v>0</v>
          </cell>
          <cell r="FY11">
            <v>0</v>
          </cell>
          <cell r="FZ11">
            <v>0</v>
          </cell>
          <cell r="GA11">
            <v>0</v>
          </cell>
          <cell r="GB11">
            <v>0</v>
          </cell>
          <cell r="GC11">
            <v>0</v>
          </cell>
          <cell r="GD11">
            <v>0</v>
          </cell>
          <cell r="GE11">
            <v>0</v>
          </cell>
          <cell r="GF11">
            <v>0</v>
          </cell>
          <cell r="GG11">
            <v>0</v>
          </cell>
          <cell r="GH11">
            <v>0</v>
          </cell>
          <cell r="GI11">
            <v>0</v>
          </cell>
          <cell r="GJ11">
            <v>0</v>
          </cell>
          <cell r="GK11">
            <v>0</v>
          </cell>
          <cell r="GL11">
            <v>0</v>
          </cell>
          <cell r="GM11">
            <v>0</v>
          </cell>
          <cell r="GN11">
            <v>0</v>
          </cell>
          <cell r="GO11">
            <v>0</v>
          </cell>
          <cell r="GP11">
            <v>0</v>
          </cell>
          <cell r="GQ11">
            <v>0</v>
          </cell>
          <cell r="GR11">
            <v>0</v>
          </cell>
          <cell r="GS11">
            <v>0</v>
          </cell>
          <cell r="GT11">
            <v>0</v>
          </cell>
          <cell r="GU11">
            <v>0</v>
          </cell>
          <cell r="GV11">
            <v>0</v>
          </cell>
          <cell r="GW11">
            <v>0</v>
          </cell>
          <cell r="GX11">
            <v>0</v>
          </cell>
          <cell r="GY11">
            <v>0</v>
          </cell>
          <cell r="GZ11">
            <v>0</v>
          </cell>
          <cell r="HA11">
            <v>0</v>
          </cell>
          <cell r="HB11">
            <v>0</v>
          </cell>
          <cell r="HC11">
            <v>0</v>
          </cell>
          <cell r="HD11">
            <v>0</v>
          </cell>
          <cell r="HE11">
            <v>0</v>
          </cell>
        </row>
        <row r="12">
          <cell r="B12" t="str">
            <v>HBS-02</v>
          </cell>
          <cell r="C12" t="str">
            <v>동서산업㈜</v>
          </cell>
          <cell r="D12">
            <v>1</v>
          </cell>
          <cell r="E12" t="str">
            <v>담     보</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cell r="DX12">
            <v>0</v>
          </cell>
          <cell r="DY12">
            <v>0</v>
          </cell>
          <cell r="DZ12">
            <v>0</v>
          </cell>
          <cell r="EA12">
            <v>0</v>
          </cell>
          <cell r="EB12">
            <v>0</v>
          </cell>
          <cell r="EC12">
            <v>0</v>
          </cell>
          <cell r="ED12">
            <v>0</v>
          </cell>
          <cell r="EE12">
            <v>0</v>
          </cell>
          <cell r="EF12">
            <v>0</v>
          </cell>
          <cell r="EG12">
            <v>0</v>
          </cell>
          <cell r="EH12">
            <v>0</v>
          </cell>
          <cell r="EI12">
            <v>0</v>
          </cell>
          <cell r="EJ12">
            <v>0</v>
          </cell>
          <cell r="EK12">
            <v>0</v>
          </cell>
          <cell r="EL12">
            <v>0</v>
          </cell>
          <cell r="EM12">
            <v>0</v>
          </cell>
          <cell r="EN12">
            <v>0</v>
          </cell>
          <cell r="EO12">
            <v>0</v>
          </cell>
          <cell r="EP12">
            <v>0</v>
          </cell>
          <cell r="EQ12">
            <v>0</v>
          </cell>
          <cell r="ER12">
            <v>0</v>
          </cell>
          <cell r="ES12">
            <v>0</v>
          </cell>
          <cell r="ET12">
            <v>0</v>
          </cell>
          <cell r="EU12">
            <v>0</v>
          </cell>
          <cell r="EV12">
            <v>0</v>
          </cell>
          <cell r="EW12">
            <v>0</v>
          </cell>
          <cell r="EX12">
            <v>0</v>
          </cell>
          <cell r="EY12">
            <v>0</v>
          </cell>
          <cell r="EZ12">
            <v>0</v>
          </cell>
          <cell r="FA12">
            <v>0</v>
          </cell>
          <cell r="FB12">
            <v>0</v>
          </cell>
          <cell r="FC12">
            <v>0</v>
          </cell>
          <cell r="FD12">
            <v>0</v>
          </cell>
          <cell r="FE12">
            <v>0</v>
          </cell>
          <cell r="FF12">
            <v>0</v>
          </cell>
          <cell r="FG12">
            <v>0</v>
          </cell>
          <cell r="FH12">
            <v>0</v>
          </cell>
          <cell r="FI12">
            <v>0</v>
          </cell>
          <cell r="FJ12">
            <v>0</v>
          </cell>
          <cell r="FK12">
            <v>0</v>
          </cell>
          <cell r="FL12">
            <v>0</v>
          </cell>
          <cell r="FM12">
            <v>0</v>
          </cell>
          <cell r="FN12">
            <v>0</v>
          </cell>
          <cell r="FO12">
            <v>0</v>
          </cell>
          <cell r="FP12">
            <v>0</v>
          </cell>
          <cell r="FQ12">
            <v>0</v>
          </cell>
          <cell r="FR12">
            <v>0</v>
          </cell>
          <cell r="FS12">
            <v>0</v>
          </cell>
          <cell r="FT12">
            <v>0</v>
          </cell>
          <cell r="FU12">
            <v>0</v>
          </cell>
          <cell r="FV12">
            <v>0</v>
          </cell>
          <cell r="FW12">
            <v>0</v>
          </cell>
          <cell r="FX12">
            <v>0</v>
          </cell>
          <cell r="FY12">
            <v>0</v>
          </cell>
          <cell r="FZ12">
            <v>0</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GY12">
            <v>0</v>
          </cell>
          <cell r="GZ12">
            <v>0</v>
          </cell>
          <cell r="HA12">
            <v>0</v>
          </cell>
          <cell r="HB12">
            <v>0</v>
          </cell>
          <cell r="HC12">
            <v>0</v>
          </cell>
          <cell r="HD12">
            <v>0</v>
          </cell>
          <cell r="HE12">
            <v>0</v>
          </cell>
        </row>
        <row r="13">
          <cell r="D13">
            <v>1</v>
          </cell>
          <cell r="E13" t="str">
            <v>무 담 보</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0</v>
          </cell>
          <cell r="FH13">
            <v>0</v>
          </cell>
          <cell r="FI13">
            <v>0</v>
          </cell>
          <cell r="FJ13">
            <v>0</v>
          </cell>
          <cell r="FK13">
            <v>0</v>
          </cell>
          <cell r="FL13">
            <v>0</v>
          </cell>
          <cell r="FM13">
            <v>0</v>
          </cell>
          <cell r="FN13">
            <v>0</v>
          </cell>
          <cell r="FO13">
            <v>0</v>
          </cell>
          <cell r="FP13">
            <v>0</v>
          </cell>
          <cell r="FQ13">
            <v>0</v>
          </cell>
          <cell r="FR13">
            <v>0</v>
          </cell>
          <cell r="FS13">
            <v>0</v>
          </cell>
          <cell r="FT13">
            <v>0</v>
          </cell>
          <cell r="FU13">
            <v>0</v>
          </cell>
          <cell r="FV13">
            <v>0</v>
          </cell>
          <cell r="FW13">
            <v>0</v>
          </cell>
          <cell r="FX13">
            <v>0</v>
          </cell>
          <cell r="FY13">
            <v>0</v>
          </cell>
          <cell r="FZ13">
            <v>0</v>
          </cell>
          <cell r="GA13">
            <v>0</v>
          </cell>
          <cell r="GB13">
            <v>0</v>
          </cell>
          <cell r="GC13">
            <v>0</v>
          </cell>
          <cell r="GD13">
            <v>0</v>
          </cell>
          <cell r="GE13">
            <v>0</v>
          </cell>
          <cell r="GF13">
            <v>0</v>
          </cell>
          <cell r="GG13">
            <v>0</v>
          </cell>
          <cell r="GH13">
            <v>0</v>
          </cell>
          <cell r="GI13">
            <v>0</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row>
        <row r="14">
          <cell r="E14" t="str">
            <v>Total</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cell r="EG14">
            <v>0</v>
          </cell>
          <cell r="EH14">
            <v>0</v>
          </cell>
          <cell r="EI14">
            <v>0</v>
          </cell>
          <cell r="EJ14">
            <v>0</v>
          </cell>
          <cell r="EK14">
            <v>0</v>
          </cell>
          <cell r="EL14">
            <v>0</v>
          </cell>
          <cell r="EM14">
            <v>0</v>
          </cell>
          <cell r="EN14">
            <v>0</v>
          </cell>
          <cell r="EO14">
            <v>0</v>
          </cell>
          <cell r="EP14">
            <v>0</v>
          </cell>
          <cell r="EQ14">
            <v>0</v>
          </cell>
          <cell r="ER14">
            <v>0</v>
          </cell>
          <cell r="ES14">
            <v>0</v>
          </cell>
          <cell r="ET14">
            <v>0</v>
          </cell>
          <cell r="EU14">
            <v>0</v>
          </cell>
          <cell r="EV14">
            <v>0</v>
          </cell>
          <cell r="EW14">
            <v>0</v>
          </cell>
          <cell r="EX14">
            <v>0</v>
          </cell>
          <cell r="EY14">
            <v>0</v>
          </cell>
          <cell r="EZ14">
            <v>0</v>
          </cell>
          <cell r="FA14">
            <v>0</v>
          </cell>
          <cell r="FB14">
            <v>0</v>
          </cell>
          <cell r="FC14">
            <v>0</v>
          </cell>
          <cell r="FD14">
            <v>0</v>
          </cell>
          <cell r="FE14">
            <v>0</v>
          </cell>
          <cell r="FF14">
            <v>0</v>
          </cell>
          <cell r="FG14">
            <v>0</v>
          </cell>
          <cell r="FH14">
            <v>0</v>
          </cell>
          <cell r="FI14">
            <v>0</v>
          </cell>
          <cell r="FJ14">
            <v>0</v>
          </cell>
          <cell r="FK14">
            <v>0</v>
          </cell>
          <cell r="FL14">
            <v>0</v>
          </cell>
          <cell r="FM14">
            <v>0</v>
          </cell>
          <cell r="FN14">
            <v>0</v>
          </cell>
          <cell r="FO14">
            <v>0</v>
          </cell>
          <cell r="FP14">
            <v>0</v>
          </cell>
          <cell r="FQ14">
            <v>0</v>
          </cell>
          <cell r="FR14">
            <v>0</v>
          </cell>
          <cell r="FS14">
            <v>0</v>
          </cell>
          <cell r="FT14">
            <v>0</v>
          </cell>
          <cell r="FU14">
            <v>0</v>
          </cell>
          <cell r="FV14">
            <v>0</v>
          </cell>
          <cell r="FW14">
            <v>0</v>
          </cell>
          <cell r="FX14">
            <v>0</v>
          </cell>
          <cell r="FY14">
            <v>0</v>
          </cell>
          <cell r="FZ14">
            <v>0</v>
          </cell>
          <cell r="GA14">
            <v>0</v>
          </cell>
          <cell r="GB14">
            <v>0</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row>
        <row r="15">
          <cell r="A15" t="str">
            <v>HBS-02</v>
          </cell>
          <cell r="E15" t="str">
            <v>현     가</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row>
        <row r="16">
          <cell r="B16" t="str">
            <v>HBS-03</v>
          </cell>
          <cell r="C16" t="str">
            <v>한보종합건설</v>
          </cell>
          <cell r="D16">
            <v>0.75197199958021121</v>
          </cell>
          <cell r="E16" t="str">
            <v>담     보</v>
          </cell>
          <cell r="F16">
            <v>0</v>
          </cell>
          <cell r="G16">
            <v>0</v>
          </cell>
          <cell r="H16">
            <v>0</v>
          </cell>
          <cell r="I16">
            <v>0</v>
          </cell>
          <cell r="J16">
            <v>0</v>
          </cell>
          <cell r="K16">
            <v>63696883.096909299</v>
          </cell>
          <cell r="L16">
            <v>0</v>
          </cell>
          <cell r="M16">
            <v>0</v>
          </cell>
          <cell r="N16">
            <v>0</v>
          </cell>
          <cell r="O16">
            <v>0</v>
          </cell>
          <cell r="P16">
            <v>0</v>
          </cell>
          <cell r="Q16">
            <v>0</v>
          </cell>
          <cell r="R16">
            <v>0</v>
          </cell>
          <cell r="S16">
            <v>0</v>
          </cell>
          <cell r="T16">
            <v>0</v>
          </cell>
          <cell r="U16">
            <v>0</v>
          </cell>
          <cell r="V16">
            <v>0</v>
          </cell>
          <cell r="W16">
            <v>59765816.52045422</v>
          </cell>
          <cell r="X16">
            <v>0</v>
          </cell>
          <cell r="Y16">
            <v>0</v>
          </cell>
          <cell r="Z16">
            <v>0</v>
          </cell>
          <cell r="AA16">
            <v>0</v>
          </cell>
          <cell r="AB16">
            <v>0</v>
          </cell>
          <cell r="AC16">
            <v>0</v>
          </cell>
          <cell r="AD16">
            <v>0</v>
          </cell>
          <cell r="AE16">
            <v>0</v>
          </cell>
          <cell r="AF16">
            <v>0</v>
          </cell>
          <cell r="AG16">
            <v>0</v>
          </cell>
          <cell r="AH16">
            <v>0</v>
          </cell>
          <cell r="AI16">
            <v>55850934.438475147</v>
          </cell>
          <cell r="AJ16">
            <v>0</v>
          </cell>
          <cell r="AK16">
            <v>0</v>
          </cell>
          <cell r="AL16">
            <v>0</v>
          </cell>
          <cell r="AM16">
            <v>0</v>
          </cell>
          <cell r="AN16">
            <v>0</v>
          </cell>
          <cell r="AO16">
            <v>0</v>
          </cell>
          <cell r="AP16">
            <v>0</v>
          </cell>
          <cell r="AQ16">
            <v>0</v>
          </cell>
          <cell r="AR16">
            <v>0</v>
          </cell>
          <cell r="AS16">
            <v>0</v>
          </cell>
          <cell r="AT16">
            <v>0</v>
          </cell>
          <cell r="AU16">
            <v>51895591.872278057</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231209225.92811671</v>
          </cell>
        </row>
        <row r="17">
          <cell r="D17">
            <v>0.75197199958021121</v>
          </cell>
          <cell r="E17" t="str">
            <v>무 담 보</v>
          </cell>
          <cell r="F17">
            <v>0</v>
          </cell>
          <cell r="G17">
            <v>0</v>
          </cell>
          <cell r="H17">
            <v>0</v>
          </cell>
          <cell r="I17">
            <v>0</v>
          </cell>
          <cell r="J17">
            <v>0</v>
          </cell>
          <cell r="K17">
            <v>18456356.973076329</v>
          </cell>
          <cell r="L17">
            <v>0</v>
          </cell>
          <cell r="M17">
            <v>0</v>
          </cell>
          <cell r="N17">
            <v>0</v>
          </cell>
          <cell r="O17">
            <v>0</v>
          </cell>
          <cell r="P17">
            <v>0</v>
          </cell>
          <cell r="Q17">
            <v>0</v>
          </cell>
          <cell r="R17">
            <v>0</v>
          </cell>
          <cell r="S17">
            <v>0</v>
          </cell>
          <cell r="T17">
            <v>0</v>
          </cell>
          <cell r="U17">
            <v>0</v>
          </cell>
          <cell r="V17">
            <v>0</v>
          </cell>
          <cell r="W17">
            <v>17252615.882284239</v>
          </cell>
          <cell r="X17">
            <v>0</v>
          </cell>
          <cell r="Y17">
            <v>0</v>
          </cell>
          <cell r="Z17">
            <v>0</v>
          </cell>
          <cell r="AA17">
            <v>0</v>
          </cell>
          <cell r="AB17">
            <v>0</v>
          </cell>
          <cell r="AC17">
            <v>0</v>
          </cell>
          <cell r="AD17">
            <v>0</v>
          </cell>
          <cell r="AE17">
            <v>0</v>
          </cell>
          <cell r="AF17">
            <v>0</v>
          </cell>
          <cell r="AG17">
            <v>0</v>
          </cell>
          <cell r="AH17">
            <v>0</v>
          </cell>
          <cell r="AI17">
            <v>16054646.152886355</v>
          </cell>
          <cell r="AJ17">
            <v>0</v>
          </cell>
          <cell r="AK17">
            <v>0</v>
          </cell>
          <cell r="AL17">
            <v>0</v>
          </cell>
          <cell r="AM17">
            <v>0</v>
          </cell>
          <cell r="AN17">
            <v>0</v>
          </cell>
          <cell r="AO17">
            <v>0</v>
          </cell>
          <cell r="AP17">
            <v>0</v>
          </cell>
          <cell r="AQ17">
            <v>0</v>
          </cell>
          <cell r="AR17">
            <v>0</v>
          </cell>
          <cell r="AS17">
            <v>0</v>
          </cell>
          <cell r="AT17">
            <v>0</v>
          </cell>
          <cell r="AU17">
            <v>11357085.04748546</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2.808988827613499E-10</v>
          </cell>
          <cell r="CF17">
            <v>0</v>
          </cell>
          <cell r="CG17">
            <v>0</v>
          </cell>
          <cell r="CH17">
            <v>0</v>
          </cell>
          <cell r="CI17">
            <v>0</v>
          </cell>
          <cell r="CJ17">
            <v>0</v>
          </cell>
          <cell r="CK17">
            <v>0</v>
          </cell>
          <cell r="CL17">
            <v>0</v>
          </cell>
          <cell r="CM17">
            <v>0</v>
          </cell>
          <cell r="CN17">
            <v>0</v>
          </cell>
          <cell r="CO17">
            <v>0</v>
          </cell>
          <cell r="CP17">
            <v>0</v>
          </cell>
          <cell r="CQ17">
            <v>2.3872399862374022E-10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cell r="GX17">
            <v>0</v>
          </cell>
          <cell r="GY17">
            <v>0</v>
          </cell>
          <cell r="GZ17">
            <v>0</v>
          </cell>
          <cell r="HA17">
            <v>0</v>
          </cell>
          <cell r="HB17">
            <v>0</v>
          </cell>
          <cell r="HC17">
            <v>0</v>
          </cell>
          <cell r="HD17">
            <v>0</v>
          </cell>
          <cell r="HE17">
            <v>63120704.055732384</v>
          </cell>
        </row>
        <row r="18">
          <cell r="E18" t="str">
            <v>Total</v>
          </cell>
          <cell r="F18">
            <v>0</v>
          </cell>
          <cell r="G18">
            <v>0</v>
          </cell>
          <cell r="H18">
            <v>0</v>
          </cell>
          <cell r="I18">
            <v>0</v>
          </cell>
          <cell r="J18">
            <v>0</v>
          </cell>
          <cell r="K18">
            <v>82153240.069985628</v>
          </cell>
          <cell r="L18">
            <v>0</v>
          </cell>
          <cell r="M18">
            <v>0</v>
          </cell>
          <cell r="N18">
            <v>0</v>
          </cell>
          <cell r="O18">
            <v>0</v>
          </cell>
          <cell r="P18">
            <v>0</v>
          </cell>
          <cell r="Q18">
            <v>0</v>
          </cell>
          <cell r="R18">
            <v>0</v>
          </cell>
          <cell r="S18">
            <v>0</v>
          </cell>
          <cell r="T18">
            <v>0</v>
          </cell>
          <cell r="U18">
            <v>0</v>
          </cell>
          <cell r="V18">
            <v>0</v>
          </cell>
          <cell r="W18">
            <v>77018432.402738452</v>
          </cell>
          <cell r="X18">
            <v>0</v>
          </cell>
          <cell r="Y18">
            <v>0</v>
          </cell>
          <cell r="Z18">
            <v>0</v>
          </cell>
          <cell r="AA18">
            <v>0</v>
          </cell>
          <cell r="AB18">
            <v>0</v>
          </cell>
          <cell r="AC18">
            <v>0</v>
          </cell>
          <cell r="AD18">
            <v>0</v>
          </cell>
          <cell r="AE18">
            <v>0</v>
          </cell>
          <cell r="AF18">
            <v>0</v>
          </cell>
          <cell r="AG18">
            <v>0</v>
          </cell>
          <cell r="AH18">
            <v>0</v>
          </cell>
          <cell r="AI18">
            <v>71905580.591361508</v>
          </cell>
          <cell r="AJ18">
            <v>0</v>
          </cell>
          <cell r="AK18">
            <v>0</v>
          </cell>
          <cell r="AL18">
            <v>0</v>
          </cell>
          <cell r="AM18">
            <v>0</v>
          </cell>
          <cell r="AN18">
            <v>0</v>
          </cell>
          <cell r="AO18">
            <v>0</v>
          </cell>
          <cell r="AP18">
            <v>0</v>
          </cell>
          <cell r="AQ18">
            <v>0</v>
          </cell>
          <cell r="AR18">
            <v>0</v>
          </cell>
          <cell r="AS18">
            <v>0</v>
          </cell>
          <cell r="AT18">
            <v>0</v>
          </cell>
          <cell r="AU18">
            <v>63252676.91976352</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2.808988827613499E-10</v>
          </cell>
          <cell r="CF18">
            <v>0</v>
          </cell>
          <cell r="CG18">
            <v>0</v>
          </cell>
          <cell r="CH18">
            <v>0</v>
          </cell>
          <cell r="CI18">
            <v>0</v>
          </cell>
          <cell r="CJ18">
            <v>0</v>
          </cell>
          <cell r="CK18">
            <v>0</v>
          </cell>
          <cell r="CL18">
            <v>0</v>
          </cell>
          <cell r="CM18">
            <v>0</v>
          </cell>
          <cell r="CN18">
            <v>0</v>
          </cell>
          <cell r="CO18">
            <v>0</v>
          </cell>
          <cell r="CP18">
            <v>0</v>
          </cell>
          <cell r="CQ18">
            <v>2.3872399862374022E-10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cell r="DR18">
            <v>0</v>
          </cell>
          <cell r="DS18">
            <v>0</v>
          </cell>
          <cell r="DT18">
            <v>0</v>
          </cell>
          <cell r="DU18">
            <v>0</v>
          </cell>
          <cell r="DV18">
            <v>0</v>
          </cell>
          <cell r="DW18">
            <v>0</v>
          </cell>
          <cell r="DX18">
            <v>0</v>
          </cell>
          <cell r="DY18">
            <v>0</v>
          </cell>
          <cell r="DZ18">
            <v>0</v>
          </cell>
          <cell r="EA18">
            <v>0</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cell r="GY18">
            <v>0</v>
          </cell>
          <cell r="GZ18">
            <v>0</v>
          </cell>
          <cell r="HA18">
            <v>0</v>
          </cell>
          <cell r="HB18">
            <v>0</v>
          </cell>
          <cell r="HC18">
            <v>0</v>
          </cell>
          <cell r="HD18">
            <v>0</v>
          </cell>
          <cell r="HE18">
            <v>294329929.98384911</v>
          </cell>
        </row>
        <row r="19">
          <cell r="A19" t="str">
            <v>HBS-03</v>
          </cell>
          <cell r="E19" t="str">
            <v>현     가</v>
          </cell>
          <cell r="F19">
            <v>0</v>
          </cell>
          <cell r="G19">
            <v>0</v>
          </cell>
          <cell r="H19">
            <v>0</v>
          </cell>
          <cell r="I19">
            <v>0</v>
          </cell>
          <cell r="J19">
            <v>0</v>
          </cell>
          <cell r="K19">
            <v>80337822.372460499</v>
          </cell>
          <cell r="L19">
            <v>0</v>
          </cell>
          <cell r="M19">
            <v>0</v>
          </cell>
          <cell r="N19">
            <v>0</v>
          </cell>
          <cell r="O19">
            <v>0</v>
          </cell>
          <cell r="P19">
            <v>0</v>
          </cell>
          <cell r="Q19">
            <v>0</v>
          </cell>
          <cell r="R19">
            <v>0</v>
          </cell>
          <cell r="S19">
            <v>0</v>
          </cell>
          <cell r="T19">
            <v>0</v>
          </cell>
          <cell r="U19">
            <v>0</v>
          </cell>
          <cell r="V19">
            <v>0</v>
          </cell>
          <cell r="W19">
            <v>70739580.724922165</v>
          </cell>
          <cell r="X19">
            <v>0</v>
          </cell>
          <cell r="Y19">
            <v>0</v>
          </cell>
          <cell r="Z19">
            <v>0</v>
          </cell>
          <cell r="AA19">
            <v>0</v>
          </cell>
          <cell r="AB19">
            <v>0</v>
          </cell>
          <cell r="AC19">
            <v>0</v>
          </cell>
          <cell r="AD19">
            <v>0</v>
          </cell>
          <cell r="AE19">
            <v>0</v>
          </cell>
          <cell r="AF19">
            <v>0</v>
          </cell>
          <cell r="AG19">
            <v>0</v>
          </cell>
          <cell r="AH19">
            <v>0</v>
          </cell>
          <cell r="AI19">
            <v>61671269.069385998</v>
          </cell>
          <cell r="AJ19">
            <v>0</v>
          </cell>
          <cell r="AK19">
            <v>0</v>
          </cell>
          <cell r="AL19">
            <v>0</v>
          </cell>
          <cell r="AM19">
            <v>0</v>
          </cell>
          <cell r="AN19">
            <v>0</v>
          </cell>
          <cell r="AO19">
            <v>0</v>
          </cell>
          <cell r="AP19">
            <v>0</v>
          </cell>
          <cell r="AQ19">
            <v>0</v>
          </cell>
          <cell r="AR19">
            <v>0</v>
          </cell>
          <cell r="AS19">
            <v>0</v>
          </cell>
          <cell r="AT19">
            <v>0</v>
          </cell>
          <cell r="AU19">
            <v>50214566.604348153</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1.7742258841834113E-10</v>
          </cell>
          <cell r="CF19">
            <v>0</v>
          </cell>
          <cell r="CG19">
            <v>0</v>
          </cell>
          <cell r="CH19">
            <v>0</v>
          </cell>
          <cell r="CI19">
            <v>0</v>
          </cell>
          <cell r="CJ19">
            <v>0</v>
          </cell>
          <cell r="CK19">
            <v>0</v>
          </cell>
          <cell r="CL19">
            <v>0</v>
          </cell>
          <cell r="CM19">
            <v>0</v>
          </cell>
          <cell r="CN19">
            <v>0</v>
          </cell>
          <cell r="CO19">
            <v>0</v>
          </cell>
          <cell r="CP19">
            <v>0</v>
          </cell>
          <cell r="CQ19">
            <v>1.4036855567846292E-10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0</v>
          </cell>
          <cell r="FJ19">
            <v>0</v>
          </cell>
          <cell r="FK19">
            <v>0</v>
          </cell>
          <cell r="FL19">
            <v>0</v>
          </cell>
          <cell r="FM19">
            <v>0</v>
          </cell>
          <cell r="FN19">
            <v>0</v>
          </cell>
          <cell r="FO19">
            <v>0</v>
          </cell>
          <cell r="FP19">
            <v>0</v>
          </cell>
          <cell r="FQ19">
            <v>0</v>
          </cell>
          <cell r="FR19">
            <v>0</v>
          </cell>
          <cell r="FS19">
            <v>0</v>
          </cell>
          <cell r="FT19">
            <v>0</v>
          </cell>
          <cell r="FU19">
            <v>0</v>
          </cell>
          <cell r="FV19">
            <v>0</v>
          </cell>
          <cell r="FW19">
            <v>0</v>
          </cell>
          <cell r="FX19">
            <v>0</v>
          </cell>
          <cell r="FY19">
            <v>0</v>
          </cell>
          <cell r="FZ19">
            <v>0</v>
          </cell>
          <cell r="GA19">
            <v>0</v>
          </cell>
          <cell r="GB19">
            <v>0</v>
          </cell>
          <cell r="GC19">
            <v>0</v>
          </cell>
          <cell r="GD19">
            <v>0</v>
          </cell>
          <cell r="GE19">
            <v>0</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0</v>
          </cell>
          <cell r="GX19">
            <v>0</v>
          </cell>
          <cell r="GY19">
            <v>0</v>
          </cell>
          <cell r="GZ19">
            <v>0</v>
          </cell>
          <cell r="HA19">
            <v>0</v>
          </cell>
          <cell r="HB19">
            <v>0</v>
          </cell>
          <cell r="HC19">
            <v>0</v>
          </cell>
          <cell r="HD19">
            <v>0</v>
          </cell>
          <cell r="HE19">
            <v>262963238.77111682</v>
          </cell>
        </row>
        <row r="20">
          <cell r="B20" t="str">
            <v>HBS-04</v>
          </cell>
          <cell r="C20" t="str">
            <v>대경전선공업㈜</v>
          </cell>
          <cell r="D20">
            <v>0.3</v>
          </cell>
          <cell r="E20" t="str">
            <v>담     보</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0</v>
          </cell>
          <cell r="GV20">
            <v>0</v>
          </cell>
          <cell r="GW20">
            <v>0</v>
          </cell>
          <cell r="GX20">
            <v>0</v>
          </cell>
          <cell r="GY20">
            <v>0</v>
          </cell>
          <cell r="GZ20">
            <v>0</v>
          </cell>
          <cell r="HA20">
            <v>0</v>
          </cell>
          <cell r="HB20">
            <v>0</v>
          </cell>
          <cell r="HC20">
            <v>0</v>
          </cell>
          <cell r="HD20">
            <v>0</v>
          </cell>
          <cell r="HE20">
            <v>0</v>
          </cell>
        </row>
        <row r="21">
          <cell r="D21">
            <v>0.3</v>
          </cell>
          <cell r="E21" t="str">
            <v>무 담 보</v>
          </cell>
          <cell r="F21">
            <v>0</v>
          </cell>
          <cell r="G21">
            <v>0</v>
          </cell>
          <cell r="H21">
            <v>532382.08378238755</v>
          </cell>
          <cell r="I21">
            <v>0</v>
          </cell>
          <cell r="J21">
            <v>0</v>
          </cell>
          <cell r="K21">
            <v>0</v>
          </cell>
          <cell r="L21">
            <v>0</v>
          </cell>
          <cell r="M21">
            <v>0</v>
          </cell>
          <cell r="N21">
            <v>0</v>
          </cell>
          <cell r="O21">
            <v>0</v>
          </cell>
          <cell r="P21">
            <v>0</v>
          </cell>
          <cell r="Q21">
            <v>0</v>
          </cell>
          <cell r="R21">
            <v>0</v>
          </cell>
          <cell r="S21">
            <v>0</v>
          </cell>
          <cell r="T21">
            <v>532382.08378238755</v>
          </cell>
          <cell r="U21">
            <v>0</v>
          </cell>
          <cell r="V21">
            <v>0</v>
          </cell>
          <cell r="W21">
            <v>0</v>
          </cell>
          <cell r="X21">
            <v>0</v>
          </cell>
          <cell r="Y21">
            <v>0</v>
          </cell>
          <cell r="Z21">
            <v>0</v>
          </cell>
          <cell r="AA21">
            <v>0</v>
          </cell>
          <cell r="AB21">
            <v>0</v>
          </cell>
          <cell r="AC21">
            <v>0</v>
          </cell>
          <cell r="AD21">
            <v>0</v>
          </cell>
          <cell r="AE21">
            <v>0</v>
          </cell>
          <cell r="AF21">
            <v>1705808.8037823876</v>
          </cell>
          <cell r="AG21">
            <v>0</v>
          </cell>
          <cell r="AH21">
            <v>0</v>
          </cell>
          <cell r="AI21">
            <v>0</v>
          </cell>
          <cell r="AJ21">
            <v>0</v>
          </cell>
          <cell r="AK21">
            <v>0</v>
          </cell>
          <cell r="AL21">
            <v>0</v>
          </cell>
          <cell r="AM21">
            <v>0</v>
          </cell>
          <cell r="AN21">
            <v>0</v>
          </cell>
          <cell r="AO21">
            <v>0</v>
          </cell>
          <cell r="AP21">
            <v>0</v>
          </cell>
          <cell r="AQ21">
            <v>0</v>
          </cell>
          <cell r="AR21">
            <v>1623892.744392385</v>
          </cell>
          <cell r="AS21">
            <v>0</v>
          </cell>
          <cell r="AT21">
            <v>0</v>
          </cell>
          <cell r="AU21">
            <v>0</v>
          </cell>
          <cell r="AV21">
            <v>0</v>
          </cell>
          <cell r="AW21">
            <v>0</v>
          </cell>
          <cell r="AX21">
            <v>0</v>
          </cell>
          <cell r="AY21">
            <v>0</v>
          </cell>
          <cell r="AZ21">
            <v>0</v>
          </cell>
          <cell r="BA21">
            <v>0</v>
          </cell>
          <cell r="BB21">
            <v>0</v>
          </cell>
          <cell r="BC21">
            <v>0</v>
          </cell>
          <cell r="BD21">
            <v>1541363.0493211253</v>
          </cell>
          <cell r="BE21">
            <v>0</v>
          </cell>
          <cell r="BF21">
            <v>0</v>
          </cell>
          <cell r="BG21">
            <v>0</v>
          </cell>
          <cell r="BH21">
            <v>0</v>
          </cell>
          <cell r="BI21">
            <v>0</v>
          </cell>
          <cell r="BJ21">
            <v>0</v>
          </cell>
          <cell r="BK21">
            <v>0</v>
          </cell>
          <cell r="BL21">
            <v>0</v>
          </cell>
          <cell r="BM21">
            <v>0</v>
          </cell>
          <cell r="BN21">
            <v>0</v>
          </cell>
          <cell r="BO21">
            <v>0</v>
          </cell>
          <cell r="BP21">
            <v>1459389.1925823872</v>
          </cell>
          <cell r="BQ21">
            <v>0</v>
          </cell>
          <cell r="BR21">
            <v>0</v>
          </cell>
          <cell r="BS21">
            <v>0</v>
          </cell>
          <cell r="BT21">
            <v>0</v>
          </cell>
          <cell r="BU21">
            <v>0</v>
          </cell>
          <cell r="BV21">
            <v>0</v>
          </cell>
          <cell r="BW21">
            <v>0</v>
          </cell>
          <cell r="BX21">
            <v>0</v>
          </cell>
          <cell r="BY21">
            <v>0</v>
          </cell>
          <cell r="BZ21">
            <v>0</v>
          </cell>
          <cell r="CA21">
            <v>0</v>
          </cell>
          <cell r="CB21">
            <v>1377249.3221823873</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cell r="EG21">
            <v>0</v>
          </cell>
          <cell r="EH21">
            <v>0</v>
          </cell>
          <cell r="EI21">
            <v>0</v>
          </cell>
          <cell r="EJ21">
            <v>0</v>
          </cell>
          <cell r="EK21">
            <v>0</v>
          </cell>
          <cell r="EL21">
            <v>0</v>
          </cell>
          <cell r="EM21">
            <v>0</v>
          </cell>
          <cell r="EN21">
            <v>0</v>
          </cell>
          <cell r="EO21">
            <v>0</v>
          </cell>
          <cell r="EP21">
            <v>0</v>
          </cell>
          <cell r="EQ21">
            <v>0</v>
          </cell>
          <cell r="ER21">
            <v>0</v>
          </cell>
          <cell r="ES21">
            <v>0</v>
          </cell>
          <cell r="ET21">
            <v>0</v>
          </cell>
          <cell r="EU21">
            <v>0</v>
          </cell>
          <cell r="EV21">
            <v>0</v>
          </cell>
          <cell r="EW21">
            <v>0</v>
          </cell>
          <cell r="EX21">
            <v>0</v>
          </cell>
          <cell r="EY21">
            <v>0</v>
          </cell>
          <cell r="EZ21">
            <v>0</v>
          </cell>
          <cell r="FA21">
            <v>0</v>
          </cell>
          <cell r="FB21">
            <v>0</v>
          </cell>
          <cell r="FC21">
            <v>0</v>
          </cell>
          <cell r="FD21">
            <v>0</v>
          </cell>
          <cell r="FE21">
            <v>0</v>
          </cell>
          <cell r="FF21">
            <v>0</v>
          </cell>
          <cell r="FG21">
            <v>0</v>
          </cell>
          <cell r="FH21">
            <v>0</v>
          </cell>
          <cell r="FI21">
            <v>0</v>
          </cell>
          <cell r="FJ21">
            <v>0</v>
          </cell>
          <cell r="FK21">
            <v>0</v>
          </cell>
          <cell r="FL21">
            <v>0</v>
          </cell>
          <cell r="FM21">
            <v>0</v>
          </cell>
          <cell r="FN21">
            <v>0</v>
          </cell>
          <cell r="FO21">
            <v>0</v>
          </cell>
          <cell r="FP21">
            <v>0</v>
          </cell>
          <cell r="FQ21">
            <v>0</v>
          </cell>
          <cell r="FR21">
            <v>0</v>
          </cell>
          <cell r="FS21">
            <v>0</v>
          </cell>
          <cell r="FT21">
            <v>0</v>
          </cell>
          <cell r="FU21">
            <v>0</v>
          </cell>
          <cell r="FV21">
            <v>0</v>
          </cell>
          <cell r="FW21">
            <v>0</v>
          </cell>
          <cell r="FX21">
            <v>0</v>
          </cell>
          <cell r="FY21">
            <v>0</v>
          </cell>
          <cell r="FZ21">
            <v>0</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0</v>
          </cell>
          <cell r="GS21">
            <v>0</v>
          </cell>
          <cell r="GT21">
            <v>0</v>
          </cell>
          <cell r="GU21">
            <v>0</v>
          </cell>
          <cell r="GV21">
            <v>0</v>
          </cell>
          <cell r="GW21">
            <v>0</v>
          </cell>
          <cell r="GX21">
            <v>0</v>
          </cell>
          <cell r="GY21">
            <v>0</v>
          </cell>
          <cell r="GZ21">
            <v>0</v>
          </cell>
          <cell r="HA21">
            <v>0</v>
          </cell>
          <cell r="HB21">
            <v>0</v>
          </cell>
          <cell r="HC21">
            <v>0</v>
          </cell>
          <cell r="HD21">
            <v>0</v>
          </cell>
          <cell r="HE21">
            <v>8772467.2798254471</v>
          </cell>
        </row>
        <row r="22">
          <cell r="E22" t="str">
            <v>Total</v>
          </cell>
          <cell r="F22">
            <v>0</v>
          </cell>
          <cell r="G22">
            <v>0</v>
          </cell>
          <cell r="H22">
            <v>532382.08378238755</v>
          </cell>
          <cell r="I22">
            <v>0</v>
          </cell>
          <cell r="J22">
            <v>0</v>
          </cell>
          <cell r="K22">
            <v>0</v>
          </cell>
          <cell r="L22">
            <v>0</v>
          </cell>
          <cell r="M22">
            <v>0</v>
          </cell>
          <cell r="N22">
            <v>0</v>
          </cell>
          <cell r="O22">
            <v>0</v>
          </cell>
          <cell r="P22">
            <v>0</v>
          </cell>
          <cell r="Q22">
            <v>0</v>
          </cell>
          <cell r="R22">
            <v>0</v>
          </cell>
          <cell r="S22">
            <v>0</v>
          </cell>
          <cell r="T22">
            <v>532382.08378238755</v>
          </cell>
          <cell r="U22">
            <v>0</v>
          </cell>
          <cell r="V22">
            <v>0</v>
          </cell>
          <cell r="W22">
            <v>0</v>
          </cell>
          <cell r="X22">
            <v>0</v>
          </cell>
          <cell r="Y22">
            <v>0</v>
          </cell>
          <cell r="Z22">
            <v>0</v>
          </cell>
          <cell r="AA22">
            <v>0</v>
          </cell>
          <cell r="AB22">
            <v>0</v>
          </cell>
          <cell r="AC22">
            <v>0</v>
          </cell>
          <cell r="AD22">
            <v>0</v>
          </cell>
          <cell r="AE22">
            <v>0</v>
          </cell>
          <cell r="AF22">
            <v>1705808.8037823876</v>
          </cell>
          <cell r="AG22">
            <v>0</v>
          </cell>
          <cell r="AH22">
            <v>0</v>
          </cell>
          <cell r="AI22">
            <v>0</v>
          </cell>
          <cell r="AJ22">
            <v>0</v>
          </cell>
          <cell r="AK22">
            <v>0</v>
          </cell>
          <cell r="AL22">
            <v>0</v>
          </cell>
          <cell r="AM22">
            <v>0</v>
          </cell>
          <cell r="AN22">
            <v>0</v>
          </cell>
          <cell r="AO22">
            <v>0</v>
          </cell>
          <cell r="AP22">
            <v>0</v>
          </cell>
          <cell r="AQ22">
            <v>0</v>
          </cell>
          <cell r="AR22">
            <v>1623892.744392385</v>
          </cell>
          <cell r="AS22">
            <v>0</v>
          </cell>
          <cell r="AT22">
            <v>0</v>
          </cell>
          <cell r="AU22">
            <v>0</v>
          </cell>
          <cell r="AV22">
            <v>0</v>
          </cell>
          <cell r="AW22">
            <v>0</v>
          </cell>
          <cell r="AX22">
            <v>0</v>
          </cell>
          <cell r="AY22">
            <v>0</v>
          </cell>
          <cell r="AZ22">
            <v>0</v>
          </cell>
          <cell r="BA22">
            <v>0</v>
          </cell>
          <cell r="BB22">
            <v>0</v>
          </cell>
          <cell r="BC22">
            <v>0</v>
          </cell>
          <cell r="BD22">
            <v>1541363.0493211253</v>
          </cell>
          <cell r="BE22">
            <v>0</v>
          </cell>
          <cell r="BF22">
            <v>0</v>
          </cell>
          <cell r="BG22">
            <v>0</v>
          </cell>
          <cell r="BH22">
            <v>0</v>
          </cell>
          <cell r="BI22">
            <v>0</v>
          </cell>
          <cell r="BJ22">
            <v>0</v>
          </cell>
          <cell r="BK22">
            <v>0</v>
          </cell>
          <cell r="BL22">
            <v>0</v>
          </cell>
          <cell r="BM22">
            <v>0</v>
          </cell>
          <cell r="BN22">
            <v>0</v>
          </cell>
          <cell r="BO22">
            <v>0</v>
          </cell>
          <cell r="BP22">
            <v>1459389.1925823872</v>
          </cell>
          <cell r="BQ22">
            <v>0</v>
          </cell>
          <cell r="BR22">
            <v>0</v>
          </cell>
          <cell r="BS22">
            <v>0</v>
          </cell>
          <cell r="BT22">
            <v>0</v>
          </cell>
          <cell r="BU22">
            <v>0</v>
          </cell>
          <cell r="BV22">
            <v>0</v>
          </cell>
          <cell r="BW22">
            <v>0</v>
          </cell>
          <cell r="BX22">
            <v>0</v>
          </cell>
          <cell r="BY22">
            <v>0</v>
          </cell>
          <cell r="BZ22">
            <v>0</v>
          </cell>
          <cell r="CA22">
            <v>0</v>
          </cell>
          <cell r="CB22">
            <v>1377249.3221823873</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cell r="EG22">
            <v>0</v>
          </cell>
          <cell r="EH22">
            <v>0</v>
          </cell>
          <cell r="EI22">
            <v>0</v>
          </cell>
          <cell r="EJ22">
            <v>0</v>
          </cell>
          <cell r="EK22">
            <v>0</v>
          </cell>
          <cell r="EL22">
            <v>0</v>
          </cell>
          <cell r="EM22">
            <v>0</v>
          </cell>
          <cell r="EN22">
            <v>0</v>
          </cell>
          <cell r="EO22">
            <v>0</v>
          </cell>
          <cell r="EP22">
            <v>0</v>
          </cell>
          <cell r="EQ22">
            <v>0</v>
          </cell>
          <cell r="ER22">
            <v>0</v>
          </cell>
          <cell r="ES22">
            <v>0</v>
          </cell>
          <cell r="ET22">
            <v>0</v>
          </cell>
          <cell r="EU22">
            <v>0</v>
          </cell>
          <cell r="EV22">
            <v>0</v>
          </cell>
          <cell r="EW22">
            <v>0</v>
          </cell>
          <cell r="EX22">
            <v>0</v>
          </cell>
          <cell r="EY22">
            <v>0</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0</v>
          </cell>
          <cell r="FS22">
            <v>0</v>
          </cell>
          <cell r="FT22">
            <v>0</v>
          </cell>
          <cell r="FU22">
            <v>0</v>
          </cell>
          <cell r="FV22">
            <v>0</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cell r="GY22">
            <v>0</v>
          </cell>
          <cell r="GZ22">
            <v>0</v>
          </cell>
          <cell r="HA22">
            <v>0</v>
          </cell>
          <cell r="HB22">
            <v>0</v>
          </cell>
          <cell r="HC22">
            <v>0</v>
          </cell>
          <cell r="HD22">
            <v>0</v>
          </cell>
          <cell r="HE22">
            <v>8772467.2798254471</v>
          </cell>
        </row>
        <row r="23">
          <cell r="A23" t="str">
            <v>HBS-04</v>
          </cell>
          <cell r="E23" t="str">
            <v>현     가</v>
          </cell>
          <cell r="F23">
            <v>0</v>
          </cell>
          <cell r="G23">
            <v>0</v>
          </cell>
          <cell r="H23">
            <v>527597.84620029794</v>
          </cell>
          <cell r="I23">
            <v>0</v>
          </cell>
          <cell r="J23">
            <v>0</v>
          </cell>
          <cell r="K23">
            <v>0</v>
          </cell>
          <cell r="L23">
            <v>0</v>
          </cell>
          <cell r="M23">
            <v>0</v>
          </cell>
          <cell r="N23">
            <v>0</v>
          </cell>
          <cell r="O23">
            <v>0</v>
          </cell>
          <cell r="P23">
            <v>0</v>
          </cell>
          <cell r="Q23">
            <v>0</v>
          </cell>
          <cell r="R23">
            <v>0</v>
          </cell>
          <cell r="S23">
            <v>0</v>
          </cell>
          <cell r="T23">
            <v>496287.0007803567</v>
          </cell>
          <cell r="U23">
            <v>0</v>
          </cell>
          <cell r="V23">
            <v>0</v>
          </cell>
          <cell r="W23">
            <v>0</v>
          </cell>
          <cell r="X23">
            <v>0</v>
          </cell>
          <cell r="Y23">
            <v>0</v>
          </cell>
          <cell r="Z23">
            <v>0</v>
          </cell>
          <cell r="AA23">
            <v>0</v>
          </cell>
          <cell r="AB23">
            <v>0</v>
          </cell>
          <cell r="AC23">
            <v>0</v>
          </cell>
          <cell r="AD23">
            <v>0</v>
          </cell>
          <cell r="AE23">
            <v>0</v>
          </cell>
          <cell r="AF23">
            <v>1486381.5038920958</v>
          </cell>
          <cell r="AG23">
            <v>0</v>
          </cell>
          <cell r="AH23">
            <v>0</v>
          </cell>
          <cell r="AI23">
            <v>0</v>
          </cell>
          <cell r="AJ23">
            <v>0</v>
          </cell>
          <cell r="AK23">
            <v>0</v>
          </cell>
          <cell r="AL23">
            <v>0</v>
          </cell>
          <cell r="AM23">
            <v>0</v>
          </cell>
          <cell r="AN23">
            <v>0</v>
          </cell>
          <cell r="AO23">
            <v>0</v>
          </cell>
          <cell r="AP23">
            <v>0</v>
          </cell>
          <cell r="AQ23">
            <v>0</v>
          </cell>
          <cell r="AR23">
            <v>1310821.1997302198</v>
          </cell>
          <cell r="AS23">
            <v>0</v>
          </cell>
          <cell r="AT23">
            <v>0</v>
          </cell>
          <cell r="AU23">
            <v>0</v>
          </cell>
          <cell r="AV23">
            <v>0</v>
          </cell>
          <cell r="AW23">
            <v>0</v>
          </cell>
          <cell r="AX23">
            <v>0</v>
          </cell>
          <cell r="AY23">
            <v>0</v>
          </cell>
          <cell r="AZ23">
            <v>0</v>
          </cell>
          <cell r="BA23">
            <v>0</v>
          </cell>
          <cell r="BB23">
            <v>0</v>
          </cell>
          <cell r="BC23">
            <v>0</v>
          </cell>
          <cell r="BD23">
            <v>1162914.7291646008</v>
          </cell>
          <cell r="BE23">
            <v>0</v>
          </cell>
          <cell r="BF23">
            <v>0</v>
          </cell>
          <cell r="BG23">
            <v>0</v>
          </cell>
          <cell r="BH23">
            <v>0</v>
          </cell>
          <cell r="BI23">
            <v>0</v>
          </cell>
          <cell r="BJ23">
            <v>0</v>
          </cell>
          <cell r="BK23">
            <v>0</v>
          </cell>
          <cell r="BL23">
            <v>0</v>
          </cell>
          <cell r="BM23">
            <v>0</v>
          </cell>
          <cell r="BN23">
            <v>0</v>
          </cell>
          <cell r="BO23">
            <v>0</v>
          </cell>
          <cell r="BP23">
            <v>1008010.761523976</v>
          </cell>
          <cell r="BQ23">
            <v>0</v>
          </cell>
          <cell r="BR23">
            <v>0</v>
          </cell>
          <cell r="BS23">
            <v>0</v>
          </cell>
          <cell r="BT23">
            <v>0</v>
          </cell>
          <cell r="BU23">
            <v>0</v>
          </cell>
          <cell r="BV23">
            <v>0</v>
          </cell>
          <cell r="BW23">
            <v>0</v>
          </cell>
          <cell r="BX23">
            <v>0</v>
          </cell>
          <cell r="BY23">
            <v>0</v>
          </cell>
          <cell r="BZ23">
            <v>0</v>
          </cell>
          <cell r="CA23">
            <v>0</v>
          </cell>
          <cell r="CB23">
            <v>885567.07673656207</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cell r="FQ23">
            <v>0</v>
          </cell>
          <cell r="FR23">
            <v>0</v>
          </cell>
          <cell r="FS23">
            <v>0</v>
          </cell>
          <cell r="FT23">
            <v>0</v>
          </cell>
          <cell r="FU23">
            <v>0</v>
          </cell>
          <cell r="FV23">
            <v>0</v>
          </cell>
          <cell r="FW23">
            <v>0</v>
          </cell>
          <cell r="FX23">
            <v>0</v>
          </cell>
          <cell r="FY23">
            <v>0</v>
          </cell>
          <cell r="FZ23">
            <v>0</v>
          </cell>
          <cell r="GA23">
            <v>0</v>
          </cell>
          <cell r="GB23">
            <v>0</v>
          </cell>
          <cell r="GC23">
            <v>0</v>
          </cell>
          <cell r="GD23">
            <v>0</v>
          </cell>
          <cell r="GE23">
            <v>0</v>
          </cell>
          <cell r="GF23">
            <v>0</v>
          </cell>
          <cell r="GG23">
            <v>0</v>
          </cell>
          <cell r="GH23">
            <v>0</v>
          </cell>
          <cell r="GI23">
            <v>0</v>
          </cell>
          <cell r="GJ23">
            <v>0</v>
          </cell>
          <cell r="GK23">
            <v>0</v>
          </cell>
          <cell r="GL23">
            <v>0</v>
          </cell>
          <cell r="GM23">
            <v>0</v>
          </cell>
          <cell r="GN23">
            <v>0</v>
          </cell>
          <cell r="GO23">
            <v>0</v>
          </cell>
          <cell r="GP23">
            <v>0</v>
          </cell>
          <cell r="GQ23">
            <v>0</v>
          </cell>
          <cell r="GR23">
            <v>0</v>
          </cell>
          <cell r="GS23">
            <v>0</v>
          </cell>
          <cell r="GT23">
            <v>0</v>
          </cell>
          <cell r="GU23">
            <v>0</v>
          </cell>
          <cell r="GV23">
            <v>0</v>
          </cell>
          <cell r="GW23">
            <v>0</v>
          </cell>
          <cell r="GX23">
            <v>0</v>
          </cell>
          <cell r="GY23">
            <v>0</v>
          </cell>
          <cell r="GZ23">
            <v>0</v>
          </cell>
          <cell r="HA23">
            <v>0</v>
          </cell>
          <cell r="HB23">
            <v>0</v>
          </cell>
          <cell r="HC23">
            <v>0</v>
          </cell>
          <cell r="HD23">
            <v>0</v>
          </cell>
          <cell r="HE23">
            <v>6877580.118028109</v>
          </cell>
        </row>
        <row r="24">
          <cell r="B24" t="str">
            <v>HBS-05</v>
          </cell>
          <cell r="C24" t="str">
            <v>경남모직</v>
          </cell>
          <cell r="D24">
            <v>0.96833913888357082</v>
          </cell>
          <cell r="E24" t="str">
            <v>담     보</v>
          </cell>
          <cell r="F24">
            <v>0</v>
          </cell>
          <cell r="G24">
            <v>0</v>
          </cell>
          <cell r="H24">
            <v>682354084.25852895</v>
          </cell>
          <cell r="I24">
            <v>0</v>
          </cell>
          <cell r="J24">
            <v>0</v>
          </cell>
          <cell r="K24">
            <v>0</v>
          </cell>
          <cell r="L24">
            <v>0</v>
          </cell>
          <cell r="M24">
            <v>0</v>
          </cell>
          <cell r="N24">
            <v>0</v>
          </cell>
          <cell r="O24">
            <v>0</v>
          </cell>
          <cell r="P24">
            <v>0</v>
          </cell>
          <cell r="Q24">
            <v>0</v>
          </cell>
          <cell r="R24">
            <v>0</v>
          </cell>
          <cell r="S24">
            <v>0</v>
          </cell>
          <cell r="T24">
            <v>682458010.91773808</v>
          </cell>
          <cell r="U24">
            <v>0</v>
          </cell>
          <cell r="V24">
            <v>0</v>
          </cell>
          <cell r="W24">
            <v>0</v>
          </cell>
          <cell r="X24">
            <v>0</v>
          </cell>
          <cell r="Y24">
            <v>0</v>
          </cell>
          <cell r="Z24">
            <v>0</v>
          </cell>
          <cell r="AA24">
            <v>0</v>
          </cell>
          <cell r="AB24">
            <v>0</v>
          </cell>
          <cell r="AC24">
            <v>0</v>
          </cell>
          <cell r="AD24">
            <v>0</v>
          </cell>
          <cell r="AE24">
            <v>0</v>
          </cell>
          <cell r="AF24">
            <v>447856851.73365116</v>
          </cell>
          <cell r="AG24">
            <v>0</v>
          </cell>
          <cell r="AH24">
            <v>0</v>
          </cell>
          <cell r="AI24">
            <v>0</v>
          </cell>
          <cell r="AJ24">
            <v>0</v>
          </cell>
          <cell r="AK24">
            <v>0</v>
          </cell>
          <cell r="AL24">
            <v>0</v>
          </cell>
          <cell r="AM24">
            <v>0</v>
          </cell>
          <cell r="AN24">
            <v>0</v>
          </cell>
          <cell r="AO24">
            <v>0</v>
          </cell>
          <cell r="AP24">
            <v>0</v>
          </cell>
          <cell r="AQ24">
            <v>0</v>
          </cell>
          <cell r="AR24">
            <v>447856851.73365134</v>
          </cell>
          <cell r="AS24">
            <v>0</v>
          </cell>
          <cell r="AT24">
            <v>0</v>
          </cell>
          <cell r="AU24">
            <v>0</v>
          </cell>
          <cell r="AV24">
            <v>0</v>
          </cell>
          <cell r="AW24">
            <v>0</v>
          </cell>
          <cell r="AX24">
            <v>0</v>
          </cell>
          <cell r="AY24">
            <v>0</v>
          </cell>
          <cell r="AZ24">
            <v>0</v>
          </cell>
          <cell r="BA24">
            <v>0</v>
          </cell>
          <cell r="BB24">
            <v>0</v>
          </cell>
          <cell r="BC24">
            <v>0</v>
          </cell>
          <cell r="BD24">
            <v>1443823403.4537501</v>
          </cell>
          <cell r="BE24">
            <v>0</v>
          </cell>
          <cell r="BF24">
            <v>0</v>
          </cell>
          <cell r="BG24">
            <v>0</v>
          </cell>
          <cell r="BH24">
            <v>0</v>
          </cell>
          <cell r="BI24">
            <v>0</v>
          </cell>
          <cell r="BJ24">
            <v>0</v>
          </cell>
          <cell r="BK24">
            <v>0</v>
          </cell>
          <cell r="BL24">
            <v>0</v>
          </cell>
          <cell r="BM24">
            <v>0</v>
          </cell>
          <cell r="BN24">
            <v>0</v>
          </cell>
          <cell r="BO24">
            <v>0</v>
          </cell>
          <cell r="BP24">
            <v>1354252033.1070201</v>
          </cell>
          <cell r="BQ24">
            <v>0</v>
          </cell>
          <cell r="BR24">
            <v>0</v>
          </cell>
          <cell r="BS24">
            <v>0</v>
          </cell>
          <cell r="BT24">
            <v>0</v>
          </cell>
          <cell r="BU24">
            <v>0</v>
          </cell>
          <cell r="BV24">
            <v>0</v>
          </cell>
          <cell r="BW24">
            <v>0</v>
          </cell>
          <cell r="BX24">
            <v>0</v>
          </cell>
          <cell r="BY24">
            <v>0</v>
          </cell>
          <cell r="BZ24">
            <v>0</v>
          </cell>
          <cell r="CA24">
            <v>0</v>
          </cell>
          <cell r="CB24">
            <v>1264680662.7602897</v>
          </cell>
          <cell r="CC24">
            <v>0</v>
          </cell>
          <cell r="CD24">
            <v>0</v>
          </cell>
          <cell r="CE24">
            <v>0</v>
          </cell>
          <cell r="CF24">
            <v>0</v>
          </cell>
          <cell r="CG24">
            <v>0</v>
          </cell>
          <cell r="CH24">
            <v>0</v>
          </cell>
          <cell r="CI24">
            <v>0</v>
          </cell>
          <cell r="CJ24">
            <v>0</v>
          </cell>
          <cell r="CK24">
            <v>0</v>
          </cell>
          <cell r="CL24">
            <v>0</v>
          </cell>
          <cell r="CM24">
            <v>0</v>
          </cell>
          <cell r="CN24">
            <v>1175109292.4135594</v>
          </cell>
          <cell r="CO24">
            <v>0</v>
          </cell>
          <cell r="CP24">
            <v>0</v>
          </cell>
          <cell r="CQ24">
            <v>0</v>
          </cell>
          <cell r="CR24">
            <v>0</v>
          </cell>
          <cell r="CS24">
            <v>0</v>
          </cell>
          <cell r="CT24">
            <v>0</v>
          </cell>
          <cell r="CU24">
            <v>0</v>
          </cell>
          <cell r="CV24">
            <v>0</v>
          </cell>
          <cell r="CW24">
            <v>0</v>
          </cell>
          <cell r="CX24">
            <v>0</v>
          </cell>
          <cell r="CY24">
            <v>0</v>
          </cell>
          <cell r="CZ24">
            <v>1085537925.940186</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cell r="GX24">
            <v>0</v>
          </cell>
          <cell r="GY24">
            <v>0</v>
          </cell>
          <cell r="GZ24">
            <v>0</v>
          </cell>
          <cell r="HA24">
            <v>0</v>
          </cell>
          <cell r="HB24">
            <v>0</v>
          </cell>
          <cell r="HC24">
            <v>0</v>
          </cell>
          <cell r="HD24">
            <v>0</v>
          </cell>
          <cell r="HE24">
            <v>8583929116.3183746</v>
          </cell>
        </row>
        <row r="25">
          <cell r="D25">
            <v>0.96833913888357082</v>
          </cell>
          <cell r="E25" t="str">
            <v>무 담 보</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v>0</v>
          </cell>
          <cell r="DU25">
            <v>0</v>
          </cell>
          <cell r="DV25">
            <v>0</v>
          </cell>
          <cell r="DW25">
            <v>0</v>
          </cell>
          <cell r="DX25">
            <v>0</v>
          </cell>
          <cell r="DY25">
            <v>0</v>
          </cell>
          <cell r="DZ25">
            <v>0</v>
          </cell>
          <cell r="EA25">
            <v>0</v>
          </cell>
          <cell r="EB25">
            <v>0</v>
          </cell>
          <cell r="EC25">
            <v>0</v>
          </cell>
          <cell r="ED25">
            <v>0</v>
          </cell>
          <cell r="EE25">
            <v>0</v>
          </cell>
          <cell r="EF25">
            <v>0</v>
          </cell>
          <cell r="EG25">
            <v>0</v>
          </cell>
          <cell r="EH25">
            <v>0</v>
          </cell>
          <cell r="EI25">
            <v>0</v>
          </cell>
          <cell r="EJ25">
            <v>0</v>
          </cell>
          <cell r="EK25">
            <v>0</v>
          </cell>
          <cell r="EL25">
            <v>0</v>
          </cell>
          <cell r="EM25">
            <v>0</v>
          </cell>
          <cell r="EN25">
            <v>0</v>
          </cell>
          <cell r="EO25">
            <v>0</v>
          </cell>
          <cell r="EP25">
            <v>0</v>
          </cell>
          <cell r="EQ25">
            <v>0</v>
          </cell>
          <cell r="ER25">
            <v>0</v>
          </cell>
          <cell r="ES25">
            <v>0</v>
          </cell>
          <cell r="ET25">
            <v>0</v>
          </cell>
          <cell r="EU25">
            <v>0</v>
          </cell>
          <cell r="EV25">
            <v>0</v>
          </cell>
          <cell r="EW25">
            <v>0</v>
          </cell>
          <cell r="EX25">
            <v>0</v>
          </cell>
          <cell r="EY25">
            <v>0</v>
          </cell>
          <cell r="EZ25">
            <v>0</v>
          </cell>
          <cell r="FA25">
            <v>0</v>
          </cell>
          <cell r="FB25">
            <v>0</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Y25">
            <v>0</v>
          </cell>
          <cell r="GZ25">
            <v>0</v>
          </cell>
          <cell r="HA25">
            <v>0</v>
          </cell>
          <cell r="HB25">
            <v>0</v>
          </cell>
          <cell r="HC25">
            <v>0</v>
          </cell>
          <cell r="HD25">
            <v>0</v>
          </cell>
          <cell r="HE25">
            <v>0</v>
          </cell>
        </row>
        <row r="26">
          <cell r="E26" t="str">
            <v>Total</v>
          </cell>
          <cell r="F26">
            <v>0</v>
          </cell>
          <cell r="G26">
            <v>0</v>
          </cell>
          <cell r="H26">
            <v>682354084.25852895</v>
          </cell>
          <cell r="I26">
            <v>0</v>
          </cell>
          <cell r="J26">
            <v>0</v>
          </cell>
          <cell r="K26">
            <v>0</v>
          </cell>
          <cell r="L26">
            <v>0</v>
          </cell>
          <cell r="M26">
            <v>0</v>
          </cell>
          <cell r="N26">
            <v>0</v>
          </cell>
          <cell r="O26">
            <v>0</v>
          </cell>
          <cell r="P26">
            <v>0</v>
          </cell>
          <cell r="Q26">
            <v>0</v>
          </cell>
          <cell r="R26">
            <v>0</v>
          </cell>
          <cell r="S26">
            <v>0</v>
          </cell>
          <cell r="T26">
            <v>682458010.91773808</v>
          </cell>
          <cell r="U26">
            <v>0</v>
          </cell>
          <cell r="V26">
            <v>0</v>
          </cell>
          <cell r="W26">
            <v>0</v>
          </cell>
          <cell r="X26">
            <v>0</v>
          </cell>
          <cell r="Y26">
            <v>0</v>
          </cell>
          <cell r="Z26">
            <v>0</v>
          </cell>
          <cell r="AA26">
            <v>0</v>
          </cell>
          <cell r="AB26">
            <v>0</v>
          </cell>
          <cell r="AC26">
            <v>0</v>
          </cell>
          <cell r="AD26">
            <v>0</v>
          </cell>
          <cell r="AE26">
            <v>0</v>
          </cell>
          <cell r="AF26">
            <v>447856851.73365116</v>
          </cell>
          <cell r="AG26">
            <v>0</v>
          </cell>
          <cell r="AH26">
            <v>0</v>
          </cell>
          <cell r="AI26">
            <v>0</v>
          </cell>
          <cell r="AJ26">
            <v>0</v>
          </cell>
          <cell r="AK26">
            <v>0</v>
          </cell>
          <cell r="AL26">
            <v>0</v>
          </cell>
          <cell r="AM26">
            <v>0</v>
          </cell>
          <cell r="AN26">
            <v>0</v>
          </cell>
          <cell r="AO26">
            <v>0</v>
          </cell>
          <cell r="AP26">
            <v>0</v>
          </cell>
          <cell r="AQ26">
            <v>0</v>
          </cell>
          <cell r="AR26">
            <v>447856851.73365134</v>
          </cell>
          <cell r="AS26">
            <v>0</v>
          </cell>
          <cell r="AT26">
            <v>0</v>
          </cell>
          <cell r="AU26">
            <v>0</v>
          </cell>
          <cell r="AV26">
            <v>0</v>
          </cell>
          <cell r="AW26">
            <v>0</v>
          </cell>
          <cell r="AX26">
            <v>0</v>
          </cell>
          <cell r="AY26">
            <v>0</v>
          </cell>
          <cell r="AZ26">
            <v>0</v>
          </cell>
          <cell r="BA26">
            <v>0</v>
          </cell>
          <cell r="BB26">
            <v>0</v>
          </cell>
          <cell r="BC26">
            <v>0</v>
          </cell>
          <cell r="BD26">
            <v>1443823403.4537501</v>
          </cell>
          <cell r="BE26">
            <v>0</v>
          </cell>
          <cell r="BF26">
            <v>0</v>
          </cell>
          <cell r="BG26">
            <v>0</v>
          </cell>
          <cell r="BH26">
            <v>0</v>
          </cell>
          <cell r="BI26">
            <v>0</v>
          </cell>
          <cell r="BJ26">
            <v>0</v>
          </cell>
          <cell r="BK26">
            <v>0</v>
          </cell>
          <cell r="BL26">
            <v>0</v>
          </cell>
          <cell r="BM26">
            <v>0</v>
          </cell>
          <cell r="BN26">
            <v>0</v>
          </cell>
          <cell r="BO26">
            <v>0</v>
          </cell>
          <cell r="BP26">
            <v>1354252033.1070201</v>
          </cell>
          <cell r="BQ26">
            <v>0</v>
          </cell>
          <cell r="BR26">
            <v>0</v>
          </cell>
          <cell r="BS26">
            <v>0</v>
          </cell>
          <cell r="BT26">
            <v>0</v>
          </cell>
          <cell r="BU26">
            <v>0</v>
          </cell>
          <cell r="BV26">
            <v>0</v>
          </cell>
          <cell r="BW26">
            <v>0</v>
          </cell>
          <cell r="BX26">
            <v>0</v>
          </cell>
          <cell r="BY26">
            <v>0</v>
          </cell>
          <cell r="BZ26">
            <v>0</v>
          </cell>
          <cell r="CA26">
            <v>0</v>
          </cell>
          <cell r="CB26">
            <v>1264680662.7602897</v>
          </cell>
          <cell r="CC26">
            <v>0</v>
          </cell>
          <cell r="CD26">
            <v>0</v>
          </cell>
          <cell r="CE26">
            <v>0</v>
          </cell>
          <cell r="CF26">
            <v>0</v>
          </cell>
          <cell r="CG26">
            <v>0</v>
          </cell>
          <cell r="CH26">
            <v>0</v>
          </cell>
          <cell r="CI26">
            <v>0</v>
          </cell>
          <cell r="CJ26">
            <v>0</v>
          </cell>
          <cell r="CK26">
            <v>0</v>
          </cell>
          <cell r="CL26">
            <v>0</v>
          </cell>
          <cell r="CM26">
            <v>0</v>
          </cell>
          <cell r="CN26">
            <v>1175109292.4135594</v>
          </cell>
          <cell r="CO26">
            <v>0</v>
          </cell>
          <cell r="CP26">
            <v>0</v>
          </cell>
          <cell r="CQ26">
            <v>0</v>
          </cell>
          <cell r="CR26">
            <v>0</v>
          </cell>
          <cell r="CS26">
            <v>0</v>
          </cell>
          <cell r="CT26">
            <v>0</v>
          </cell>
          <cell r="CU26">
            <v>0</v>
          </cell>
          <cell r="CV26">
            <v>0</v>
          </cell>
          <cell r="CW26">
            <v>0</v>
          </cell>
          <cell r="CX26">
            <v>0</v>
          </cell>
          <cell r="CY26">
            <v>0</v>
          </cell>
          <cell r="CZ26">
            <v>1085537925.940186</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0</v>
          </cell>
          <cell r="EC26">
            <v>0</v>
          </cell>
          <cell r="ED26">
            <v>0</v>
          </cell>
          <cell r="EE26">
            <v>0</v>
          </cell>
          <cell r="EF26">
            <v>0</v>
          </cell>
          <cell r="EG26">
            <v>0</v>
          </cell>
          <cell r="EH26">
            <v>0</v>
          </cell>
          <cell r="EI26">
            <v>0</v>
          </cell>
          <cell r="EJ26">
            <v>0</v>
          </cell>
          <cell r="EK26">
            <v>0</v>
          </cell>
          <cell r="EL26">
            <v>0</v>
          </cell>
          <cell r="EM26">
            <v>0</v>
          </cell>
          <cell r="EN26">
            <v>0</v>
          </cell>
          <cell r="EO26">
            <v>0</v>
          </cell>
          <cell r="EP26">
            <v>0</v>
          </cell>
          <cell r="EQ26">
            <v>0</v>
          </cell>
          <cell r="ER26">
            <v>0</v>
          </cell>
          <cell r="ES26">
            <v>0</v>
          </cell>
          <cell r="ET26">
            <v>0</v>
          </cell>
          <cell r="EU26">
            <v>0</v>
          </cell>
          <cell r="EV26">
            <v>0</v>
          </cell>
          <cell r="EW26">
            <v>0</v>
          </cell>
          <cell r="EX26">
            <v>0</v>
          </cell>
          <cell r="EY26">
            <v>0</v>
          </cell>
          <cell r="EZ26">
            <v>0</v>
          </cell>
          <cell r="FA26">
            <v>0</v>
          </cell>
          <cell r="FB26">
            <v>0</v>
          </cell>
          <cell r="FC26">
            <v>0</v>
          </cell>
          <cell r="FD26">
            <v>0</v>
          </cell>
          <cell r="FE26">
            <v>0</v>
          </cell>
          <cell r="FF26">
            <v>0</v>
          </cell>
          <cell r="FG26">
            <v>0</v>
          </cell>
          <cell r="FH26">
            <v>0</v>
          </cell>
          <cell r="FI26">
            <v>0</v>
          </cell>
          <cell r="FJ26">
            <v>0</v>
          </cell>
          <cell r="FK26">
            <v>0</v>
          </cell>
          <cell r="FL26">
            <v>0</v>
          </cell>
          <cell r="FM26">
            <v>0</v>
          </cell>
          <cell r="FN26">
            <v>0</v>
          </cell>
          <cell r="FO26">
            <v>0</v>
          </cell>
          <cell r="FP26">
            <v>0</v>
          </cell>
          <cell r="FQ26">
            <v>0</v>
          </cell>
          <cell r="FR26">
            <v>0</v>
          </cell>
          <cell r="FS26">
            <v>0</v>
          </cell>
          <cell r="FT26">
            <v>0</v>
          </cell>
          <cell r="FU26">
            <v>0</v>
          </cell>
          <cell r="FV26">
            <v>0</v>
          </cell>
          <cell r="FW26">
            <v>0</v>
          </cell>
          <cell r="FX26">
            <v>0</v>
          </cell>
          <cell r="FY26">
            <v>0</v>
          </cell>
          <cell r="FZ26">
            <v>0</v>
          </cell>
          <cell r="GA26">
            <v>0</v>
          </cell>
          <cell r="GB26">
            <v>0</v>
          </cell>
          <cell r="GC26">
            <v>0</v>
          </cell>
          <cell r="GD26">
            <v>0</v>
          </cell>
          <cell r="GE26">
            <v>0</v>
          </cell>
          <cell r="GF26">
            <v>0</v>
          </cell>
          <cell r="GG26">
            <v>0</v>
          </cell>
          <cell r="GH26">
            <v>0</v>
          </cell>
          <cell r="GI26">
            <v>0</v>
          </cell>
          <cell r="GJ26">
            <v>0</v>
          </cell>
          <cell r="GK26">
            <v>0</v>
          </cell>
          <cell r="GL26">
            <v>0</v>
          </cell>
          <cell r="GM26">
            <v>0</v>
          </cell>
          <cell r="GN26">
            <v>0</v>
          </cell>
          <cell r="GO26">
            <v>0</v>
          </cell>
          <cell r="GP26">
            <v>0</v>
          </cell>
          <cell r="GQ26">
            <v>0</v>
          </cell>
          <cell r="GR26">
            <v>0</v>
          </cell>
          <cell r="GS26">
            <v>0</v>
          </cell>
          <cell r="GT26">
            <v>0</v>
          </cell>
          <cell r="GU26">
            <v>0</v>
          </cell>
          <cell r="GV26">
            <v>0</v>
          </cell>
          <cell r="GW26">
            <v>0</v>
          </cell>
          <cell r="GX26">
            <v>0</v>
          </cell>
          <cell r="GY26">
            <v>0</v>
          </cell>
          <cell r="GZ26">
            <v>0</v>
          </cell>
          <cell r="HA26">
            <v>0</v>
          </cell>
          <cell r="HB26">
            <v>0</v>
          </cell>
          <cell r="HC26">
            <v>0</v>
          </cell>
          <cell r="HD26">
            <v>0</v>
          </cell>
          <cell r="HE26">
            <v>8583929116.3183746</v>
          </cell>
        </row>
        <row r="27">
          <cell r="A27" t="str">
            <v>HBS-05</v>
          </cell>
          <cell r="E27" t="str">
            <v>현     가</v>
          </cell>
          <cell r="F27">
            <v>0</v>
          </cell>
          <cell r="G27">
            <v>0</v>
          </cell>
          <cell r="H27">
            <v>676222127.24185288</v>
          </cell>
          <cell r="I27">
            <v>0</v>
          </cell>
          <cell r="J27">
            <v>0</v>
          </cell>
          <cell r="K27">
            <v>0</v>
          </cell>
          <cell r="L27">
            <v>0</v>
          </cell>
          <cell r="M27">
            <v>0</v>
          </cell>
          <cell r="N27">
            <v>0</v>
          </cell>
          <cell r="O27">
            <v>0</v>
          </cell>
          <cell r="P27">
            <v>0</v>
          </cell>
          <cell r="Q27">
            <v>0</v>
          </cell>
          <cell r="R27">
            <v>0</v>
          </cell>
          <cell r="S27">
            <v>0</v>
          </cell>
          <cell r="T27">
            <v>636187899.09416735</v>
          </cell>
          <cell r="U27">
            <v>0</v>
          </cell>
          <cell r="V27">
            <v>0</v>
          </cell>
          <cell r="W27">
            <v>0</v>
          </cell>
          <cell r="X27">
            <v>0</v>
          </cell>
          <cell r="Y27">
            <v>0</v>
          </cell>
          <cell r="Z27">
            <v>0</v>
          </cell>
          <cell r="AA27">
            <v>0</v>
          </cell>
          <cell r="AB27">
            <v>0</v>
          </cell>
          <cell r="AC27">
            <v>0</v>
          </cell>
          <cell r="AD27">
            <v>0</v>
          </cell>
          <cell r="AE27">
            <v>0</v>
          </cell>
          <cell r="AF27">
            <v>390246632.17365259</v>
          </cell>
          <cell r="AG27">
            <v>0</v>
          </cell>
          <cell r="AH27">
            <v>0</v>
          </cell>
          <cell r="AI27">
            <v>0</v>
          </cell>
          <cell r="AJ27">
            <v>0</v>
          </cell>
          <cell r="AK27">
            <v>0</v>
          </cell>
          <cell r="AL27">
            <v>0</v>
          </cell>
          <cell r="AM27">
            <v>0</v>
          </cell>
          <cell r="AN27">
            <v>0</v>
          </cell>
          <cell r="AO27">
            <v>0</v>
          </cell>
          <cell r="AP27">
            <v>0</v>
          </cell>
          <cell r="AQ27">
            <v>0</v>
          </cell>
          <cell r="AR27">
            <v>361514181.10841149</v>
          </cell>
          <cell r="AS27">
            <v>0</v>
          </cell>
          <cell r="AT27">
            <v>0</v>
          </cell>
          <cell r="AU27">
            <v>0</v>
          </cell>
          <cell r="AV27">
            <v>0</v>
          </cell>
          <cell r="AW27">
            <v>0</v>
          </cell>
          <cell r="AX27">
            <v>0</v>
          </cell>
          <cell r="AY27">
            <v>0</v>
          </cell>
          <cell r="AZ27">
            <v>0</v>
          </cell>
          <cell r="BA27">
            <v>0</v>
          </cell>
          <cell r="BB27">
            <v>0</v>
          </cell>
          <cell r="BC27">
            <v>0</v>
          </cell>
          <cell r="BD27">
            <v>1089323831.2209733</v>
          </cell>
          <cell r="BE27">
            <v>0</v>
          </cell>
          <cell r="BF27">
            <v>0</v>
          </cell>
          <cell r="BG27">
            <v>0</v>
          </cell>
          <cell r="BH27">
            <v>0</v>
          </cell>
          <cell r="BI27">
            <v>0</v>
          </cell>
          <cell r="BJ27">
            <v>0</v>
          </cell>
          <cell r="BK27">
            <v>0</v>
          </cell>
          <cell r="BL27">
            <v>0</v>
          </cell>
          <cell r="BM27">
            <v>0</v>
          </cell>
          <cell r="BN27">
            <v>0</v>
          </cell>
          <cell r="BO27">
            <v>0</v>
          </cell>
          <cell r="BP27">
            <v>935391758.50141549</v>
          </cell>
          <cell r="BQ27">
            <v>0</v>
          </cell>
          <cell r="BR27">
            <v>0</v>
          </cell>
          <cell r="BS27">
            <v>0</v>
          </cell>
          <cell r="BT27">
            <v>0</v>
          </cell>
          <cell r="BU27">
            <v>0</v>
          </cell>
          <cell r="BV27">
            <v>0</v>
          </cell>
          <cell r="BW27">
            <v>0</v>
          </cell>
          <cell r="BX27">
            <v>0</v>
          </cell>
          <cell r="BY27">
            <v>0</v>
          </cell>
          <cell r="BZ27">
            <v>0</v>
          </cell>
          <cell r="CA27">
            <v>0</v>
          </cell>
          <cell r="CB27">
            <v>813185775.07172132</v>
          </cell>
          <cell r="CC27">
            <v>0</v>
          </cell>
          <cell r="CD27">
            <v>0</v>
          </cell>
          <cell r="CE27">
            <v>0</v>
          </cell>
          <cell r="CF27">
            <v>0</v>
          </cell>
          <cell r="CG27">
            <v>0</v>
          </cell>
          <cell r="CH27">
            <v>0</v>
          </cell>
          <cell r="CI27">
            <v>0</v>
          </cell>
          <cell r="CJ27">
            <v>0</v>
          </cell>
          <cell r="CK27">
            <v>0</v>
          </cell>
          <cell r="CL27">
            <v>0</v>
          </cell>
          <cell r="CM27">
            <v>0</v>
          </cell>
          <cell r="CN27">
            <v>703261499.86290002</v>
          </cell>
          <cell r="CO27">
            <v>0</v>
          </cell>
          <cell r="CP27">
            <v>0</v>
          </cell>
          <cell r="CQ27">
            <v>0</v>
          </cell>
          <cell r="CR27">
            <v>0</v>
          </cell>
          <cell r="CS27">
            <v>0</v>
          </cell>
          <cell r="CT27">
            <v>0</v>
          </cell>
          <cell r="CU27">
            <v>0</v>
          </cell>
          <cell r="CV27">
            <v>0</v>
          </cell>
          <cell r="CW27">
            <v>0</v>
          </cell>
          <cell r="CX27">
            <v>0</v>
          </cell>
          <cell r="CY27">
            <v>0</v>
          </cell>
          <cell r="CZ27">
            <v>604781412.75754046</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6210115117.0326347</v>
          </cell>
        </row>
        <row r="28">
          <cell r="B28" t="str">
            <v>HBS-06</v>
          </cell>
          <cell r="C28" t="str">
            <v>뉴타운개발㈜</v>
          </cell>
          <cell r="D28">
            <v>0.69199125898259817</v>
          </cell>
          <cell r="E28" t="str">
            <v>담     보</v>
          </cell>
          <cell r="F28">
            <v>0</v>
          </cell>
          <cell r="G28">
            <v>0</v>
          </cell>
          <cell r="H28">
            <v>355818688.301489</v>
          </cell>
          <cell r="I28">
            <v>0</v>
          </cell>
          <cell r="J28">
            <v>0</v>
          </cell>
          <cell r="K28">
            <v>0</v>
          </cell>
          <cell r="L28">
            <v>0</v>
          </cell>
          <cell r="M28">
            <v>0</v>
          </cell>
          <cell r="N28">
            <v>0</v>
          </cell>
          <cell r="O28">
            <v>0</v>
          </cell>
          <cell r="P28">
            <v>0</v>
          </cell>
          <cell r="Q28">
            <v>0</v>
          </cell>
          <cell r="R28">
            <v>0</v>
          </cell>
          <cell r="S28">
            <v>0</v>
          </cell>
          <cell r="T28">
            <v>355818688.301489</v>
          </cell>
          <cell r="U28">
            <v>0</v>
          </cell>
          <cell r="V28">
            <v>0</v>
          </cell>
          <cell r="W28">
            <v>0</v>
          </cell>
          <cell r="X28">
            <v>0</v>
          </cell>
          <cell r="Y28">
            <v>0</v>
          </cell>
          <cell r="Z28">
            <v>0</v>
          </cell>
          <cell r="AA28">
            <v>0</v>
          </cell>
          <cell r="AB28">
            <v>0</v>
          </cell>
          <cell r="AC28">
            <v>0</v>
          </cell>
          <cell r="AD28">
            <v>0</v>
          </cell>
          <cell r="AE28">
            <v>0</v>
          </cell>
          <cell r="AF28">
            <v>586063670.65734434</v>
          </cell>
          <cell r="AG28">
            <v>0</v>
          </cell>
          <cell r="AH28">
            <v>0</v>
          </cell>
          <cell r="AI28">
            <v>0</v>
          </cell>
          <cell r="AJ28">
            <v>0</v>
          </cell>
          <cell r="AK28">
            <v>0</v>
          </cell>
          <cell r="AL28">
            <v>0</v>
          </cell>
          <cell r="AM28">
            <v>0</v>
          </cell>
          <cell r="AN28">
            <v>0</v>
          </cell>
          <cell r="AO28">
            <v>0</v>
          </cell>
          <cell r="AP28">
            <v>0</v>
          </cell>
          <cell r="AQ28">
            <v>0</v>
          </cell>
          <cell r="AR28">
            <v>562832317.94660294</v>
          </cell>
          <cell r="AS28">
            <v>0</v>
          </cell>
          <cell r="AT28">
            <v>0</v>
          </cell>
          <cell r="AU28">
            <v>0</v>
          </cell>
          <cell r="AV28">
            <v>0</v>
          </cell>
          <cell r="AW28">
            <v>0</v>
          </cell>
          <cell r="AX28">
            <v>0</v>
          </cell>
          <cell r="AY28">
            <v>0</v>
          </cell>
          <cell r="AZ28">
            <v>0</v>
          </cell>
          <cell r="BA28">
            <v>0</v>
          </cell>
          <cell r="BB28">
            <v>0</v>
          </cell>
          <cell r="BC28">
            <v>0</v>
          </cell>
          <cell r="BD28">
            <v>539600965.23586142</v>
          </cell>
          <cell r="BE28">
            <v>0</v>
          </cell>
          <cell r="BF28">
            <v>0</v>
          </cell>
          <cell r="BG28">
            <v>0</v>
          </cell>
          <cell r="BH28">
            <v>0</v>
          </cell>
          <cell r="BI28">
            <v>0</v>
          </cell>
          <cell r="BJ28">
            <v>0</v>
          </cell>
          <cell r="BK28">
            <v>0</v>
          </cell>
          <cell r="BL28">
            <v>0</v>
          </cell>
          <cell r="BM28">
            <v>0</v>
          </cell>
          <cell r="BN28">
            <v>0</v>
          </cell>
          <cell r="BO28">
            <v>0</v>
          </cell>
          <cell r="BP28">
            <v>572864038.43533242</v>
          </cell>
          <cell r="BQ28">
            <v>0</v>
          </cell>
          <cell r="BR28">
            <v>0</v>
          </cell>
          <cell r="BS28">
            <v>0</v>
          </cell>
          <cell r="BT28">
            <v>0</v>
          </cell>
          <cell r="BU28">
            <v>0</v>
          </cell>
          <cell r="BV28">
            <v>0</v>
          </cell>
          <cell r="BW28">
            <v>0</v>
          </cell>
          <cell r="BX28">
            <v>0</v>
          </cell>
          <cell r="BY28">
            <v>0</v>
          </cell>
          <cell r="BZ28">
            <v>0</v>
          </cell>
          <cell r="CA28">
            <v>0</v>
          </cell>
          <cell r="CB28">
            <v>543824847.54690516</v>
          </cell>
          <cell r="CC28">
            <v>0</v>
          </cell>
          <cell r="CD28">
            <v>0</v>
          </cell>
          <cell r="CE28">
            <v>0</v>
          </cell>
          <cell r="CF28">
            <v>0</v>
          </cell>
          <cell r="CG28">
            <v>0</v>
          </cell>
          <cell r="CH28">
            <v>0</v>
          </cell>
          <cell r="CI28">
            <v>0</v>
          </cell>
          <cell r="CJ28">
            <v>0</v>
          </cell>
          <cell r="CK28">
            <v>0</v>
          </cell>
          <cell r="CL28">
            <v>0</v>
          </cell>
          <cell r="CM28">
            <v>0</v>
          </cell>
          <cell r="CN28">
            <v>514785656.65847826</v>
          </cell>
          <cell r="CO28">
            <v>0</v>
          </cell>
          <cell r="CP28">
            <v>0</v>
          </cell>
          <cell r="CQ28">
            <v>0</v>
          </cell>
          <cell r="CR28">
            <v>0</v>
          </cell>
          <cell r="CS28">
            <v>0</v>
          </cell>
          <cell r="CT28">
            <v>0</v>
          </cell>
          <cell r="CU28">
            <v>0</v>
          </cell>
          <cell r="CV28">
            <v>0</v>
          </cell>
          <cell r="CW28">
            <v>0</v>
          </cell>
          <cell r="CX28">
            <v>0</v>
          </cell>
          <cell r="CY28">
            <v>0</v>
          </cell>
          <cell r="CZ28">
            <v>2148900125.7435961</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2.4679734439359856E-8</v>
          </cell>
          <cell r="DR28">
            <v>2.4679734439359856E-8</v>
          </cell>
          <cell r="DS28">
            <v>2.4679734439359856E-8</v>
          </cell>
          <cell r="DT28">
            <v>2.4770136397013196E-8</v>
          </cell>
          <cell r="DU28">
            <v>2.4679734439359862E-8</v>
          </cell>
          <cell r="DV28">
            <v>2.4679734439359856E-8</v>
          </cell>
          <cell r="DW28">
            <v>2.4860538354666524E-8</v>
          </cell>
          <cell r="DX28">
            <v>2.4860538354666524E-8</v>
          </cell>
          <cell r="DY28">
            <v>2.49432833159066E-8</v>
          </cell>
          <cell r="DZ28">
            <v>2.4755316403955267E-8</v>
          </cell>
          <cell r="EA28">
            <v>2.4838061365195344E-8</v>
          </cell>
          <cell r="EB28">
            <v>2.4740249411013048E-8</v>
          </cell>
          <cell r="EC28">
            <v>2.4732592414599787E-8</v>
          </cell>
          <cell r="ED28">
            <v>2.4725182418070826E-8</v>
          </cell>
          <cell r="EE28">
            <v>2.4717525421657568E-8</v>
          </cell>
          <cell r="EF28">
            <v>2.4800270382897641E-8</v>
          </cell>
          <cell r="EG28">
            <v>2.1997809695644325E-8</v>
          </cell>
          <cell r="EH28">
            <v>1.9203006004804267E-8</v>
          </cell>
          <cell r="EI28">
            <v>1.6588512229502277E-8</v>
          </cell>
          <cell r="EJ28">
            <v>1.3793708538662219E-8</v>
          </cell>
          <cell r="EK28">
            <v>1.1089059805591197E-8</v>
          </cell>
          <cell r="EL28">
            <v>8.2942561147511386E-9</v>
          </cell>
          <cell r="EM28">
            <v>5.5896073816801147E-9</v>
          </cell>
          <cell r="EN28">
            <v>2.7948036908400573E-9</v>
          </cell>
          <cell r="EO28">
            <v>0</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0</v>
          </cell>
          <cell r="FS28">
            <v>0</v>
          </cell>
          <cell r="FT28">
            <v>0</v>
          </cell>
          <cell r="FU28">
            <v>0</v>
          </cell>
          <cell r="FV28">
            <v>0</v>
          </cell>
          <cell r="FW28">
            <v>0</v>
          </cell>
          <cell r="FX28">
            <v>0</v>
          </cell>
          <cell r="FY28">
            <v>0</v>
          </cell>
          <cell r="FZ28">
            <v>0</v>
          </cell>
          <cell r="GA28">
            <v>0</v>
          </cell>
          <cell r="GB28">
            <v>0</v>
          </cell>
          <cell r="GC28">
            <v>0</v>
          </cell>
          <cell r="GD28">
            <v>0</v>
          </cell>
          <cell r="GE28">
            <v>0</v>
          </cell>
          <cell r="GF28">
            <v>0</v>
          </cell>
          <cell r="GG28">
            <v>0</v>
          </cell>
          <cell r="GH28">
            <v>0</v>
          </cell>
          <cell r="GI28">
            <v>0</v>
          </cell>
          <cell r="GJ28">
            <v>0</v>
          </cell>
          <cell r="GK28">
            <v>0</v>
          </cell>
          <cell r="GL28">
            <v>0</v>
          </cell>
          <cell r="GM28">
            <v>0</v>
          </cell>
          <cell r="GN28">
            <v>0</v>
          </cell>
          <cell r="GO28">
            <v>0</v>
          </cell>
          <cell r="GP28">
            <v>0</v>
          </cell>
          <cell r="GQ28">
            <v>0</v>
          </cell>
          <cell r="GR28">
            <v>0</v>
          </cell>
          <cell r="GS28">
            <v>0</v>
          </cell>
          <cell r="GT28">
            <v>0</v>
          </cell>
          <cell r="GU28">
            <v>0</v>
          </cell>
          <cell r="GV28">
            <v>0</v>
          </cell>
          <cell r="GW28">
            <v>0</v>
          </cell>
          <cell r="GX28">
            <v>0</v>
          </cell>
          <cell r="GY28">
            <v>0</v>
          </cell>
          <cell r="GZ28">
            <v>0</v>
          </cell>
          <cell r="HA28">
            <v>0</v>
          </cell>
          <cell r="HB28">
            <v>0</v>
          </cell>
          <cell r="HC28">
            <v>0</v>
          </cell>
          <cell r="HD28">
            <v>0</v>
          </cell>
          <cell r="HE28">
            <v>6180508998.8270988</v>
          </cell>
        </row>
        <row r="29">
          <cell r="D29">
            <v>0.69199125898259817</v>
          </cell>
          <cell r="E29" t="str">
            <v>무 담 보</v>
          </cell>
          <cell r="F29">
            <v>0</v>
          </cell>
          <cell r="G29">
            <v>0</v>
          </cell>
          <cell r="H29">
            <v>24180116.75746911</v>
          </cell>
          <cell r="I29">
            <v>0</v>
          </cell>
          <cell r="J29">
            <v>0</v>
          </cell>
          <cell r="K29">
            <v>0</v>
          </cell>
          <cell r="L29">
            <v>0</v>
          </cell>
          <cell r="M29">
            <v>0</v>
          </cell>
          <cell r="N29">
            <v>0</v>
          </cell>
          <cell r="O29">
            <v>0</v>
          </cell>
          <cell r="P29">
            <v>0</v>
          </cell>
          <cell r="Q29">
            <v>0</v>
          </cell>
          <cell r="R29">
            <v>0</v>
          </cell>
          <cell r="S29">
            <v>0</v>
          </cell>
          <cell r="T29">
            <v>24180116.75746911</v>
          </cell>
          <cell r="U29">
            <v>0</v>
          </cell>
          <cell r="V29">
            <v>0</v>
          </cell>
          <cell r="W29">
            <v>0</v>
          </cell>
          <cell r="X29">
            <v>0</v>
          </cell>
          <cell r="Y29">
            <v>0</v>
          </cell>
          <cell r="Z29">
            <v>0</v>
          </cell>
          <cell r="AA29">
            <v>0</v>
          </cell>
          <cell r="AB29">
            <v>0</v>
          </cell>
          <cell r="AC29">
            <v>0</v>
          </cell>
          <cell r="AD29">
            <v>0</v>
          </cell>
          <cell r="AE29">
            <v>0</v>
          </cell>
          <cell r="AF29">
            <v>24180116.75746911</v>
          </cell>
          <cell r="AG29">
            <v>0</v>
          </cell>
          <cell r="AH29">
            <v>0</v>
          </cell>
          <cell r="AI29">
            <v>0</v>
          </cell>
          <cell r="AJ29">
            <v>0</v>
          </cell>
          <cell r="AK29">
            <v>0</v>
          </cell>
          <cell r="AL29">
            <v>0</v>
          </cell>
          <cell r="AM29">
            <v>0</v>
          </cell>
          <cell r="AN29">
            <v>0</v>
          </cell>
          <cell r="AO29">
            <v>0</v>
          </cell>
          <cell r="AP29">
            <v>0</v>
          </cell>
          <cell r="AQ29">
            <v>0</v>
          </cell>
          <cell r="AR29">
            <v>24180116.757469114</v>
          </cell>
          <cell r="AS29">
            <v>0</v>
          </cell>
          <cell r="AT29">
            <v>0</v>
          </cell>
          <cell r="AU29">
            <v>0</v>
          </cell>
          <cell r="AV29">
            <v>0</v>
          </cell>
          <cell r="AW29">
            <v>0</v>
          </cell>
          <cell r="AX29">
            <v>0</v>
          </cell>
          <cell r="AY29">
            <v>0</v>
          </cell>
          <cell r="AZ29">
            <v>0</v>
          </cell>
          <cell r="BA29">
            <v>0</v>
          </cell>
          <cell r="BB29">
            <v>0</v>
          </cell>
          <cell r="BC29">
            <v>0</v>
          </cell>
          <cell r="BD29">
            <v>249861206.49384749</v>
          </cell>
          <cell r="BE29">
            <v>0</v>
          </cell>
          <cell r="BF29">
            <v>0</v>
          </cell>
          <cell r="BG29">
            <v>0</v>
          </cell>
          <cell r="BH29">
            <v>0</v>
          </cell>
          <cell r="BI29">
            <v>0</v>
          </cell>
          <cell r="BJ29">
            <v>0</v>
          </cell>
          <cell r="BK29">
            <v>0</v>
          </cell>
          <cell r="BL29">
            <v>0</v>
          </cell>
          <cell r="BM29">
            <v>0</v>
          </cell>
          <cell r="BN29">
            <v>0</v>
          </cell>
          <cell r="BO29">
            <v>0</v>
          </cell>
          <cell r="BP29">
            <v>247604395.59648371</v>
          </cell>
          <cell r="BQ29">
            <v>0</v>
          </cell>
          <cell r="BR29">
            <v>0</v>
          </cell>
          <cell r="BS29">
            <v>0</v>
          </cell>
          <cell r="BT29">
            <v>0</v>
          </cell>
          <cell r="BU29">
            <v>0</v>
          </cell>
          <cell r="BV29">
            <v>0</v>
          </cell>
          <cell r="BW29">
            <v>0</v>
          </cell>
          <cell r="BX29">
            <v>0</v>
          </cell>
          <cell r="BY29">
            <v>0</v>
          </cell>
          <cell r="BZ29">
            <v>0</v>
          </cell>
          <cell r="CA29">
            <v>0</v>
          </cell>
          <cell r="CB29">
            <v>245347584.69911993</v>
          </cell>
          <cell r="CC29">
            <v>0</v>
          </cell>
          <cell r="CD29">
            <v>0</v>
          </cell>
          <cell r="CE29">
            <v>0</v>
          </cell>
          <cell r="CF29">
            <v>0</v>
          </cell>
          <cell r="CG29">
            <v>0</v>
          </cell>
          <cell r="CH29">
            <v>0</v>
          </cell>
          <cell r="CI29">
            <v>0</v>
          </cell>
          <cell r="CJ29">
            <v>0</v>
          </cell>
          <cell r="CK29">
            <v>0</v>
          </cell>
          <cell r="CL29">
            <v>0</v>
          </cell>
          <cell r="CM29">
            <v>0</v>
          </cell>
          <cell r="CN29">
            <v>243090773.80175611</v>
          </cell>
          <cell r="CO29">
            <v>0</v>
          </cell>
          <cell r="CP29">
            <v>0</v>
          </cell>
          <cell r="CQ29">
            <v>0</v>
          </cell>
          <cell r="CR29">
            <v>0</v>
          </cell>
          <cell r="CS29">
            <v>0</v>
          </cell>
          <cell r="CT29">
            <v>0</v>
          </cell>
          <cell r="CU29">
            <v>0</v>
          </cell>
          <cell r="CV29">
            <v>0</v>
          </cell>
          <cell r="CW29">
            <v>0</v>
          </cell>
          <cell r="CX29">
            <v>0</v>
          </cell>
          <cell r="CY29">
            <v>0</v>
          </cell>
          <cell r="CZ29">
            <v>1530440190.0040114</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-2.587818234373517E-4</v>
          </cell>
          <cell r="DR29">
            <v>-2.587818234373517E-4</v>
          </cell>
          <cell r="DS29">
            <v>-2.587818234373517E-4</v>
          </cell>
          <cell r="DT29">
            <v>-2.5972974220452152E-4</v>
          </cell>
          <cell r="DU29">
            <v>-2.587818234373517E-4</v>
          </cell>
          <cell r="DV29">
            <v>-2.587818234373517E-4</v>
          </cell>
          <cell r="DW29">
            <v>-2.6067766097169129E-4</v>
          </cell>
          <cell r="DX29">
            <v>-2.6067766097169129E-4</v>
          </cell>
          <cell r="DY29">
            <v>-2.6154529153727015E-4</v>
          </cell>
          <cell r="DZ29">
            <v>-2.5957434568531332E-4</v>
          </cell>
          <cell r="EA29">
            <v>-2.6044197625089223E-4</v>
          </cell>
          <cell r="EB29">
            <v>-2.5941635922411839E-4</v>
          </cell>
          <cell r="EC29">
            <v>-2.5933607102252747E-4</v>
          </cell>
          <cell r="ED29">
            <v>-2.592583727629234E-4</v>
          </cell>
          <cell r="EE29">
            <v>-2.5917808456133254E-4</v>
          </cell>
          <cell r="EF29">
            <v>-2.6004571512691145E-4</v>
          </cell>
          <cell r="EG29">
            <v>-2.590200981001376E-4</v>
          </cell>
          <cell r="EH29">
            <v>-2.5902009810013755E-4</v>
          </cell>
          <cell r="EI29">
            <v>-2.5996542692532058E-4</v>
          </cell>
          <cell r="EJ29">
            <v>-2.5996542692532058E-4</v>
          </cell>
          <cell r="EK29">
            <v>-2.6099104395209443E-4</v>
          </cell>
          <cell r="EL29">
            <v>-2.5822757585217598E-4</v>
          </cell>
          <cell r="EM29">
            <v>-2.5925319287894982E-4</v>
          </cell>
          <cell r="EN29">
            <v>-2.5838556231337092E-4</v>
          </cell>
          <cell r="EO29">
            <v>-2.5846585051496183E-4</v>
          </cell>
          <cell r="EP29">
            <v>-2.585435487745659E-4</v>
          </cell>
          <cell r="EQ29">
            <v>-2.5862383697615676E-4</v>
          </cell>
          <cell r="ER29">
            <v>-2.5964945400293061E-4</v>
          </cell>
          <cell r="ES29">
            <v>-2.587818234373517E-4</v>
          </cell>
          <cell r="ET29">
            <v>-2.587818234373517E-4</v>
          </cell>
          <cell r="EU29">
            <v>-2.6067766097169129E-4</v>
          </cell>
          <cell r="EV29">
            <v>-2.6067766097169129E-4</v>
          </cell>
          <cell r="EW29">
            <v>-2.6162557973886106E-4</v>
          </cell>
          <cell r="EX29">
            <v>-2.587818234373517E-4</v>
          </cell>
          <cell r="EY29">
            <v>-2.5972974220452152E-4</v>
          </cell>
          <cell r="EZ29">
            <v>-2.587818234373517E-4</v>
          </cell>
          <cell r="FA29">
            <v>-2.2939634165508835E-4</v>
          </cell>
          <cell r="FB29">
            <v>-2.0095877863999473E-4</v>
          </cell>
          <cell r="FC29">
            <v>-1.7157329685773133E-4</v>
          </cell>
          <cell r="FD29">
            <v>-1.4313573384263777E-4</v>
          </cell>
          <cell r="FE29">
            <v>-1.1375025206037439E-4</v>
          </cell>
          <cell r="FF29">
            <v>-8.436477027811101E-5</v>
          </cell>
          <cell r="FG29">
            <v>0</v>
          </cell>
          <cell r="FH29">
            <v>0</v>
          </cell>
          <cell r="FI29">
            <v>0</v>
          </cell>
          <cell r="FJ29">
            <v>0</v>
          </cell>
          <cell r="FK29">
            <v>0</v>
          </cell>
          <cell r="FL29">
            <v>0</v>
          </cell>
          <cell r="FM29">
            <v>0</v>
          </cell>
          <cell r="FN29">
            <v>0</v>
          </cell>
          <cell r="FO29">
            <v>0</v>
          </cell>
          <cell r="FP29">
            <v>0</v>
          </cell>
          <cell r="FQ29">
            <v>0</v>
          </cell>
          <cell r="FR29">
            <v>0</v>
          </cell>
          <cell r="FS29">
            <v>0</v>
          </cell>
          <cell r="FT29">
            <v>0</v>
          </cell>
          <cell r="FU29">
            <v>0</v>
          </cell>
          <cell r="FV29">
            <v>0</v>
          </cell>
          <cell r="FW29">
            <v>0</v>
          </cell>
          <cell r="FX29">
            <v>0</v>
          </cell>
          <cell r="FY29">
            <v>0</v>
          </cell>
          <cell r="FZ29">
            <v>0</v>
          </cell>
          <cell r="GA29">
            <v>0</v>
          </cell>
          <cell r="GB29">
            <v>0</v>
          </cell>
          <cell r="GC29">
            <v>0</v>
          </cell>
          <cell r="GD29">
            <v>0</v>
          </cell>
          <cell r="GE29">
            <v>0</v>
          </cell>
          <cell r="GF29">
            <v>0</v>
          </cell>
          <cell r="GG29">
            <v>0</v>
          </cell>
          <cell r="GH29">
            <v>0</v>
          </cell>
          <cell r="GI29">
            <v>0</v>
          </cell>
          <cell r="GJ29">
            <v>0</v>
          </cell>
          <cell r="GK29">
            <v>0</v>
          </cell>
          <cell r="GL29">
            <v>0</v>
          </cell>
          <cell r="GM29">
            <v>0</v>
          </cell>
          <cell r="GN29">
            <v>0</v>
          </cell>
          <cell r="GO29">
            <v>0</v>
          </cell>
          <cell r="GP29">
            <v>0</v>
          </cell>
          <cell r="GQ29">
            <v>0</v>
          </cell>
          <cell r="GR29">
            <v>0</v>
          </cell>
          <cell r="GS29">
            <v>0</v>
          </cell>
          <cell r="GT29">
            <v>0</v>
          </cell>
          <cell r="GU29">
            <v>0</v>
          </cell>
          <cell r="GV29">
            <v>0</v>
          </cell>
          <cell r="GW29">
            <v>0</v>
          </cell>
          <cell r="GX29">
            <v>0</v>
          </cell>
          <cell r="GY29">
            <v>0</v>
          </cell>
          <cell r="GZ29">
            <v>0</v>
          </cell>
          <cell r="HA29">
            <v>0</v>
          </cell>
          <cell r="HB29">
            <v>0</v>
          </cell>
          <cell r="HC29">
            <v>0</v>
          </cell>
          <cell r="HD29">
            <v>0</v>
          </cell>
          <cell r="HE29">
            <v>2613064617.6148086</v>
          </cell>
        </row>
        <row r="30">
          <cell r="E30" t="str">
            <v>Total</v>
          </cell>
          <cell r="F30">
            <v>0</v>
          </cell>
          <cell r="G30">
            <v>0</v>
          </cell>
          <cell r="H30">
            <v>379998805.05895811</v>
          </cell>
          <cell r="I30">
            <v>0</v>
          </cell>
          <cell r="J30">
            <v>0</v>
          </cell>
          <cell r="K30">
            <v>0</v>
          </cell>
          <cell r="L30">
            <v>0</v>
          </cell>
          <cell r="M30">
            <v>0</v>
          </cell>
          <cell r="N30">
            <v>0</v>
          </cell>
          <cell r="O30">
            <v>0</v>
          </cell>
          <cell r="P30">
            <v>0</v>
          </cell>
          <cell r="Q30">
            <v>0</v>
          </cell>
          <cell r="R30">
            <v>0</v>
          </cell>
          <cell r="S30">
            <v>0</v>
          </cell>
          <cell r="T30">
            <v>379998805.05895811</v>
          </cell>
          <cell r="U30">
            <v>0</v>
          </cell>
          <cell r="V30">
            <v>0</v>
          </cell>
          <cell r="W30">
            <v>0</v>
          </cell>
          <cell r="X30">
            <v>0</v>
          </cell>
          <cell r="Y30">
            <v>0</v>
          </cell>
          <cell r="Z30">
            <v>0</v>
          </cell>
          <cell r="AA30">
            <v>0</v>
          </cell>
          <cell r="AB30">
            <v>0</v>
          </cell>
          <cell r="AC30">
            <v>0</v>
          </cell>
          <cell r="AD30">
            <v>0</v>
          </cell>
          <cell r="AE30">
            <v>0</v>
          </cell>
          <cell r="AF30">
            <v>610243787.4148134</v>
          </cell>
          <cell r="AG30">
            <v>0</v>
          </cell>
          <cell r="AH30">
            <v>0</v>
          </cell>
          <cell r="AI30">
            <v>0</v>
          </cell>
          <cell r="AJ30">
            <v>0</v>
          </cell>
          <cell r="AK30">
            <v>0</v>
          </cell>
          <cell r="AL30">
            <v>0</v>
          </cell>
          <cell r="AM30">
            <v>0</v>
          </cell>
          <cell r="AN30">
            <v>0</v>
          </cell>
          <cell r="AO30">
            <v>0</v>
          </cell>
          <cell r="AP30">
            <v>0</v>
          </cell>
          <cell r="AQ30">
            <v>0</v>
          </cell>
          <cell r="AR30">
            <v>587012434.704072</v>
          </cell>
          <cell r="AS30">
            <v>0</v>
          </cell>
          <cell r="AT30">
            <v>0</v>
          </cell>
          <cell r="AU30">
            <v>0</v>
          </cell>
          <cell r="AV30">
            <v>0</v>
          </cell>
          <cell r="AW30">
            <v>0</v>
          </cell>
          <cell r="AX30">
            <v>0</v>
          </cell>
          <cell r="AY30">
            <v>0</v>
          </cell>
          <cell r="AZ30">
            <v>0</v>
          </cell>
          <cell r="BA30">
            <v>0</v>
          </cell>
          <cell r="BB30">
            <v>0</v>
          </cell>
          <cell r="BC30">
            <v>0</v>
          </cell>
          <cell r="BD30">
            <v>789462171.72970891</v>
          </cell>
          <cell r="BE30">
            <v>0</v>
          </cell>
          <cell r="BF30">
            <v>0</v>
          </cell>
          <cell r="BG30">
            <v>0</v>
          </cell>
          <cell r="BH30">
            <v>0</v>
          </cell>
          <cell r="BI30">
            <v>0</v>
          </cell>
          <cell r="BJ30">
            <v>0</v>
          </cell>
          <cell r="BK30">
            <v>0</v>
          </cell>
          <cell r="BL30">
            <v>0</v>
          </cell>
          <cell r="BM30">
            <v>0</v>
          </cell>
          <cell r="BN30">
            <v>0</v>
          </cell>
          <cell r="BO30">
            <v>0</v>
          </cell>
          <cell r="BP30">
            <v>820468434.03181612</v>
          </cell>
          <cell r="BQ30">
            <v>0</v>
          </cell>
          <cell r="BR30">
            <v>0</v>
          </cell>
          <cell r="BS30">
            <v>0</v>
          </cell>
          <cell r="BT30">
            <v>0</v>
          </cell>
          <cell r="BU30">
            <v>0</v>
          </cell>
          <cell r="BV30">
            <v>0</v>
          </cell>
          <cell r="BW30">
            <v>0</v>
          </cell>
          <cell r="BX30">
            <v>0</v>
          </cell>
          <cell r="BY30">
            <v>0</v>
          </cell>
          <cell r="BZ30">
            <v>0</v>
          </cell>
          <cell r="CA30">
            <v>0</v>
          </cell>
          <cell r="CB30">
            <v>789172432.24602509</v>
          </cell>
          <cell r="CC30">
            <v>0</v>
          </cell>
          <cell r="CD30">
            <v>0</v>
          </cell>
          <cell r="CE30">
            <v>0</v>
          </cell>
          <cell r="CF30">
            <v>0</v>
          </cell>
          <cell r="CG30">
            <v>0</v>
          </cell>
          <cell r="CH30">
            <v>0</v>
          </cell>
          <cell r="CI30">
            <v>0</v>
          </cell>
          <cell r="CJ30">
            <v>0</v>
          </cell>
          <cell r="CK30">
            <v>0</v>
          </cell>
          <cell r="CL30">
            <v>0</v>
          </cell>
          <cell r="CM30">
            <v>0</v>
          </cell>
          <cell r="CN30">
            <v>757876430.4602344</v>
          </cell>
          <cell r="CO30">
            <v>0</v>
          </cell>
          <cell r="CP30">
            <v>0</v>
          </cell>
          <cell r="CQ30">
            <v>0</v>
          </cell>
          <cell r="CR30">
            <v>0</v>
          </cell>
          <cell r="CS30">
            <v>0</v>
          </cell>
          <cell r="CT30">
            <v>0</v>
          </cell>
          <cell r="CU30">
            <v>0</v>
          </cell>
          <cell r="CV30">
            <v>0</v>
          </cell>
          <cell r="CW30">
            <v>0</v>
          </cell>
          <cell r="CX30">
            <v>0</v>
          </cell>
          <cell r="CY30">
            <v>0</v>
          </cell>
          <cell r="CZ30">
            <v>3679340315.7476072</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-2.5875714370291234E-4</v>
          </cell>
          <cell r="DR30">
            <v>-2.5875714370291234E-4</v>
          </cell>
          <cell r="DS30">
            <v>-2.5875714370291234E-4</v>
          </cell>
          <cell r="DT30">
            <v>-2.5970497206812449E-4</v>
          </cell>
          <cell r="DU30">
            <v>-2.5875714370291234E-4</v>
          </cell>
          <cell r="DV30">
            <v>-2.5875714370291234E-4</v>
          </cell>
          <cell r="DW30">
            <v>-2.6065280043333663E-4</v>
          </cell>
          <cell r="DX30">
            <v>-2.6065280043333663E-4</v>
          </cell>
          <cell r="DY30">
            <v>-2.6152034825395421E-4</v>
          </cell>
          <cell r="DZ30">
            <v>-2.5954959036890939E-4</v>
          </cell>
          <cell r="EA30">
            <v>-2.6041713818952702E-4</v>
          </cell>
          <cell r="EB30">
            <v>-2.5939161897470736E-4</v>
          </cell>
          <cell r="EC30">
            <v>-2.593113384301129E-4</v>
          </cell>
          <cell r="ED30">
            <v>-2.5923364758050532E-4</v>
          </cell>
          <cell r="EE30">
            <v>-2.5915336703591086E-4</v>
          </cell>
          <cell r="EF30">
            <v>-2.6002091485652855E-4</v>
          </cell>
          <cell r="EG30">
            <v>-2.5899810029044194E-4</v>
          </cell>
          <cell r="EH30">
            <v>-2.5900089509413272E-4</v>
          </cell>
          <cell r="EI30">
            <v>-2.5994883841309109E-4</v>
          </cell>
          <cell r="EJ30">
            <v>-2.5995163321678192E-4</v>
          </cell>
          <cell r="EK30">
            <v>-2.6097995489228883E-4</v>
          </cell>
          <cell r="EL30">
            <v>-2.5821928159606121E-4</v>
          </cell>
          <cell r="EM30">
            <v>-2.5924760327156816E-4</v>
          </cell>
          <cell r="EN30">
            <v>-2.5838276750968009E-4</v>
          </cell>
          <cell r="EO30">
            <v>-2.5846585051496183E-4</v>
          </cell>
          <cell r="EP30">
            <v>-2.585435487745659E-4</v>
          </cell>
          <cell r="EQ30">
            <v>-2.5862383697615676E-4</v>
          </cell>
          <cell r="ER30">
            <v>-2.5964945400293061E-4</v>
          </cell>
          <cell r="ES30">
            <v>-2.587818234373517E-4</v>
          </cell>
          <cell r="ET30">
            <v>-2.587818234373517E-4</v>
          </cell>
          <cell r="EU30">
            <v>-2.6067766097169129E-4</v>
          </cell>
          <cell r="EV30">
            <v>-2.6067766097169129E-4</v>
          </cell>
          <cell r="EW30">
            <v>-2.6162557973886106E-4</v>
          </cell>
          <cell r="EX30">
            <v>-2.587818234373517E-4</v>
          </cell>
          <cell r="EY30">
            <v>-2.5972974220452152E-4</v>
          </cell>
          <cell r="EZ30">
            <v>-2.587818234373517E-4</v>
          </cell>
          <cell r="FA30">
            <v>-2.2939634165508835E-4</v>
          </cell>
          <cell r="FB30">
            <v>-2.0095877863999473E-4</v>
          </cell>
          <cell r="FC30">
            <v>-1.7157329685773133E-4</v>
          </cell>
          <cell r="FD30">
            <v>-1.4313573384263777E-4</v>
          </cell>
          <cell r="FE30">
            <v>-1.1375025206037439E-4</v>
          </cell>
          <cell r="FF30">
            <v>-8.436477027811101E-5</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8793573616.4419022</v>
          </cell>
        </row>
        <row r="31">
          <cell r="A31" t="str">
            <v>HBS-06</v>
          </cell>
          <cell r="E31" t="str">
            <v>현     가</v>
          </cell>
          <cell r="F31">
            <v>0</v>
          </cell>
          <cell r="G31">
            <v>0</v>
          </cell>
          <cell r="H31">
            <v>376583955.79995239</v>
          </cell>
          <cell r="I31">
            <v>0</v>
          </cell>
          <cell r="J31">
            <v>0</v>
          </cell>
          <cell r="K31">
            <v>0</v>
          </cell>
          <cell r="L31">
            <v>0</v>
          </cell>
          <cell r="M31">
            <v>0</v>
          </cell>
          <cell r="N31">
            <v>0</v>
          </cell>
          <cell r="O31">
            <v>0</v>
          </cell>
          <cell r="P31">
            <v>0</v>
          </cell>
          <cell r="Q31">
            <v>0</v>
          </cell>
          <cell r="R31">
            <v>0</v>
          </cell>
          <cell r="S31">
            <v>0</v>
          </cell>
          <cell r="T31">
            <v>354235187.48597807</v>
          </cell>
          <cell r="U31">
            <v>0</v>
          </cell>
          <cell r="V31">
            <v>0</v>
          </cell>
          <cell r="W31">
            <v>0</v>
          </cell>
          <cell r="X31">
            <v>0</v>
          </cell>
          <cell r="Y31">
            <v>0</v>
          </cell>
          <cell r="Z31">
            <v>0</v>
          </cell>
          <cell r="AA31">
            <v>0</v>
          </cell>
          <cell r="AB31">
            <v>0</v>
          </cell>
          <cell r="AC31">
            <v>0</v>
          </cell>
          <cell r="AD31">
            <v>0</v>
          </cell>
          <cell r="AE31">
            <v>0</v>
          </cell>
          <cell r="AF31">
            <v>531744868.74916667</v>
          </cell>
          <cell r="AG31">
            <v>0</v>
          </cell>
          <cell r="AH31">
            <v>0</v>
          </cell>
          <cell r="AI31">
            <v>0</v>
          </cell>
          <cell r="AJ31">
            <v>0</v>
          </cell>
          <cell r="AK31">
            <v>0</v>
          </cell>
          <cell r="AL31">
            <v>0</v>
          </cell>
          <cell r="AM31">
            <v>0</v>
          </cell>
          <cell r="AN31">
            <v>0</v>
          </cell>
          <cell r="AO31">
            <v>0</v>
          </cell>
          <cell r="AP31">
            <v>0</v>
          </cell>
          <cell r="AQ31">
            <v>0</v>
          </cell>
          <cell r="AR31">
            <v>473841851.05356967</v>
          </cell>
          <cell r="AS31">
            <v>0</v>
          </cell>
          <cell r="AT31">
            <v>0</v>
          </cell>
          <cell r="AU31">
            <v>0</v>
          </cell>
          <cell r="AV31">
            <v>0</v>
          </cell>
          <cell r="AW31">
            <v>0</v>
          </cell>
          <cell r="AX31">
            <v>0</v>
          </cell>
          <cell r="AY31">
            <v>0</v>
          </cell>
          <cell r="AZ31">
            <v>0</v>
          </cell>
          <cell r="BA31">
            <v>0</v>
          </cell>
          <cell r="BB31">
            <v>0</v>
          </cell>
          <cell r="BC31">
            <v>0</v>
          </cell>
          <cell r="BD31">
            <v>595626830.43888211</v>
          </cell>
          <cell r="BE31">
            <v>0</v>
          </cell>
          <cell r="BF31">
            <v>0</v>
          </cell>
          <cell r="BG31">
            <v>0</v>
          </cell>
          <cell r="BH31">
            <v>0</v>
          </cell>
          <cell r="BI31">
            <v>0</v>
          </cell>
          <cell r="BJ31">
            <v>0</v>
          </cell>
          <cell r="BK31">
            <v>0</v>
          </cell>
          <cell r="BL31">
            <v>0</v>
          </cell>
          <cell r="BM31">
            <v>0</v>
          </cell>
          <cell r="BN31">
            <v>0</v>
          </cell>
          <cell r="BO31">
            <v>0</v>
          </cell>
          <cell r="BP31">
            <v>566703532.68229091</v>
          </cell>
          <cell r="BQ31">
            <v>0</v>
          </cell>
          <cell r="BR31">
            <v>0</v>
          </cell>
          <cell r="BS31">
            <v>0</v>
          </cell>
          <cell r="BT31">
            <v>0</v>
          </cell>
          <cell r="BU31">
            <v>0</v>
          </cell>
          <cell r="BV31">
            <v>0</v>
          </cell>
          <cell r="BW31">
            <v>0</v>
          </cell>
          <cell r="BX31">
            <v>0</v>
          </cell>
          <cell r="BY31">
            <v>0</v>
          </cell>
          <cell r="BZ31">
            <v>0</v>
          </cell>
          <cell r="CA31">
            <v>0</v>
          </cell>
          <cell r="CB31">
            <v>507435445.86231798</v>
          </cell>
          <cell r="CC31">
            <v>0</v>
          </cell>
          <cell r="CD31">
            <v>0</v>
          </cell>
          <cell r="CE31">
            <v>0</v>
          </cell>
          <cell r="CF31">
            <v>0</v>
          </cell>
          <cell r="CG31">
            <v>0</v>
          </cell>
          <cell r="CH31">
            <v>0</v>
          </cell>
          <cell r="CI31">
            <v>0</v>
          </cell>
          <cell r="CJ31">
            <v>0</v>
          </cell>
          <cell r="CK31">
            <v>0</v>
          </cell>
          <cell r="CL31">
            <v>0</v>
          </cell>
          <cell r="CM31">
            <v>0</v>
          </cell>
          <cell r="CN31">
            <v>453562335.5522154</v>
          </cell>
          <cell r="CO31">
            <v>0</v>
          </cell>
          <cell r="CP31">
            <v>0</v>
          </cell>
          <cell r="CQ31">
            <v>0</v>
          </cell>
          <cell r="CR31">
            <v>0</v>
          </cell>
          <cell r="CS31">
            <v>0</v>
          </cell>
          <cell r="CT31">
            <v>0</v>
          </cell>
          <cell r="CU31">
            <v>0</v>
          </cell>
          <cell r="CV31">
            <v>0</v>
          </cell>
          <cell r="CW31">
            <v>0</v>
          </cell>
          <cell r="CX31">
            <v>0</v>
          </cell>
          <cell r="CY31">
            <v>0</v>
          </cell>
          <cell r="CZ31">
            <v>2049856187.4255722</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Q31">
            <v>-1.3028690016032165E-4</v>
          </cell>
          <cell r="DR31">
            <v>-1.2952267571625422E-4</v>
          </cell>
          <cell r="DS31">
            <v>-1.2873768615750492E-4</v>
          </cell>
          <cell r="DT31">
            <v>-1.2842616275652482E-4</v>
          </cell>
          <cell r="DU31">
            <v>-1.2720689353107805E-4</v>
          </cell>
          <cell r="DV31">
            <v>-1.2643593908105119E-4</v>
          </cell>
          <cell r="DW31">
            <v>-1.2661514062269337E-4</v>
          </cell>
          <cell r="DX31">
            <v>-1.258477725705839E-4</v>
          </cell>
          <cell r="DY31">
            <v>-1.2550138405345828E-4</v>
          </cell>
          <cell r="DZ31">
            <v>-1.2384931199208152E-4</v>
          </cell>
          <cell r="EA31">
            <v>-1.2351016561457987E-4</v>
          </cell>
          <cell r="EB31">
            <v>-1.223021630777107E-4</v>
          </cell>
          <cell r="EC31">
            <v>-1.2152331183995037E-4</v>
          </cell>
          <cell r="ED31">
            <v>-1.2077429664477316E-4</v>
          </cell>
          <cell r="EE31">
            <v>-1.2000515260854687E-4</v>
          </cell>
          <cell r="EF31">
            <v>-1.1967714255649459E-4</v>
          </cell>
          <cell r="EG31">
            <v>-1.1850715285222686E-4</v>
          </cell>
          <cell r="EH31">
            <v>-1.1779019538803546E-4</v>
          </cell>
          <cell r="EI31">
            <v>-1.1752785627847766E-4</v>
          </cell>
          <cell r="EJ31">
            <v>-1.1681681885893089E-4</v>
          </cell>
          <cell r="EK31">
            <v>-1.1656814041519007E-4</v>
          </cell>
          <cell r="EL31">
            <v>-1.1470352669977939E-4</v>
          </cell>
          <cell r="EM31">
            <v>-1.1446237267315937E-4</v>
          </cell>
          <cell r="EN31">
            <v>-1.1341136980446396E-4</v>
          </cell>
          <cell r="EO31">
            <v>-1.1276027139915258E-4</v>
          </cell>
          <cell r="EP31">
            <v>-1.1213255137922947E-4</v>
          </cell>
          <cell r="EQ31">
            <v>-1.1148756764204677E-4</v>
          </cell>
          <cell r="ER31">
            <v>-1.1125132573413866E-4</v>
          </cell>
          <cell r="ES31">
            <v>-1.1022918751655951E-4</v>
          </cell>
          <cell r="ET31">
            <v>-1.0956112873232411E-4</v>
          </cell>
          <cell r="EU31">
            <v>-1.0971641308672195E-4</v>
          </cell>
          <cell r="EV31">
            <v>-1.0905146204073539E-4</v>
          </cell>
          <cell r="EW31">
            <v>-1.0878468844169286E-4</v>
          </cell>
          <cell r="EX31">
            <v>-1.0701304531703867E-4</v>
          </cell>
          <cell r="EY31">
            <v>-1.0675409186819689E-4</v>
          </cell>
          <cell r="EZ31">
            <v>-1.0574057580486811E-4</v>
          </cell>
          <cell r="FA31">
            <v>-9.3165320317735464E-5</v>
          </cell>
          <cell r="FB31">
            <v>-8.1137165696958872E-5</v>
          </cell>
          <cell r="FC31">
            <v>-6.8852931913964723E-5</v>
          </cell>
          <cell r="FD31">
            <v>-5.7092715809033935E-5</v>
          </cell>
          <cell r="FE31">
            <v>-4.5105557733354139E-5</v>
          </cell>
          <cell r="FF31">
            <v>-3.3250540506767268E-5</v>
          </cell>
          <cell r="FG31">
            <v>0</v>
          </cell>
          <cell r="FH31">
            <v>0</v>
          </cell>
          <cell r="FI31">
            <v>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0</v>
          </cell>
          <cell r="FY31">
            <v>0</v>
          </cell>
          <cell r="FZ31">
            <v>0</v>
          </cell>
          <cell r="GA31">
            <v>0</v>
          </cell>
          <cell r="GB31">
            <v>0</v>
          </cell>
          <cell r="GC31">
            <v>0</v>
          </cell>
          <cell r="GD31">
            <v>0</v>
          </cell>
          <cell r="GE31">
            <v>0</v>
          </cell>
          <cell r="GF31">
            <v>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cell r="GX31">
            <v>0</v>
          </cell>
          <cell r="GY31">
            <v>0</v>
          </cell>
          <cell r="GZ31">
            <v>0</v>
          </cell>
          <cell r="HA31">
            <v>0</v>
          </cell>
          <cell r="HB31">
            <v>0</v>
          </cell>
          <cell r="HC31">
            <v>0</v>
          </cell>
          <cell r="HD31">
            <v>0</v>
          </cell>
          <cell r="HE31">
            <v>5909590195.0453215</v>
          </cell>
        </row>
        <row r="32">
          <cell r="B32" t="str">
            <v>HBS-07</v>
          </cell>
          <cell r="C32" t="str">
            <v>시대종합건설㈜</v>
          </cell>
          <cell r="D32">
            <v>0.3</v>
          </cell>
          <cell r="E32" t="str">
            <v>담     보</v>
          </cell>
          <cell r="F32">
            <v>0</v>
          </cell>
          <cell r="G32">
            <v>0</v>
          </cell>
          <cell r="H32">
            <v>236536322.29999998</v>
          </cell>
          <cell r="I32">
            <v>0</v>
          </cell>
          <cell r="J32">
            <v>0</v>
          </cell>
          <cell r="K32">
            <v>0</v>
          </cell>
          <cell r="L32">
            <v>0</v>
          </cell>
          <cell r="M32">
            <v>0</v>
          </cell>
          <cell r="N32">
            <v>0</v>
          </cell>
          <cell r="O32">
            <v>0</v>
          </cell>
          <cell r="P32">
            <v>0</v>
          </cell>
          <cell r="Q32">
            <v>0</v>
          </cell>
          <cell r="R32">
            <v>0</v>
          </cell>
          <cell r="S32">
            <v>0</v>
          </cell>
          <cell r="T32">
            <v>236536322.29999998</v>
          </cell>
          <cell r="U32">
            <v>0</v>
          </cell>
          <cell r="V32">
            <v>0</v>
          </cell>
          <cell r="W32">
            <v>0</v>
          </cell>
          <cell r="X32">
            <v>0</v>
          </cell>
          <cell r="Y32">
            <v>0</v>
          </cell>
          <cell r="Z32">
            <v>0</v>
          </cell>
          <cell r="AA32">
            <v>0</v>
          </cell>
          <cell r="AB32">
            <v>0</v>
          </cell>
          <cell r="AC32">
            <v>0</v>
          </cell>
          <cell r="AD32">
            <v>0</v>
          </cell>
          <cell r="AE32">
            <v>0</v>
          </cell>
          <cell r="AF32">
            <v>389595459.25028569</v>
          </cell>
          <cell r="AG32">
            <v>0</v>
          </cell>
          <cell r="AH32">
            <v>0</v>
          </cell>
          <cell r="AI32">
            <v>0</v>
          </cell>
          <cell r="AJ32">
            <v>0</v>
          </cell>
          <cell r="AK32">
            <v>0</v>
          </cell>
          <cell r="AL32">
            <v>0</v>
          </cell>
          <cell r="AM32">
            <v>0</v>
          </cell>
          <cell r="AN32">
            <v>0</v>
          </cell>
          <cell r="AO32">
            <v>0</v>
          </cell>
          <cell r="AP32">
            <v>0</v>
          </cell>
          <cell r="AQ32">
            <v>0</v>
          </cell>
          <cell r="AR32">
            <v>374152035.64114285</v>
          </cell>
          <cell r="AS32">
            <v>0</v>
          </cell>
          <cell r="AT32">
            <v>0</v>
          </cell>
          <cell r="AU32">
            <v>0</v>
          </cell>
          <cell r="AV32">
            <v>0</v>
          </cell>
          <cell r="AW32">
            <v>0</v>
          </cell>
          <cell r="AX32">
            <v>0</v>
          </cell>
          <cell r="AY32">
            <v>0</v>
          </cell>
          <cell r="AZ32">
            <v>0</v>
          </cell>
          <cell r="BA32">
            <v>0</v>
          </cell>
          <cell r="BB32">
            <v>0</v>
          </cell>
          <cell r="BC32">
            <v>0</v>
          </cell>
          <cell r="BD32">
            <v>358708612.03200001</v>
          </cell>
          <cell r="BE32">
            <v>0</v>
          </cell>
          <cell r="BF32">
            <v>0</v>
          </cell>
          <cell r="BG32">
            <v>0</v>
          </cell>
          <cell r="BH32">
            <v>0</v>
          </cell>
          <cell r="BI32">
            <v>0</v>
          </cell>
          <cell r="BJ32">
            <v>0</v>
          </cell>
          <cell r="BK32">
            <v>0</v>
          </cell>
          <cell r="BL32">
            <v>0</v>
          </cell>
          <cell r="BM32">
            <v>0</v>
          </cell>
          <cell r="BN32">
            <v>0</v>
          </cell>
          <cell r="BO32">
            <v>0</v>
          </cell>
          <cell r="BP32">
            <v>380820786.75</v>
          </cell>
          <cell r="BQ32">
            <v>0</v>
          </cell>
          <cell r="BR32">
            <v>0</v>
          </cell>
          <cell r="BS32">
            <v>0</v>
          </cell>
          <cell r="BT32">
            <v>0</v>
          </cell>
          <cell r="BU32">
            <v>0</v>
          </cell>
          <cell r="BV32">
            <v>0</v>
          </cell>
          <cell r="BW32">
            <v>0</v>
          </cell>
          <cell r="BX32">
            <v>0</v>
          </cell>
          <cell r="BY32">
            <v>0</v>
          </cell>
          <cell r="BZ32">
            <v>0</v>
          </cell>
          <cell r="CA32">
            <v>0</v>
          </cell>
          <cell r="CB32">
            <v>361516507.23857147</v>
          </cell>
          <cell r="CC32">
            <v>0</v>
          </cell>
          <cell r="CD32">
            <v>0</v>
          </cell>
          <cell r="CE32">
            <v>0</v>
          </cell>
          <cell r="CF32">
            <v>0</v>
          </cell>
          <cell r="CG32">
            <v>0</v>
          </cell>
          <cell r="CH32">
            <v>0</v>
          </cell>
          <cell r="CI32">
            <v>0</v>
          </cell>
          <cell r="CJ32">
            <v>0</v>
          </cell>
          <cell r="CK32">
            <v>0</v>
          </cell>
          <cell r="CL32">
            <v>0</v>
          </cell>
          <cell r="CM32">
            <v>0</v>
          </cell>
          <cell r="CN32">
            <v>342212227.72714281</v>
          </cell>
          <cell r="CO32">
            <v>0</v>
          </cell>
          <cell r="CP32">
            <v>0</v>
          </cell>
          <cell r="CQ32">
            <v>0</v>
          </cell>
          <cell r="CR32">
            <v>0</v>
          </cell>
          <cell r="CS32">
            <v>0</v>
          </cell>
          <cell r="CT32">
            <v>0</v>
          </cell>
          <cell r="CU32">
            <v>0</v>
          </cell>
          <cell r="CV32">
            <v>0</v>
          </cell>
          <cell r="CW32">
            <v>0</v>
          </cell>
          <cell r="CX32">
            <v>0</v>
          </cell>
          <cell r="CY32">
            <v>0</v>
          </cell>
          <cell r="CZ32">
            <v>1428516684.1157143</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-2.1398883976348456E-8</v>
          </cell>
          <cell r="DR32">
            <v>-2.1398883976348456E-8</v>
          </cell>
          <cell r="DS32">
            <v>-2.1398883976348456E-8</v>
          </cell>
          <cell r="DT32">
            <v>-2.1477268166738016E-8</v>
          </cell>
          <cell r="DU32">
            <v>-2.1398883976348459E-8</v>
          </cell>
          <cell r="DV32">
            <v>-2.1398883976348456E-8</v>
          </cell>
          <cell r="DW32">
            <v>-2.1555652357127566E-8</v>
          </cell>
          <cell r="DX32">
            <v>-2.1555652357127566E-8</v>
          </cell>
          <cell r="DY32">
            <v>-2.1627397449424018E-8</v>
          </cell>
          <cell r="DZ32">
            <v>-2.1464418299461034E-8</v>
          </cell>
          <cell r="EA32">
            <v>-2.1536163391757487E-8</v>
          </cell>
          <cell r="EB32">
            <v>-2.1451354267729444E-8</v>
          </cell>
          <cell r="EC32">
            <v>-2.144471516963634E-8</v>
          </cell>
          <cell r="ED32">
            <v>-2.1438290235997851E-8</v>
          </cell>
          <cell r="EE32">
            <v>-2.143165113790475E-8</v>
          </cell>
          <cell r="EF32">
            <v>-2.1503396230201203E-8</v>
          </cell>
          <cell r="EG32">
            <v>-1.9073486328125004E-8</v>
          </cell>
          <cell r="EH32">
            <v>-1.6650215524141909E-8</v>
          </cell>
          <cell r="EI32">
            <v>-1.4383284772028691E-8</v>
          </cell>
          <cell r="EJ32">
            <v>-1.1960013968045596E-8</v>
          </cell>
          <cell r="EK32">
            <v>-9.6149131899974401E-9</v>
          </cell>
          <cell r="EL32">
            <v>-7.1916423860143455E-9</v>
          </cell>
          <cell r="EM32">
            <v>-4.8465416079661891E-9</v>
          </cell>
          <cell r="EN32">
            <v>-2.4232708039830946E-9</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4108594957.3548574</v>
          </cell>
        </row>
        <row r="33">
          <cell r="D33">
            <v>0.3</v>
          </cell>
          <cell r="E33" t="str">
            <v>무 담 보</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cell r="DR33">
            <v>0</v>
          </cell>
          <cell r="DS33">
            <v>0</v>
          </cell>
          <cell r="DT33">
            <v>0</v>
          </cell>
          <cell r="DU33">
            <v>0</v>
          </cell>
          <cell r="DV33">
            <v>0</v>
          </cell>
          <cell r="DW33">
            <v>0</v>
          </cell>
          <cell r="DX33">
            <v>0</v>
          </cell>
          <cell r="DY33">
            <v>0</v>
          </cell>
          <cell r="DZ33">
            <v>0</v>
          </cell>
          <cell r="EA33">
            <v>0</v>
          </cell>
          <cell r="EB33">
            <v>0</v>
          </cell>
          <cell r="EC33">
            <v>0</v>
          </cell>
          <cell r="ED33">
            <v>0</v>
          </cell>
          <cell r="EE33">
            <v>0</v>
          </cell>
          <cell r="EF33">
            <v>0</v>
          </cell>
          <cell r="EG33">
            <v>0</v>
          </cell>
          <cell r="EH33">
            <v>0</v>
          </cell>
          <cell r="EI33">
            <v>0</v>
          </cell>
          <cell r="EJ33">
            <v>0</v>
          </cell>
          <cell r="EK33">
            <v>0</v>
          </cell>
          <cell r="EL33">
            <v>0</v>
          </cell>
          <cell r="EM33">
            <v>0</v>
          </cell>
          <cell r="EN33">
            <v>0</v>
          </cell>
          <cell r="EO33">
            <v>0</v>
          </cell>
          <cell r="EP33">
            <v>0</v>
          </cell>
          <cell r="EQ33">
            <v>0</v>
          </cell>
          <cell r="ER33">
            <v>0</v>
          </cell>
          <cell r="ES33">
            <v>0</v>
          </cell>
          <cell r="ET33">
            <v>0</v>
          </cell>
          <cell r="EU33">
            <v>0</v>
          </cell>
          <cell r="EV33">
            <v>0</v>
          </cell>
          <cell r="EW33">
            <v>0</v>
          </cell>
          <cell r="EX33">
            <v>0</v>
          </cell>
          <cell r="EY33">
            <v>0</v>
          </cell>
          <cell r="EZ33">
            <v>0</v>
          </cell>
          <cell r="FA33">
            <v>0</v>
          </cell>
          <cell r="FB33">
            <v>0</v>
          </cell>
          <cell r="FC33">
            <v>0</v>
          </cell>
          <cell r="FD33">
            <v>0</v>
          </cell>
          <cell r="FE33">
            <v>0</v>
          </cell>
          <cell r="FF33">
            <v>0</v>
          </cell>
          <cell r="FG33">
            <v>0</v>
          </cell>
          <cell r="FH33">
            <v>0</v>
          </cell>
          <cell r="FI33">
            <v>0</v>
          </cell>
          <cell r="FJ33">
            <v>0</v>
          </cell>
          <cell r="FK33">
            <v>0</v>
          </cell>
          <cell r="FL33">
            <v>0</v>
          </cell>
          <cell r="FM33">
            <v>0</v>
          </cell>
          <cell r="FN33">
            <v>0</v>
          </cell>
          <cell r="FO33">
            <v>0</v>
          </cell>
          <cell r="FP33">
            <v>0</v>
          </cell>
          <cell r="FQ33">
            <v>0</v>
          </cell>
          <cell r="FR33">
            <v>0</v>
          </cell>
          <cell r="FS33">
            <v>0</v>
          </cell>
          <cell r="FT33">
            <v>0</v>
          </cell>
          <cell r="FU33">
            <v>0</v>
          </cell>
          <cell r="FV33">
            <v>0</v>
          </cell>
          <cell r="FW33">
            <v>0</v>
          </cell>
          <cell r="FX33">
            <v>0</v>
          </cell>
          <cell r="FY33">
            <v>0</v>
          </cell>
          <cell r="FZ33">
            <v>0</v>
          </cell>
          <cell r="GA33">
            <v>0</v>
          </cell>
          <cell r="GB33">
            <v>0</v>
          </cell>
          <cell r="GC33">
            <v>0</v>
          </cell>
          <cell r="GD33">
            <v>0</v>
          </cell>
          <cell r="GE33">
            <v>0</v>
          </cell>
          <cell r="GF33">
            <v>0</v>
          </cell>
          <cell r="GG33">
            <v>0</v>
          </cell>
          <cell r="GH33">
            <v>0</v>
          </cell>
          <cell r="GI33">
            <v>0</v>
          </cell>
          <cell r="GJ33">
            <v>0</v>
          </cell>
          <cell r="GK33">
            <v>0</v>
          </cell>
          <cell r="GL33">
            <v>0</v>
          </cell>
          <cell r="GM33">
            <v>0</v>
          </cell>
          <cell r="GN33">
            <v>0</v>
          </cell>
          <cell r="GO33">
            <v>0</v>
          </cell>
          <cell r="GP33">
            <v>0</v>
          </cell>
          <cell r="GQ33">
            <v>0</v>
          </cell>
          <cell r="GR33">
            <v>0</v>
          </cell>
          <cell r="GS33">
            <v>0</v>
          </cell>
          <cell r="GT33">
            <v>0</v>
          </cell>
          <cell r="GU33">
            <v>0</v>
          </cell>
          <cell r="GV33">
            <v>0</v>
          </cell>
          <cell r="GW33">
            <v>0</v>
          </cell>
          <cell r="GX33">
            <v>0</v>
          </cell>
          <cell r="GY33">
            <v>0</v>
          </cell>
          <cell r="GZ33">
            <v>0</v>
          </cell>
          <cell r="HA33">
            <v>0</v>
          </cell>
          <cell r="HB33">
            <v>0</v>
          </cell>
          <cell r="HC33">
            <v>0</v>
          </cell>
          <cell r="HD33">
            <v>0</v>
          </cell>
          <cell r="HE33">
            <v>0</v>
          </cell>
        </row>
        <row r="34">
          <cell r="E34" t="str">
            <v>Total</v>
          </cell>
          <cell r="F34">
            <v>0</v>
          </cell>
          <cell r="G34">
            <v>0</v>
          </cell>
          <cell r="H34">
            <v>236536322.29999998</v>
          </cell>
          <cell r="I34">
            <v>0</v>
          </cell>
          <cell r="J34">
            <v>0</v>
          </cell>
          <cell r="K34">
            <v>0</v>
          </cell>
          <cell r="L34">
            <v>0</v>
          </cell>
          <cell r="M34">
            <v>0</v>
          </cell>
          <cell r="N34">
            <v>0</v>
          </cell>
          <cell r="O34">
            <v>0</v>
          </cell>
          <cell r="P34">
            <v>0</v>
          </cell>
          <cell r="Q34">
            <v>0</v>
          </cell>
          <cell r="R34">
            <v>0</v>
          </cell>
          <cell r="S34">
            <v>0</v>
          </cell>
          <cell r="T34">
            <v>236536322.29999998</v>
          </cell>
          <cell r="U34">
            <v>0</v>
          </cell>
          <cell r="V34">
            <v>0</v>
          </cell>
          <cell r="W34">
            <v>0</v>
          </cell>
          <cell r="X34">
            <v>0</v>
          </cell>
          <cell r="Y34">
            <v>0</v>
          </cell>
          <cell r="Z34">
            <v>0</v>
          </cell>
          <cell r="AA34">
            <v>0</v>
          </cell>
          <cell r="AB34">
            <v>0</v>
          </cell>
          <cell r="AC34">
            <v>0</v>
          </cell>
          <cell r="AD34">
            <v>0</v>
          </cell>
          <cell r="AE34">
            <v>0</v>
          </cell>
          <cell r="AF34">
            <v>389595459.25028569</v>
          </cell>
          <cell r="AG34">
            <v>0</v>
          </cell>
          <cell r="AH34">
            <v>0</v>
          </cell>
          <cell r="AI34">
            <v>0</v>
          </cell>
          <cell r="AJ34">
            <v>0</v>
          </cell>
          <cell r="AK34">
            <v>0</v>
          </cell>
          <cell r="AL34">
            <v>0</v>
          </cell>
          <cell r="AM34">
            <v>0</v>
          </cell>
          <cell r="AN34">
            <v>0</v>
          </cell>
          <cell r="AO34">
            <v>0</v>
          </cell>
          <cell r="AP34">
            <v>0</v>
          </cell>
          <cell r="AQ34">
            <v>0</v>
          </cell>
          <cell r="AR34">
            <v>374152035.64114285</v>
          </cell>
          <cell r="AS34">
            <v>0</v>
          </cell>
          <cell r="AT34">
            <v>0</v>
          </cell>
          <cell r="AU34">
            <v>0</v>
          </cell>
          <cell r="AV34">
            <v>0</v>
          </cell>
          <cell r="AW34">
            <v>0</v>
          </cell>
          <cell r="AX34">
            <v>0</v>
          </cell>
          <cell r="AY34">
            <v>0</v>
          </cell>
          <cell r="AZ34">
            <v>0</v>
          </cell>
          <cell r="BA34">
            <v>0</v>
          </cell>
          <cell r="BB34">
            <v>0</v>
          </cell>
          <cell r="BC34">
            <v>0</v>
          </cell>
          <cell r="BD34">
            <v>358708612.03200001</v>
          </cell>
          <cell r="BE34">
            <v>0</v>
          </cell>
          <cell r="BF34">
            <v>0</v>
          </cell>
          <cell r="BG34">
            <v>0</v>
          </cell>
          <cell r="BH34">
            <v>0</v>
          </cell>
          <cell r="BI34">
            <v>0</v>
          </cell>
          <cell r="BJ34">
            <v>0</v>
          </cell>
          <cell r="BK34">
            <v>0</v>
          </cell>
          <cell r="BL34">
            <v>0</v>
          </cell>
          <cell r="BM34">
            <v>0</v>
          </cell>
          <cell r="BN34">
            <v>0</v>
          </cell>
          <cell r="BO34">
            <v>0</v>
          </cell>
          <cell r="BP34">
            <v>380820786.75</v>
          </cell>
          <cell r="BQ34">
            <v>0</v>
          </cell>
          <cell r="BR34">
            <v>0</v>
          </cell>
          <cell r="BS34">
            <v>0</v>
          </cell>
          <cell r="BT34">
            <v>0</v>
          </cell>
          <cell r="BU34">
            <v>0</v>
          </cell>
          <cell r="BV34">
            <v>0</v>
          </cell>
          <cell r="BW34">
            <v>0</v>
          </cell>
          <cell r="BX34">
            <v>0</v>
          </cell>
          <cell r="BY34">
            <v>0</v>
          </cell>
          <cell r="BZ34">
            <v>0</v>
          </cell>
          <cell r="CA34">
            <v>0</v>
          </cell>
          <cell r="CB34">
            <v>361516507.23857147</v>
          </cell>
          <cell r="CC34">
            <v>0</v>
          </cell>
          <cell r="CD34">
            <v>0</v>
          </cell>
          <cell r="CE34">
            <v>0</v>
          </cell>
          <cell r="CF34">
            <v>0</v>
          </cell>
          <cell r="CG34">
            <v>0</v>
          </cell>
          <cell r="CH34">
            <v>0</v>
          </cell>
          <cell r="CI34">
            <v>0</v>
          </cell>
          <cell r="CJ34">
            <v>0</v>
          </cell>
          <cell r="CK34">
            <v>0</v>
          </cell>
          <cell r="CL34">
            <v>0</v>
          </cell>
          <cell r="CM34">
            <v>0</v>
          </cell>
          <cell r="CN34">
            <v>342212227.72714281</v>
          </cell>
          <cell r="CO34">
            <v>0</v>
          </cell>
          <cell r="CP34">
            <v>0</v>
          </cell>
          <cell r="CQ34">
            <v>0</v>
          </cell>
          <cell r="CR34">
            <v>0</v>
          </cell>
          <cell r="CS34">
            <v>0</v>
          </cell>
          <cell r="CT34">
            <v>0</v>
          </cell>
          <cell r="CU34">
            <v>0</v>
          </cell>
          <cell r="CV34">
            <v>0</v>
          </cell>
          <cell r="CW34">
            <v>0</v>
          </cell>
          <cell r="CX34">
            <v>0</v>
          </cell>
          <cell r="CY34">
            <v>0</v>
          </cell>
          <cell r="CZ34">
            <v>1428516684.1157143</v>
          </cell>
          <cell r="DA34">
            <v>0</v>
          </cell>
          <cell r="DB34">
            <v>0</v>
          </cell>
          <cell r="DC34">
            <v>0</v>
          </cell>
          <cell r="DD34">
            <v>0</v>
          </cell>
          <cell r="DE34">
            <v>0</v>
          </cell>
          <cell r="DF34">
            <v>0</v>
          </cell>
          <cell r="DG34">
            <v>0</v>
          </cell>
          <cell r="DH34">
            <v>0</v>
          </cell>
          <cell r="DI34">
            <v>0</v>
          </cell>
          <cell r="DJ34">
            <v>0</v>
          </cell>
          <cell r="DK34">
            <v>0</v>
          </cell>
          <cell r="DL34">
            <v>0</v>
          </cell>
          <cell r="DM34">
            <v>0</v>
          </cell>
          <cell r="DN34">
            <v>0</v>
          </cell>
          <cell r="DO34">
            <v>0</v>
          </cell>
          <cell r="DP34">
            <v>0</v>
          </cell>
          <cell r="DQ34">
            <v>-2.1398883976348456E-8</v>
          </cell>
          <cell r="DR34">
            <v>-2.1398883976348456E-8</v>
          </cell>
          <cell r="DS34">
            <v>-2.1398883976348456E-8</v>
          </cell>
          <cell r="DT34">
            <v>-2.1477268166738016E-8</v>
          </cell>
          <cell r="DU34">
            <v>-2.1398883976348459E-8</v>
          </cell>
          <cell r="DV34">
            <v>-2.1398883976348456E-8</v>
          </cell>
          <cell r="DW34">
            <v>-2.1555652357127566E-8</v>
          </cell>
          <cell r="DX34">
            <v>-2.1555652357127566E-8</v>
          </cell>
          <cell r="DY34">
            <v>-2.1627397449424018E-8</v>
          </cell>
          <cell r="DZ34">
            <v>-2.1464418299461034E-8</v>
          </cell>
          <cell r="EA34">
            <v>-2.1536163391757487E-8</v>
          </cell>
          <cell r="EB34">
            <v>-2.1451354267729444E-8</v>
          </cell>
          <cell r="EC34">
            <v>-2.144471516963634E-8</v>
          </cell>
          <cell r="ED34">
            <v>-2.1438290235997851E-8</v>
          </cell>
          <cell r="EE34">
            <v>-2.143165113790475E-8</v>
          </cell>
          <cell r="EF34">
            <v>-2.1503396230201203E-8</v>
          </cell>
          <cell r="EG34">
            <v>-1.9073486328125004E-8</v>
          </cell>
          <cell r="EH34">
            <v>-1.6650215524141909E-8</v>
          </cell>
          <cell r="EI34">
            <v>-1.4383284772028691E-8</v>
          </cell>
          <cell r="EJ34">
            <v>-1.1960013968045596E-8</v>
          </cell>
          <cell r="EK34">
            <v>-9.6149131899974401E-9</v>
          </cell>
          <cell r="EL34">
            <v>-7.1916423860143455E-9</v>
          </cell>
          <cell r="EM34">
            <v>-4.8465416079661891E-9</v>
          </cell>
          <cell r="EN34">
            <v>-2.4232708039830946E-9</v>
          </cell>
          <cell r="EO34">
            <v>0</v>
          </cell>
          <cell r="EP34">
            <v>0</v>
          </cell>
          <cell r="EQ34">
            <v>0</v>
          </cell>
          <cell r="ER34">
            <v>0</v>
          </cell>
          <cell r="ES34">
            <v>0</v>
          </cell>
          <cell r="ET34">
            <v>0</v>
          </cell>
          <cell r="EU34">
            <v>0</v>
          </cell>
          <cell r="EV34">
            <v>0</v>
          </cell>
          <cell r="EW34">
            <v>0</v>
          </cell>
          <cell r="EX34">
            <v>0</v>
          </cell>
          <cell r="EY34">
            <v>0</v>
          </cell>
          <cell r="EZ34">
            <v>0</v>
          </cell>
          <cell r="FA34">
            <v>0</v>
          </cell>
          <cell r="FB34">
            <v>0</v>
          </cell>
          <cell r="FC34">
            <v>0</v>
          </cell>
          <cell r="FD34">
            <v>0</v>
          </cell>
          <cell r="FE34">
            <v>0</v>
          </cell>
          <cell r="FF34">
            <v>0</v>
          </cell>
          <cell r="FG34">
            <v>0</v>
          </cell>
          <cell r="FH34">
            <v>0</v>
          </cell>
          <cell r="FI34">
            <v>0</v>
          </cell>
          <cell r="FJ34">
            <v>0</v>
          </cell>
          <cell r="FK34">
            <v>0</v>
          </cell>
          <cell r="FL34">
            <v>0</v>
          </cell>
          <cell r="FM34">
            <v>0</v>
          </cell>
          <cell r="FN34">
            <v>0</v>
          </cell>
          <cell r="FO34">
            <v>0</v>
          </cell>
          <cell r="FP34">
            <v>0</v>
          </cell>
          <cell r="FQ34">
            <v>0</v>
          </cell>
          <cell r="FR34">
            <v>0</v>
          </cell>
          <cell r="FS34">
            <v>0</v>
          </cell>
          <cell r="FT34">
            <v>0</v>
          </cell>
          <cell r="FU34">
            <v>0</v>
          </cell>
          <cell r="FV34">
            <v>0</v>
          </cell>
          <cell r="FW34">
            <v>0</v>
          </cell>
          <cell r="FX34">
            <v>0</v>
          </cell>
          <cell r="FY34">
            <v>0</v>
          </cell>
          <cell r="FZ34">
            <v>0</v>
          </cell>
          <cell r="GA34">
            <v>0</v>
          </cell>
          <cell r="GB34">
            <v>0</v>
          </cell>
          <cell r="GC34">
            <v>0</v>
          </cell>
          <cell r="GD34">
            <v>0</v>
          </cell>
          <cell r="GE34">
            <v>0</v>
          </cell>
          <cell r="GF34">
            <v>0</v>
          </cell>
          <cell r="GG34">
            <v>0</v>
          </cell>
          <cell r="GH34">
            <v>0</v>
          </cell>
          <cell r="GI34">
            <v>0</v>
          </cell>
          <cell r="GJ34">
            <v>0</v>
          </cell>
          <cell r="GK34">
            <v>0</v>
          </cell>
          <cell r="GL34">
            <v>0</v>
          </cell>
          <cell r="GM34">
            <v>0</v>
          </cell>
          <cell r="GN34">
            <v>0</v>
          </cell>
          <cell r="GO34">
            <v>0</v>
          </cell>
          <cell r="GP34">
            <v>0</v>
          </cell>
          <cell r="GQ34">
            <v>0</v>
          </cell>
          <cell r="GR34">
            <v>0</v>
          </cell>
          <cell r="GS34">
            <v>0</v>
          </cell>
          <cell r="GT34">
            <v>0</v>
          </cell>
          <cell r="GU34">
            <v>0</v>
          </cell>
          <cell r="GV34">
            <v>0</v>
          </cell>
          <cell r="GW34">
            <v>0</v>
          </cell>
          <cell r="GX34">
            <v>0</v>
          </cell>
          <cell r="GY34">
            <v>0</v>
          </cell>
          <cell r="GZ34">
            <v>0</v>
          </cell>
          <cell r="HA34">
            <v>0</v>
          </cell>
          <cell r="HB34">
            <v>0</v>
          </cell>
          <cell r="HC34">
            <v>0</v>
          </cell>
          <cell r="HD34">
            <v>0</v>
          </cell>
          <cell r="HE34">
            <v>4108594957.3548574</v>
          </cell>
        </row>
        <row r="35">
          <cell r="A35" t="str">
            <v>HBS-07</v>
          </cell>
          <cell r="E35" t="str">
            <v>현     가</v>
          </cell>
          <cell r="F35">
            <v>0</v>
          </cell>
          <cell r="G35">
            <v>0</v>
          </cell>
          <cell r="H35">
            <v>234410694.86596429</v>
          </cell>
          <cell r="I35">
            <v>0</v>
          </cell>
          <cell r="J35">
            <v>0</v>
          </cell>
          <cell r="K35">
            <v>0</v>
          </cell>
          <cell r="L35">
            <v>0</v>
          </cell>
          <cell r="M35">
            <v>0</v>
          </cell>
          <cell r="N35">
            <v>0</v>
          </cell>
          <cell r="O35">
            <v>0</v>
          </cell>
          <cell r="P35">
            <v>0</v>
          </cell>
          <cell r="Q35">
            <v>0</v>
          </cell>
          <cell r="R35">
            <v>0</v>
          </cell>
          <cell r="S35">
            <v>0</v>
          </cell>
          <cell r="T35">
            <v>220499347.26553681</v>
          </cell>
          <cell r="U35">
            <v>0</v>
          </cell>
          <cell r="V35">
            <v>0</v>
          </cell>
          <cell r="W35">
            <v>0</v>
          </cell>
          <cell r="X35">
            <v>0</v>
          </cell>
          <cell r="Y35">
            <v>0</v>
          </cell>
          <cell r="Z35">
            <v>0</v>
          </cell>
          <cell r="AA35">
            <v>0</v>
          </cell>
          <cell r="AB35">
            <v>0</v>
          </cell>
          <cell r="AC35">
            <v>0</v>
          </cell>
          <cell r="AD35">
            <v>0</v>
          </cell>
          <cell r="AE35">
            <v>0</v>
          </cell>
          <cell r="AF35">
            <v>339479713.87293082</v>
          </cell>
          <cell r="AG35">
            <v>0</v>
          </cell>
          <cell r="AH35">
            <v>0</v>
          </cell>
          <cell r="AI35">
            <v>0</v>
          </cell>
          <cell r="AJ35">
            <v>0</v>
          </cell>
          <cell r="AK35">
            <v>0</v>
          </cell>
          <cell r="AL35">
            <v>0</v>
          </cell>
          <cell r="AM35">
            <v>0</v>
          </cell>
          <cell r="AN35">
            <v>0</v>
          </cell>
          <cell r="AO35">
            <v>0</v>
          </cell>
          <cell r="AP35">
            <v>0</v>
          </cell>
          <cell r="AQ35">
            <v>0</v>
          </cell>
          <cell r="AR35">
            <v>302018973.81106788</v>
          </cell>
          <cell r="AS35">
            <v>0</v>
          </cell>
          <cell r="AT35">
            <v>0</v>
          </cell>
          <cell r="AU35">
            <v>0</v>
          </cell>
          <cell r="AV35">
            <v>0</v>
          </cell>
          <cell r="AW35">
            <v>0</v>
          </cell>
          <cell r="AX35">
            <v>0</v>
          </cell>
          <cell r="AY35">
            <v>0</v>
          </cell>
          <cell r="AZ35">
            <v>0</v>
          </cell>
          <cell r="BA35">
            <v>0</v>
          </cell>
          <cell r="BB35">
            <v>0</v>
          </cell>
          <cell r="BC35">
            <v>0</v>
          </cell>
          <cell r="BD35">
            <v>270635479.80725938</v>
          </cell>
          <cell r="BE35">
            <v>0</v>
          </cell>
          <cell r="BF35">
            <v>0</v>
          </cell>
          <cell r="BG35">
            <v>0</v>
          </cell>
          <cell r="BH35">
            <v>0</v>
          </cell>
          <cell r="BI35">
            <v>0</v>
          </cell>
          <cell r="BJ35">
            <v>0</v>
          </cell>
          <cell r="BK35">
            <v>0</v>
          </cell>
          <cell r="BL35">
            <v>0</v>
          </cell>
          <cell r="BM35">
            <v>0</v>
          </cell>
          <cell r="BN35">
            <v>0</v>
          </cell>
          <cell r="BO35">
            <v>0</v>
          </cell>
          <cell r="BP35">
            <v>263035695.48625144</v>
          </cell>
          <cell r="BQ35">
            <v>0</v>
          </cell>
          <cell r="BR35">
            <v>0</v>
          </cell>
          <cell r="BS35">
            <v>0</v>
          </cell>
          <cell r="BT35">
            <v>0</v>
          </cell>
          <cell r="BU35">
            <v>0</v>
          </cell>
          <cell r="BV35">
            <v>0</v>
          </cell>
          <cell r="BW35">
            <v>0</v>
          </cell>
          <cell r="BX35">
            <v>0</v>
          </cell>
          <cell r="BY35">
            <v>0</v>
          </cell>
          <cell r="BZ35">
            <v>0</v>
          </cell>
          <cell r="CA35">
            <v>0</v>
          </cell>
          <cell r="CB35">
            <v>232454001.86508659</v>
          </cell>
          <cell r="CC35">
            <v>0</v>
          </cell>
          <cell r="CD35">
            <v>0</v>
          </cell>
          <cell r="CE35">
            <v>0</v>
          </cell>
          <cell r="CF35">
            <v>0</v>
          </cell>
          <cell r="CG35">
            <v>0</v>
          </cell>
          <cell r="CH35">
            <v>0</v>
          </cell>
          <cell r="CI35">
            <v>0</v>
          </cell>
          <cell r="CJ35">
            <v>0</v>
          </cell>
          <cell r="CK35">
            <v>0</v>
          </cell>
          <cell r="CL35">
            <v>0</v>
          </cell>
          <cell r="CM35">
            <v>0</v>
          </cell>
          <cell r="CN35">
            <v>204801958.50422817</v>
          </cell>
          <cell r="CO35">
            <v>0</v>
          </cell>
          <cell r="CP35">
            <v>0</v>
          </cell>
          <cell r="CQ35">
            <v>0</v>
          </cell>
          <cell r="CR35">
            <v>0</v>
          </cell>
          <cell r="CS35">
            <v>0</v>
          </cell>
          <cell r="CT35">
            <v>0</v>
          </cell>
          <cell r="CU35">
            <v>0</v>
          </cell>
          <cell r="CV35">
            <v>0</v>
          </cell>
          <cell r="CW35">
            <v>0</v>
          </cell>
          <cell r="CX35">
            <v>0</v>
          </cell>
          <cell r="CY35">
            <v>0</v>
          </cell>
          <cell r="CZ35">
            <v>795863799.61709666</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-1.0774559574555387E-8</v>
          </cell>
          <cell r="DR35">
            <v>-1.0711359193006639E-8</v>
          </cell>
          <cell r="DS35">
            <v>-1.0646441563101094E-8</v>
          </cell>
          <cell r="DT35">
            <v>-1.0620678977310829E-8</v>
          </cell>
          <cell r="DU35">
            <v>-1.0519846975852259E-8</v>
          </cell>
          <cell r="DV35">
            <v>-1.0456090031440644E-8</v>
          </cell>
          <cell r="DW35">
            <v>-1.0470909769141823E-8</v>
          </cell>
          <cell r="DX35">
            <v>-1.040744941523909E-8</v>
          </cell>
          <cell r="DY35">
            <v>-1.0378803529051615E-8</v>
          </cell>
          <cell r="DZ35">
            <v>-1.0242179288050725E-8</v>
          </cell>
          <cell r="EA35">
            <v>-1.0214132317523455E-8</v>
          </cell>
          <cell r="EB35">
            <v>-1.0114232056762819E-8</v>
          </cell>
          <cell r="EC35">
            <v>-1.0049822058131808E-8</v>
          </cell>
          <cell r="ED35">
            <v>-9.9878794619632504E-9</v>
          </cell>
          <cell r="EE35">
            <v>-9.9242722364514268E-9</v>
          </cell>
          <cell r="EF35">
            <v>-9.8971462257585527E-9</v>
          </cell>
          <cell r="EG35">
            <v>-8.727263084853541E-9</v>
          </cell>
          <cell r="EH35">
            <v>-7.5722986946773897E-9</v>
          </cell>
          <cell r="EI35">
            <v>-6.5029589507651112E-9</v>
          </cell>
          <cell r="EJ35">
            <v>-5.3745797553437714E-9</v>
          </cell>
          <cell r="EK35">
            <v>-4.2945541594336474E-9</v>
          </cell>
          <cell r="EL35">
            <v>-3.1945977827088975E-9</v>
          </cell>
          <cell r="EM35">
            <v>-2.1398332895131472E-9</v>
          </cell>
          <cell r="EN35">
            <v>-1.0636408299814007E-9</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cell r="FD35">
            <v>0</v>
          </cell>
          <cell r="FE35">
            <v>0</v>
          </cell>
          <cell r="FF35">
            <v>0</v>
          </cell>
          <cell r="FG35">
            <v>0</v>
          </cell>
          <cell r="FH35">
            <v>0</v>
          </cell>
          <cell r="FI35">
            <v>0</v>
          </cell>
          <cell r="FJ35">
            <v>0</v>
          </cell>
          <cell r="FK35">
            <v>0</v>
          </cell>
          <cell r="FL35">
            <v>0</v>
          </cell>
          <cell r="FM35">
            <v>0</v>
          </cell>
          <cell r="FN35">
            <v>0</v>
          </cell>
          <cell r="FO35">
            <v>0</v>
          </cell>
          <cell r="FP35">
            <v>0</v>
          </cell>
          <cell r="FQ35">
            <v>0</v>
          </cell>
          <cell r="FR35">
            <v>0</v>
          </cell>
          <cell r="FS35">
            <v>0</v>
          </cell>
          <cell r="FT35">
            <v>0</v>
          </cell>
          <cell r="FU35">
            <v>0</v>
          </cell>
          <cell r="FV35">
            <v>0</v>
          </cell>
          <cell r="FW35">
            <v>0</v>
          </cell>
          <cell r="FX35">
            <v>0</v>
          </cell>
          <cell r="FY35">
            <v>0</v>
          </cell>
          <cell r="FZ35">
            <v>0</v>
          </cell>
          <cell r="GA35">
            <v>0</v>
          </cell>
          <cell r="GB35">
            <v>0</v>
          </cell>
          <cell r="GC35">
            <v>0</v>
          </cell>
          <cell r="GD35">
            <v>0</v>
          </cell>
          <cell r="GE35">
            <v>0</v>
          </cell>
          <cell r="GF35">
            <v>0</v>
          </cell>
          <cell r="GG35">
            <v>0</v>
          </cell>
          <cell r="GH35">
            <v>0</v>
          </cell>
          <cell r="GI35">
            <v>0</v>
          </cell>
          <cell r="GJ35">
            <v>0</v>
          </cell>
          <cell r="GK35">
            <v>0</v>
          </cell>
          <cell r="GL35">
            <v>0</v>
          </cell>
          <cell r="GM35">
            <v>0</v>
          </cell>
          <cell r="GN35">
            <v>0</v>
          </cell>
          <cell r="GO35">
            <v>0</v>
          </cell>
          <cell r="GP35">
            <v>0</v>
          </cell>
          <cell r="GQ35">
            <v>0</v>
          </cell>
          <cell r="GR35">
            <v>0</v>
          </cell>
          <cell r="GS35">
            <v>0</v>
          </cell>
          <cell r="GT35">
            <v>0</v>
          </cell>
          <cell r="GU35">
            <v>0</v>
          </cell>
          <cell r="GV35">
            <v>0</v>
          </cell>
          <cell r="GW35">
            <v>0</v>
          </cell>
          <cell r="GX35">
            <v>0</v>
          </cell>
          <cell r="GY35">
            <v>0</v>
          </cell>
          <cell r="GZ35">
            <v>0</v>
          </cell>
          <cell r="HA35">
            <v>0</v>
          </cell>
          <cell r="HB35">
            <v>0</v>
          </cell>
          <cell r="HC35">
            <v>0</v>
          </cell>
          <cell r="HD35">
            <v>0</v>
          </cell>
          <cell r="HE35">
            <v>2863199665.0954218</v>
          </cell>
        </row>
        <row r="36">
          <cell r="B36" t="str">
            <v>HBS-08</v>
          </cell>
          <cell r="C36" t="str">
            <v>㈜진로</v>
          </cell>
          <cell r="D36">
            <v>0.3</v>
          </cell>
          <cell r="E36" t="str">
            <v>담     보</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0</v>
          </cell>
          <cell r="DM36">
            <v>0</v>
          </cell>
          <cell r="DN36">
            <v>0</v>
          </cell>
          <cell r="DO36">
            <v>0</v>
          </cell>
          <cell r="DP36">
            <v>0</v>
          </cell>
          <cell r="DQ36">
            <v>0</v>
          </cell>
          <cell r="DR36">
            <v>0</v>
          </cell>
          <cell r="DS36">
            <v>0</v>
          </cell>
          <cell r="DT36">
            <v>0</v>
          </cell>
          <cell r="DU36">
            <v>0</v>
          </cell>
          <cell r="DV36">
            <v>0</v>
          </cell>
          <cell r="DW36">
            <v>0</v>
          </cell>
          <cell r="DX36">
            <v>0</v>
          </cell>
          <cell r="DY36">
            <v>0</v>
          </cell>
          <cell r="DZ36">
            <v>0</v>
          </cell>
          <cell r="EA36">
            <v>0</v>
          </cell>
          <cell r="EB36">
            <v>0</v>
          </cell>
          <cell r="EC36">
            <v>0</v>
          </cell>
          <cell r="ED36">
            <v>0</v>
          </cell>
          <cell r="EE36">
            <v>0</v>
          </cell>
          <cell r="EF36">
            <v>0</v>
          </cell>
          <cell r="EG36">
            <v>0</v>
          </cell>
          <cell r="EH36">
            <v>0</v>
          </cell>
          <cell r="EI36">
            <v>0</v>
          </cell>
          <cell r="EJ36">
            <v>0</v>
          </cell>
          <cell r="EK36">
            <v>0</v>
          </cell>
          <cell r="EL36">
            <v>0</v>
          </cell>
          <cell r="EM36">
            <v>0</v>
          </cell>
          <cell r="EN36">
            <v>0</v>
          </cell>
          <cell r="EO36">
            <v>0</v>
          </cell>
          <cell r="EP36">
            <v>0</v>
          </cell>
          <cell r="EQ36">
            <v>0</v>
          </cell>
          <cell r="ER36">
            <v>0</v>
          </cell>
          <cell r="ES36">
            <v>0</v>
          </cell>
          <cell r="ET36">
            <v>0</v>
          </cell>
          <cell r="EU36">
            <v>0</v>
          </cell>
          <cell r="EV36">
            <v>0</v>
          </cell>
          <cell r="EW36">
            <v>0</v>
          </cell>
          <cell r="EX36">
            <v>0</v>
          </cell>
          <cell r="EY36">
            <v>0</v>
          </cell>
          <cell r="EZ36">
            <v>0</v>
          </cell>
          <cell r="FA36">
            <v>0</v>
          </cell>
          <cell r="FB36">
            <v>0</v>
          </cell>
          <cell r="FC36">
            <v>0</v>
          </cell>
          <cell r="FD36">
            <v>0</v>
          </cell>
          <cell r="FE36">
            <v>0</v>
          </cell>
          <cell r="FF36">
            <v>0</v>
          </cell>
          <cell r="FG36">
            <v>0</v>
          </cell>
          <cell r="FH36">
            <v>0</v>
          </cell>
          <cell r="FI36">
            <v>0</v>
          </cell>
          <cell r="FJ36">
            <v>0</v>
          </cell>
          <cell r="FK36">
            <v>0</v>
          </cell>
          <cell r="FL36">
            <v>0</v>
          </cell>
          <cell r="FM36">
            <v>0</v>
          </cell>
          <cell r="FN36">
            <v>0</v>
          </cell>
          <cell r="FO36">
            <v>0</v>
          </cell>
          <cell r="FP36">
            <v>0</v>
          </cell>
          <cell r="FQ36">
            <v>0</v>
          </cell>
          <cell r="FR36">
            <v>0</v>
          </cell>
          <cell r="FS36">
            <v>0</v>
          </cell>
          <cell r="FT36">
            <v>0</v>
          </cell>
          <cell r="FU36">
            <v>0</v>
          </cell>
          <cell r="FV36">
            <v>0</v>
          </cell>
          <cell r="FW36">
            <v>0</v>
          </cell>
          <cell r="FX36">
            <v>0</v>
          </cell>
          <cell r="FY36">
            <v>0</v>
          </cell>
          <cell r="FZ36">
            <v>0</v>
          </cell>
          <cell r="GA36">
            <v>0</v>
          </cell>
          <cell r="GB36">
            <v>0</v>
          </cell>
          <cell r="GC36">
            <v>0</v>
          </cell>
          <cell r="GD36">
            <v>0</v>
          </cell>
          <cell r="GE36">
            <v>0</v>
          </cell>
          <cell r="GF36">
            <v>0</v>
          </cell>
          <cell r="GG36">
            <v>0</v>
          </cell>
          <cell r="GH36">
            <v>0</v>
          </cell>
          <cell r="GI36">
            <v>0</v>
          </cell>
          <cell r="GJ36">
            <v>0</v>
          </cell>
          <cell r="GK36">
            <v>0</v>
          </cell>
          <cell r="GL36">
            <v>0</v>
          </cell>
          <cell r="GM36">
            <v>0</v>
          </cell>
          <cell r="GN36">
            <v>0</v>
          </cell>
          <cell r="GO36">
            <v>0</v>
          </cell>
          <cell r="GP36">
            <v>0</v>
          </cell>
          <cell r="GQ36">
            <v>0</v>
          </cell>
          <cell r="GR36">
            <v>0</v>
          </cell>
          <cell r="GS36">
            <v>0</v>
          </cell>
          <cell r="GT36">
            <v>0</v>
          </cell>
          <cell r="GU36">
            <v>0</v>
          </cell>
          <cell r="GV36">
            <v>0</v>
          </cell>
          <cell r="GW36">
            <v>0</v>
          </cell>
          <cell r="GX36">
            <v>0</v>
          </cell>
          <cell r="GY36">
            <v>0</v>
          </cell>
          <cell r="GZ36">
            <v>0</v>
          </cell>
          <cell r="HA36">
            <v>0</v>
          </cell>
          <cell r="HB36">
            <v>0</v>
          </cell>
          <cell r="HC36">
            <v>0</v>
          </cell>
          <cell r="HD36">
            <v>0</v>
          </cell>
          <cell r="HE36">
            <v>0</v>
          </cell>
        </row>
        <row r="37">
          <cell r="D37">
            <v>0.3</v>
          </cell>
          <cell r="E37" t="str">
            <v>무 담 보</v>
          </cell>
          <cell r="F37">
            <v>21008890.223306432</v>
          </cell>
          <cell r="G37">
            <v>20331184.087070744</v>
          </cell>
          <cell r="H37">
            <v>21008890.223306432</v>
          </cell>
          <cell r="I37">
            <v>21008890.223306432</v>
          </cell>
          <cell r="J37">
            <v>18975771.814599361</v>
          </cell>
          <cell r="K37">
            <v>21008890.223306432</v>
          </cell>
          <cell r="L37">
            <v>20331184.087070744</v>
          </cell>
          <cell r="M37">
            <v>21008890.223306432</v>
          </cell>
          <cell r="N37">
            <v>20331184.087070744</v>
          </cell>
          <cell r="O37">
            <v>21008890.223306432</v>
          </cell>
          <cell r="P37">
            <v>21008890.223306432</v>
          </cell>
          <cell r="Q37">
            <v>20331184.087070744</v>
          </cell>
          <cell r="R37">
            <v>21008890.223306432</v>
          </cell>
          <cell r="S37">
            <v>20331184.087070744</v>
          </cell>
          <cell r="T37">
            <v>21008890.223306432</v>
          </cell>
          <cell r="U37">
            <v>33013970.350910112</v>
          </cell>
          <cell r="V37">
            <v>29819069.994370423</v>
          </cell>
          <cell r="W37">
            <v>209701641.58378679</v>
          </cell>
          <cell r="X37">
            <v>30351553.387127034</v>
          </cell>
          <cell r="Y37">
            <v>31363271.833364602</v>
          </cell>
          <cell r="Z37">
            <v>207039224.62000373</v>
          </cell>
          <cell r="AA37">
            <v>29712573.3158191</v>
          </cell>
          <cell r="AB37">
            <v>29712573.3158191</v>
          </cell>
          <cell r="AC37">
            <v>205441774.4417339</v>
          </cell>
          <cell r="AD37">
            <v>28061874.798273597</v>
          </cell>
          <cell r="AE37">
            <v>27156653.030587353</v>
          </cell>
          <cell r="AF37">
            <v>204749546.03115031</v>
          </cell>
          <cell r="AG37">
            <v>26411176.280728094</v>
          </cell>
          <cell r="AH37">
            <v>24707229.423906926</v>
          </cell>
          <cell r="AI37">
            <v>203098847.51360479</v>
          </cell>
          <cell r="AJ37">
            <v>23896283.404446442</v>
          </cell>
          <cell r="AK37">
            <v>24692826.184594657</v>
          </cell>
          <cell r="AL37">
            <v>200583954.63732311</v>
          </cell>
          <cell r="AM37">
            <v>23046637.772288349</v>
          </cell>
          <cell r="AN37">
            <v>23046637.772288349</v>
          </cell>
          <cell r="AO37">
            <v>198990869.0770267</v>
          </cell>
          <cell r="AP37">
            <v>21400449.35998204</v>
          </cell>
          <cell r="AQ37">
            <v>20710112.283853587</v>
          </cell>
          <cell r="AR37">
            <v>198088120.5928587</v>
          </cell>
          <cell r="AS37">
            <v>19754260.947675727</v>
          </cell>
          <cell r="AT37">
            <v>17842558.275320016</v>
          </cell>
          <cell r="AU37">
            <v>196441932.18055242</v>
          </cell>
          <cell r="AV37">
            <v>17571951.960968297</v>
          </cell>
          <cell r="AW37">
            <v>18157683.693000574</v>
          </cell>
          <cell r="AX37">
            <v>194259623.19384497</v>
          </cell>
          <cell r="AY37">
            <v>16506985.175455067</v>
          </cell>
          <cell r="AZ37">
            <v>16506985.175455067</v>
          </cell>
          <cell r="BA37">
            <v>192662173.01557514</v>
          </cell>
          <cell r="BB37">
            <v>14856286.657909563</v>
          </cell>
          <cell r="BC37">
            <v>14377051.604428612</v>
          </cell>
          <cell r="BD37">
            <v>191543957.89078623</v>
          </cell>
          <cell r="BE37">
            <v>13205588.140364058</v>
          </cell>
          <cell r="BF37">
            <v>11927627.997748179</v>
          </cell>
          <cell r="BG37">
            <v>189893259.37324074</v>
          </cell>
          <cell r="BH37">
            <v>11182151.247888921</v>
          </cell>
          <cell r="BI37">
            <v>11554889.62281855</v>
          </cell>
          <cell r="BJ37">
            <v>187869822.48076561</v>
          </cell>
          <cell r="BK37">
            <v>9904191.1052730437</v>
          </cell>
          <cell r="BL37">
            <v>9904191.1052730437</v>
          </cell>
          <cell r="BM37">
            <v>186272372.30249575</v>
          </cell>
          <cell r="BN37">
            <v>8253492.5877275392</v>
          </cell>
          <cell r="BO37">
            <v>7987250.8913492309</v>
          </cell>
          <cell r="BP37">
            <v>184941163.82060423</v>
          </cell>
          <cell r="BQ37">
            <v>6602794.0701820338</v>
          </cell>
          <cell r="BR37">
            <v>5963813.9988740943</v>
          </cell>
          <cell r="BS37">
            <v>183290465.30305874</v>
          </cell>
          <cell r="BT37">
            <v>4792350.5348095428</v>
          </cell>
          <cell r="BU37">
            <v>4952095.5526365275</v>
          </cell>
          <cell r="BV37">
            <v>181480021.76768625</v>
          </cell>
          <cell r="BW37">
            <v>3301397.035091023</v>
          </cell>
          <cell r="BX37">
            <v>3301397.035091023</v>
          </cell>
          <cell r="BY37">
            <v>179882571.58941638</v>
          </cell>
          <cell r="BZ37">
            <v>1650698.5175455168</v>
          </cell>
          <cell r="CA37">
            <v>1597450.178269855</v>
          </cell>
          <cell r="CB37">
            <v>178338369.75042221</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0</v>
          </cell>
          <cell r="DM37">
            <v>0</v>
          </cell>
          <cell r="DN37">
            <v>0</v>
          </cell>
          <cell r="DO37">
            <v>0</v>
          </cell>
          <cell r="DP37">
            <v>0</v>
          </cell>
          <cell r="DQ37">
            <v>0</v>
          </cell>
          <cell r="DR37">
            <v>0</v>
          </cell>
          <cell r="DS37">
            <v>0</v>
          </cell>
          <cell r="DT37">
            <v>0</v>
          </cell>
          <cell r="DU37">
            <v>0</v>
          </cell>
          <cell r="DV37">
            <v>0</v>
          </cell>
          <cell r="DW37">
            <v>0</v>
          </cell>
          <cell r="DX37">
            <v>0</v>
          </cell>
          <cell r="DY37">
            <v>0</v>
          </cell>
          <cell r="DZ37">
            <v>0</v>
          </cell>
          <cell r="EA37">
            <v>0</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0</v>
          </cell>
          <cell r="FD37">
            <v>0</v>
          </cell>
          <cell r="FE37">
            <v>0</v>
          </cell>
          <cell r="FF37">
            <v>0</v>
          </cell>
          <cell r="FG37">
            <v>0</v>
          </cell>
          <cell r="FH37">
            <v>0</v>
          </cell>
          <cell r="FI37">
            <v>0</v>
          </cell>
          <cell r="FJ37">
            <v>0</v>
          </cell>
          <cell r="FK37">
            <v>0</v>
          </cell>
          <cell r="FL37">
            <v>0</v>
          </cell>
          <cell r="FM37">
            <v>0</v>
          </cell>
          <cell r="FN37">
            <v>0</v>
          </cell>
          <cell r="FO37">
            <v>0</v>
          </cell>
          <cell r="FP37">
            <v>0</v>
          </cell>
          <cell r="FQ37">
            <v>0</v>
          </cell>
          <cell r="FR37">
            <v>0</v>
          </cell>
          <cell r="FS37">
            <v>0</v>
          </cell>
          <cell r="FT37">
            <v>0</v>
          </cell>
          <cell r="FU37">
            <v>0</v>
          </cell>
          <cell r="FV37">
            <v>0</v>
          </cell>
          <cell r="FW37">
            <v>0</v>
          </cell>
          <cell r="FX37">
            <v>0</v>
          </cell>
          <cell r="FY37">
            <v>0</v>
          </cell>
          <cell r="FZ37">
            <v>0</v>
          </cell>
          <cell r="GA37">
            <v>0</v>
          </cell>
          <cell r="GB37">
            <v>0</v>
          </cell>
          <cell r="GC37">
            <v>0</v>
          </cell>
          <cell r="GD37">
            <v>0</v>
          </cell>
          <cell r="GE37">
            <v>0</v>
          </cell>
          <cell r="GF37">
            <v>0</v>
          </cell>
          <cell r="GG37">
            <v>0</v>
          </cell>
          <cell r="GH37">
            <v>0</v>
          </cell>
          <cell r="GI37">
            <v>0</v>
          </cell>
          <cell r="GJ37">
            <v>0</v>
          </cell>
          <cell r="GK37">
            <v>0</v>
          </cell>
          <cell r="GL37">
            <v>0</v>
          </cell>
          <cell r="GM37">
            <v>0</v>
          </cell>
          <cell r="GN37">
            <v>0</v>
          </cell>
          <cell r="GO37">
            <v>0</v>
          </cell>
          <cell r="GP37">
            <v>0</v>
          </cell>
          <cell r="GQ37">
            <v>0</v>
          </cell>
          <cell r="GR37">
            <v>0</v>
          </cell>
          <cell r="GS37">
            <v>0</v>
          </cell>
          <cell r="GT37">
            <v>0</v>
          </cell>
          <cell r="GU37">
            <v>0</v>
          </cell>
          <cell r="GV37">
            <v>0</v>
          </cell>
          <cell r="GW37">
            <v>0</v>
          </cell>
          <cell r="GX37">
            <v>0</v>
          </cell>
          <cell r="GY37">
            <v>0</v>
          </cell>
          <cell r="GZ37">
            <v>0</v>
          </cell>
          <cell r="HA37">
            <v>0</v>
          </cell>
          <cell r="HB37">
            <v>0</v>
          </cell>
          <cell r="HC37">
            <v>0</v>
          </cell>
          <cell r="HD37">
            <v>0</v>
          </cell>
          <cell r="HE37">
            <v>4863039451.0451641</v>
          </cell>
        </row>
        <row r="38">
          <cell r="E38" t="str">
            <v>Total</v>
          </cell>
          <cell r="F38">
            <v>21008890.223306432</v>
          </cell>
          <cell r="G38">
            <v>20331184.087070744</v>
          </cell>
          <cell r="H38">
            <v>21008890.223306432</v>
          </cell>
          <cell r="I38">
            <v>21008890.223306432</v>
          </cell>
          <cell r="J38">
            <v>18975771.814599361</v>
          </cell>
          <cell r="K38">
            <v>21008890.223306432</v>
          </cell>
          <cell r="L38">
            <v>20331184.087070744</v>
          </cell>
          <cell r="M38">
            <v>21008890.223306432</v>
          </cell>
          <cell r="N38">
            <v>20331184.087070744</v>
          </cell>
          <cell r="O38">
            <v>21008890.223306432</v>
          </cell>
          <cell r="P38">
            <v>21008890.223306432</v>
          </cell>
          <cell r="Q38">
            <v>20331184.087070744</v>
          </cell>
          <cell r="R38">
            <v>21008890.223306432</v>
          </cell>
          <cell r="S38">
            <v>20331184.087070744</v>
          </cell>
          <cell r="T38">
            <v>21008890.223306432</v>
          </cell>
          <cell r="U38">
            <v>33013970.350910112</v>
          </cell>
          <cell r="V38">
            <v>29819069.994370423</v>
          </cell>
          <cell r="W38">
            <v>209701641.58378679</v>
          </cell>
          <cell r="X38">
            <v>30351553.387127034</v>
          </cell>
          <cell r="Y38">
            <v>31363271.833364602</v>
          </cell>
          <cell r="Z38">
            <v>207039224.62000373</v>
          </cell>
          <cell r="AA38">
            <v>29712573.3158191</v>
          </cell>
          <cell r="AB38">
            <v>29712573.3158191</v>
          </cell>
          <cell r="AC38">
            <v>205441774.4417339</v>
          </cell>
          <cell r="AD38">
            <v>28061874.798273597</v>
          </cell>
          <cell r="AE38">
            <v>27156653.030587353</v>
          </cell>
          <cell r="AF38">
            <v>204749546.03115031</v>
          </cell>
          <cell r="AG38">
            <v>26411176.280728094</v>
          </cell>
          <cell r="AH38">
            <v>24707229.423906926</v>
          </cell>
          <cell r="AI38">
            <v>203098847.51360479</v>
          </cell>
          <cell r="AJ38">
            <v>23896283.404446442</v>
          </cell>
          <cell r="AK38">
            <v>24692826.184594657</v>
          </cell>
          <cell r="AL38">
            <v>200583954.63732311</v>
          </cell>
          <cell r="AM38">
            <v>23046637.772288349</v>
          </cell>
          <cell r="AN38">
            <v>23046637.772288349</v>
          </cell>
          <cell r="AO38">
            <v>198990869.0770267</v>
          </cell>
          <cell r="AP38">
            <v>21400449.35998204</v>
          </cell>
          <cell r="AQ38">
            <v>20710112.283853587</v>
          </cell>
          <cell r="AR38">
            <v>198088120.5928587</v>
          </cell>
          <cell r="AS38">
            <v>19754260.947675727</v>
          </cell>
          <cell r="AT38">
            <v>17842558.275320016</v>
          </cell>
          <cell r="AU38">
            <v>196441932.18055242</v>
          </cell>
          <cell r="AV38">
            <v>17571951.960968297</v>
          </cell>
          <cell r="AW38">
            <v>18157683.693000574</v>
          </cell>
          <cell r="AX38">
            <v>194259623.19384497</v>
          </cell>
          <cell r="AY38">
            <v>16506985.175455067</v>
          </cell>
          <cell r="AZ38">
            <v>16506985.175455067</v>
          </cell>
          <cell r="BA38">
            <v>192662173.01557514</v>
          </cell>
          <cell r="BB38">
            <v>14856286.657909563</v>
          </cell>
          <cell r="BC38">
            <v>14377051.604428612</v>
          </cell>
          <cell r="BD38">
            <v>191543957.89078623</v>
          </cell>
          <cell r="BE38">
            <v>13205588.140364058</v>
          </cell>
          <cell r="BF38">
            <v>11927627.997748179</v>
          </cell>
          <cell r="BG38">
            <v>189893259.37324074</v>
          </cell>
          <cell r="BH38">
            <v>11182151.247888921</v>
          </cell>
          <cell r="BI38">
            <v>11554889.62281855</v>
          </cell>
          <cell r="BJ38">
            <v>187869822.48076561</v>
          </cell>
          <cell r="BK38">
            <v>9904191.1052730437</v>
          </cell>
          <cell r="BL38">
            <v>9904191.1052730437</v>
          </cell>
          <cell r="BM38">
            <v>186272372.30249575</v>
          </cell>
          <cell r="BN38">
            <v>8253492.5877275392</v>
          </cell>
          <cell r="BO38">
            <v>7987250.8913492309</v>
          </cell>
          <cell r="BP38">
            <v>184941163.82060423</v>
          </cell>
          <cell r="BQ38">
            <v>6602794.0701820338</v>
          </cell>
          <cell r="BR38">
            <v>5963813.9988740943</v>
          </cell>
          <cell r="BS38">
            <v>183290465.30305874</v>
          </cell>
          <cell r="BT38">
            <v>4792350.5348095428</v>
          </cell>
          <cell r="BU38">
            <v>4952095.5526365275</v>
          </cell>
          <cell r="BV38">
            <v>181480021.76768625</v>
          </cell>
          <cell r="BW38">
            <v>3301397.035091023</v>
          </cell>
          <cell r="BX38">
            <v>3301397.035091023</v>
          </cell>
          <cell r="BY38">
            <v>179882571.58941638</v>
          </cell>
          <cell r="BZ38">
            <v>1650698.5175455168</v>
          </cell>
          <cell r="CA38">
            <v>1597450.178269855</v>
          </cell>
          <cell r="CB38">
            <v>178338369.75042221</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0</v>
          </cell>
          <cell r="EB38">
            <v>0</v>
          </cell>
          <cell r="EC38">
            <v>0</v>
          </cell>
          <cell r="ED38">
            <v>0</v>
          </cell>
          <cell r="EE38">
            <v>0</v>
          </cell>
          <cell r="EF38">
            <v>0</v>
          </cell>
          <cell r="EG38">
            <v>0</v>
          </cell>
          <cell r="EH38">
            <v>0</v>
          </cell>
          <cell r="EI38">
            <v>0</v>
          </cell>
          <cell r="EJ38">
            <v>0</v>
          </cell>
          <cell r="EK38">
            <v>0</v>
          </cell>
          <cell r="EL38">
            <v>0</v>
          </cell>
          <cell r="EM38">
            <v>0</v>
          </cell>
          <cell r="EN38">
            <v>0</v>
          </cell>
          <cell r="EO38">
            <v>0</v>
          </cell>
          <cell r="EP38">
            <v>0</v>
          </cell>
          <cell r="EQ38">
            <v>0</v>
          </cell>
          <cell r="ER38">
            <v>0</v>
          </cell>
          <cell r="ES38">
            <v>0</v>
          </cell>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0</v>
          </cell>
          <cell r="FK38">
            <v>0</v>
          </cell>
          <cell r="FL38">
            <v>0</v>
          </cell>
          <cell r="FM38">
            <v>0</v>
          </cell>
          <cell r="FN38">
            <v>0</v>
          </cell>
          <cell r="FO38">
            <v>0</v>
          </cell>
          <cell r="FP38">
            <v>0</v>
          </cell>
          <cell r="FQ38">
            <v>0</v>
          </cell>
          <cell r="FR38">
            <v>0</v>
          </cell>
          <cell r="FS38">
            <v>0</v>
          </cell>
          <cell r="FT38">
            <v>0</v>
          </cell>
          <cell r="FU38">
            <v>0</v>
          </cell>
          <cell r="FV38">
            <v>0</v>
          </cell>
          <cell r="FW38">
            <v>0</v>
          </cell>
          <cell r="FX38">
            <v>0</v>
          </cell>
          <cell r="FY38">
            <v>0</v>
          </cell>
          <cell r="FZ38">
            <v>0</v>
          </cell>
          <cell r="GA38">
            <v>0</v>
          </cell>
          <cell r="GB38">
            <v>0</v>
          </cell>
          <cell r="GC38">
            <v>0</v>
          </cell>
          <cell r="GD38">
            <v>0</v>
          </cell>
          <cell r="GE38">
            <v>0</v>
          </cell>
          <cell r="GF38">
            <v>0</v>
          </cell>
          <cell r="GG38">
            <v>0</v>
          </cell>
          <cell r="GH38">
            <v>0</v>
          </cell>
          <cell r="GI38">
            <v>0</v>
          </cell>
          <cell r="GJ38">
            <v>0</v>
          </cell>
          <cell r="GK38">
            <v>0</v>
          </cell>
          <cell r="GL38">
            <v>0</v>
          </cell>
          <cell r="GM38">
            <v>0</v>
          </cell>
          <cell r="GN38">
            <v>0</v>
          </cell>
          <cell r="GO38">
            <v>0</v>
          </cell>
          <cell r="GP38">
            <v>0</v>
          </cell>
          <cell r="GQ38">
            <v>0</v>
          </cell>
          <cell r="GR38">
            <v>0</v>
          </cell>
          <cell r="GS38">
            <v>0</v>
          </cell>
          <cell r="GT38">
            <v>0</v>
          </cell>
          <cell r="GU38">
            <v>0</v>
          </cell>
          <cell r="GV38">
            <v>0</v>
          </cell>
          <cell r="GW38">
            <v>0</v>
          </cell>
          <cell r="GX38">
            <v>0</v>
          </cell>
          <cell r="GY38">
            <v>0</v>
          </cell>
          <cell r="GZ38">
            <v>0</v>
          </cell>
          <cell r="HA38">
            <v>0</v>
          </cell>
          <cell r="HB38">
            <v>0</v>
          </cell>
          <cell r="HC38">
            <v>0</v>
          </cell>
          <cell r="HD38">
            <v>0</v>
          </cell>
          <cell r="HE38">
            <v>4863039451.0451641</v>
          </cell>
        </row>
        <row r="39">
          <cell r="A39" t="str">
            <v>HBS-08</v>
          </cell>
          <cell r="E39" t="str">
            <v>현     가</v>
          </cell>
          <cell r="F39">
            <v>21008890.223306432</v>
          </cell>
          <cell r="G39">
            <v>20241122.737059329</v>
          </cell>
          <cell r="H39">
            <v>20820094.384328835</v>
          </cell>
          <cell r="I39">
            <v>20724800.110983916</v>
          </cell>
          <cell r="J39">
            <v>18641770.282456696</v>
          </cell>
          <cell r="K39">
            <v>20544636.94389515</v>
          </cell>
          <cell r="L39">
            <v>19793835.540555183</v>
          </cell>
          <cell r="M39">
            <v>20360013.104792506</v>
          </cell>
          <cell r="N39">
            <v>19615958.758500412</v>
          </cell>
          <cell r="O39">
            <v>20177048.382960126</v>
          </cell>
          <cell r="P39">
            <v>20084697.352825187</v>
          </cell>
          <cell r="Q39">
            <v>19350704.389146134</v>
          </cell>
          <cell r="R39">
            <v>19904206.748750761</v>
          </cell>
          <cell r="S39">
            <v>19049822.585322347</v>
          </cell>
          <cell r="T39">
            <v>19584504.130139623</v>
          </cell>
          <cell r="U39">
            <v>30618818.646342225</v>
          </cell>
          <cell r="V39">
            <v>27528382.58856146</v>
          </cell>
          <cell r="W39">
            <v>192605922.24722478</v>
          </cell>
          <cell r="X39">
            <v>27739683.971737232</v>
          </cell>
          <cell r="Y39">
            <v>28518268.497252934</v>
          </cell>
          <cell r="Z39">
            <v>187329944.00399506</v>
          </cell>
          <cell r="AA39">
            <v>26747059.423534032</v>
          </cell>
          <cell r="AB39">
            <v>26610758.153907795</v>
          </cell>
          <cell r="AC39">
            <v>183087425.80621308</v>
          </cell>
          <cell r="AD39">
            <v>24880989.567948755</v>
          </cell>
          <cell r="AE39">
            <v>23791389.246318478</v>
          </cell>
          <cell r="AF39">
            <v>178411518.02956083</v>
          </cell>
          <cell r="AG39">
            <v>22889909.039533105</v>
          </cell>
          <cell r="AH39">
            <v>21305314.728040341</v>
          </cell>
          <cell r="AI39">
            <v>174191816.1244702</v>
          </cell>
          <cell r="AJ39">
            <v>20388375.849147875</v>
          </cell>
          <cell r="AK39">
            <v>20954603.718012515</v>
          </cell>
          <cell r="AL39">
            <v>169331137.0961605</v>
          </cell>
          <cell r="AM39">
            <v>19351052.595330216</v>
          </cell>
          <cell r="AN39">
            <v>19246908.219083983</v>
          </cell>
          <cell r="AO39">
            <v>165317386.4207412</v>
          </cell>
          <cell r="AP39">
            <v>17683354.630519379</v>
          </cell>
          <cell r="AQ39">
            <v>16813600.72003727</v>
          </cell>
          <cell r="AR39">
            <v>159898557.82315984</v>
          </cell>
          <cell r="AS39">
            <v>15854579.952267202</v>
          </cell>
          <cell r="AT39">
            <v>14246234.660938401</v>
          </cell>
          <cell r="AU39">
            <v>155949865.96187955</v>
          </cell>
          <cell r="AV39">
            <v>13872637.789751155</v>
          </cell>
          <cell r="AW39">
            <v>14253034.130700685</v>
          </cell>
          <cell r="AX39">
            <v>151641353.40236089</v>
          </cell>
          <cell r="AY39">
            <v>12811816.506670842</v>
          </cell>
          <cell r="AZ39">
            <v>12738507.551064163</v>
          </cell>
          <cell r="BA39">
            <v>147854815.30271685</v>
          </cell>
          <cell r="BB39">
            <v>11335929.291849762</v>
          </cell>
          <cell r="BC39">
            <v>10909501.852502255</v>
          </cell>
          <cell r="BD39">
            <v>144514486.71472085</v>
          </cell>
          <cell r="BE39">
            <v>9906232.4563765395</v>
          </cell>
          <cell r="BF39">
            <v>8901308.808194777</v>
          </cell>
          <cell r="BG39">
            <v>140902004.02221856</v>
          </cell>
          <cell r="BH39">
            <v>8251277.9043290466</v>
          </cell>
          <cell r="BI39">
            <v>8477533.0672284421</v>
          </cell>
          <cell r="BJ39">
            <v>137072062.42636999</v>
          </cell>
          <cell r="BK39">
            <v>7184867.6549233645</v>
          </cell>
          <cell r="BL39">
            <v>7143755.9871375831</v>
          </cell>
          <cell r="BM39">
            <v>133611634.50791068</v>
          </cell>
          <cell r="BN39">
            <v>5886287.0319395205</v>
          </cell>
          <cell r="BO39">
            <v>5550491.9588681944</v>
          </cell>
          <cell r="BP39">
            <v>127740210.99201302</v>
          </cell>
          <cell r="BQ39">
            <v>4532957.9150665868</v>
          </cell>
          <cell r="BR39">
            <v>4071865.3711685315</v>
          </cell>
          <cell r="BS39">
            <v>124385307.90985864</v>
          </cell>
          <cell r="BT39">
            <v>3233127.6002755063</v>
          </cell>
          <cell r="BU39">
            <v>3320650.556437728</v>
          </cell>
          <cell r="BV39">
            <v>120978456.34715943</v>
          </cell>
          <cell r="BW39">
            <v>2187443.6015050015</v>
          </cell>
          <cell r="BX39">
            <v>2174186.3059925456</v>
          </cell>
          <cell r="BY39">
            <v>117769584.55156502</v>
          </cell>
          <cell r="BZ39">
            <v>1074166.7579948169</v>
          </cell>
          <cell r="CA39">
            <v>1033418.7225597142</v>
          </cell>
          <cell r="CB39">
            <v>114671023.05019757</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v>0</v>
          </cell>
          <cell r="FP39">
            <v>0</v>
          </cell>
          <cell r="FQ39">
            <v>0</v>
          </cell>
          <cell r="FR39">
            <v>0</v>
          </cell>
          <cell r="FS39">
            <v>0</v>
          </cell>
          <cell r="FT39">
            <v>0</v>
          </cell>
          <cell r="FU39">
            <v>0</v>
          </cell>
          <cell r="FV39">
            <v>0</v>
          </cell>
          <cell r="FW39">
            <v>0</v>
          </cell>
          <cell r="FX39">
            <v>0</v>
          </cell>
          <cell r="FY39">
            <v>0</v>
          </cell>
          <cell r="FZ39">
            <v>0</v>
          </cell>
          <cell r="GA39">
            <v>0</v>
          </cell>
          <cell r="GB39">
            <v>0</v>
          </cell>
          <cell r="GC39">
            <v>0</v>
          </cell>
          <cell r="GD39">
            <v>0</v>
          </cell>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v>0</v>
          </cell>
          <cell r="GZ39">
            <v>0</v>
          </cell>
          <cell r="HA39">
            <v>0</v>
          </cell>
          <cell r="HB39">
            <v>0</v>
          </cell>
          <cell r="HC39">
            <v>0</v>
          </cell>
          <cell r="HD39">
            <v>0</v>
          </cell>
          <cell r="HE39">
            <v>3891186901.446569</v>
          </cell>
        </row>
        <row r="40">
          <cell r="B40" t="str">
            <v>HBS-09</v>
          </cell>
          <cell r="C40" t="str">
            <v>㈜한일합섬</v>
          </cell>
          <cell r="D40">
            <v>3.5221985178531361E-2</v>
          </cell>
          <cell r="E40" t="str">
            <v>담     보</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cell r="EG40">
            <v>0</v>
          </cell>
          <cell r="EH40">
            <v>0</v>
          </cell>
          <cell r="EI40">
            <v>0</v>
          </cell>
          <cell r="EJ40">
            <v>0</v>
          </cell>
          <cell r="EK40">
            <v>0</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0</v>
          </cell>
          <cell r="FL40">
            <v>0</v>
          </cell>
          <cell r="FM40">
            <v>0</v>
          </cell>
          <cell r="FN40">
            <v>0</v>
          </cell>
          <cell r="FO40">
            <v>0</v>
          </cell>
          <cell r="FP40">
            <v>0</v>
          </cell>
          <cell r="FQ40">
            <v>0</v>
          </cell>
          <cell r="FR40">
            <v>0</v>
          </cell>
          <cell r="FS40">
            <v>0</v>
          </cell>
          <cell r="FT40">
            <v>0</v>
          </cell>
          <cell r="FU40">
            <v>0</v>
          </cell>
          <cell r="FV40">
            <v>0</v>
          </cell>
          <cell r="FW40">
            <v>0</v>
          </cell>
          <cell r="FX40">
            <v>0</v>
          </cell>
          <cell r="FY40">
            <v>0</v>
          </cell>
          <cell r="FZ40">
            <v>0</v>
          </cell>
          <cell r="GA40">
            <v>0</v>
          </cell>
          <cell r="GB40">
            <v>0</v>
          </cell>
          <cell r="GC40">
            <v>0</v>
          </cell>
          <cell r="GD40">
            <v>0</v>
          </cell>
          <cell r="GE40">
            <v>0</v>
          </cell>
          <cell r="GF40">
            <v>0</v>
          </cell>
          <cell r="GG40">
            <v>0</v>
          </cell>
          <cell r="GH40">
            <v>0</v>
          </cell>
          <cell r="GI40">
            <v>0</v>
          </cell>
          <cell r="GJ40">
            <v>0</v>
          </cell>
          <cell r="GK40">
            <v>0</v>
          </cell>
          <cell r="GL40">
            <v>0</v>
          </cell>
          <cell r="GM40">
            <v>0</v>
          </cell>
          <cell r="GN40">
            <v>0</v>
          </cell>
          <cell r="GO40">
            <v>0</v>
          </cell>
          <cell r="GP40">
            <v>0</v>
          </cell>
          <cell r="GQ40">
            <v>0</v>
          </cell>
          <cell r="GR40">
            <v>0</v>
          </cell>
          <cell r="GS40">
            <v>0</v>
          </cell>
          <cell r="GT40">
            <v>0</v>
          </cell>
          <cell r="GU40">
            <v>0</v>
          </cell>
          <cell r="GV40">
            <v>0</v>
          </cell>
          <cell r="GW40">
            <v>0</v>
          </cell>
          <cell r="GX40">
            <v>0</v>
          </cell>
          <cell r="GY40">
            <v>0</v>
          </cell>
          <cell r="GZ40">
            <v>0</v>
          </cell>
          <cell r="HA40">
            <v>0</v>
          </cell>
          <cell r="HB40">
            <v>0</v>
          </cell>
          <cell r="HC40">
            <v>0</v>
          </cell>
          <cell r="HD40">
            <v>0</v>
          </cell>
          <cell r="HE40">
            <v>0</v>
          </cell>
        </row>
        <row r="41">
          <cell r="D41">
            <v>3.5221985178531361E-2</v>
          </cell>
          <cell r="E41" t="str">
            <v>무 담 보</v>
          </cell>
          <cell r="F41" t="str">
            <v>`</v>
          </cell>
          <cell r="G41">
            <v>0</v>
          </cell>
          <cell r="H41">
            <v>70152706.040871397</v>
          </cell>
          <cell r="I41">
            <v>0</v>
          </cell>
          <cell r="J41">
            <v>0</v>
          </cell>
          <cell r="K41">
            <v>0</v>
          </cell>
          <cell r="L41">
            <v>0</v>
          </cell>
          <cell r="M41">
            <v>0</v>
          </cell>
          <cell r="N41">
            <v>0</v>
          </cell>
          <cell r="O41">
            <v>0</v>
          </cell>
          <cell r="P41">
            <v>0</v>
          </cell>
          <cell r="Q41">
            <v>0</v>
          </cell>
          <cell r="R41">
            <v>0</v>
          </cell>
          <cell r="S41">
            <v>0</v>
          </cell>
          <cell r="T41">
            <v>583069486.86278963</v>
          </cell>
          <cell r="U41">
            <v>0</v>
          </cell>
          <cell r="V41">
            <v>0</v>
          </cell>
          <cell r="W41">
            <v>0</v>
          </cell>
          <cell r="X41">
            <v>0</v>
          </cell>
          <cell r="Y41">
            <v>0</v>
          </cell>
          <cell r="Z41">
            <v>0</v>
          </cell>
          <cell r="AA41">
            <v>0</v>
          </cell>
          <cell r="AB41">
            <v>0</v>
          </cell>
          <cell r="AC41">
            <v>0</v>
          </cell>
          <cell r="AD41">
            <v>0</v>
          </cell>
          <cell r="AE41">
            <v>0</v>
          </cell>
          <cell r="AF41">
            <v>583069486.86278963</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0</v>
          </cell>
          <cell r="FS41">
            <v>0</v>
          </cell>
          <cell r="FT41">
            <v>0</v>
          </cell>
          <cell r="FU41">
            <v>0</v>
          </cell>
          <cell r="FV41">
            <v>0</v>
          </cell>
          <cell r="FW41">
            <v>0</v>
          </cell>
          <cell r="FX41">
            <v>0</v>
          </cell>
          <cell r="FY41">
            <v>0</v>
          </cell>
          <cell r="FZ41">
            <v>0</v>
          </cell>
          <cell r="GA41">
            <v>0</v>
          </cell>
          <cell r="GB41">
            <v>0</v>
          </cell>
          <cell r="GC41">
            <v>0</v>
          </cell>
          <cell r="GD41">
            <v>0</v>
          </cell>
          <cell r="GE41">
            <v>0</v>
          </cell>
          <cell r="GF41">
            <v>0</v>
          </cell>
          <cell r="GG41">
            <v>0</v>
          </cell>
          <cell r="GH41">
            <v>0</v>
          </cell>
          <cell r="GI41">
            <v>0</v>
          </cell>
          <cell r="GJ41">
            <v>0</v>
          </cell>
          <cell r="GK41">
            <v>0</v>
          </cell>
          <cell r="GL41">
            <v>0</v>
          </cell>
          <cell r="GM41">
            <v>0</v>
          </cell>
          <cell r="GN41">
            <v>0</v>
          </cell>
          <cell r="GO41">
            <v>0</v>
          </cell>
          <cell r="GP41">
            <v>0</v>
          </cell>
          <cell r="GQ41">
            <v>0</v>
          </cell>
          <cell r="GR41">
            <v>0</v>
          </cell>
          <cell r="GS41">
            <v>0</v>
          </cell>
          <cell r="GT41">
            <v>0</v>
          </cell>
          <cell r="GU41">
            <v>0</v>
          </cell>
          <cell r="GV41">
            <v>0</v>
          </cell>
          <cell r="GW41">
            <v>0</v>
          </cell>
          <cell r="GX41">
            <v>0</v>
          </cell>
          <cell r="GY41">
            <v>0</v>
          </cell>
          <cell r="GZ41">
            <v>0</v>
          </cell>
          <cell r="HA41">
            <v>0</v>
          </cell>
          <cell r="HB41">
            <v>0</v>
          </cell>
          <cell r="HC41">
            <v>0</v>
          </cell>
          <cell r="HD41">
            <v>0</v>
          </cell>
          <cell r="HE41">
            <v>1236291679.7664506</v>
          </cell>
        </row>
        <row r="42">
          <cell r="E42" t="str">
            <v>Total</v>
          </cell>
          <cell r="F42">
            <v>0</v>
          </cell>
          <cell r="G42">
            <v>0</v>
          </cell>
          <cell r="H42">
            <v>70152706.040871397</v>
          </cell>
          <cell r="I42">
            <v>0</v>
          </cell>
          <cell r="J42">
            <v>0</v>
          </cell>
          <cell r="K42">
            <v>0</v>
          </cell>
          <cell r="L42">
            <v>0</v>
          </cell>
          <cell r="M42">
            <v>0</v>
          </cell>
          <cell r="N42">
            <v>0</v>
          </cell>
          <cell r="O42">
            <v>0</v>
          </cell>
          <cell r="P42">
            <v>0</v>
          </cell>
          <cell r="Q42">
            <v>0</v>
          </cell>
          <cell r="R42">
            <v>0</v>
          </cell>
          <cell r="S42">
            <v>0</v>
          </cell>
          <cell r="T42">
            <v>583069486.86278963</v>
          </cell>
          <cell r="U42">
            <v>0</v>
          </cell>
          <cell r="V42">
            <v>0</v>
          </cell>
          <cell r="W42">
            <v>0</v>
          </cell>
          <cell r="X42">
            <v>0</v>
          </cell>
          <cell r="Y42">
            <v>0</v>
          </cell>
          <cell r="Z42">
            <v>0</v>
          </cell>
          <cell r="AA42">
            <v>0</v>
          </cell>
          <cell r="AB42">
            <v>0</v>
          </cell>
          <cell r="AC42">
            <v>0</v>
          </cell>
          <cell r="AD42">
            <v>0</v>
          </cell>
          <cell r="AE42">
            <v>0</v>
          </cell>
          <cell r="AF42">
            <v>583069486.86278963</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cell r="FI42">
            <v>0</v>
          </cell>
          <cell r="FJ42">
            <v>0</v>
          </cell>
          <cell r="FK42">
            <v>0</v>
          </cell>
          <cell r="FL42">
            <v>0</v>
          </cell>
          <cell r="FM42">
            <v>0</v>
          </cell>
          <cell r="FN42">
            <v>0</v>
          </cell>
          <cell r="FO42">
            <v>0</v>
          </cell>
          <cell r="FP42">
            <v>0</v>
          </cell>
          <cell r="FQ42">
            <v>0</v>
          </cell>
          <cell r="FR42">
            <v>0</v>
          </cell>
          <cell r="FS42">
            <v>0</v>
          </cell>
          <cell r="FT42">
            <v>0</v>
          </cell>
          <cell r="FU42">
            <v>0</v>
          </cell>
          <cell r="FV42">
            <v>0</v>
          </cell>
          <cell r="FW42">
            <v>0</v>
          </cell>
          <cell r="FX42">
            <v>0</v>
          </cell>
          <cell r="FY42">
            <v>0</v>
          </cell>
          <cell r="FZ42">
            <v>0</v>
          </cell>
          <cell r="GA42">
            <v>0</v>
          </cell>
          <cell r="GB42">
            <v>0</v>
          </cell>
          <cell r="GC42">
            <v>0</v>
          </cell>
          <cell r="GD42">
            <v>0</v>
          </cell>
          <cell r="GE42">
            <v>0</v>
          </cell>
          <cell r="GF42">
            <v>0</v>
          </cell>
          <cell r="GG42">
            <v>0</v>
          </cell>
          <cell r="GH42">
            <v>0</v>
          </cell>
          <cell r="GI42">
            <v>0</v>
          </cell>
          <cell r="GJ42">
            <v>0</v>
          </cell>
          <cell r="GK42">
            <v>0</v>
          </cell>
          <cell r="GL42">
            <v>0</v>
          </cell>
          <cell r="GM42">
            <v>0</v>
          </cell>
          <cell r="GN42">
            <v>0</v>
          </cell>
          <cell r="GO42">
            <v>0</v>
          </cell>
          <cell r="GP42">
            <v>0</v>
          </cell>
          <cell r="GQ42">
            <v>0</v>
          </cell>
          <cell r="GR42">
            <v>0</v>
          </cell>
          <cell r="GS42">
            <v>0</v>
          </cell>
          <cell r="GT42">
            <v>0</v>
          </cell>
          <cell r="GU42">
            <v>0</v>
          </cell>
          <cell r="GV42">
            <v>0</v>
          </cell>
          <cell r="GW42">
            <v>0</v>
          </cell>
          <cell r="GX42">
            <v>0</v>
          </cell>
          <cell r="GY42">
            <v>0</v>
          </cell>
          <cell r="GZ42">
            <v>0</v>
          </cell>
          <cell r="HA42">
            <v>0</v>
          </cell>
          <cell r="HB42">
            <v>0</v>
          </cell>
          <cell r="HC42">
            <v>0</v>
          </cell>
          <cell r="HD42">
            <v>0</v>
          </cell>
          <cell r="HE42">
            <v>1236291679.7664506</v>
          </cell>
        </row>
        <row r="43">
          <cell r="A43" t="str">
            <v>HBS-09</v>
          </cell>
          <cell r="E43" t="str">
            <v>현     가</v>
          </cell>
          <cell r="F43">
            <v>0</v>
          </cell>
          <cell r="G43">
            <v>0</v>
          </cell>
          <cell r="H43">
            <v>69522280.594655186</v>
          </cell>
          <cell r="I43">
            <v>0</v>
          </cell>
          <cell r="J43">
            <v>0</v>
          </cell>
          <cell r="K43">
            <v>0</v>
          </cell>
          <cell r="L43">
            <v>0</v>
          </cell>
          <cell r="M43">
            <v>0</v>
          </cell>
          <cell r="N43">
            <v>0</v>
          </cell>
          <cell r="O43">
            <v>0</v>
          </cell>
          <cell r="P43">
            <v>0</v>
          </cell>
          <cell r="Q43">
            <v>0</v>
          </cell>
          <cell r="R43">
            <v>0</v>
          </cell>
          <cell r="S43">
            <v>0</v>
          </cell>
          <cell r="T43">
            <v>543537838.13648403</v>
          </cell>
          <cell r="U43">
            <v>0</v>
          </cell>
          <cell r="V43">
            <v>0</v>
          </cell>
          <cell r="W43">
            <v>0</v>
          </cell>
          <cell r="X43">
            <v>0</v>
          </cell>
          <cell r="Y43">
            <v>0</v>
          </cell>
          <cell r="Z43">
            <v>0</v>
          </cell>
          <cell r="AA43">
            <v>0</v>
          </cell>
          <cell r="AB43">
            <v>0</v>
          </cell>
          <cell r="AC43">
            <v>0</v>
          </cell>
          <cell r="AD43">
            <v>0</v>
          </cell>
          <cell r="AE43">
            <v>0</v>
          </cell>
          <cell r="AF43">
            <v>508066143.65865779</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0</v>
          </cell>
          <cell r="FE43">
            <v>0</v>
          </cell>
          <cell r="FF43">
            <v>0</v>
          </cell>
          <cell r="FG43">
            <v>0</v>
          </cell>
          <cell r="FH43">
            <v>0</v>
          </cell>
          <cell r="FI43">
            <v>0</v>
          </cell>
          <cell r="FJ43">
            <v>0</v>
          </cell>
          <cell r="FK43">
            <v>0</v>
          </cell>
          <cell r="FL43">
            <v>0</v>
          </cell>
          <cell r="FM43">
            <v>0</v>
          </cell>
          <cell r="FN43">
            <v>0</v>
          </cell>
          <cell r="FO43">
            <v>0</v>
          </cell>
          <cell r="FP43">
            <v>0</v>
          </cell>
          <cell r="FQ43">
            <v>0</v>
          </cell>
          <cell r="FR43">
            <v>0</v>
          </cell>
          <cell r="FS43">
            <v>0</v>
          </cell>
          <cell r="FT43">
            <v>0</v>
          </cell>
          <cell r="FU43">
            <v>0</v>
          </cell>
          <cell r="FV43">
            <v>0</v>
          </cell>
          <cell r="FW43">
            <v>0</v>
          </cell>
          <cell r="FX43">
            <v>0</v>
          </cell>
          <cell r="FY43">
            <v>0</v>
          </cell>
          <cell r="FZ43">
            <v>0</v>
          </cell>
          <cell r="GA43">
            <v>0</v>
          </cell>
          <cell r="GB43">
            <v>0</v>
          </cell>
          <cell r="GC43">
            <v>0</v>
          </cell>
          <cell r="GD43">
            <v>0</v>
          </cell>
          <cell r="GE43">
            <v>0</v>
          </cell>
          <cell r="GF43">
            <v>0</v>
          </cell>
          <cell r="GG43">
            <v>0</v>
          </cell>
          <cell r="GH43">
            <v>0</v>
          </cell>
          <cell r="GI43">
            <v>0</v>
          </cell>
          <cell r="GJ43">
            <v>0</v>
          </cell>
          <cell r="GK43">
            <v>0</v>
          </cell>
          <cell r="GL43">
            <v>0</v>
          </cell>
          <cell r="GM43">
            <v>0</v>
          </cell>
          <cell r="GN43">
            <v>0</v>
          </cell>
          <cell r="GO43">
            <v>0</v>
          </cell>
          <cell r="GP43">
            <v>0</v>
          </cell>
          <cell r="GQ43">
            <v>0</v>
          </cell>
          <cell r="GR43">
            <v>0</v>
          </cell>
          <cell r="GS43">
            <v>0</v>
          </cell>
          <cell r="GT43">
            <v>0</v>
          </cell>
          <cell r="GU43">
            <v>0</v>
          </cell>
          <cell r="GV43">
            <v>0</v>
          </cell>
          <cell r="GW43">
            <v>0</v>
          </cell>
          <cell r="GX43">
            <v>0</v>
          </cell>
          <cell r="GY43">
            <v>0</v>
          </cell>
          <cell r="GZ43">
            <v>0</v>
          </cell>
          <cell r="HA43">
            <v>0</v>
          </cell>
          <cell r="HB43">
            <v>0</v>
          </cell>
          <cell r="HC43">
            <v>0</v>
          </cell>
          <cell r="HD43">
            <v>0</v>
          </cell>
          <cell r="HE43">
            <v>1121126262.389797</v>
          </cell>
        </row>
        <row r="44">
          <cell r="B44" t="str">
            <v>HBS-10</v>
          </cell>
          <cell r="C44" t="str">
            <v>대우캐피탈㈜</v>
          </cell>
          <cell r="D44">
            <v>0.43748190786379521</v>
          </cell>
          <cell r="E44" t="str">
            <v>담     보</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cell r="FI44">
            <v>0</v>
          </cell>
          <cell r="FJ44">
            <v>0</v>
          </cell>
          <cell r="FK44">
            <v>0</v>
          </cell>
          <cell r="FL44">
            <v>0</v>
          </cell>
          <cell r="FM44">
            <v>0</v>
          </cell>
          <cell r="FN44">
            <v>0</v>
          </cell>
          <cell r="FO44">
            <v>0</v>
          </cell>
          <cell r="FP44">
            <v>0</v>
          </cell>
          <cell r="FQ44">
            <v>0</v>
          </cell>
          <cell r="FR44">
            <v>0</v>
          </cell>
          <cell r="FS44">
            <v>0</v>
          </cell>
          <cell r="FT44">
            <v>0</v>
          </cell>
          <cell r="FU44">
            <v>0</v>
          </cell>
          <cell r="FV44">
            <v>0</v>
          </cell>
          <cell r="FW44">
            <v>0</v>
          </cell>
          <cell r="FX44">
            <v>0</v>
          </cell>
          <cell r="FY44">
            <v>0</v>
          </cell>
          <cell r="FZ44">
            <v>0</v>
          </cell>
          <cell r="GA44">
            <v>0</v>
          </cell>
          <cell r="GB44">
            <v>0</v>
          </cell>
          <cell r="GC44">
            <v>0</v>
          </cell>
          <cell r="GD44">
            <v>0</v>
          </cell>
          <cell r="GE44">
            <v>0</v>
          </cell>
          <cell r="GF44">
            <v>0</v>
          </cell>
          <cell r="GG44">
            <v>0</v>
          </cell>
          <cell r="GH44">
            <v>0</v>
          </cell>
          <cell r="GI44">
            <v>0</v>
          </cell>
          <cell r="GJ44">
            <v>0</v>
          </cell>
          <cell r="GK44">
            <v>0</v>
          </cell>
          <cell r="GL44">
            <v>0</v>
          </cell>
          <cell r="GM44">
            <v>0</v>
          </cell>
          <cell r="GN44">
            <v>0</v>
          </cell>
          <cell r="GO44">
            <v>0</v>
          </cell>
          <cell r="GP44">
            <v>0</v>
          </cell>
          <cell r="GQ44">
            <v>0</v>
          </cell>
          <cell r="GR44">
            <v>0</v>
          </cell>
          <cell r="GS44">
            <v>0</v>
          </cell>
          <cell r="GT44">
            <v>0</v>
          </cell>
          <cell r="GU44">
            <v>0</v>
          </cell>
          <cell r="GV44">
            <v>0</v>
          </cell>
          <cell r="GW44">
            <v>0</v>
          </cell>
          <cell r="GX44">
            <v>0</v>
          </cell>
          <cell r="GY44">
            <v>0</v>
          </cell>
          <cell r="GZ44">
            <v>0</v>
          </cell>
          <cell r="HA44">
            <v>0</v>
          </cell>
          <cell r="HB44">
            <v>0</v>
          </cell>
          <cell r="HC44">
            <v>0</v>
          </cell>
          <cell r="HD44">
            <v>0</v>
          </cell>
          <cell r="HE44">
            <v>0</v>
          </cell>
        </row>
        <row r="45">
          <cell r="D45">
            <v>1</v>
          </cell>
          <cell r="E45" t="str">
            <v>무 담 보</v>
          </cell>
          <cell r="F45">
            <v>0</v>
          </cell>
          <cell r="G45">
            <v>0</v>
          </cell>
          <cell r="H45">
            <v>915341917.80821919</v>
          </cell>
          <cell r="I45">
            <v>0</v>
          </cell>
          <cell r="J45">
            <v>0</v>
          </cell>
          <cell r="K45">
            <v>935682849.31506848</v>
          </cell>
          <cell r="L45">
            <v>0</v>
          </cell>
          <cell r="M45">
            <v>0</v>
          </cell>
          <cell r="N45">
            <v>935682849.31506848</v>
          </cell>
          <cell r="O45">
            <v>0</v>
          </cell>
          <cell r="P45">
            <v>0</v>
          </cell>
          <cell r="Q45">
            <v>925512383.56164384</v>
          </cell>
          <cell r="R45">
            <v>0</v>
          </cell>
          <cell r="S45">
            <v>0</v>
          </cell>
          <cell r="T45">
            <v>915341917.80821919</v>
          </cell>
          <cell r="U45">
            <v>0</v>
          </cell>
          <cell r="V45">
            <v>0</v>
          </cell>
          <cell r="W45">
            <v>935682849.31506848</v>
          </cell>
          <cell r="X45">
            <v>0</v>
          </cell>
          <cell r="Y45">
            <v>0</v>
          </cell>
          <cell r="Z45">
            <v>935682849.31506848</v>
          </cell>
          <cell r="AA45">
            <v>0</v>
          </cell>
          <cell r="AB45">
            <v>0</v>
          </cell>
          <cell r="AC45">
            <v>925512383.56164384</v>
          </cell>
          <cell r="AD45">
            <v>0</v>
          </cell>
          <cell r="AE45">
            <v>0</v>
          </cell>
          <cell r="AF45">
            <v>925512383.56164384</v>
          </cell>
          <cell r="AG45">
            <v>0</v>
          </cell>
          <cell r="AH45">
            <v>0</v>
          </cell>
          <cell r="AI45">
            <v>935682849.31506848</v>
          </cell>
          <cell r="AJ45">
            <v>0</v>
          </cell>
          <cell r="AK45">
            <v>0</v>
          </cell>
          <cell r="AL45">
            <v>935682849.31506848</v>
          </cell>
          <cell r="AM45">
            <v>0</v>
          </cell>
          <cell r="AN45">
            <v>0</v>
          </cell>
          <cell r="AO45">
            <v>925512383.56164384</v>
          </cell>
          <cell r="AP45">
            <v>0</v>
          </cell>
          <cell r="AQ45">
            <v>0</v>
          </cell>
          <cell r="AR45">
            <v>915341917.80821919</v>
          </cell>
          <cell r="AS45">
            <v>0</v>
          </cell>
          <cell r="AT45">
            <v>0</v>
          </cell>
          <cell r="AU45">
            <v>935682849.31506848</v>
          </cell>
          <cell r="AV45">
            <v>0</v>
          </cell>
          <cell r="AW45">
            <v>0</v>
          </cell>
          <cell r="AX45">
            <v>935682849.31506848</v>
          </cell>
          <cell r="AY45">
            <v>0</v>
          </cell>
          <cell r="AZ45">
            <v>0</v>
          </cell>
          <cell r="BA45">
            <v>925512383.56164384</v>
          </cell>
          <cell r="BB45">
            <v>0</v>
          </cell>
          <cell r="BC45">
            <v>0</v>
          </cell>
          <cell r="BD45">
            <v>915341917.80821919</v>
          </cell>
          <cell r="BE45">
            <v>0</v>
          </cell>
          <cell r="BF45">
            <v>0</v>
          </cell>
          <cell r="BG45">
            <v>935682849.31506848</v>
          </cell>
          <cell r="BH45">
            <v>0</v>
          </cell>
          <cell r="BI45">
            <v>0</v>
          </cell>
          <cell r="BJ45">
            <v>935682849.31506848</v>
          </cell>
          <cell r="BK45">
            <v>0</v>
          </cell>
          <cell r="BL45">
            <v>0</v>
          </cell>
          <cell r="BM45">
            <v>925512383.56164384</v>
          </cell>
          <cell r="BN45">
            <v>0</v>
          </cell>
          <cell r="BO45">
            <v>0</v>
          </cell>
          <cell r="BP45">
            <v>915341917.80821919</v>
          </cell>
          <cell r="BQ45">
            <v>0</v>
          </cell>
          <cell r="BR45">
            <v>0</v>
          </cell>
          <cell r="BS45">
            <v>935682849.31506848</v>
          </cell>
          <cell r="BT45">
            <v>0</v>
          </cell>
          <cell r="BU45">
            <v>0</v>
          </cell>
          <cell r="BV45">
            <v>935682849.31506848</v>
          </cell>
          <cell r="BW45">
            <v>0</v>
          </cell>
          <cell r="BX45">
            <v>0</v>
          </cell>
          <cell r="BY45">
            <v>925512383.56164384</v>
          </cell>
          <cell r="BZ45">
            <v>0</v>
          </cell>
          <cell r="CA45">
            <v>0</v>
          </cell>
          <cell r="CB45">
            <v>925512383.56164384</v>
          </cell>
          <cell r="CC45">
            <v>0</v>
          </cell>
          <cell r="CD45">
            <v>0</v>
          </cell>
          <cell r="CE45">
            <v>935682849.31506848</v>
          </cell>
          <cell r="CF45">
            <v>0</v>
          </cell>
          <cell r="CG45">
            <v>0</v>
          </cell>
          <cell r="CH45">
            <v>935682849.31506848</v>
          </cell>
          <cell r="CI45">
            <v>0</v>
          </cell>
          <cell r="CJ45">
            <v>0</v>
          </cell>
          <cell r="CK45">
            <v>925512383.56164384</v>
          </cell>
          <cell r="CL45">
            <v>0</v>
          </cell>
          <cell r="CM45">
            <v>0</v>
          </cell>
          <cell r="CN45">
            <v>233920712.32876712</v>
          </cell>
          <cell r="CO45">
            <v>0</v>
          </cell>
          <cell r="CP45">
            <v>0</v>
          </cell>
          <cell r="CQ45">
            <v>0</v>
          </cell>
          <cell r="CR45">
            <v>0</v>
          </cell>
          <cell r="CS45">
            <v>0</v>
          </cell>
          <cell r="CT45">
            <v>0</v>
          </cell>
          <cell r="CU45">
            <v>0</v>
          </cell>
          <cell r="CV45">
            <v>0</v>
          </cell>
          <cell r="CW45">
            <v>0</v>
          </cell>
          <cell r="CX45">
            <v>0</v>
          </cell>
          <cell r="CY45">
            <v>0</v>
          </cell>
          <cell r="CZ45">
            <v>4165190952.6981454</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EE45">
            <v>0</v>
          </cell>
          <cell r="EF45">
            <v>0</v>
          </cell>
          <cell r="EG45">
            <v>0</v>
          </cell>
          <cell r="EH45">
            <v>0</v>
          </cell>
          <cell r="EI45">
            <v>0</v>
          </cell>
          <cell r="EJ45">
            <v>0</v>
          </cell>
          <cell r="EK45">
            <v>0</v>
          </cell>
          <cell r="EL45">
            <v>0</v>
          </cell>
          <cell r="EM45">
            <v>0</v>
          </cell>
          <cell r="EN45">
            <v>0</v>
          </cell>
          <cell r="EO45">
            <v>0</v>
          </cell>
          <cell r="EP45">
            <v>0</v>
          </cell>
          <cell r="EQ45">
            <v>0</v>
          </cell>
          <cell r="ER45">
            <v>0</v>
          </cell>
          <cell r="ES45">
            <v>0</v>
          </cell>
          <cell r="ET45">
            <v>0</v>
          </cell>
          <cell r="EU45">
            <v>0</v>
          </cell>
          <cell r="EV45">
            <v>0</v>
          </cell>
          <cell r="EW45">
            <v>0</v>
          </cell>
          <cell r="EX45">
            <v>0</v>
          </cell>
          <cell r="EY45">
            <v>0</v>
          </cell>
          <cell r="EZ45">
            <v>0</v>
          </cell>
          <cell r="FA45">
            <v>0</v>
          </cell>
          <cell r="FB45">
            <v>0</v>
          </cell>
          <cell r="FC45">
            <v>0</v>
          </cell>
          <cell r="FD45">
            <v>0</v>
          </cell>
          <cell r="FE45">
            <v>0</v>
          </cell>
          <cell r="FF45">
            <v>0</v>
          </cell>
          <cell r="FG45">
            <v>0</v>
          </cell>
          <cell r="FH45">
            <v>0</v>
          </cell>
          <cell r="FI45">
            <v>0</v>
          </cell>
          <cell r="FJ45">
            <v>0</v>
          </cell>
          <cell r="FK45">
            <v>0</v>
          </cell>
          <cell r="FL45">
            <v>0</v>
          </cell>
          <cell r="FM45">
            <v>0</v>
          </cell>
          <cell r="FN45">
            <v>0</v>
          </cell>
          <cell r="FO45">
            <v>0</v>
          </cell>
          <cell r="FP45">
            <v>0</v>
          </cell>
          <cell r="FQ45">
            <v>0</v>
          </cell>
          <cell r="FR45">
            <v>0</v>
          </cell>
          <cell r="FS45">
            <v>0</v>
          </cell>
          <cell r="FT45">
            <v>0</v>
          </cell>
          <cell r="FU45">
            <v>0</v>
          </cell>
          <cell r="FV45">
            <v>0</v>
          </cell>
          <cell r="FW45">
            <v>0</v>
          </cell>
          <cell r="FX45">
            <v>0</v>
          </cell>
          <cell r="FY45">
            <v>0</v>
          </cell>
          <cell r="FZ45">
            <v>0</v>
          </cell>
          <cell r="GA45">
            <v>0</v>
          </cell>
          <cell r="GB45">
            <v>0</v>
          </cell>
          <cell r="GC45">
            <v>0</v>
          </cell>
          <cell r="GD45">
            <v>0</v>
          </cell>
          <cell r="GE45">
            <v>0</v>
          </cell>
          <cell r="GF45">
            <v>0</v>
          </cell>
          <cell r="GG45">
            <v>0</v>
          </cell>
          <cell r="GH45">
            <v>0</v>
          </cell>
          <cell r="GI45">
            <v>0</v>
          </cell>
          <cell r="GJ45">
            <v>0</v>
          </cell>
          <cell r="GK45">
            <v>0</v>
          </cell>
          <cell r="GL45">
            <v>0</v>
          </cell>
          <cell r="GM45">
            <v>0</v>
          </cell>
          <cell r="GN45">
            <v>0</v>
          </cell>
          <cell r="GO45">
            <v>0</v>
          </cell>
          <cell r="GP45">
            <v>0</v>
          </cell>
          <cell r="GQ45">
            <v>0</v>
          </cell>
          <cell r="GR45">
            <v>0</v>
          </cell>
          <cell r="GS45">
            <v>0</v>
          </cell>
          <cell r="GT45">
            <v>0</v>
          </cell>
          <cell r="GU45">
            <v>0</v>
          </cell>
          <cell r="GV45">
            <v>0</v>
          </cell>
          <cell r="GW45">
            <v>0</v>
          </cell>
          <cell r="GX45">
            <v>0</v>
          </cell>
          <cell r="GY45">
            <v>0</v>
          </cell>
          <cell r="GZ45">
            <v>0</v>
          </cell>
          <cell r="HA45">
            <v>0</v>
          </cell>
          <cell r="HB45">
            <v>0</v>
          </cell>
          <cell r="HC45">
            <v>0</v>
          </cell>
          <cell r="HD45">
            <v>0</v>
          </cell>
          <cell r="HE45">
            <v>30404992596.533768</v>
          </cell>
        </row>
        <row r="46">
          <cell r="E46" t="str">
            <v>Total</v>
          </cell>
          <cell r="F46">
            <v>0</v>
          </cell>
          <cell r="G46">
            <v>0</v>
          </cell>
          <cell r="H46">
            <v>915341917.80821919</v>
          </cell>
          <cell r="I46">
            <v>0</v>
          </cell>
          <cell r="J46">
            <v>0</v>
          </cell>
          <cell r="K46">
            <v>935682849.31506848</v>
          </cell>
          <cell r="L46">
            <v>0</v>
          </cell>
          <cell r="M46">
            <v>0</v>
          </cell>
          <cell r="N46">
            <v>935682849.31506848</v>
          </cell>
          <cell r="O46">
            <v>0</v>
          </cell>
          <cell r="P46">
            <v>0</v>
          </cell>
          <cell r="Q46">
            <v>925512383.56164384</v>
          </cell>
          <cell r="R46">
            <v>0</v>
          </cell>
          <cell r="S46">
            <v>0</v>
          </cell>
          <cell r="T46">
            <v>915341917.80821919</v>
          </cell>
          <cell r="U46">
            <v>0</v>
          </cell>
          <cell r="V46">
            <v>0</v>
          </cell>
          <cell r="W46">
            <v>935682849.31506848</v>
          </cell>
          <cell r="X46">
            <v>0</v>
          </cell>
          <cell r="Y46">
            <v>0</v>
          </cell>
          <cell r="Z46">
            <v>935682849.31506848</v>
          </cell>
          <cell r="AA46">
            <v>0</v>
          </cell>
          <cell r="AB46">
            <v>0</v>
          </cell>
          <cell r="AC46">
            <v>925512383.56164384</v>
          </cell>
          <cell r="AD46">
            <v>0</v>
          </cell>
          <cell r="AE46">
            <v>0</v>
          </cell>
          <cell r="AF46">
            <v>925512383.56164384</v>
          </cell>
          <cell r="AG46">
            <v>0</v>
          </cell>
          <cell r="AH46">
            <v>0</v>
          </cell>
          <cell r="AI46">
            <v>935682849.31506848</v>
          </cell>
          <cell r="AJ46">
            <v>0</v>
          </cell>
          <cell r="AK46">
            <v>0</v>
          </cell>
          <cell r="AL46">
            <v>935682849.31506848</v>
          </cell>
          <cell r="AM46">
            <v>0</v>
          </cell>
          <cell r="AN46">
            <v>0</v>
          </cell>
          <cell r="AO46">
            <v>925512383.56164384</v>
          </cell>
          <cell r="AP46">
            <v>0</v>
          </cell>
          <cell r="AQ46">
            <v>0</v>
          </cell>
          <cell r="AR46">
            <v>915341917.80821919</v>
          </cell>
          <cell r="AS46">
            <v>0</v>
          </cell>
          <cell r="AT46">
            <v>0</v>
          </cell>
          <cell r="AU46">
            <v>935682849.31506848</v>
          </cell>
          <cell r="AV46">
            <v>0</v>
          </cell>
          <cell r="AW46">
            <v>0</v>
          </cell>
          <cell r="AX46">
            <v>935682849.31506848</v>
          </cell>
          <cell r="AY46">
            <v>0</v>
          </cell>
          <cell r="AZ46">
            <v>0</v>
          </cell>
          <cell r="BA46">
            <v>925512383.56164384</v>
          </cell>
          <cell r="BB46">
            <v>0</v>
          </cell>
          <cell r="BC46">
            <v>0</v>
          </cell>
          <cell r="BD46">
            <v>915341917.80821919</v>
          </cell>
          <cell r="BE46">
            <v>0</v>
          </cell>
          <cell r="BF46">
            <v>0</v>
          </cell>
          <cell r="BG46">
            <v>935682849.31506848</v>
          </cell>
          <cell r="BH46">
            <v>0</v>
          </cell>
          <cell r="BI46">
            <v>0</v>
          </cell>
          <cell r="BJ46">
            <v>935682849.31506848</v>
          </cell>
          <cell r="BK46">
            <v>0</v>
          </cell>
          <cell r="BL46">
            <v>0</v>
          </cell>
          <cell r="BM46">
            <v>925512383.56164384</v>
          </cell>
          <cell r="BN46">
            <v>0</v>
          </cell>
          <cell r="BO46">
            <v>0</v>
          </cell>
          <cell r="BP46">
            <v>915341917.80821919</v>
          </cell>
          <cell r="BQ46">
            <v>0</v>
          </cell>
          <cell r="BR46">
            <v>0</v>
          </cell>
          <cell r="BS46">
            <v>935682849.31506848</v>
          </cell>
          <cell r="BT46">
            <v>0</v>
          </cell>
          <cell r="BU46">
            <v>0</v>
          </cell>
          <cell r="BV46">
            <v>935682849.31506848</v>
          </cell>
          <cell r="BW46">
            <v>0</v>
          </cell>
          <cell r="BX46">
            <v>0</v>
          </cell>
          <cell r="BY46">
            <v>925512383.56164384</v>
          </cell>
          <cell r="BZ46">
            <v>0</v>
          </cell>
          <cell r="CA46">
            <v>0</v>
          </cell>
          <cell r="CB46">
            <v>925512383.56164384</v>
          </cell>
          <cell r="CC46">
            <v>0</v>
          </cell>
          <cell r="CD46">
            <v>0</v>
          </cell>
          <cell r="CE46">
            <v>935682849.31506848</v>
          </cell>
          <cell r="CF46">
            <v>0</v>
          </cell>
          <cell r="CG46">
            <v>0</v>
          </cell>
          <cell r="CH46">
            <v>935682849.31506848</v>
          </cell>
          <cell r="CI46">
            <v>0</v>
          </cell>
          <cell r="CJ46">
            <v>0</v>
          </cell>
          <cell r="CK46">
            <v>925512383.56164384</v>
          </cell>
          <cell r="CL46">
            <v>0</v>
          </cell>
          <cell r="CM46">
            <v>0</v>
          </cell>
          <cell r="CN46">
            <v>233920712.32876712</v>
          </cell>
          <cell r="CO46">
            <v>0</v>
          </cell>
          <cell r="CP46">
            <v>0</v>
          </cell>
          <cell r="CQ46">
            <v>0</v>
          </cell>
          <cell r="CR46">
            <v>0</v>
          </cell>
          <cell r="CS46">
            <v>0</v>
          </cell>
          <cell r="CT46">
            <v>0</v>
          </cell>
          <cell r="CU46">
            <v>0</v>
          </cell>
          <cell r="CV46">
            <v>0</v>
          </cell>
          <cell r="CW46">
            <v>0</v>
          </cell>
          <cell r="CX46">
            <v>0</v>
          </cell>
          <cell r="CY46">
            <v>0</v>
          </cell>
          <cell r="CZ46">
            <v>4165190952.6981454</v>
          </cell>
          <cell r="DA46">
            <v>0</v>
          </cell>
          <cell r="DB46">
            <v>0</v>
          </cell>
          <cell r="DC46">
            <v>0</v>
          </cell>
          <cell r="DD46">
            <v>0</v>
          </cell>
          <cell r="DE46">
            <v>0</v>
          </cell>
          <cell r="DF46">
            <v>0</v>
          </cell>
          <cell r="DG46">
            <v>0</v>
          </cell>
          <cell r="DH46">
            <v>0</v>
          </cell>
          <cell r="DI46">
            <v>0</v>
          </cell>
          <cell r="DJ46">
            <v>0</v>
          </cell>
          <cell r="DK46">
            <v>0</v>
          </cell>
          <cell r="DL46">
            <v>0</v>
          </cell>
          <cell r="DM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cell r="ED46">
            <v>0</v>
          </cell>
          <cell r="EE46">
            <v>0</v>
          </cell>
          <cell r="EF46">
            <v>0</v>
          </cell>
          <cell r="EG46">
            <v>0</v>
          </cell>
          <cell r="EH46">
            <v>0</v>
          </cell>
          <cell r="EI46">
            <v>0</v>
          </cell>
          <cell r="EJ46">
            <v>0</v>
          </cell>
          <cell r="EK46">
            <v>0</v>
          </cell>
          <cell r="EL46">
            <v>0</v>
          </cell>
          <cell r="EM46">
            <v>0</v>
          </cell>
          <cell r="EN46">
            <v>0</v>
          </cell>
          <cell r="EO46">
            <v>0</v>
          </cell>
          <cell r="EP46">
            <v>0</v>
          </cell>
          <cell r="EQ46">
            <v>0</v>
          </cell>
          <cell r="ER46">
            <v>0</v>
          </cell>
          <cell r="ES46">
            <v>0</v>
          </cell>
          <cell r="ET46">
            <v>0</v>
          </cell>
          <cell r="EU46">
            <v>0</v>
          </cell>
          <cell r="EV46">
            <v>0</v>
          </cell>
          <cell r="EW46">
            <v>0</v>
          </cell>
          <cell r="EX46">
            <v>0</v>
          </cell>
          <cell r="EY46">
            <v>0</v>
          </cell>
          <cell r="EZ46">
            <v>0</v>
          </cell>
          <cell r="FA46">
            <v>0</v>
          </cell>
          <cell r="FB46">
            <v>0</v>
          </cell>
          <cell r="FC46">
            <v>0</v>
          </cell>
          <cell r="FD46">
            <v>0</v>
          </cell>
          <cell r="FE46">
            <v>0</v>
          </cell>
          <cell r="FF46">
            <v>0</v>
          </cell>
          <cell r="FG46">
            <v>0</v>
          </cell>
          <cell r="FH46">
            <v>0</v>
          </cell>
          <cell r="FI46">
            <v>0</v>
          </cell>
          <cell r="FJ46">
            <v>0</v>
          </cell>
          <cell r="FK46">
            <v>0</v>
          </cell>
          <cell r="FL46">
            <v>0</v>
          </cell>
          <cell r="FM46">
            <v>0</v>
          </cell>
          <cell r="FN46">
            <v>0</v>
          </cell>
          <cell r="FO46">
            <v>0</v>
          </cell>
          <cell r="FP46">
            <v>0</v>
          </cell>
          <cell r="FQ46">
            <v>0</v>
          </cell>
          <cell r="FR46">
            <v>0</v>
          </cell>
          <cell r="FS46">
            <v>0</v>
          </cell>
          <cell r="FT46">
            <v>0</v>
          </cell>
          <cell r="FU46">
            <v>0</v>
          </cell>
          <cell r="FV46">
            <v>0</v>
          </cell>
          <cell r="FW46">
            <v>0</v>
          </cell>
          <cell r="FX46">
            <v>0</v>
          </cell>
          <cell r="FY46">
            <v>0</v>
          </cell>
          <cell r="FZ46">
            <v>0</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cell r="GX46">
            <v>0</v>
          </cell>
          <cell r="GY46">
            <v>0</v>
          </cell>
          <cell r="GZ46">
            <v>0</v>
          </cell>
          <cell r="HA46">
            <v>0</v>
          </cell>
          <cell r="HB46">
            <v>0</v>
          </cell>
          <cell r="HC46">
            <v>0</v>
          </cell>
          <cell r="HD46">
            <v>0</v>
          </cell>
          <cell r="HE46">
            <v>30404992596.533768</v>
          </cell>
        </row>
        <row r="47">
          <cell r="A47" t="str">
            <v>HBS-10</v>
          </cell>
          <cell r="E47" t="str">
            <v>현     가</v>
          </cell>
          <cell r="F47">
            <v>0</v>
          </cell>
          <cell r="G47">
            <v>0</v>
          </cell>
          <cell r="H47">
            <v>907116221.75825572</v>
          </cell>
          <cell r="I47">
            <v>0</v>
          </cell>
          <cell r="J47">
            <v>0</v>
          </cell>
          <cell r="K47">
            <v>915006182.12007713</v>
          </cell>
          <cell r="L47">
            <v>0</v>
          </cell>
          <cell r="M47">
            <v>0</v>
          </cell>
          <cell r="N47">
            <v>902766710.71374726</v>
          </cell>
          <cell r="O47">
            <v>0</v>
          </cell>
          <cell r="P47">
            <v>0</v>
          </cell>
          <cell r="Q47">
            <v>880879168.97002161</v>
          </cell>
          <cell r="R47">
            <v>0</v>
          </cell>
          <cell r="S47">
            <v>0</v>
          </cell>
          <cell r="T47">
            <v>853282461.81790316</v>
          </cell>
          <cell r="U47">
            <v>0</v>
          </cell>
          <cell r="V47">
            <v>0</v>
          </cell>
          <cell r="W47">
            <v>859402228.62410569</v>
          </cell>
          <cell r="X47">
            <v>0</v>
          </cell>
          <cell r="Y47">
            <v>0</v>
          </cell>
          <cell r="Z47">
            <v>846609699.63251579</v>
          </cell>
          <cell r="AA47">
            <v>0</v>
          </cell>
          <cell r="AB47">
            <v>0</v>
          </cell>
          <cell r="AC47">
            <v>824806348.7503227</v>
          </cell>
          <cell r="AD47">
            <v>0</v>
          </cell>
          <cell r="AE47">
            <v>0</v>
          </cell>
          <cell r="AF47">
            <v>806458781.01858461</v>
          </cell>
          <cell r="AG47">
            <v>0</v>
          </cell>
          <cell r="AH47">
            <v>0</v>
          </cell>
          <cell r="AI47">
            <v>802507236.42236733</v>
          </cell>
          <cell r="AJ47">
            <v>0</v>
          </cell>
          <cell r="AK47">
            <v>0</v>
          </cell>
          <cell r="AL47">
            <v>789894890.25865793</v>
          </cell>
          <cell r="AM47">
            <v>0</v>
          </cell>
          <cell r="AN47">
            <v>0</v>
          </cell>
          <cell r="AO47">
            <v>768896025.53178465</v>
          </cell>
          <cell r="AP47">
            <v>0</v>
          </cell>
          <cell r="AQ47">
            <v>0</v>
          </cell>
          <cell r="AR47">
            <v>738872437.85529697</v>
          </cell>
          <cell r="AS47">
            <v>0</v>
          </cell>
          <cell r="AT47">
            <v>0</v>
          </cell>
          <cell r="AU47">
            <v>742812969.2768333</v>
          </cell>
          <cell r="AV47">
            <v>0</v>
          </cell>
          <cell r="AW47">
            <v>0</v>
          </cell>
          <cell r="AX47">
            <v>730405069.73458374</v>
          </cell>
          <cell r="AY47">
            <v>0</v>
          </cell>
          <cell r="AZ47">
            <v>0</v>
          </cell>
          <cell r="BA47">
            <v>710266371.38999557</v>
          </cell>
          <cell r="BB47">
            <v>0</v>
          </cell>
          <cell r="BC47">
            <v>0</v>
          </cell>
          <cell r="BD47">
            <v>690599530.66202164</v>
          </cell>
          <cell r="BE47">
            <v>0</v>
          </cell>
          <cell r="BF47">
            <v>0</v>
          </cell>
          <cell r="BG47">
            <v>694282614.52176213</v>
          </cell>
          <cell r="BH47">
            <v>0</v>
          </cell>
          <cell r="BI47">
            <v>0</v>
          </cell>
          <cell r="BJ47">
            <v>682685362.86997259</v>
          </cell>
          <cell r="BK47">
            <v>0</v>
          </cell>
          <cell r="BL47">
            <v>0</v>
          </cell>
          <cell r="BM47">
            <v>663862390.3075012</v>
          </cell>
          <cell r="BN47">
            <v>0</v>
          </cell>
          <cell r="BO47">
            <v>0</v>
          </cell>
          <cell r="BP47">
            <v>632233340.02632177</v>
          </cell>
          <cell r="BQ47">
            <v>0</v>
          </cell>
          <cell r="BR47">
            <v>0</v>
          </cell>
          <cell r="BS47">
            <v>634976833.76815796</v>
          </cell>
          <cell r="BT47">
            <v>0</v>
          </cell>
          <cell r="BU47">
            <v>0</v>
          </cell>
          <cell r="BV47">
            <v>623746160.25533426</v>
          </cell>
          <cell r="BW47">
            <v>0</v>
          </cell>
          <cell r="BX47">
            <v>0</v>
          </cell>
          <cell r="BY47">
            <v>605935349.63559794</v>
          </cell>
          <cell r="BZ47">
            <v>0</v>
          </cell>
          <cell r="CA47">
            <v>0</v>
          </cell>
          <cell r="CB47">
            <v>595101615.07680428</v>
          </cell>
          <cell r="CC47">
            <v>0</v>
          </cell>
          <cell r="CD47">
            <v>0</v>
          </cell>
          <cell r="CE47">
            <v>591000118.73372364</v>
          </cell>
          <cell r="CF47">
            <v>0</v>
          </cell>
          <cell r="CG47">
            <v>0</v>
          </cell>
          <cell r="CH47">
            <v>580547250.1776371</v>
          </cell>
          <cell r="CI47">
            <v>0</v>
          </cell>
          <cell r="CJ47">
            <v>0</v>
          </cell>
          <cell r="CK47">
            <v>563969966.35998631</v>
          </cell>
          <cell r="CL47">
            <v>0</v>
          </cell>
          <cell r="CM47">
            <v>0</v>
          </cell>
          <cell r="CN47">
            <v>139993302.80457962</v>
          </cell>
          <cell r="CO47">
            <v>0</v>
          </cell>
          <cell r="CP47">
            <v>0</v>
          </cell>
          <cell r="CQ47">
            <v>0</v>
          </cell>
          <cell r="CR47">
            <v>0</v>
          </cell>
          <cell r="CS47">
            <v>0</v>
          </cell>
          <cell r="CT47">
            <v>0</v>
          </cell>
          <cell r="CU47">
            <v>0</v>
          </cell>
          <cell r="CV47">
            <v>0</v>
          </cell>
          <cell r="CW47">
            <v>0</v>
          </cell>
          <cell r="CX47">
            <v>0</v>
          </cell>
          <cell r="CY47">
            <v>0</v>
          </cell>
          <cell r="CZ47">
            <v>2320536213.9659696</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23099452853.040417</v>
          </cell>
        </row>
        <row r="48">
          <cell r="B48" t="str">
            <v>HBS-11</v>
          </cell>
          <cell r="C48" t="str">
            <v>대우자동차판매㈜</v>
          </cell>
          <cell r="D48">
            <v>0.3</v>
          </cell>
          <cell r="E48" t="str">
            <v>담     보</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row>
        <row r="49">
          <cell r="D49">
            <v>0.3</v>
          </cell>
          <cell r="E49" t="str">
            <v>무 담 보</v>
          </cell>
          <cell r="F49">
            <v>0</v>
          </cell>
          <cell r="G49">
            <v>0</v>
          </cell>
          <cell r="H49">
            <v>181310426.37778255</v>
          </cell>
          <cell r="I49">
            <v>0</v>
          </cell>
          <cell r="J49">
            <v>0</v>
          </cell>
          <cell r="K49">
            <v>178661080.97529966</v>
          </cell>
          <cell r="L49">
            <v>0</v>
          </cell>
          <cell r="M49">
            <v>0</v>
          </cell>
          <cell r="N49">
            <v>175943822.46549657</v>
          </cell>
          <cell r="O49">
            <v>0</v>
          </cell>
          <cell r="P49">
            <v>0</v>
          </cell>
          <cell r="Q49">
            <v>172819819.52876711</v>
          </cell>
          <cell r="R49">
            <v>0</v>
          </cell>
          <cell r="S49">
            <v>0</v>
          </cell>
          <cell r="T49">
            <v>169086067.06014553</v>
          </cell>
          <cell r="U49">
            <v>0</v>
          </cell>
          <cell r="V49">
            <v>0</v>
          </cell>
          <cell r="W49">
            <v>166300895.44302228</v>
          </cell>
          <cell r="X49">
            <v>0</v>
          </cell>
          <cell r="Y49">
            <v>0</v>
          </cell>
          <cell r="Z49">
            <v>163447810.71857876</v>
          </cell>
          <cell r="AA49">
            <v>0</v>
          </cell>
          <cell r="AB49">
            <v>0</v>
          </cell>
          <cell r="AC49">
            <v>160323807.78184932</v>
          </cell>
          <cell r="AD49">
            <v>0</v>
          </cell>
          <cell r="AE49">
            <v>0</v>
          </cell>
          <cell r="AF49">
            <v>156988725.09663165</v>
          </cell>
          <cell r="AG49">
            <v>0</v>
          </cell>
          <cell r="AH49">
            <v>0</v>
          </cell>
          <cell r="AI49">
            <v>153907121.46324283</v>
          </cell>
          <cell r="AJ49">
            <v>0</v>
          </cell>
          <cell r="AK49">
            <v>0</v>
          </cell>
          <cell r="AL49">
            <v>150926376.94748977</v>
          </cell>
          <cell r="AM49">
            <v>0</v>
          </cell>
          <cell r="AN49">
            <v>0</v>
          </cell>
          <cell r="AO49">
            <v>147810909.53790984</v>
          </cell>
          <cell r="AP49">
            <v>0</v>
          </cell>
          <cell r="AQ49">
            <v>0</v>
          </cell>
          <cell r="AR49">
            <v>144637348.42487156</v>
          </cell>
          <cell r="AS49">
            <v>0</v>
          </cell>
          <cell r="AT49">
            <v>0</v>
          </cell>
          <cell r="AU49">
            <v>138584604.375</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0</v>
          </cell>
          <cell r="EC49">
            <v>0</v>
          </cell>
          <cell r="ED49">
            <v>0</v>
          </cell>
          <cell r="EE49">
            <v>0</v>
          </cell>
          <cell r="EF49">
            <v>0</v>
          </cell>
          <cell r="EG49">
            <v>0</v>
          </cell>
          <cell r="EH49">
            <v>0</v>
          </cell>
          <cell r="EI49">
            <v>0</v>
          </cell>
          <cell r="EJ49">
            <v>0</v>
          </cell>
          <cell r="EK49">
            <v>0</v>
          </cell>
          <cell r="EL49">
            <v>0</v>
          </cell>
          <cell r="EM49">
            <v>0</v>
          </cell>
          <cell r="EN49">
            <v>0</v>
          </cell>
          <cell r="EO49">
            <v>0</v>
          </cell>
          <cell r="EP49">
            <v>0</v>
          </cell>
          <cell r="EQ49">
            <v>0</v>
          </cell>
          <cell r="ER49">
            <v>0</v>
          </cell>
          <cell r="ES49">
            <v>0</v>
          </cell>
          <cell r="ET49">
            <v>0</v>
          </cell>
          <cell r="EU49">
            <v>0</v>
          </cell>
          <cell r="EV49">
            <v>0</v>
          </cell>
          <cell r="EW49">
            <v>0</v>
          </cell>
          <cell r="EX49">
            <v>0</v>
          </cell>
          <cell r="EY49">
            <v>0</v>
          </cell>
          <cell r="EZ49">
            <v>0</v>
          </cell>
          <cell r="FA49">
            <v>0</v>
          </cell>
          <cell r="FB49">
            <v>0</v>
          </cell>
          <cell r="FC49">
            <v>0</v>
          </cell>
          <cell r="FD49">
            <v>0</v>
          </cell>
          <cell r="FE49">
            <v>0</v>
          </cell>
          <cell r="FF49">
            <v>0</v>
          </cell>
          <cell r="FG49">
            <v>0</v>
          </cell>
          <cell r="FH49">
            <v>0</v>
          </cell>
          <cell r="FI49">
            <v>0</v>
          </cell>
          <cell r="FJ49">
            <v>0</v>
          </cell>
          <cell r="FK49">
            <v>0</v>
          </cell>
          <cell r="FL49">
            <v>0</v>
          </cell>
          <cell r="FM49">
            <v>0</v>
          </cell>
          <cell r="FN49">
            <v>0</v>
          </cell>
          <cell r="FO49">
            <v>0</v>
          </cell>
          <cell r="FP49">
            <v>0</v>
          </cell>
          <cell r="FQ49">
            <v>0</v>
          </cell>
          <cell r="FR49">
            <v>0</v>
          </cell>
          <cell r="FS49">
            <v>0</v>
          </cell>
          <cell r="FT49">
            <v>0</v>
          </cell>
          <cell r="FU49">
            <v>0</v>
          </cell>
          <cell r="FV49">
            <v>0</v>
          </cell>
          <cell r="FW49">
            <v>0</v>
          </cell>
          <cell r="FX49">
            <v>0</v>
          </cell>
          <cell r="FY49">
            <v>0</v>
          </cell>
          <cell r="FZ49">
            <v>0</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cell r="GY49">
            <v>0</v>
          </cell>
          <cell r="GZ49">
            <v>0</v>
          </cell>
          <cell r="HA49">
            <v>0</v>
          </cell>
          <cell r="HB49">
            <v>0</v>
          </cell>
          <cell r="HC49">
            <v>0</v>
          </cell>
          <cell r="HD49">
            <v>0</v>
          </cell>
          <cell r="HE49">
            <v>2260748816.1960869</v>
          </cell>
        </row>
        <row r="50">
          <cell r="E50" t="str">
            <v>Total</v>
          </cell>
          <cell r="F50">
            <v>0</v>
          </cell>
          <cell r="G50">
            <v>0</v>
          </cell>
          <cell r="H50">
            <v>181310426.37778255</v>
          </cell>
          <cell r="I50">
            <v>0</v>
          </cell>
          <cell r="J50">
            <v>0</v>
          </cell>
          <cell r="K50">
            <v>178661080.97529966</v>
          </cell>
          <cell r="L50">
            <v>0</v>
          </cell>
          <cell r="M50">
            <v>0</v>
          </cell>
          <cell r="N50">
            <v>175943822.46549657</v>
          </cell>
          <cell r="O50">
            <v>0</v>
          </cell>
          <cell r="P50">
            <v>0</v>
          </cell>
          <cell r="Q50">
            <v>172819819.52876711</v>
          </cell>
          <cell r="R50">
            <v>0</v>
          </cell>
          <cell r="S50">
            <v>0</v>
          </cell>
          <cell r="T50">
            <v>169086067.06014553</v>
          </cell>
          <cell r="U50">
            <v>0</v>
          </cell>
          <cell r="V50">
            <v>0</v>
          </cell>
          <cell r="W50">
            <v>166300895.44302228</v>
          </cell>
          <cell r="X50">
            <v>0</v>
          </cell>
          <cell r="Y50">
            <v>0</v>
          </cell>
          <cell r="Z50">
            <v>163447810.71857876</v>
          </cell>
          <cell r="AA50">
            <v>0</v>
          </cell>
          <cell r="AB50">
            <v>0</v>
          </cell>
          <cell r="AC50">
            <v>160323807.78184932</v>
          </cell>
          <cell r="AD50">
            <v>0</v>
          </cell>
          <cell r="AE50">
            <v>0</v>
          </cell>
          <cell r="AF50">
            <v>156988725.09663165</v>
          </cell>
          <cell r="AG50">
            <v>0</v>
          </cell>
          <cell r="AH50">
            <v>0</v>
          </cell>
          <cell r="AI50">
            <v>153907121.46324283</v>
          </cell>
          <cell r="AJ50">
            <v>0</v>
          </cell>
          <cell r="AK50">
            <v>0</v>
          </cell>
          <cell r="AL50">
            <v>150926376.94748977</v>
          </cell>
          <cell r="AM50">
            <v>0</v>
          </cell>
          <cell r="AN50">
            <v>0</v>
          </cell>
          <cell r="AO50">
            <v>147810909.53790984</v>
          </cell>
          <cell r="AP50">
            <v>0</v>
          </cell>
          <cell r="AQ50">
            <v>0</v>
          </cell>
          <cell r="AR50">
            <v>144637348.42487156</v>
          </cell>
          <cell r="AS50">
            <v>0</v>
          </cell>
          <cell r="AT50">
            <v>0</v>
          </cell>
          <cell r="AU50">
            <v>138584604.375</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0</v>
          </cell>
          <cell r="EC50">
            <v>0</v>
          </cell>
          <cell r="ED50">
            <v>0</v>
          </cell>
          <cell r="EE50">
            <v>0</v>
          </cell>
          <cell r="EF50">
            <v>0</v>
          </cell>
          <cell r="EG50">
            <v>0</v>
          </cell>
          <cell r="EH50">
            <v>0</v>
          </cell>
          <cell r="EI50">
            <v>0</v>
          </cell>
          <cell r="EJ50">
            <v>0</v>
          </cell>
          <cell r="EK50">
            <v>0</v>
          </cell>
          <cell r="EL50">
            <v>0</v>
          </cell>
          <cell r="EM50">
            <v>0</v>
          </cell>
          <cell r="EN50">
            <v>0</v>
          </cell>
          <cell r="EO50">
            <v>0</v>
          </cell>
          <cell r="EP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cell r="GY50">
            <v>0</v>
          </cell>
          <cell r="GZ50">
            <v>0</v>
          </cell>
          <cell r="HA50">
            <v>0</v>
          </cell>
          <cell r="HB50">
            <v>0</v>
          </cell>
          <cell r="HC50">
            <v>0</v>
          </cell>
          <cell r="HD50">
            <v>0</v>
          </cell>
          <cell r="HE50">
            <v>2260748816.1960869</v>
          </cell>
        </row>
        <row r="51">
          <cell r="A51" t="str">
            <v>HBS-11</v>
          </cell>
          <cell r="E51" t="str">
            <v>현     가</v>
          </cell>
          <cell r="F51">
            <v>0</v>
          </cell>
          <cell r="G51">
            <v>0</v>
          </cell>
          <cell r="H51">
            <v>179681085.00374818</v>
          </cell>
          <cell r="I51">
            <v>0</v>
          </cell>
          <cell r="J51">
            <v>0</v>
          </cell>
          <cell r="K51">
            <v>174713038.41501567</v>
          </cell>
          <cell r="L51">
            <v>0</v>
          </cell>
          <cell r="M51">
            <v>0</v>
          </cell>
          <cell r="N51">
            <v>169754341.4350813</v>
          </cell>
          <cell r="O51">
            <v>0</v>
          </cell>
          <cell r="P51">
            <v>0</v>
          </cell>
          <cell r="Q51">
            <v>164485512.79477283</v>
          </cell>
          <cell r="R51">
            <v>0</v>
          </cell>
          <cell r="S51">
            <v>0</v>
          </cell>
          <cell r="T51">
            <v>157622165.83029574</v>
          </cell>
          <cell r="U51">
            <v>0</v>
          </cell>
          <cell r="V51">
            <v>0</v>
          </cell>
          <cell r="W51">
            <v>152743379.09531686</v>
          </cell>
          <cell r="X51">
            <v>0</v>
          </cell>
          <cell r="Y51">
            <v>0</v>
          </cell>
          <cell r="Z51">
            <v>147888252.99014682</v>
          </cell>
          <cell r="AA51">
            <v>0</v>
          </cell>
          <cell r="AB51">
            <v>0</v>
          </cell>
          <cell r="AC51">
            <v>142878795.42509452</v>
          </cell>
          <cell r="AD51">
            <v>0</v>
          </cell>
          <cell r="AE51">
            <v>0</v>
          </cell>
          <cell r="AF51">
            <v>136794426.6589694</v>
          </cell>
          <cell r="AG51">
            <v>0</v>
          </cell>
          <cell r="AH51">
            <v>0</v>
          </cell>
          <cell r="AI51">
            <v>132001541.76343046</v>
          </cell>
          <cell r="AJ51">
            <v>0</v>
          </cell>
          <cell r="AK51">
            <v>0</v>
          </cell>
          <cell r="AL51">
            <v>127410664.88858041</v>
          </cell>
          <cell r="AM51">
            <v>0</v>
          </cell>
          <cell r="AN51">
            <v>0</v>
          </cell>
          <cell r="AO51">
            <v>122798163.36608453</v>
          </cell>
          <cell r="AP51">
            <v>0</v>
          </cell>
          <cell r="AQ51">
            <v>0</v>
          </cell>
          <cell r="AR51">
            <v>116752601.57593019</v>
          </cell>
          <cell r="AS51">
            <v>0</v>
          </cell>
          <cell r="AT51">
            <v>0</v>
          </cell>
          <cell r="AU51">
            <v>110018519.14588809</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0</v>
          </cell>
          <cell r="DM51">
            <v>0</v>
          </cell>
          <cell r="DN51">
            <v>0</v>
          </cell>
          <cell r="DO51">
            <v>0</v>
          </cell>
          <cell r="DP51">
            <v>0</v>
          </cell>
          <cell r="DQ51">
            <v>0</v>
          </cell>
          <cell r="DR51">
            <v>0</v>
          </cell>
          <cell r="DS51">
            <v>0</v>
          </cell>
          <cell r="DT51">
            <v>0</v>
          </cell>
          <cell r="DU51">
            <v>0</v>
          </cell>
          <cell r="DV51">
            <v>0</v>
          </cell>
          <cell r="DW51">
            <v>0</v>
          </cell>
          <cell r="DX51">
            <v>0</v>
          </cell>
          <cell r="DY51">
            <v>0</v>
          </cell>
          <cell r="DZ51">
            <v>0</v>
          </cell>
          <cell r="EA51">
            <v>0</v>
          </cell>
          <cell r="EB51">
            <v>0</v>
          </cell>
          <cell r="EC51">
            <v>0</v>
          </cell>
          <cell r="ED51">
            <v>0</v>
          </cell>
          <cell r="EE51">
            <v>0</v>
          </cell>
          <cell r="EF51">
            <v>0</v>
          </cell>
          <cell r="EG51">
            <v>0</v>
          </cell>
          <cell r="EH51">
            <v>0</v>
          </cell>
          <cell r="EI51">
            <v>0</v>
          </cell>
          <cell r="EJ51">
            <v>0</v>
          </cell>
          <cell r="EK51">
            <v>0</v>
          </cell>
          <cell r="EL51">
            <v>0</v>
          </cell>
          <cell r="EM51">
            <v>0</v>
          </cell>
          <cell r="EN51">
            <v>0</v>
          </cell>
          <cell r="EO51">
            <v>0</v>
          </cell>
          <cell r="EP51">
            <v>0</v>
          </cell>
          <cell r="EQ51">
            <v>0</v>
          </cell>
          <cell r="ER51">
            <v>0</v>
          </cell>
          <cell r="ES51">
            <v>0</v>
          </cell>
          <cell r="ET51">
            <v>0</v>
          </cell>
          <cell r="EU51">
            <v>0</v>
          </cell>
          <cell r="EV51">
            <v>0</v>
          </cell>
          <cell r="EW51">
            <v>0</v>
          </cell>
          <cell r="EX51">
            <v>0</v>
          </cell>
          <cell r="EY51">
            <v>0</v>
          </cell>
          <cell r="EZ51">
            <v>0</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cell r="GY51">
            <v>0</v>
          </cell>
          <cell r="GZ51">
            <v>0</v>
          </cell>
          <cell r="HA51">
            <v>0</v>
          </cell>
          <cell r="HB51">
            <v>0</v>
          </cell>
          <cell r="HC51">
            <v>0</v>
          </cell>
          <cell r="HD51">
            <v>0</v>
          </cell>
          <cell r="HE51">
            <v>2035542488.388355</v>
          </cell>
        </row>
        <row r="52">
          <cell r="B52" t="str">
            <v>HBS-12</v>
          </cell>
          <cell r="C52" t="str">
            <v>삼미금속</v>
          </cell>
          <cell r="D52">
            <v>0.19365564457987661</v>
          </cell>
          <cell r="E52" t="str">
            <v>담     보</v>
          </cell>
          <cell r="F52">
            <v>255188241.46827233</v>
          </cell>
          <cell r="G52">
            <v>0</v>
          </cell>
          <cell r="H52">
            <v>0</v>
          </cell>
          <cell r="I52">
            <v>0</v>
          </cell>
          <cell r="J52">
            <v>0</v>
          </cell>
          <cell r="K52">
            <v>0</v>
          </cell>
          <cell r="L52">
            <v>0</v>
          </cell>
          <cell r="M52">
            <v>0</v>
          </cell>
          <cell r="N52">
            <v>0</v>
          </cell>
          <cell r="O52">
            <v>0</v>
          </cell>
          <cell r="P52">
            <v>0</v>
          </cell>
          <cell r="Q52">
            <v>0</v>
          </cell>
          <cell r="R52">
            <v>714301913.89387453</v>
          </cell>
          <cell r="S52">
            <v>0</v>
          </cell>
          <cell r="T52">
            <v>0</v>
          </cell>
          <cell r="U52">
            <v>0</v>
          </cell>
          <cell r="V52">
            <v>0</v>
          </cell>
          <cell r="W52">
            <v>0</v>
          </cell>
          <cell r="X52">
            <v>0</v>
          </cell>
          <cell r="Y52">
            <v>0</v>
          </cell>
          <cell r="Z52">
            <v>0</v>
          </cell>
          <cell r="AA52">
            <v>0</v>
          </cell>
          <cell r="AB52">
            <v>0</v>
          </cell>
          <cell r="AC52">
            <v>0</v>
          </cell>
          <cell r="AD52">
            <v>691971015.96919942</v>
          </cell>
          <cell r="AE52">
            <v>0</v>
          </cell>
          <cell r="AF52">
            <v>0</v>
          </cell>
          <cell r="AG52">
            <v>0</v>
          </cell>
          <cell r="AH52">
            <v>0</v>
          </cell>
          <cell r="AI52">
            <v>0</v>
          </cell>
          <cell r="AJ52">
            <v>0</v>
          </cell>
          <cell r="AK52">
            <v>0</v>
          </cell>
          <cell r="AL52">
            <v>0</v>
          </cell>
          <cell r="AM52">
            <v>0</v>
          </cell>
          <cell r="AN52">
            <v>0</v>
          </cell>
          <cell r="AO52">
            <v>0</v>
          </cell>
          <cell r="AP52">
            <v>846468897.98434198</v>
          </cell>
          <cell r="AQ52">
            <v>0</v>
          </cell>
          <cell r="AR52">
            <v>0</v>
          </cell>
          <cell r="AS52">
            <v>0</v>
          </cell>
          <cell r="AT52">
            <v>0</v>
          </cell>
          <cell r="AU52">
            <v>0</v>
          </cell>
          <cell r="AV52">
            <v>0</v>
          </cell>
          <cell r="AW52">
            <v>0</v>
          </cell>
          <cell r="AX52">
            <v>0</v>
          </cell>
          <cell r="AY52">
            <v>0</v>
          </cell>
          <cell r="AZ52">
            <v>0</v>
          </cell>
          <cell r="BA52">
            <v>0</v>
          </cell>
          <cell r="BB52">
            <v>800310892.67511129</v>
          </cell>
          <cell r="BC52">
            <v>0</v>
          </cell>
          <cell r="BD52">
            <v>0</v>
          </cell>
          <cell r="BE52">
            <v>0</v>
          </cell>
          <cell r="BF52">
            <v>0</v>
          </cell>
          <cell r="BG52">
            <v>0</v>
          </cell>
          <cell r="BH52">
            <v>0</v>
          </cell>
          <cell r="BI52">
            <v>0</v>
          </cell>
          <cell r="BJ52">
            <v>0</v>
          </cell>
          <cell r="BK52">
            <v>0</v>
          </cell>
          <cell r="BL52">
            <v>0</v>
          </cell>
          <cell r="BM52">
            <v>0</v>
          </cell>
          <cell r="BN52">
            <v>754430217.93502605</v>
          </cell>
          <cell r="BO52">
            <v>0</v>
          </cell>
          <cell r="BP52">
            <v>0</v>
          </cell>
          <cell r="BQ52">
            <v>0</v>
          </cell>
          <cell r="BR52">
            <v>0</v>
          </cell>
          <cell r="BS52">
            <v>0</v>
          </cell>
          <cell r="BT52">
            <v>0</v>
          </cell>
          <cell r="BU52">
            <v>0</v>
          </cell>
          <cell r="BV52">
            <v>0</v>
          </cell>
          <cell r="BW52">
            <v>0</v>
          </cell>
          <cell r="BX52">
            <v>0</v>
          </cell>
          <cell r="BY52">
            <v>0</v>
          </cell>
          <cell r="BZ52">
            <v>708464208.8351568</v>
          </cell>
          <cell r="CA52">
            <v>0</v>
          </cell>
          <cell r="CB52">
            <v>0</v>
          </cell>
          <cell r="CC52">
            <v>0</v>
          </cell>
          <cell r="CD52">
            <v>0</v>
          </cell>
          <cell r="CE52">
            <v>0</v>
          </cell>
          <cell r="CF52">
            <v>0</v>
          </cell>
          <cell r="CG52">
            <v>0</v>
          </cell>
          <cell r="CH52">
            <v>0</v>
          </cell>
          <cell r="CI52">
            <v>0</v>
          </cell>
          <cell r="CJ52">
            <v>0</v>
          </cell>
          <cell r="CK52">
            <v>0</v>
          </cell>
          <cell r="CL52">
            <v>1244308894.4104977</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0</v>
          </cell>
          <cell r="EC52">
            <v>0</v>
          </cell>
          <cell r="ED52">
            <v>0</v>
          </cell>
          <cell r="EE52">
            <v>0</v>
          </cell>
          <cell r="EF52">
            <v>0</v>
          </cell>
          <cell r="EG52">
            <v>0</v>
          </cell>
          <cell r="EH52">
            <v>0</v>
          </cell>
          <cell r="EI52">
            <v>0</v>
          </cell>
          <cell r="EJ52">
            <v>0</v>
          </cell>
          <cell r="EK52">
            <v>0</v>
          </cell>
          <cell r="EL52">
            <v>0</v>
          </cell>
          <cell r="EM52">
            <v>0</v>
          </cell>
          <cell r="EN52">
            <v>0</v>
          </cell>
          <cell r="EO52">
            <v>0</v>
          </cell>
          <cell r="EP52">
            <v>0</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0</v>
          </cell>
          <cell r="GM52">
            <v>0</v>
          </cell>
          <cell r="GN52">
            <v>0</v>
          </cell>
          <cell r="GO52">
            <v>0</v>
          </cell>
          <cell r="GP52">
            <v>0</v>
          </cell>
          <cell r="GQ52">
            <v>0</v>
          </cell>
          <cell r="GR52">
            <v>0</v>
          </cell>
          <cell r="GS52">
            <v>0</v>
          </cell>
          <cell r="GT52">
            <v>0</v>
          </cell>
          <cell r="GU52">
            <v>0</v>
          </cell>
          <cell r="GV52">
            <v>0</v>
          </cell>
          <cell r="GW52">
            <v>0</v>
          </cell>
          <cell r="GX52">
            <v>0</v>
          </cell>
          <cell r="GY52">
            <v>0</v>
          </cell>
          <cell r="GZ52">
            <v>0</v>
          </cell>
          <cell r="HA52">
            <v>0</v>
          </cell>
          <cell r="HB52">
            <v>0</v>
          </cell>
          <cell r="HC52">
            <v>0</v>
          </cell>
          <cell r="HD52">
            <v>0</v>
          </cell>
          <cell r="HE52">
            <v>6015444283.1714802</v>
          </cell>
        </row>
        <row r="53">
          <cell r="D53">
            <v>0.19365564457987661</v>
          </cell>
          <cell r="E53" t="str">
            <v>무 담 보</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cell r="EI53">
            <v>0</v>
          </cell>
          <cell r="EJ53">
            <v>0</v>
          </cell>
          <cell r="EK53">
            <v>0</v>
          </cell>
          <cell r="EL53">
            <v>0</v>
          </cell>
          <cell r="EM53">
            <v>0</v>
          </cell>
          <cell r="EN53">
            <v>0</v>
          </cell>
          <cell r="EO53">
            <v>0</v>
          </cell>
          <cell r="EP53">
            <v>0</v>
          </cell>
          <cell r="EQ53">
            <v>0</v>
          </cell>
          <cell r="ER53">
            <v>0</v>
          </cell>
          <cell r="ES53">
            <v>0</v>
          </cell>
          <cell r="ET53">
            <v>0</v>
          </cell>
          <cell r="EU53">
            <v>0</v>
          </cell>
          <cell r="EV53">
            <v>0</v>
          </cell>
          <cell r="EW53">
            <v>0</v>
          </cell>
          <cell r="EX53">
            <v>0</v>
          </cell>
          <cell r="EY53">
            <v>0</v>
          </cell>
          <cell r="EZ53">
            <v>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cell r="FO53">
            <v>0</v>
          </cell>
          <cell r="FP53">
            <v>0</v>
          </cell>
          <cell r="FQ53">
            <v>0</v>
          </cell>
          <cell r="FR53">
            <v>0</v>
          </cell>
          <cell r="FS53">
            <v>0</v>
          </cell>
          <cell r="FT53">
            <v>0</v>
          </cell>
          <cell r="FU53">
            <v>0</v>
          </cell>
          <cell r="FV53">
            <v>0</v>
          </cell>
          <cell r="FW53">
            <v>0</v>
          </cell>
          <cell r="FX53">
            <v>0</v>
          </cell>
          <cell r="FY53">
            <v>0</v>
          </cell>
          <cell r="FZ53">
            <v>0</v>
          </cell>
          <cell r="GA53">
            <v>0</v>
          </cell>
          <cell r="GB53">
            <v>0</v>
          </cell>
          <cell r="GC53">
            <v>0</v>
          </cell>
          <cell r="GD53">
            <v>0</v>
          </cell>
          <cell r="GE53">
            <v>0</v>
          </cell>
          <cell r="GF53">
            <v>0</v>
          </cell>
          <cell r="GG53">
            <v>0</v>
          </cell>
          <cell r="GH53">
            <v>0</v>
          </cell>
          <cell r="GI53">
            <v>0</v>
          </cell>
          <cell r="GJ53">
            <v>0</v>
          </cell>
          <cell r="GK53">
            <v>0</v>
          </cell>
          <cell r="GL53">
            <v>0</v>
          </cell>
          <cell r="GM53">
            <v>0</v>
          </cell>
          <cell r="GN53">
            <v>0</v>
          </cell>
          <cell r="GO53">
            <v>0</v>
          </cell>
          <cell r="GP53">
            <v>0</v>
          </cell>
          <cell r="GQ53">
            <v>0</v>
          </cell>
          <cell r="GR53">
            <v>0</v>
          </cell>
          <cell r="GS53">
            <v>0</v>
          </cell>
          <cell r="GT53">
            <v>0</v>
          </cell>
          <cell r="GU53">
            <v>0</v>
          </cell>
          <cell r="GV53">
            <v>0</v>
          </cell>
          <cell r="GW53">
            <v>0</v>
          </cell>
          <cell r="GX53">
            <v>0</v>
          </cell>
          <cell r="GY53">
            <v>0</v>
          </cell>
          <cell r="GZ53">
            <v>0</v>
          </cell>
          <cell r="HA53">
            <v>0</v>
          </cell>
          <cell r="HB53">
            <v>0</v>
          </cell>
          <cell r="HC53">
            <v>0</v>
          </cell>
          <cell r="HD53">
            <v>0</v>
          </cell>
          <cell r="HE53">
            <v>0</v>
          </cell>
        </row>
        <row r="54">
          <cell r="E54" t="str">
            <v>Total</v>
          </cell>
          <cell r="F54">
            <v>255188241.46827233</v>
          </cell>
          <cell r="G54">
            <v>0</v>
          </cell>
          <cell r="H54">
            <v>0</v>
          </cell>
          <cell r="I54">
            <v>0</v>
          </cell>
          <cell r="J54">
            <v>0</v>
          </cell>
          <cell r="K54">
            <v>0</v>
          </cell>
          <cell r="L54">
            <v>0</v>
          </cell>
          <cell r="M54">
            <v>0</v>
          </cell>
          <cell r="N54">
            <v>0</v>
          </cell>
          <cell r="O54">
            <v>0</v>
          </cell>
          <cell r="P54">
            <v>0</v>
          </cell>
          <cell r="Q54">
            <v>0</v>
          </cell>
          <cell r="R54">
            <v>714301913.89387453</v>
          </cell>
          <cell r="S54">
            <v>0</v>
          </cell>
          <cell r="T54">
            <v>0</v>
          </cell>
          <cell r="U54">
            <v>0</v>
          </cell>
          <cell r="V54">
            <v>0</v>
          </cell>
          <cell r="W54">
            <v>0</v>
          </cell>
          <cell r="X54">
            <v>0</v>
          </cell>
          <cell r="Y54">
            <v>0</v>
          </cell>
          <cell r="Z54">
            <v>0</v>
          </cell>
          <cell r="AA54">
            <v>0</v>
          </cell>
          <cell r="AB54">
            <v>0</v>
          </cell>
          <cell r="AC54">
            <v>0</v>
          </cell>
          <cell r="AD54">
            <v>691971015.96919942</v>
          </cell>
          <cell r="AE54">
            <v>0</v>
          </cell>
          <cell r="AF54">
            <v>0</v>
          </cell>
          <cell r="AG54">
            <v>0</v>
          </cell>
          <cell r="AH54">
            <v>0</v>
          </cell>
          <cell r="AI54">
            <v>0</v>
          </cell>
          <cell r="AJ54">
            <v>0</v>
          </cell>
          <cell r="AK54">
            <v>0</v>
          </cell>
          <cell r="AL54">
            <v>0</v>
          </cell>
          <cell r="AM54">
            <v>0</v>
          </cell>
          <cell r="AN54">
            <v>0</v>
          </cell>
          <cell r="AO54">
            <v>0</v>
          </cell>
          <cell r="AP54">
            <v>846468897.98434198</v>
          </cell>
          <cell r="AQ54">
            <v>0</v>
          </cell>
          <cell r="AR54">
            <v>0</v>
          </cell>
          <cell r="AS54">
            <v>0</v>
          </cell>
          <cell r="AT54">
            <v>0</v>
          </cell>
          <cell r="AU54">
            <v>0</v>
          </cell>
          <cell r="AV54">
            <v>0</v>
          </cell>
          <cell r="AW54">
            <v>0</v>
          </cell>
          <cell r="AX54">
            <v>0</v>
          </cell>
          <cell r="AY54">
            <v>0</v>
          </cell>
          <cell r="AZ54">
            <v>0</v>
          </cell>
          <cell r="BA54">
            <v>0</v>
          </cell>
          <cell r="BB54">
            <v>800310892.67511129</v>
          </cell>
          <cell r="BC54">
            <v>0</v>
          </cell>
          <cell r="BD54">
            <v>0</v>
          </cell>
          <cell r="BE54">
            <v>0</v>
          </cell>
          <cell r="BF54">
            <v>0</v>
          </cell>
          <cell r="BG54">
            <v>0</v>
          </cell>
          <cell r="BH54">
            <v>0</v>
          </cell>
          <cell r="BI54">
            <v>0</v>
          </cell>
          <cell r="BJ54">
            <v>0</v>
          </cell>
          <cell r="BK54">
            <v>0</v>
          </cell>
          <cell r="BL54">
            <v>0</v>
          </cell>
          <cell r="BM54">
            <v>0</v>
          </cell>
          <cell r="BN54">
            <v>754430217.93502605</v>
          </cell>
          <cell r="BO54">
            <v>0</v>
          </cell>
          <cell r="BP54">
            <v>0</v>
          </cell>
          <cell r="BQ54">
            <v>0</v>
          </cell>
          <cell r="BR54">
            <v>0</v>
          </cell>
          <cell r="BS54">
            <v>0</v>
          </cell>
          <cell r="BT54">
            <v>0</v>
          </cell>
          <cell r="BU54">
            <v>0</v>
          </cell>
          <cell r="BV54">
            <v>0</v>
          </cell>
          <cell r="BW54">
            <v>0</v>
          </cell>
          <cell r="BX54">
            <v>0</v>
          </cell>
          <cell r="BY54">
            <v>0</v>
          </cell>
          <cell r="BZ54">
            <v>708464208.8351568</v>
          </cell>
          <cell r="CA54">
            <v>0</v>
          </cell>
          <cell r="CB54">
            <v>0</v>
          </cell>
          <cell r="CC54">
            <v>0</v>
          </cell>
          <cell r="CD54">
            <v>0</v>
          </cell>
          <cell r="CE54">
            <v>0</v>
          </cell>
          <cell r="CF54">
            <v>0</v>
          </cell>
          <cell r="CG54">
            <v>0</v>
          </cell>
          <cell r="CH54">
            <v>0</v>
          </cell>
          <cell r="CI54">
            <v>0</v>
          </cell>
          <cell r="CJ54">
            <v>0</v>
          </cell>
          <cell r="CK54">
            <v>0</v>
          </cell>
          <cell r="CL54">
            <v>1244308894.4104977</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cell r="EG54">
            <v>0</v>
          </cell>
          <cell r="EH54">
            <v>0</v>
          </cell>
          <cell r="EI54">
            <v>0</v>
          </cell>
          <cell r="EJ54">
            <v>0</v>
          </cell>
          <cell r="EK54">
            <v>0</v>
          </cell>
          <cell r="EL54">
            <v>0</v>
          </cell>
          <cell r="EM54">
            <v>0</v>
          </cell>
          <cell r="EN54">
            <v>0</v>
          </cell>
          <cell r="EO54">
            <v>0</v>
          </cell>
          <cell r="EP54">
            <v>0</v>
          </cell>
          <cell r="EQ54">
            <v>0</v>
          </cell>
          <cell r="ER54">
            <v>0</v>
          </cell>
          <cell r="ES54">
            <v>0</v>
          </cell>
          <cell r="ET54">
            <v>0</v>
          </cell>
          <cell r="EU54">
            <v>0</v>
          </cell>
          <cell r="EV54">
            <v>0</v>
          </cell>
          <cell r="EW54">
            <v>0</v>
          </cell>
          <cell r="EX54">
            <v>0</v>
          </cell>
          <cell r="EY54">
            <v>0</v>
          </cell>
          <cell r="EZ54">
            <v>0</v>
          </cell>
          <cell r="FA54">
            <v>0</v>
          </cell>
          <cell r="FB54">
            <v>0</v>
          </cell>
          <cell r="FC54">
            <v>0</v>
          </cell>
          <cell r="FD54">
            <v>0</v>
          </cell>
          <cell r="FE54">
            <v>0</v>
          </cell>
          <cell r="FF54">
            <v>0</v>
          </cell>
          <cell r="FG54">
            <v>0</v>
          </cell>
          <cell r="FH54">
            <v>0</v>
          </cell>
          <cell r="FI54">
            <v>0</v>
          </cell>
          <cell r="FJ54">
            <v>0</v>
          </cell>
          <cell r="FK54">
            <v>0</v>
          </cell>
          <cell r="FL54">
            <v>0</v>
          </cell>
          <cell r="FM54">
            <v>0</v>
          </cell>
          <cell r="FN54">
            <v>0</v>
          </cell>
          <cell r="FO54">
            <v>0</v>
          </cell>
          <cell r="FP54">
            <v>0</v>
          </cell>
          <cell r="FQ54">
            <v>0</v>
          </cell>
          <cell r="FR54">
            <v>0</v>
          </cell>
          <cell r="FS54">
            <v>0</v>
          </cell>
          <cell r="FT54">
            <v>0</v>
          </cell>
          <cell r="FU54">
            <v>0</v>
          </cell>
          <cell r="FV54">
            <v>0</v>
          </cell>
          <cell r="FW54">
            <v>0</v>
          </cell>
          <cell r="FX54">
            <v>0</v>
          </cell>
          <cell r="FY54">
            <v>0</v>
          </cell>
          <cell r="FZ54">
            <v>0</v>
          </cell>
          <cell r="GA54">
            <v>0</v>
          </cell>
          <cell r="GB54">
            <v>0</v>
          </cell>
          <cell r="GC54">
            <v>0</v>
          </cell>
          <cell r="GD54">
            <v>0</v>
          </cell>
          <cell r="GE54">
            <v>0</v>
          </cell>
          <cell r="GF54">
            <v>0</v>
          </cell>
          <cell r="GG54">
            <v>0</v>
          </cell>
          <cell r="GH54">
            <v>0</v>
          </cell>
          <cell r="GI54">
            <v>0</v>
          </cell>
          <cell r="GJ54">
            <v>0</v>
          </cell>
          <cell r="GK54">
            <v>0</v>
          </cell>
          <cell r="GL54">
            <v>0</v>
          </cell>
          <cell r="GM54">
            <v>0</v>
          </cell>
          <cell r="GN54">
            <v>0</v>
          </cell>
          <cell r="GO54">
            <v>0</v>
          </cell>
          <cell r="GP54">
            <v>0</v>
          </cell>
          <cell r="GQ54">
            <v>0</v>
          </cell>
          <cell r="GR54">
            <v>0</v>
          </cell>
          <cell r="GS54">
            <v>0</v>
          </cell>
          <cell r="GT54">
            <v>0</v>
          </cell>
          <cell r="GU54">
            <v>0</v>
          </cell>
          <cell r="GV54">
            <v>0</v>
          </cell>
          <cell r="GW54">
            <v>0</v>
          </cell>
          <cell r="GX54">
            <v>0</v>
          </cell>
          <cell r="GY54">
            <v>0</v>
          </cell>
          <cell r="GZ54">
            <v>0</v>
          </cell>
          <cell r="HA54">
            <v>0</v>
          </cell>
          <cell r="HB54">
            <v>0</v>
          </cell>
          <cell r="HC54">
            <v>0</v>
          </cell>
          <cell r="HD54">
            <v>0</v>
          </cell>
          <cell r="HE54">
            <v>6015444283.1714802</v>
          </cell>
        </row>
        <row r="55">
          <cell r="A55" t="str">
            <v>HBS-12</v>
          </cell>
          <cell r="E55" t="str">
            <v>현     가</v>
          </cell>
          <cell r="F55">
            <v>255188241.46827233</v>
          </cell>
          <cell r="G55">
            <v>0</v>
          </cell>
          <cell r="H55">
            <v>0</v>
          </cell>
          <cell r="I55">
            <v>0</v>
          </cell>
          <cell r="J55">
            <v>0</v>
          </cell>
          <cell r="K55">
            <v>0</v>
          </cell>
          <cell r="L55">
            <v>0</v>
          </cell>
          <cell r="M55">
            <v>0</v>
          </cell>
          <cell r="N55">
            <v>0</v>
          </cell>
          <cell r="O55">
            <v>0</v>
          </cell>
          <cell r="P55">
            <v>0</v>
          </cell>
          <cell r="Q55">
            <v>0</v>
          </cell>
          <cell r="R55">
            <v>676742694.35705769</v>
          </cell>
          <cell r="S55">
            <v>0</v>
          </cell>
          <cell r="T55">
            <v>0</v>
          </cell>
          <cell r="U55">
            <v>0</v>
          </cell>
          <cell r="V55">
            <v>0</v>
          </cell>
          <cell r="W55">
            <v>0</v>
          </cell>
          <cell r="X55">
            <v>0</v>
          </cell>
          <cell r="Y55">
            <v>0</v>
          </cell>
          <cell r="Z55">
            <v>0</v>
          </cell>
          <cell r="AA55">
            <v>0</v>
          </cell>
          <cell r="AB55">
            <v>0</v>
          </cell>
          <cell r="AC55">
            <v>0</v>
          </cell>
          <cell r="AD55">
            <v>613534332.73502314</v>
          </cell>
          <cell r="AE55">
            <v>0</v>
          </cell>
          <cell r="AF55">
            <v>0</v>
          </cell>
          <cell r="AG55">
            <v>0</v>
          </cell>
          <cell r="AH55">
            <v>0</v>
          </cell>
          <cell r="AI55">
            <v>0</v>
          </cell>
          <cell r="AJ55">
            <v>0</v>
          </cell>
          <cell r="AK55">
            <v>0</v>
          </cell>
          <cell r="AL55">
            <v>0</v>
          </cell>
          <cell r="AM55">
            <v>0</v>
          </cell>
          <cell r="AN55">
            <v>0</v>
          </cell>
          <cell r="AO55">
            <v>0</v>
          </cell>
          <cell r="AP55">
            <v>699443710.50228322</v>
          </cell>
          <cell r="AQ55">
            <v>0</v>
          </cell>
          <cell r="AR55">
            <v>0</v>
          </cell>
          <cell r="AS55">
            <v>0</v>
          </cell>
          <cell r="AT55">
            <v>0</v>
          </cell>
          <cell r="AU55">
            <v>0</v>
          </cell>
          <cell r="AV55">
            <v>0</v>
          </cell>
          <cell r="AW55">
            <v>0</v>
          </cell>
          <cell r="AX55">
            <v>0</v>
          </cell>
          <cell r="AY55">
            <v>0</v>
          </cell>
          <cell r="AZ55">
            <v>0</v>
          </cell>
          <cell r="BA55">
            <v>0</v>
          </cell>
          <cell r="BB55">
            <v>610668594.36453485</v>
          </cell>
          <cell r="BC55">
            <v>0</v>
          </cell>
          <cell r="BD55">
            <v>0</v>
          </cell>
          <cell r="BE55">
            <v>0</v>
          </cell>
          <cell r="BF55">
            <v>0</v>
          </cell>
          <cell r="BG55">
            <v>0</v>
          </cell>
          <cell r="BH55">
            <v>0</v>
          </cell>
          <cell r="BI55">
            <v>0</v>
          </cell>
          <cell r="BJ55">
            <v>0</v>
          </cell>
          <cell r="BK55">
            <v>0</v>
          </cell>
          <cell r="BL55">
            <v>0</v>
          </cell>
          <cell r="BM55">
            <v>0</v>
          </cell>
          <cell r="BN55">
            <v>538050135.88277149</v>
          </cell>
          <cell r="BO55">
            <v>0</v>
          </cell>
          <cell r="BP55">
            <v>0</v>
          </cell>
          <cell r="BQ55">
            <v>0</v>
          </cell>
          <cell r="BR55">
            <v>0</v>
          </cell>
          <cell r="BS55">
            <v>0</v>
          </cell>
          <cell r="BT55">
            <v>0</v>
          </cell>
          <cell r="BU55">
            <v>0</v>
          </cell>
          <cell r="BV55">
            <v>0</v>
          </cell>
          <cell r="BW55">
            <v>0</v>
          </cell>
          <cell r="BX55">
            <v>0</v>
          </cell>
          <cell r="BY55">
            <v>0</v>
          </cell>
          <cell r="BZ55">
            <v>461022224.39224976</v>
          </cell>
          <cell r="CA55">
            <v>0</v>
          </cell>
          <cell r="CB55">
            <v>0</v>
          </cell>
          <cell r="CC55">
            <v>0</v>
          </cell>
          <cell r="CD55">
            <v>0</v>
          </cell>
          <cell r="CE55">
            <v>0</v>
          </cell>
          <cell r="CF55">
            <v>0</v>
          </cell>
          <cell r="CG55">
            <v>0</v>
          </cell>
          <cell r="CH55">
            <v>0</v>
          </cell>
          <cell r="CI55">
            <v>0</v>
          </cell>
          <cell r="CJ55">
            <v>0</v>
          </cell>
          <cell r="CK55">
            <v>0</v>
          </cell>
          <cell r="CL55">
            <v>753636353.67063105</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0</v>
          </cell>
          <cell r="DT55">
            <v>0</v>
          </cell>
          <cell r="DU55">
            <v>0</v>
          </cell>
          <cell r="DV55">
            <v>0</v>
          </cell>
          <cell r="DW55">
            <v>0</v>
          </cell>
          <cell r="DX55">
            <v>0</v>
          </cell>
          <cell r="DY55">
            <v>0</v>
          </cell>
          <cell r="DZ55">
            <v>0</v>
          </cell>
          <cell r="EA55">
            <v>0</v>
          </cell>
          <cell r="EB55">
            <v>0</v>
          </cell>
          <cell r="EC55">
            <v>0</v>
          </cell>
          <cell r="ED55">
            <v>0</v>
          </cell>
          <cell r="EE55">
            <v>0</v>
          </cell>
          <cell r="EF55">
            <v>0</v>
          </cell>
          <cell r="EG55">
            <v>0</v>
          </cell>
          <cell r="EH55">
            <v>0</v>
          </cell>
          <cell r="EI55">
            <v>0</v>
          </cell>
          <cell r="EJ55">
            <v>0</v>
          </cell>
          <cell r="EK55">
            <v>0</v>
          </cell>
          <cell r="EL55">
            <v>0</v>
          </cell>
          <cell r="EM55">
            <v>0</v>
          </cell>
          <cell r="EN55">
            <v>0</v>
          </cell>
          <cell r="EO55">
            <v>0</v>
          </cell>
          <cell r="EP55">
            <v>0</v>
          </cell>
          <cell r="EQ55">
            <v>0</v>
          </cell>
          <cell r="ER55">
            <v>0</v>
          </cell>
          <cell r="ES55">
            <v>0</v>
          </cell>
          <cell r="ET55">
            <v>0</v>
          </cell>
          <cell r="EU55">
            <v>0</v>
          </cell>
          <cell r="EV55">
            <v>0</v>
          </cell>
          <cell r="EW55">
            <v>0</v>
          </cell>
          <cell r="EX55">
            <v>0</v>
          </cell>
          <cell r="EY55">
            <v>0</v>
          </cell>
          <cell r="EZ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0</v>
          </cell>
          <cell r="FS55">
            <v>0</v>
          </cell>
          <cell r="FT55">
            <v>0</v>
          </cell>
          <cell r="FU55">
            <v>0</v>
          </cell>
          <cell r="FV55">
            <v>0</v>
          </cell>
          <cell r="FW55">
            <v>0</v>
          </cell>
          <cell r="FX55">
            <v>0</v>
          </cell>
          <cell r="FY55">
            <v>0</v>
          </cell>
          <cell r="FZ55">
            <v>0</v>
          </cell>
          <cell r="GA55">
            <v>0</v>
          </cell>
          <cell r="GB55">
            <v>0</v>
          </cell>
          <cell r="GC55">
            <v>0</v>
          </cell>
          <cell r="GD55">
            <v>0</v>
          </cell>
          <cell r="GE55">
            <v>0</v>
          </cell>
          <cell r="GF55">
            <v>0</v>
          </cell>
          <cell r="GG55">
            <v>0</v>
          </cell>
          <cell r="GH55">
            <v>0</v>
          </cell>
          <cell r="GI55">
            <v>0</v>
          </cell>
          <cell r="GJ55">
            <v>0</v>
          </cell>
          <cell r="GK55">
            <v>0</v>
          </cell>
          <cell r="GL55">
            <v>0</v>
          </cell>
          <cell r="GM55">
            <v>0</v>
          </cell>
          <cell r="GN55">
            <v>0</v>
          </cell>
          <cell r="GO55">
            <v>0</v>
          </cell>
          <cell r="GP55">
            <v>0</v>
          </cell>
          <cell r="GQ55">
            <v>0</v>
          </cell>
          <cell r="GR55">
            <v>0</v>
          </cell>
          <cell r="GS55">
            <v>0</v>
          </cell>
          <cell r="GT55">
            <v>0</v>
          </cell>
          <cell r="GU55">
            <v>0</v>
          </cell>
          <cell r="GV55">
            <v>0</v>
          </cell>
          <cell r="GW55">
            <v>0</v>
          </cell>
          <cell r="GX55">
            <v>0</v>
          </cell>
          <cell r="GY55">
            <v>0</v>
          </cell>
          <cell r="GZ55">
            <v>0</v>
          </cell>
          <cell r="HA55">
            <v>0</v>
          </cell>
          <cell r="HB55">
            <v>0</v>
          </cell>
          <cell r="HC55">
            <v>0</v>
          </cell>
          <cell r="HD55">
            <v>0</v>
          </cell>
          <cell r="HE55">
            <v>4608286287.3728237</v>
          </cell>
        </row>
        <row r="56">
          <cell r="B56" t="str">
            <v>HBS-13</v>
          </cell>
          <cell r="C56" t="str">
            <v>㈜고제</v>
          </cell>
          <cell r="D56">
            <v>0.51994562528776112</v>
          </cell>
          <cell r="E56" t="str">
            <v>담     보</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0</v>
          </cell>
          <cell r="EC56">
            <v>0</v>
          </cell>
          <cell r="ED56">
            <v>0</v>
          </cell>
          <cell r="EE56">
            <v>0</v>
          </cell>
          <cell r="EF56">
            <v>0</v>
          </cell>
          <cell r="EG56">
            <v>0</v>
          </cell>
          <cell r="EH56">
            <v>0</v>
          </cell>
          <cell r="EI56">
            <v>0</v>
          </cell>
          <cell r="EJ56">
            <v>0</v>
          </cell>
          <cell r="EK56">
            <v>0</v>
          </cell>
          <cell r="EL56">
            <v>0</v>
          </cell>
          <cell r="EM56">
            <v>0</v>
          </cell>
          <cell r="EN56">
            <v>0</v>
          </cell>
          <cell r="EO56">
            <v>0</v>
          </cell>
          <cell r="EP56">
            <v>0</v>
          </cell>
          <cell r="EQ56">
            <v>0</v>
          </cell>
          <cell r="ER56">
            <v>0</v>
          </cell>
          <cell r="ES56">
            <v>0</v>
          </cell>
          <cell r="ET56">
            <v>0</v>
          </cell>
          <cell r="EU56">
            <v>0</v>
          </cell>
          <cell r="EV56">
            <v>0</v>
          </cell>
          <cell r="EW56">
            <v>0</v>
          </cell>
          <cell r="EX56">
            <v>0</v>
          </cell>
          <cell r="EY56">
            <v>0</v>
          </cell>
          <cell r="EZ56">
            <v>0</v>
          </cell>
          <cell r="FA56">
            <v>0</v>
          </cell>
          <cell r="FB56">
            <v>0</v>
          </cell>
          <cell r="FC56">
            <v>0</v>
          </cell>
          <cell r="FD56">
            <v>0</v>
          </cell>
          <cell r="FE56">
            <v>0</v>
          </cell>
          <cell r="FF56">
            <v>0</v>
          </cell>
          <cell r="FG56">
            <v>0</v>
          </cell>
          <cell r="FH56">
            <v>0</v>
          </cell>
          <cell r="FI56">
            <v>0</v>
          </cell>
          <cell r="FJ56">
            <v>0</v>
          </cell>
          <cell r="FK56">
            <v>0</v>
          </cell>
          <cell r="FL56">
            <v>0</v>
          </cell>
          <cell r="FM56">
            <v>0</v>
          </cell>
          <cell r="FN56">
            <v>0</v>
          </cell>
          <cell r="FO56">
            <v>0</v>
          </cell>
          <cell r="FP56">
            <v>0</v>
          </cell>
          <cell r="FQ56">
            <v>0</v>
          </cell>
          <cell r="FR56">
            <v>0</v>
          </cell>
          <cell r="FS56">
            <v>0</v>
          </cell>
          <cell r="FT56">
            <v>0</v>
          </cell>
          <cell r="FU56">
            <v>0</v>
          </cell>
          <cell r="FV56">
            <v>0</v>
          </cell>
          <cell r="FW56">
            <v>0</v>
          </cell>
          <cell r="FX56">
            <v>0</v>
          </cell>
          <cell r="FY56">
            <v>0</v>
          </cell>
          <cell r="FZ56">
            <v>0</v>
          </cell>
          <cell r="GA56">
            <v>0</v>
          </cell>
          <cell r="GB56">
            <v>0</v>
          </cell>
          <cell r="GC56">
            <v>0</v>
          </cell>
          <cell r="GD56">
            <v>0</v>
          </cell>
          <cell r="GE56">
            <v>0</v>
          </cell>
          <cell r="GF56">
            <v>0</v>
          </cell>
          <cell r="GG56">
            <v>0</v>
          </cell>
          <cell r="GH56">
            <v>0</v>
          </cell>
          <cell r="GI56">
            <v>0</v>
          </cell>
          <cell r="GJ56">
            <v>0</v>
          </cell>
          <cell r="GK56">
            <v>0</v>
          </cell>
          <cell r="GL56">
            <v>0</v>
          </cell>
          <cell r="GM56">
            <v>0</v>
          </cell>
          <cell r="GN56">
            <v>0</v>
          </cell>
          <cell r="GO56">
            <v>0</v>
          </cell>
          <cell r="GP56">
            <v>0</v>
          </cell>
          <cell r="GQ56">
            <v>0</v>
          </cell>
          <cell r="GR56">
            <v>0</v>
          </cell>
          <cell r="GS56">
            <v>0</v>
          </cell>
          <cell r="GT56">
            <v>0</v>
          </cell>
          <cell r="GU56">
            <v>0</v>
          </cell>
          <cell r="GV56">
            <v>0</v>
          </cell>
          <cell r="GW56">
            <v>0</v>
          </cell>
          <cell r="GX56">
            <v>0</v>
          </cell>
          <cell r="GY56">
            <v>0</v>
          </cell>
          <cell r="GZ56">
            <v>0</v>
          </cell>
          <cell r="HA56">
            <v>0</v>
          </cell>
          <cell r="HB56">
            <v>0</v>
          </cell>
          <cell r="HC56">
            <v>0</v>
          </cell>
          <cell r="HD56">
            <v>0</v>
          </cell>
          <cell r="HE56">
            <v>0</v>
          </cell>
        </row>
        <row r="57">
          <cell r="D57">
            <v>0.51994562528776112</v>
          </cell>
          <cell r="E57" t="str">
            <v>무 담 보</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cell r="EG57">
            <v>0</v>
          </cell>
          <cell r="EH57">
            <v>0</v>
          </cell>
          <cell r="EI57">
            <v>0</v>
          </cell>
          <cell r="EJ57">
            <v>0</v>
          </cell>
          <cell r="EK57">
            <v>0</v>
          </cell>
          <cell r="EL57">
            <v>0</v>
          </cell>
          <cell r="EM57">
            <v>0</v>
          </cell>
          <cell r="EN57">
            <v>0</v>
          </cell>
          <cell r="EO57">
            <v>0</v>
          </cell>
          <cell r="EP57">
            <v>0</v>
          </cell>
          <cell r="EQ57">
            <v>0</v>
          </cell>
          <cell r="ER57">
            <v>0</v>
          </cell>
          <cell r="ES57">
            <v>0</v>
          </cell>
          <cell r="ET57">
            <v>0</v>
          </cell>
          <cell r="EU57">
            <v>0</v>
          </cell>
          <cell r="EV57">
            <v>0</v>
          </cell>
          <cell r="EW57">
            <v>0</v>
          </cell>
          <cell r="EX57">
            <v>0</v>
          </cell>
          <cell r="EY57">
            <v>0</v>
          </cell>
          <cell r="EZ57">
            <v>0</v>
          </cell>
          <cell r="FA57">
            <v>0</v>
          </cell>
          <cell r="FB57">
            <v>0</v>
          </cell>
          <cell r="FC57">
            <v>0</v>
          </cell>
          <cell r="FD57">
            <v>0</v>
          </cell>
          <cell r="FE57">
            <v>0</v>
          </cell>
          <cell r="FF57">
            <v>0</v>
          </cell>
          <cell r="FG57">
            <v>0</v>
          </cell>
          <cell r="FH57">
            <v>0</v>
          </cell>
          <cell r="FI57">
            <v>0</v>
          </cell>
          <cell r="FJ57">
            <v>0</v>
          </cell>
          <cell r="FK57">
            <v>0</v>
          </cell>
          <cell r="FL57">
            <v>0</v>
          </cell>
          <cell r="FM57">
            <v>0</v>
          </cell>
          <cell r="FN57">
            <v>0</v>
          </cell>
          <cell r="FO57">
            <v>0</v>
          </cell>
          <cell r="FP57">
            <v>0</v>
          </cell>
          <cell r="FQ57">
            <v>0</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0</v>
          </cell>
          <cell r="GH57">
            <v>0</v>
          </cell>
          <cell r="GI57">
            <v>0</v>
          </cell>
          <cell r="GJ57">
            <v>0</v>
          </cell>
          <cell r="GK57">
            <v>0</v>
          </cell>
          <cell r="GL57">
            <v>0</v>
          </cell>
          <cell r="GM57">
            <v>0</v>
          </cell>
          <cell r="GN57">
            <v>0</v>
          </cell>
          <cell r="GO57">
            <v>0</v>
          </cell>
          <cell r="GP57">
            <v>0</v>
          </cell>
          <cell r="GQ57">
            <v>0</v>
          </cell>
          <cell r="GR57">
            <v>0</v>
          </cell>
          <cell r="GS57">
            <v>0</v>
          </cell>
          <cell r="GT57">
            <v>0</v>
          </cell>
          <cell r="GU57">
            <v>0</v>
          </cell>
          <cell r="GV57">
            <v>0</v>
          </cell>
          <cell r="GW57">
            <v>0</v>
          </cell>
          <cell r="GX57">
            <v>0</v>
          </cell>
          <cell r="GY57">
            <v>0</v>
          </cell>
          <cell r="GZ57">
            <v>0</v>
          </cell>
          <cell r="HA57">
            <v>0</v>
          </cell>
          <cell r="HB57">
            <v>0</v>
          </cell>
          <cell r="HC57">
            <v>0</v>
          </cell>
          <cell r="HD57">
            <v>0</v>
          </cell>
          <cell r="HE57">
            <v>0</v>
          </cell>
        </row>
        <row r="58">
          <cell r="E58" t="str">
            <v>Total</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row>
        <row r="59">
          <cell r="A59" t="str">
            <v>HBS-13</v>
          </cell>
          <cell r="E59" t="str">
            <v>현     가</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row>
        <row r="60">
          <cell r="B60" t="str">
            <v>HBS-14</v>
          </cell>
          <cell r="C60" t="str">
            <v>㈜범구</v>
          </cell>
          <cell r="D60">
            <v>0.83954168317065103</v>
          </cell>
          <cell r="E60" t="str">
            <v>담     보</v>
          </cell>
          <cell r="F60">
            <v>0</v>
          </cell>
          <cell r="G60">
            <v>0</v>
          </cell>
          <cell r="H60">
            <v>0</v>
          </cell>
          <cell r="I60">
            <v>0</v>
          </cell>
          <cell r="J60">
            <v>0</v>
          </cell>
          <cell r="K60">
            <v>753908431.48724461</v>
          </cell>
          <cell r="L60">
            <v>0</v>
          </cell>
          <cell r="M60">
            <v>0</v>
          </cell>
          <cell r="N60">
            <v>0</v>
          </cell>
          <cell r="O60">
            <v>0</v>
          </cell>
          <cell r="P60">
            <v>0</v>
          </cell>
          <cell r="Q60">
            <v>0</v>
          </cell>
          <cell r="R60">
            <v>0</v>
          </cell>
          <cell r="S60">
            <v>0</v>
          </cell>
          <cell r="T60">
            <v>0</v>
          </cell>
          <cell r="U60">
            <v>0</v>
          </cell>
          <cell r="V60">
            <v>0</v>
          </cell>
          <cell r="W60">
            <v>873123350.49747705</v>
          </cell>
          <cell r="X60">
            <v>0</v>
          </cell>
          <cell r="Y60">
            <v>0</v>
          </cell>
          <cell r="Z60">
            <v>0</v>
          </cell>
          <cell r="AA60">
            <v>0</v>
          </cell>
          <cell r="AB60">
            <v>0</v>
          </cell>
          <cell r="AC60">
            <v>0</v>
          </cell>
          <cell r="AD60">
            <v>0</v>
          </cell>
          <cell r="AE60">
            <v>0</v>
          </cell>
          <cell r="AF60">
            <v>0</v>
          </cell>
          <cell r="AG60">
            <v>0</v>
          </cell>
          <cell r="AH60">
            <v>0</v>
          </cell>
          <cell r="AI60">
            <v>724524472.57627189</v>
          </cell>
          <cell r="AJ60">
            <v>0</v>
          </cell>
          <cell r="AK60">
            <v>0</v>
          </cell>
          <cell r="AL60">
            <v>0</v>
          </cell>
          <cell r="AM60">
            <v>0</v>
          </cell>
          <cell r="AN60">
            <v>0</v>
          </cell>
          <cell r="AO60">
            <v>0</v>
          </cell>
          <cell r="AP60">
            <v>0</v>
          </cell>
          <cell r="AQ60">
            <v>0</v>
          </cell>
          <cell r="AR60">
            <v>0</v>
          </cell>
          <cell r="AS60">
            <v>0</v>
          </cell>
          <cell r="AT60">
            <v>0</v>
          </cell>
          <cell r="AU60">
            <v>1055877869.40575</v>
          </cell>
          <cell r="AV60">
            <v>0</v>
          </cell>
          <cell r="AW60">
            <v>0</v>
          </cell>
          <cell r="AX60">
            <v>0</v>
          </cell>
          <cell r="AY60">
            <v>0</v>
          </cell>
          <cell r="AZ60">
            <v>0</v>
          </cell>
          <cell r="BA60">
            <v>0</v>
          </cell>
          <cell r="BB60">
            <v>0</v>
          </cell>
          <cell r="BC60">
            <v>0</v>
          </cell>
          <cell r="BD60">
            <v>0</v>
          </cell>
          <cell r="BE60">
            <v>0</v>
          </cell>
          <cell r="BF60">
            <v>0</v>
          </cell>
          <cell r="BG60">
            <v>807400967.92266679</v>
          </cell>
          <cell r="BH60">
            <v>0</v>
          </cell>
          <cell r="BI60">
            <v>0</v>
          </cell>
          <cell r="BJ60">
            <v>0</v>
          </cell>
          <cell r="BK60">
            <v>0</v>
          </cell>
          <cell r="BL60">
            <v>0</v>
          </cell>
          <cell r="BM60">
            <v>0</v>
          </cell>
          <cell r="BN60">
            <v>0</v>
          </cell>
          <cell r="BO60">
            <v>0</v>
          </cell>
          <cell r="BP60">
            <v>0</v>
          </cell>
          <cell r="BQ60">
            <v>0</v>
          </cell>
          <cell r="BR60">
            <v>0</v>
          </cell>
          <cell r="BS60">
            <v>807400967.92266679</v>
          </cell>
          <cell r="BT60">
            <v>0</v>
          </cell>
          <cell r="BU60">
            <v>0</v>
          </cell>
          <cell r="BV60">
            <v>0</v>
          </cell>
          <cell r="BW60">
            <v>0</v>
          </cell>
          <cell r="BX60">
            <v>0</v>
          </cell>
          <cell r="BY60">
            <v>0</v>
          </cell>
          <cell r="BZ60">
            <v>0</v>
          </cell>
          <cell r="CA60">
            <v>0</v>
          </cell>
          <cell r="CB60">
            <v>0</v>
          </cell>
          <cell r="CC60">
            <v>0</v>
          </cell>
          <cell r="CD60">
            <v>0</v>
          </cell>
          <cell r="CE60">
            <v>807400967.92266679</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5829637027.7347431</v>
          </cell>
        </row>
        <row r="61">
          <cell r="D61">
            <v>0.83954168317065103</v>
          </cell>
          <cell r="E61" t="str">
            <v>무 담 보</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row>
        <row r="62">
          <cell r="E62" t="str">
            <v>Total</v>
          </cell>
          <cell r="F62">
            <v>0</v>
          </cell>
          <cell r="G62">
            <v>0</v>
          </cell>
          <cell r="H62">
            <v>0</v>
          </cell>
          <cell r="I62">
            <v>0</v>
          </cell>
          <cell r="J62">
            <v>0</v>
          </cell>
          <cell r="K62">
            <v>753908431.48724461</v>
          </cell>
          <cell r="L62">
            <v>0</v>
          </cell>
          <cell r="M62">
            <v>0</v>
          </cell>
          <cell r="N62">
            <v>0</v>
          </cell>
          <cell r="O62">
            <v>0</v>
          </cell>
          <cell r="P62">
            <v>0</v>
          </cell>
          <cell r="Q62">
            <v>0</v>
          </cell>
          <cell r="R62">
            <v>0</v>
          </cell>
          <cell r="S62">
            <v>0</v>
          </cell>
          <cell r="T62">
            <v>0</v>
          </cell>
          <cell r="U62">
            <v>0</v>
          </cell>
          <cell r="V62">
            <v>0</v>
          </cell>
          <cell r="W62">
            <v>873123350.49747705</v>
          </cell>
          <cell r="X62">
            <v>0</v>
          </cell>
          <cell r="Y62">
            <v>0</v>
          </cell>
          <cell r="Z62">
            <v>0</v>
          </cell>
          <cell r="AA62">
            <v>0</v>
          </cell>
          <cell r="AB62">
            <v>0</v>
          </cell>
          <cell r="AC62">
            <v>0</v>
          </cell>
          <cell r="AD62">
            <v>0</v>
          </cell>
          <cell r="AE62">
            <v>0</v>
          </cell>
          <cell r="AF62">
            <v>0</v>
          </cell>
          <cell r="AG62">
            <v>0</v>
          </cell>
          <cell r="AH62">
            <v>0</v>
          </cell>
          <cell r="AI62">
            <v>724524472.57627189</v>
          </cell>
          <cell r="AJ62">
            <v>0</v>
          </cell>
          <cell r="AK62">
            <v>0</v>
          </cell>
          <cell r="AL62">
            <v>0</v>
          </cell>
          <cell r="AM62">
            <v>0</v>
          </cell>
          <cell r="AN62">
            <v>0</v>
          </cell>
          <cell r="AO62">
            <v>0</v>
          </cell>
          <cell r="AP62">
            <v>0</v>
          </cell>
          <cell r="AQ62">
            <v>0</v>
          </cell>
          <cell r="AR62">
            <v>0</v>
          </cell>
          <cell r="AS62">
            <v>0</v>
          </cell>
          <cell r="AT62">
            <v>0</v>
          </cell>
          <cell r="AU62">
            <v>1055877869.40575</v>
          </cell>
          <cell r="AV62">
            <v>0</v>
          </cell>
          <cell r="AW62">
            <v>0</v>
          </cell>
          <cell r="AX62">
            <v>0</v>
          </cell>
          <cell r="AY62">
            <v>0</v>
          </cell>
          <cell r="AZ62">
            <v>0</v>
          </cell>
          <cell r="BA62">
            <v>0</v>
          </cell>
          <cell r="BB62">
            <v>0</v>
          </cell>
          <cell r="BC62">
            <v>0</v>
          </cell>
          <cell r="BD62">
            <v>0</v>
          </cell>
          <cell r="BE62">
            <v>0</v>
          </cell>
          <cell r="BF62">
            <v>0</v>
          </cell>
          <cell r="BG62">
            <v>807400967.92266679</v>
          </cell>
          <cell r="BH62">
            <v>0</v>
          </cell>
          <cell r="BI62">
            <v>0</v>
          </cell>
          <cell r="BJ62">
            <v>0</v>
          </cell>
          <cell r="BK62">
            <v>0</v>
          </cell>
          <cell r="BL62">
            <v>0</v>
          </cell>
          <cell r="BM62">
            <v>0</v>
          </cell>
          <cell r="BN62">
            <v>0</v>
          </cell>
          <cell r="BO62">
            <v>0</v>
          </cell>
          <cell r="BP62">
            <v>0</v>
          </cell>
          <cell r="BQ62">
            <v>0</v>
          </cell>
          <cell r="BR62">
            <v>0</v>
          </cell>
          <cell r="BS62">
            <v>807400967.92266679</v>
          </cell>
          <cell r="BT62">
            <v>0</v>
          </cell>
          <cell r="BU62">
            <v>0</v>
          </cell>
          <cell r="BV62">
            <v>0</v>
          </cell>
          <cell r="BW62">
            <v>0</v>
          </cell>
          <cell r="BX62">
            <v>0</v>
          </cell>
          <cell r="BY62">
            <v>0</v>
          </cell>
          <cell r="BZ62">
            <v>0</v>
          </cell>
          <cell r="CA62">
            <v>0</v>
          </cell>
          <cell r="CB62">
            <v>0</v>
          </cell>
          <cell r="CC62">
            <v>0</v>
          </cell>
          <cell r="CD62">
            <v>0</v>
          </cell>
          <cell r="CE62">
            <v>807400967.92266679</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5829637027.7347431</v>
          </cell>
        </row>
        <row r="63">
          <cell r="A63" t="str">
            <v>HBS-14</v>
          </cell>
          <cell r="E63" t="str">
            <v>현     가</v>
          </cell>
          <cell r="F63">
            <v>0</v>
          </cell>
          <cell r="G63">
            <v>0</v>
          </cell>
          <cell r="H63">
            <v>0</v>
          </cell>
          <cell r="I63">
            <v>0</v>
          </cell>
          <cell r="J63">
            <v>0</v>
          </cell>
          <cell r="K63">
            <v>737248605.19592106</v>
          </cell>
          <cell r="L63">
            <v>0</v>
          </cell>
          <cell r="M63">
            <v>0</v>
          </cell>
          <cell r="N63">
            <v>0</v>
          </cell>
          <cell r="O63">
            <v>0</v>
          </cell>
          <cell r="P63">
            <v>0</v>
          </cell>
          <cell r="Q63">
            <v>0</v>
          </cell>
          <cell r="R63">
            <v>0</v>
          </cell>
          <cell r="S63">
            <v>0</v>
          </cell>
          <cell r="T63">
            <v>0</v>
          </cell>
          <cell r="U63">
            <v>0</v>
          </cell>
          <cell r="V63">
            <v>0</v>
          </cell>
          <cell r="W63">
            <v>801942831.1960125</v>
          </cell>
          <cell r="X63">
            <v>0</v>
          </cell>
          <cell r="Y63">
            <v>0</v>
          </cell>
          <cell r="Z63">
            <v>0</v>
          </cell>
          <cell r="AA63">
            <v>0</v>
          </cell>
          <cell r="AB63">
            <v>0</v>
          </cell>
          <cell r="AC63">
            <v>0</v>
          </cell>
          <cell r="AD63">
            <v>0</v>
          </cell>
          <cell r="AE63">
            <v>0</v>
          </cell>
          <cell r="AF63">
            <v>0</v>
          </cell>
          <cell r="AG63">
            <v>0</v>
          </cell>
          <cell r="AH63">
            <v>0</v>
          </cell>
          <cell r="AI63">
            <v>621403002.77297568</v>
          </cell>
          <cell r="AJ63">
            <v>0</v>
          </cell>
          <cell r="AK63">
            <v>0</v>
          </cell>
          <cell r="AL63">
            <v>0</v>
          </cell>
          <cell r="AM63">
            <v>0</v>
          </cell>
          <cell r="AN63">
            <v>0</v>
          </cell>
          <cell r="AO63">
            <v>0</v>
          </cell>
          <cell r="AP63">
            <v>0</v>
          </cell>
          <cell r="AQ63">
            <v>0</v>
          </cell>
          <cell r="AR63">
            <v>0</v>
          </cell>
          <cell r="AS63">
            <v>0</v>
          </cell>
          <cell r="AT63">
            <v>0</v>
          </cell>
          <cell r="AU63">
            <v>838232501.47324336</v>
          </cell>
          <cell r="AV63">
            <v>0</v>
          </cell>
          <cell r="AW63">
            <v>0</v>
          </cell>
          <cell r="AX63">
            <v>0</v>
          </cell>
          <cell r="AY63">
            <v>0</v>
          </cell>
          <cell r="AZ63">
            <v>0</v>
          </cell>
          <cell r="BA63">
            <v>0</v>
          </cell>
          <cell r="BB63">
            <v>0</v>
          </cell>
          <cell r="BC63">
            <v>0</v>
          </cell>
          <cell r="BD63">
            <v>0</v>
          </cell>
          <cell r="BE63">
            <v>0</v>
          </cell>
          <cell r="BF63">
            <v>0</v>
          </cell>
          <cell r="BG63">
            <v>599096644.11086583</v>
          </cell>
          <cell r="BH63">
            <v>0</v>
          </cell>
          <cell r="BI63">
            <v>0</v>
          </cell>
          <cell r="BJ63">
            <v>0</v>
          </cell>
          <cell r="BK63">
            <v>0</v>
          </cell>
          <cell r="BL63">
            <v>0</v>
          </cell>
          <cell r="BM63">
            <v>0</v>
          </cell>
          <cell r="BN63">
            <v>0</v>
          </cell>
          <cell r="BO63">
            <v>0</v>
          </cell>
          <cell r="BP63">
            <v>0</v>
          </cell>
          <cell r="BQ63">
            <v>0</v>
          </cell>
          <cell r="BR63">
            <v>0</v>
          </cell>
          <cell r="BS63">
            <v>547921670.86120033</v>
          </cell>
          <cell r="BT63">
            <v>0</v>
          </cell>
          <cell r="BU63">
            <v>0</v>
          </cell>
          <cell r="BV63">
            <v>0</v>
          </cell>
          <cell r="BW63">
            <v>0</v>
          </cell>
          <cell r="BX63">
            <v>0</v>
          </cell>
          <cell r="BY63">
            <v>0</v>
          </cell>
          <cell r="BZ63">
            <v>0</v>
          </cell>
          <cell r="CA63">
            <v>0</v>
          </cell>
          <cell r="CB63">
            <v>0</v>
          </cell>
          <cell r="CC63">
            <v>0</v>
          </cell>
          <cell r="CD63">
            <v>0</v>
          </cell>
          <cell r="CE63">
            <v>509974152.30739439</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4655819407.917613</v>
          </cell>
        </row>
        <row r="64">
          <cell r="B64" t="str">
            <v>HBS-15</v>
          </cell>
          <cell r="C64" t="str">
            <v xml:space="preserve">두양금속㈜ </v>
          </cell>
          <cell r="D64">
            <v>0.50838337126079869</v>
          </cell>
          <cell r="E64" t="str">
            <v>담     보</v>
          </cell>
          <cell r="F64">
            <v>0</v>
          </cell>
          <cell r="G64">
            <v>0</v>
          </cell>
          <cell r="H64">
            <v>124451438.28146999</v>
          </cell>
          <cell r="I64">
            <v>0</v>
          </cell>
          <cell r="J64">
            <v>0</v>
          </cell>
          <cell r="K64">
            <v>0</v>
          </cell>
          <cell r="L64">
            <v>0</v>
          </cell>
          <cell r="M64">
            <v>0</v>
          </cell>
          <cell r="N64">
            <v>0</v>
          </cell>
          <cell r="O64">
            <v>0</v>
          </cell>
          <cell r="P64">
            <v>0</v>
          </cell>
          <cell r="Q64">
            <v>0</v>
          </cell>
          <cell r="R64">
            <v>0</v>
          </cell>
          <cell r="S64">
            <v>0</v>
          </cell>
          <cell r="T64">
            <v>82246089.643627167</v>
          </cell>
          <cell r="U64">
            <v>0</v>
          </cell>
          <cell r="V64">
            <v>0</v>
          </cell>
          <cell r="W64">
            <v>0</v>
          </cell>
          <cell r="X64">
            <v>0</v>
          </cell>
          <cell r="Y64">
            <v>0</v>
          </cell>
          <cell r="Z64">
            <v>0</v>
          </cell>
          <cell r="AA64">
            <v>0</v>
          </cell>
          <cell r="AB64">
            <v>0</v>
          </cell>
          <cell r="AC64">
            <v>0</v>
          </cell>
          <cell r="AD64">
            <v>0</v>
          </cell>
          <cell r="AE64">
            <v>0</v>
          </cell>
          <cell r="AF64">
            <v>82246089.643627167</v>
          </cell>
          <cell r="AG64">
            <v>0</v>
          </cell>
          <cell r="AH64">
            <v>0</v>
          </cell>
          <cell r="AI64">
            <v>0</v>
          </cell>
          <cell r="AJ64">
            <v>0</v>
          </cell>
          <cell r="AK64">
            <v>0</v>
          </cell>
          <cell r="AL64">
            <v>0</v>
          </cell>
          <cell r="AM64">
            <v>0</v>
          </cell>
          <cell r="AN64">
            <v>0</v>
          </cell>
          <cell r="AO64">
            <v>0</v>
          </cell>
          <cell r="AP64">
            <v>0</v>
          </cell>
          <cell r="AQ64">
            <v>0</v>
          </cell>
          <cell r="AR64">
            <v>82246089.643627197</v>
          </cell>
          <cell r="AS64">
            <v>0</v>
          </cell>
          <cell r="AT64">
            <v>0</v>
          </cell>
          <cell r="AU64">
            <v>0</v>
          </cell>
          <cell r="AV64">
            <v>0</v>
          </cell>
          <cell r="AW64">
            <v>0</v>
          </cell>
          <cell r="AX64">
            <v>0</v>
          </cell>
          <cell r="AY64">
            <v>0</v>
          </cell>
          <cell r="AZ64">
            <v>0</v>
          </cell>
          <cell r="BA64">
            <v>0</v>
          </cell>
          <cell r="BB64">
            <v>0</v>
          </cell>
          <cell r="BC64">
            <v>0</v>
          </cell>
          <cell r="BD64">
            <v>224509596.0948962</v>
          </cell>
          <cell r="BE64">
            <v>0</v>
          </cell>
          <cell r="BF64">
            <v>0</v>
          </cell>
          <cell r="BG64">
            <v>0</v>
          </cell>
          <cell r="BH64">
            <v>0</v>
          </cell>
          <cell r="BI64">
            <v>0</v>
          </cell>
          <cell r="BJ64">
            <v>0</v>
          </cell>
          <cell r="BK64">
            <v>0</v>
          </cell>
          <cell r="BL64">
            <v>0</v>
          </cell>
          <cell r="BM64">
            <v>0</v>
          </cell>
          <cell r="BN64">
            <v>0</v>
          </cell>
          <cell r="BO64">
            <v>0</v>
          </cell>
          <cell r="BP64">
            <v>211350221.74815378</v>
          </cell>
          <cell r="BQ64">
            <v>0</v>
          </cell>
          <cell r="BR64">
            <v>0</v>
          </cell>
          <cell r="BS64">
            <v>0</v>
          </cell>
          <cell r="BT64">
            <v>0</v>
          </cell>
          <cell r="BU64">
            <v>0</v>
          </cell>
          <cell r="BV64">
            <v>0</v>
          </cell>
          <cell r="BW64">
            <v>0</v>
          </cell>
          <cell r="BX64">
            <v>0</v>
          </cell>
          <cell r="BY64">
            <v>0</v>
          </cell>
          <cell r="BZ64">
            <v>0</v>
          </cell>
          <cell r="CA64">
            <v>0</v>
          </cell>
          <cell r="CB64">
            <v>198190847.40141141</v>
          </cell>
          <cell r="CC64">
            <v>0</v>
          </cell>
          <cell r="CD64">
            <v>0</v>
          </cell>
          <cell r="CE64">
            <v>0</v>
          </cell>
          <cell r="CF64">
            <v>0</v>
          </cell>
          <cell r="CG64">
            <v>0</v>
          </cell>
          <cell r="CH64">
            <v>0</v>
          </cell>
          <cell r="CI64">
            <v>0</v>
          </cell>
          <cell r="CJ64">
            <v>0</v>
          </cell>
          <cell r="CK64">
            <v>0</v>
          </cell>
          <cell r="CL64">
            <v>0</v>
          </cell>
          <cell r="CM64">
            <v>0</v>
          </cell>
          <cell r="CN64">
            <v>185031473.05466902</v>
          </cell>
          <cell r="CO64">
            <v>0</v>
          </cell>
          <cell r="CP64">
            <v>0</v>
          </cell>
          <cell r="CQ64">
            <v>0</v>
          </cell>
          <cell r="CR64">
            <v>0</v>
          </cell>
          <cell r="CS64">
            <v>0</v>
          </cell>
          <cell r="CT64">
            <v>0</v>
          </cell>
          <cell r="CU64">
            <v>0</v>
          </cell>
          <cell r="CV64">
            <v>0</v>
          </cell>
          <cell r="CW64">
            <v>0</v>
          </cell>
          <cell r="CX64">
            <v>0</v>
          </cell>
          <cell r="CY64">
            <v>0</v>
          </cell>
          <cell r="CZ64">
            <v>349701481.51782125</v>
          </cell>
          <cell r="DA64">
            <v>19874260.555838689</v>
          </cell>
          <cell r="DB64">
            <v>17359558.199793793</v>
          </cell>
          <cell r="DC64">
            <v>14925975.274589054</v>
          </cell>
          <cell r="DD64">
            <v>12411272.91854416</v>
          </cell>
          <cell r="DE64">
            <v>9896570.5624992643</v>
          </cell>
          <cell r="DF64">
            <v>7462987.6372945271</v>
          </cell>
          <cell r="DG64">
            <v>4948285.2812496321</v>
          </cell>
          <cell r="DH64">
            <v>2514702.356044895</v>
          </cell>
          <cell r="DI64">
            <v>0</v>
          </cell>
          <cell r="DJ64">
            <v>0</v>
          </cell>
          <cell r="DK64">
            <v>0</v>
          </cell>
          <cell r="DL64">
            <v>0</v>
          </cell>
          <cell r="DM64">
            <v>0</v>
          </cell>
          <cell r="DN64">
            <v>0</v>
          </cell>
          <cell r="DO64">
            <v>0</v>
          </cell>
          <cell r="DP64">
            <v>0</v>
          </cell>
          <cell r="DQ64">
            <v>0</v>
          </cell>
          <cell r="DR64">
            <v>0</v>
          </cell>
          <cell r="DS64">
            <v>0</v>
          </cell>
          <cell r="DT64">
            <v>0</v>
          </cell>
          <cell r="DU64">
            <v>0</v>
          </cell>
          <cell r="DV64">
            <v>0</v>
          </cell>
          <cell r="DW64">
            <v>0</v>
          </cell>
          <cell r="DX64">
            <v>0</v>
          </cell>
          <cell r="DY64">
            <v>0</v>
          </cell>
          <cell r="DZ64">
            <v>0</v>
          </cell>
          <cell r="EA64">
            <v>0</v>
          </cell>
          <cell r="EB64">
            <v>0</v>
          </cell>
          <cell r="EC64">
            <v>0</v>
          </cell>
          <cell r="ED64">
            <v>0</v>
          </cell>
          <cell r="EE64">
            <v>0</v>
          </cell>
          <cell r="EF64">
            <v>0</v>
          </cell>
          <cell r="EG64">
            <v>0</v>
          </cell>
          <cell r="EH64">
            <v>0</v>
          </cell>
          <cell r="EI64">
            <v>0</v>
          </cell>
          <cell r="EJ64">
            <v>0</v>
          </cell>
          <cell r="EK64">
            <v>0</v>
          </cell>
          <cell r="EL64">
            <v>0</v>
          </cell>
          <cell r="EM64">
            <v>0</v>
          </cell>
          <cell r="EN64">
            <v>0</v>
          </cell>
          <cell r="EO64">
            <v>0</v>
          </cell>
          <cell r="EP64">
            <v>0</v>
          </cell>
          <cell r="EQ64">
            <v>0</v>
          </cell>
          <cell r="ER64">
            <v>0</v>
          </cell>
          <cell r="ES64">
            <v>0</v>
          </cell>
          <cell r="ET64">
            <v>0</v>
          </cell>
          <cell r="EU64">
            <v>0</v>
          </cell>
          <cell r="EV64">
            <v>0</v>
          </cell>
          <cell r="EW64">
            <v>0</v>
          </cell>
          <cell r="EX64">
            <v>0</v>
          </cell>
          <cell r="EY64">
            <v>0</v>
          </cell>
          <cell r="EZ64">
            <v>0</v>
          </cell>
          <cell r="FA64">
            <v>0</v>
          </cell>
          <cell r="FB64">
            <v>0</v>
          </cell>
          <cell r="FC64">
            <v>0</v>
          </cell>
          <cell r="FD64">
            <v>0</v>
          </cell>
          <cell r="FE64">
            <v>0</v>
          </cell>
          <cell r="FF64">
            <v>0</v>
          </cell>
          <cell r="FG64">
            <v>0</v>
          </cell>
          <cell r="FH64">
            <v>0</v>
          </cell>
          <cell r="FI64">
            <v>0</v>
          </cell>
          <cell r="FJ64">
            <v>0</v>
          </cell>
          <cell r="FK64">
            <v>0</v>
          </cell>
          <cell r="FL64">
            <v>0</v>
          </cell>
          <cell r="FM64">
            <v>0</v>
          </cell>
          <cell r="FN64">
            <v>0</v>
          </cell>
          <cell r="FO64">
            <v>0</v>
          </cell>
          <cell r="FP64">
            <v>0</v>
          </cell>
          <cell r="FQ64">
            <v>0</v>
          </cell>
          <cell r="FR64">
            <v>0</v>
          </cell>
          <cell r="FS64">
            <v>0</v>
          </cell>
          <cell r="FT64">
            <v>0</v>
          </cell>
          <cell r="FU64">
            <v>0</v>
          </cell>
          <cell r="FV64">
            <v>0</v>
          </cell>
          <cell r="FW64">
            <v>0</v>
          </cell>
          <cell r="FX64">
            <v>0</v>
          </cell>
          <cell r="FY64">
            <v>0</v>
          </cell>
          <cell r="FZ64">
            <v>0</v>
          </cell>
          <cell r="GA64">
            <v>0</v>
          </cell>
          <cell r="GB64">
            <v>0</v>
          </cell>
          <cell r="GC64">
            <v>0</v>
          </cell>
          <cell r="GD64">
            <v>0</v>
          </cell>
          <cell r="GE64">
            <v>0</v>
          </cell>
          <cell r="GF64">
            <v>0</v>
          </cell>
          <cell r="GG64">
            <v>0</v>
          </cell>
          <cell r="GH64">
            <v>0</v>
          </cell>
          <cell r="GI64">
            <v>0</v>
          </cell>
          <cell r="GJ64">
            <v>0</v>
          </cell>
          <cell r="GK64">
            <v>0</v>
          </cell>
          <cell r="GL64">
            <v>0</v>
          </cell>
          <cell r="GM64">
            <v>0</v>
          </cell>
          <cell r="GN64">
            <v>0</v>
          </cell>
          <cell r="GO64">
            <v>0</v>
          </cell>
          <cell r="GP64">
            <v>0</v>
          </cell>
          <cell r="GQ64">
            <v>0</v>
          </cell>
          <cell r="GR64">
            <v>0</v>
          </cell>
          <cell r="GS64">
            <v>0</v>
          </cell>
          <cell r="GT64">
            <v>0</v>
          </cell>
          <cell r="GU64">
            <v>0</v>
          </cell>
          <cell r="GV64">
            <v>0</v>
          </cell>
          <cell r="GW64">
            <v>0</v>
          </cell>
          <cell r="GX64">
            <v>0</v>
          </cell>
          <cell r="GY64">
            <v>0</v>
          </cell>
          <cell r="GZ64">
            <v>0</v>
          </cell>
          <cell r="HA64">
            <v>0</v>
          </cell>
          <cell r="HB64">
            <v>0</v>
          </cell>
          <cell r="HC64">
            <v>0</v>
          </cell>
          <cell r="HD64">
            <v>0</v>
          </cell>
          <cell r="HE64">
            <v>1629366939.8151572</v>
          </cell>
        </row>
        <row r="65">
          <cell r="D65">
            <v>0.50838337126079869</v>
          </cell>
          <cell r="E65" t="str">
            <v>무 담 보</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cell r="DX65">
            <v>0</v>
          </cell>
          <cell r="DY65">
            <v>0</v>
          </cell>
          <cell r="DZ65">
            <v>0</v>
          </cell>
          <cell r="EA65">
            <v>0</v>
          </cell>
          <cell r="EB65">
            <v>0</v>
          </cell>
          <cell r="EC65">
            <v>0</v>
          </cell>
          <cell r="ED65">
            <v>0</v>
          </cell>
          <cell r="EE65">
            <v>0</v>
          </cell>
          <cell r="EF65">
            <v>0</v>
          </cell>
          <cell r="EG65">
            <v>0</v>
          </cell>
          <cell r="EH65">
            <v>0</v>
          </cell>
          <cell r="EI65">
            <v>0</v>
          </cell>
          <cell r="EJ65">
            <v>0</v>
          </cell>
          <cell r="EK65">
            <v>0</v>
          </cell>
          <cell r="EL65">
            <v>0</v>
          </cell>
          <cell r="EM65">
            <v>0</v>
          </cell>
          <cell r="EN65">
            <v>0</v>
          </cell>
          <cell r="EO65">
            <v>0</v>
          </cell>
          <cell r="EP65">
            <v>0</v>
          </cell>
          <cell r="EQ65">
            <v>0</v>
          </cell>
          <cell r="ER65">
            <v>0</v>
          </cell>
          <cell r="ES65">
            <v>0</v>
          </cell>
          <cell r="ET65">
            <v>0</v>
          </cell>
          <cell r="EU65">
            <v>0</v>
          </cell>
          <cell r="EV65">
            <v>0</v>
          </cell>
          <cell r="EW65">
            <v>0</v>
          </cell>
          <cell r="EX65">
            <v>0</v>
          </cell>
          <cell r="EY65">
            <v>0</v>
          </cell>
          <cell r="EZ65">
            <v>0</v>
          </cell>
          <cell r="FA65">
            <v>0</v>
          </cell>
          <cell r="FB65">
            <v>0</v>
          </cell>
          <cell r="FC65">
            <v>0</v>
          </cell>
          <cell r="FD65">
            <v>0</v>
          </cell>
          <cell r="FE65">
            <v>0</v>
          </cell>
          <cell r="FF65">
            <v>0</v>
          </cell>
          <cell r="FG65">
            <v>0</v>
          </cell>
          <cell r="FH65">
            <v>0</v>
          </cell>
          <cell r="FI65">
            <v>0</v>
          </cell>
          <cell r="FJ65">
            <v>0</v>
          </cell>
          <cell r="FK65">
            <v>0</v>
          </cell>
          <cell r="FL65">
            <v>0</v>
          </cell>
          <cell r="FM65">
            <v>0</v>
          </cell>
          <cell r="FN65">
            <v>0</v>
          </cell>
          <cell r="FO65">
            <v>0</v>
          </cell>
          <cell r="FP65">
            <v>0</v>
          </cell>
          <cell r="FQ65">
            <v>0</v>
          </cell>
          <cell r="FR65">
            <v>0</v>
          </cell>
          <cell r="FS65">
            <v>0</v>
          </cell>
          <cell r="FT65">
            <v>0</v>
          </cell>
          <cell r="FU65">
            <v>0</v>
          </cell>
          <cell r="FV65">
            <v>0</v>
          </cell>
          <cell r="FW65">
            <v>0</v>
          </cell>
          <cell r="FX65">
            <v>0</v>
          </cell>
          <cell r="FY65">
            <v>0</v>
          </cell>
          <cell r="FZ65">
            <v>0</v>
          </cell>
          <cell r="GA65">
            <v>0</v>
          </cell>
          <cell r="GB65">
            <v>0</v>
          </cell>
          <cell r="GC65">
            <v>0</v>
          </cell>
          <cell r="GD65">
            <v>0</v>
          </cell>
          <cell r="GE65">
            <v>0</v>
          </cell>
          <cell r="GF65">
            <v>0</v>
          </cell>
          <cell r="GG65">
            <v>0</v>
          </cell>
          <cell r="GH65">
            <v>0</v>
          </cell>
          <cell r="GI65">
            <v>0</v>
          </cell>
          <cell r="GJ65">
            <v>0</v>
          </cell>
          <cell r="GK65">
            <v>0</v>
          </cell>
          <cell r="GL65">
            <v>0</v>
          </cell>
          <cell r="GM65">
            <v>0</v>
          </cell>
          <cell r="GN65">
            <v>0</v>
          </cell>
          <cell r="GO65">
            <v>0</v>
          </cell>
          <cell r="GP65">
            <v>0</v>
          </cell>
          <cell r="GQ65">
            <v>0</v>
          </cell>
          <cell r="GR65">
            <v>0</v>
          </cell>
          <cell r="GS65">
            <v>0</v>
          </cell>
          <cell r="GT65">
            <v>0</v>
          </cell>
          <cell r="GU65">
            <v>0</v>
          </cell>
          <cell r="GV65">
            <v>0</v>
          </cell>
          <cell r="GW65">
            <v>0</v>
          </cell>
          <cell r="GX65">
            <v>0</v>
          </cell>
          <cell r="GY65">
            <v>0</v>
          </cell>
          <cell r="GZ65">
            <v>0</v>
          </cell>
          <cell r="HA65">
            <v>0</v>
          </cell>
          <cell r="HB65">
            <v>0</v>
          </cell>
          <cell r="HC65">
            <v>0</v>
          </cell>
          <cell r="HD65">
            <v>0</v>
          </cell>
          <cell r="HE65">
            <v>0</v>
          </cell>
        </row>
        <row r="66">
          <cell r="E66" t="str">
            <v>Total</v>
          </cell>
          <cell r="F66">
            <v>0</v>
          </cell>
          <cell r="G66">
            <v>0</v>
          </cell>
          <cell r="H66">
            <v>124451438.28146999</v>
          </cell>
          <cell r="I66">
            <v>0</v>
          </cell>
          <cell r="J66">
            <v>0</v>
          </cell>
          <cell r="K66">
            <v>0</v>
          </cell>
          <cell r="L66">
            <v>0</v>
          </cell>
          <cell r="M66">
            <v>0</v>
          </cell>
          <cell r="N66">
            <v>0</v>
          </cell>
          <cell r="O66">
            <v>0</v>
          </cell>
          <cell r="P66">
            <v>0</v>
          </cell>
          <cell r="Q66">
            <v>0</v>
          </cell>
          <cell r="R66">
            <v>0</v>
          </cell>
          <cell r="S66">
            <v>0</v>
          </cell>
          <cell r="T66">
            <v>82246089.643627167</v>
          </cell>
          <cell r="U66">
            <v>0</v>
          </cell>
          <cell r="V66">
            <v>0</v>
          </cell>
          <cell r="W66">
            <v>0</v>
          </cell>
          <cell r="X66">
            <v>0</v>
          </cell>
          <cell r="Y66">
            <v>0</v>
          </cell>
          <cell r="Z66">
            <v>0</v>
          </cell>
          <cell r="AA66">
            <v>0</v>
          </cell>
          <cell r="AB66">
            <v>0</v>
          </cell>
          <cell r="AC66">
            <v>0</v>
          </cell>
          <cell r="AD66">
            <v>0</v>
          </cell>
          <cell r="AE66">
            <v>0</v>
          </cell>
          <cell r="AF66">
            <v>82246089.643627167</v>
          </cell>
          <cell r="AG66">
            <v>0</v>
          </cell>
          <cell r="AH66">
            <v>0</v>
          </cell>
          <cell r="AI66">
            <v>0</v>
          </cell>
          <cell r="AJ66">
            <v>0</v>
          </cell>
          <cell r="AK66">
            <v>0</v>
          </cell>
          <cell r="AL66">
            <v>0</v>
          </cell>
          <cell r="AM66">
            <v>0</v>
          </cell>
          <cell r="AN66">
            <v>0</v>
          </cell>
          <cell r="AO66">
            <v>0</v>
          </cell>
          <cell r="AP66">
            <v>0</v>
          </cell>
          <cell r="AQ66">
            <v>0</v>
          </cell>
          <cell r="AR66">
            <v>82246089.643627197</v>
          </cell>
          <cell r="AS66">
            <v>0</v>
          </cell>
          <cell r="AT66">
            <v>0</v>
          </cell>
          <cell r="AU66">
            <v>0</v>
          </cell>
          <cell r="AV66">
            <v>0</v>
          </cell>
          <cell r="AW66">
            <v>0</v>
          </cell>
          <cell r="AX66">
            <v>0</v>
          </cell>
          <cell r="AY66">
            <v>0</v>
          </cell>
          <cell r="AZ66">
            <v>0</v>
          </cell>
          <cell r="BA66">
            <v>0</v>
          </cell>
          <cell r="BB66">
            <v>0</v>
          </cell>
          <cell r="BC66">
            <v>0</v>
          </cell>
          <cell r="BD66">
            <v>224509596.0948962</v>
          </cell>
          <cell r="BE66">
            <v>0</v>
          </cell>
          <cell r="BF66">
            <v>0</v>
          </cell>
          <cell r="BG66">
            <v>0</v>
          </cell>
          <cell r="BH66">
            <v>0</v>
          </cell>
          <cell r="BI66">
            <v>0</v>
          </cell>
          <cell r="BJ66">
            <v>0</v>
          </cell>
          <cell r="BK66">
            <v>0</v>
          </cell>
          <cell r="BL66">
            <v>0</v>
          </cell>
          <cell r="BM66">
            <v>0</v>
          </cell>
          <cell r="BN66">
            <v>0</v>
          </cell>
          <cell r="BO66">
            <v>0</v>
          </cell>
          <cell r="BP66">
            <v>211350221.74815378</v>
          </cell>
          <cell r="BQ66">
            <v>0</v>
          </cell>
          <cell r="BR66">
            <v>0</v>
          </cell>
          <cell r="BS66">
            <v>0</v>
          </cell>
          <cell r="BT66">
            <v>0</v>
          </cell>
          <cell r="BU66">
            <v>0</v>
          </cell>
          <cell r="BV66">
            <v>0</v>
          </cell>
          <cell r="BW66">
            <v>0</v>
          </cell>
          <cell r="BX66">
            <v>0</v>
          </cell>
          <cell r="BY66">
            <v>0</v>
          </cell>
          <cell r="BZ66">
            <v>0</v>
          </cell>
          <cell r="CA66">
            <v>0</v>
          </cell>
          <cell r="CB66">
            <v>198190847.40141141</v>
          </cell>
          <cell r="CC66">
            <v>0</v>
          </cell>
          <cell r="CD66">
            <v>0</v>
          </cell>
          <cell r="CE66">
            <v>0</v>
          </cell>
          <cell r="CF66">
            <v>0</v>
          </cell>
          <cell r="CG66">
            <v>0</v>
          </cell>
          <cell r="CH66">
            <v>0</v>
          </cell>
          <cell r="CI66">
            <v>0</v>
          </cell>
          <cell r="CJ66">
            <v>0</v>
          </cell>
          <cell r="CK66">
            <v>0</v>
          </cell>
          <cell r="CL66">
            <v>0</v>
          </cell>
          <cell r="CM66">
            <v>0</v>
          </cell>
          <cell r="CN66">
            <v>185031473.05466902</v>
          </cell>
          <cell r="CO66">
            <v>0</v>
          </cell>
          <cell r="CP66">
            <v>0</v>
          </cell>
          <cell r="CQ66">
            <v>0</v>
          </cell>
          <cell r="CR66">
            <v>0</v>
          </cell>
          <cell r="CS66">
            <v>0</v>
          </cell>
          <cell r="CT66">
            <v>0</v>
          </cell>
          <cell r="CU66">
            <v>0</v>
          </cell>
          <cell r="CV66">
            <v>0</v>
          </cell>
          <cell r="CW66">
            <v>0</v>
          </cell>
          <cell r="CX66">
            <v>0</v>
          </cell>
          <cell r="CY66">
            <v>0</v>
          </cell>
          <cell r="CZ66">
            <v>349701481.51782125</v>
          </cell>
          <cell r="DA66">
            <v>19874260.555838689</v>
          </cell>
          <cell r="DB66">
            <v>17359558.199793793</v>
          </cell>
          <cell r="DC66">
            <v>14925975.274589054</v>
          </cell>
          <cell r="DD66">
            <v>12411272.91854416</v>
          </cell>
          <cell r="DE66">
            <v>9896570.5624992643</v>
          </cell>
          <cell r="DF66">
            <v>7462987.6372945271</v>
          </cell>
          <cell r="DG66">
            <v>4948285.2812496321</v>
          </cell>
          <cell r="DH66">
            <v>2514702.356044895</v>
          </cell>
          <cell r="DI66">
            <v>0</v>
          </cell>
          <cell r="DJ66">
            <v>0</v>
          </cell>
          <cell r="DK66">
            <v>0</v>
          </cell>
          <cell r="DL66">
            <v>0</v>
          </cell>
          <cell r="DM66">
            <v>0</v>
          </cell>
          <cell r="DN66">
            <v>0</v>
          </cell>
          <cell r="DO66">
            <v>0</v>
          </cell>
          <cell r="DP66">
            <v>0</v>
          </cell>
          <cell r="DQ66">
            <v>0</v>
          </cell>
          <cell r="DR66">
            <v>0</v>
          </cell>
          <cell r="DS66">
            <v>0</v>
          </cell>
          <cell r="DT66">
            <v>0</v>
          </cell>
          <cell r="DU66">
            <v>0</v>
          </cell>
          <cell r="DV66">
            <v>0</v>
          </cell>
          <cell r="DW66">
            <v>0</v>
          </cell>
          <cell r="DX66">
            <v>0</v>
          </cell>
          <cell r="DY66">
            <v>0</v>
          </cell>
          <cell r="DZ66">
            <v>0</v>
          </cell>
          <cell r="EA66">
            <v>0</v>
          </cell>
          <cell r="EB66">
            <v>0</v>
          </cell>
          <cell r="EC66">
            <v>0</v>
          </cell>
          <cell r="ED66">
            <v>0</v>
          </cell>
          <cell r="EE66">
            <v>0</v>
          </cell>
          <cell r="EF66">
            <v>0</v>
          </cell>
          <cell r="EG66">
            <v>0</v>
          </cell>
          <cell r="EH66">
            <v>0</v>
          </cell>
          <cell r="EI66">
            <v>0</v>
          </cell>
          <cell r="EJ66">
            <v>0</v>
          </cell>
          <cell r="EK66">
            <v>0</v>
          </cell>
          <cell r="EL66">
            <v>0</v>
          </cell>
          <cell r="EM66">
            <v>0</v>
          </cell>
          <cell r="EN66">
            <v>0</v>
          </cell>
          <cell r="EO66">
            <v>0</v>
          </cell>
          <cell r="EP66">
            <v>0</v>
          </cell>
          <cell r="EQ66">
            <v>0</v>
          </cell>
          <cell r="ER66">
            <v>0</v>
          </cell>
          <cell r="ES66">
            <v>0</v>
          </cell>
          <cell r="ET66">
            <v>0</v>
          </cell>
          <cell r="EU66">
            <v>0</v>
          </cell>
          <cell r="EV66">
            <v>0</v>
          </cell>
          <cell r="EW66">
            <v>0</v>
          </cell>
          <cell r="EX66">
            <v>0</v>
          </cell>
          <cell r="EY66">
            <v>0</v>
          </cell>
          <cell r="EZ66">
            <v>0</v>
          </cell>
          <cell r="FA66">
            <v>0</v>
          </cell>
          <cell r="FB66">
            <v>0</v>
          </cell>
          <cell r="FC66">
            <v>0</v>
          </cell>
          <cell r="FD66">
            <v>0</v>
          </cell>
          <cell r="FE66">
            <v>0</v>
          </cell>
          <cell r="FF66">
            <v>0</v>
          </cell>
          <cell r="FG66">
            <v>0</v>
          </cell>
          <cell r="FH66">
            <v>0</v>
          </cell>
          <cell r="FI66">
            <v>0</v>
          </cell>
          <cell r="FJ66">
            <v>0</v>
          </cell>
          <cell r="FK66">
            <v>0</v>
          </cell>
          <cell r="FL66">
            <v>0</v>
          </cell>
          <cell r="FM66">
            <v>0</v>
          </cell>
          <cell r="FN66">
            <v>0</v>
          </cell>
          <cell r="FO66">
            <v>0</v>
          </cell>
          <cell r="FP66">
            <v>0</v>
          </cell>
          <cell r="FQ66">
            <v>0</v>
          </cell>
          <cell r="FR66">
            <v>0</v>
          </cell>
          <cell r="FS66">
            <v>0</v>
          </cell>
          <cell r="FT66">
            <v>0</v>
          </cell>
          <cell r="FU66">
            <v>0</v>
          </cell>
          <cell r="FV66">
            <v>0</v>
          </cell>
          <cell r="FW66">
            <v>0</v>
          </cell>
          <cell r="FX66">
            <v>0</v>
          </cell>
          <cell r="FY66">
            <v>0</v>
          </cell>
          <cell r="FZ66">
            <v>0</v>
          </cell>
          <cell r="GA66">
            <v>0</v>
          </cell>
          <cell r="GB66">
            <v>0</v>
          </cell>
          <cell r="GC66">
            <v>0</v>
          </cell>
          <cell r="GD66">
            <v>0</v>
          </cell>
          <cell r="GE66">
            <v>0</v>
          </cell>
          <cell r="GF66">
            <v>0</v>
          </cell>
          <cell r="GG66">
            <v>0</v>
          </cell>
          <cell r="GH66">
            <v>0</v>
          </cell>
          <cell r="GI66">
            <v>0</v>
          </cell>
          <cell r="GJ66">
            <v>0</v>
          </cell>
          <cell r="GK66">
            <v>0</v>
          </cell>
          <cell r="GL66">
            <v>0</v>
          </cell>
          <cell r="GM66">
            <v>0</v>
          </cell>
          <cell r="GN66">
            <v>0</v>
          </cell>
          <cell r="GO66">
            <v>0</v>
          </cell>
          <cell r="GP66">
            <v>0</v>
          </cell>
          <cell r="GQ66">
            <v>0</v>
          </cell>
          <cell r="GR66">
            <v>0</v>
          </cell>
          <cell r="GS66">
            <v>0</v>
          </cell>
          <cell r="GT66">
            <v>0</v>
          </cell>
          <cell r="GU66">
            <v>0</v>
          </cell>
          <cell r="GV66">
            <v>0</v>
          </cell>
          <cell r="GW66">
            <v>0</v>
          </cell>
          <cell r="GX66">
            <v>0</v>
          </cell>
          <cell r="GY66">
            <v>0</v>
          </cell>
          <cell r="GZ66">
            <v>0</v>
          </cell>
          <cell r="HA66">
            <v>0</v>
          </cell>
          <cell r="HB66">
            <v>0</v>
          </cell>
          <cell r="HC66">
            <v>0</v>
          </cell>
          <cell r="HD66">
            <v>0</v>
          </cell>
          <cell r="HE66">
            <v>1629366939.8151572</v>
          </cell>
        </row>
        <row r="67">
          <cell r="A67" t="str">
            <v>HBS-15</v>
          </cell>
          <cell r="E67" t="str">
            <v>현     가</v>
          </cell>
          <cell r="F67">
            <v>0</v>
          </cell>
          <cell r="G67">
            <v>0</v>
          </cell>
          <cell r="H67">
            <v>123333058.70727174</v>
          </cell>
          <cell r="I67">
            <v>0</v>
          </cell>
          <cell r="J67">
            <v>0</v>
          </cell>
          <cell r="K67">
            <v>0</v>
          </cell>
          <cell r="L67">
            <v>0</v>
          </cell>
          <cell r="M67">
            <v>0</v>
          </cell>
          <cell r="N67">
            <v>0</v>
          </cell>
          <cell r="O67">
            <v>0</v>
          </cell>
          <cell r="P67">
            <v>0</v>
          </cell>
          <cell r="Q67">
            <v>0</v>
          </cell>
          <cell r="R67">
            <v>0</v>
          </cell>
          <cell r="S67">
            <v>0</v>
          </cell>
          <cell r="T67">
            <v>76669870.002297819</v>
          </cell>
          <cell r="U67">
            <v>0</v>
          </cell>
          <cell r="V67">
            <v>0</v>
          </cell>
          <cell r="W67">
            <v>0</v>
          </cell>
          <cell r="X67">
            <v>0</v>
          </cell>
          <cell r="Y67">
            <v>0</v>
          </cell>
          <cell r="Z67">
            <v>0</v>
          </cell>
          <cell r="AA67">
            <v>0</v>
          </cell>
          <cell r="AB67">
            <v>0</v>
          </cell>
          <cell r="AC67">
            <v>0</v>
          </cell>
          <cell r="AD67">
            <v>0</v>
          </cell>
          <cell r="AE67">
            <v>0</v>
          </cell>
          <cell r="AF67">
            <v>71666335.724536538</v>
          </cell>
          <cell r="AG67">
            <v>0</v>
          </cell>
          <cell r="AH67">
            <v>0</v>
          </cell>
          <cell r="AI67">
            <v>0</v>
          </cell>
          <cell r="AJ67">
            <v>0</v>
          </cell>
          <cell r="AK67">
            <v>0</v>
          </cell>
          <cell r="AL67">
            <v>0</v>
          </cell>
          <cell r="AM67">
            <v>0</v>
          </cell>
          <cell r="AN67">
            <v>0</v>
          </cell>
          <cell r="AO67">
            <v>0</v>
          </cell>
          <cell r="AP67">
            <v>0</v>
          </cell>
          <cell r="AQ67">
            <v>0</v>
          </cell>
          <cell r="AR67">
            <v>66389802.080258727</v>
          </cell>
          <cell r="AS67">
            <v>0</v>
          </cell>
          <cell r="AT67">
            <v>0</v>
          </cell>
          <cell r="AU67">
            <v>0</v>
          </cell>
          <cell r="AV67">
            <v>0</v>
          </cell>
          <cell r="AW67">
            <v>0</v>
          </cell>
          <cell r="AX67">
            <v>0</v>
          </cell>
          <cell r="AY67">
            <v>0</v>
          </cell>
          <cell r="AZ67">
            <v>0</v>
          </cell>
          <cell r="BA67">
            <v>0</v>
          </cell>
          <cell r="BB67">
            <v>0</v>
          </cell>
          <cell r="BC67">
            <v>0</v>
          </cell>
          <cell r="BD67">
            <v>169386126.29421869</v>
          </cell>
          <cell r="BE67">
            <v>0</v>
          </cell>
          <cell r="BF67">
            <v>0</v>
          </cell>
          <cell r="BG67">
            <v>0</v>
          </cell>
          <cell r="BH67">
            <v>0</v>
          </cell>
          <cell r="BI67">
            <v>0</v>
          </cell>
          <cell r="BJ67">
            <v>0</v>
          </cell>
          <cell r="BK67">
            <v>0</v>
          </cell>
          <cell r="BL67">
            <v>0</v>
          </cell>
          <cell r="BM67">
            <v>0</v>
          </cell>
          <cell r="BN67">
            <v>0</v>
          </cell>
          <cell r="BO67">
            <v>0</v>
          </cell>
          <cell r="BP67">
            <v>145981139.95598245</v>
          </cell>
          <cell r="BQ67">
            <v>0</v>
          </cell>
          <cell r="BR67">
            <v>0</v>
          </cell>
          <cell r="BS67">
            <v>0</v>
          </cell>
          <cell r="BT67">
            <v>0</v>
          </cell>
          <cell r="BU67">
            <v>0</v>
          </cell>
          <cell r="BV67">
            <v>0</v>
          </cell>
          <cell r="BW67">
            <v>0</v>
          </cell>
          <cell r="BX67">
            <v>0</v>
          </cell>
          <cell r="BY67">
            <v>0</v>
          </cell>
          <cell r="BZ67">
            <v>0</v>
          </cell>
          <cell r="CA67">
            <v>0</v>
          </cell>
          <cell r="CB67">
            <v>127436105.09903538</v>
          </cell>
          <cell r="CC67">
            <v>0</v>
          </cell>
          <cell r="CD67">
            <v>0</v>
          </cell>
          <cell r="CE67">
            <v>0</v>
          </cell>
          <cell r="CF67">
            <v>0</v>
          </cell>
          <cell r="CG67">
            <v>0</v>
          </cell>
          <cell r="CH67">
            <v>0</v>
          </cell>
          <cell r="CI67">
            <v>0</v>
          </cell>
          <cell r="CJ67">
            <v>0</v>
          </cell>
          <cell r="CK67">
            <v>0</v>
          </cell>
          <cell r="CL67">
            <v>0</v>
          </cell>
          <cell r="CM67">
            <v>0</v>
          </cell>
          <cell r="CN67">
            <v>110734815.98890537</v>
          </cell>
          <cell r="CO67">
            <v>0</v>
          </cell>
          <cell r="CP67">
            <v>0</v>
          </cell>
          <cell r="CQ67">
            <v>0</v>
          </cell>
          <cell r="CR67">
            <v>0</v>
          </cell>
          <cell r="CS67">
            <v>0</v>
          </cell>
          <cell r="CT67">
            <v>0</v>
          </cell>
          <cell r="CU67">
            <v>0</v>
          </cell>
          <cell r="CV67">
            <v>0</v>
          </cell>
          <cell r="CW67">
            <v>0</v>
          </cell>
          <cell r="CX67">
            <v>0</v>
          </cell>
          <cell r="CY67">
            <v>0</v>
          </cell>
          <cell r="CZ67">
            <v>194827790.88770989</v>
          </cell>
          <cell r="DA67">
            <v>11005361.29862532</v>
          </cell>
          <cell r="DB67">
            <v>9560208.8442056142</v>
          </cell>
          <cell r="DC67">
            <v>8170174.2824678682</v>
          </cell>
          <cell r="DD67">
            <v>6753827.8241582932</v>
          </cell>
          <cell r="DE67">
            <v>5352766.2221992994</v>
          </cell>
          <cell r="DF67">
            <v>4012835.2455507861</v>
          </cell>
          <cell r="DG67">
            <v>2644558.8049912406</v>
          </cell>
          <cell r="DH67">
            <v>1335810.8876175473</v>
          </cell>
          <cell r="DI67">
            <v>0</v>
          </cell>
          <cell r="DJ67">
            <v>0</v>
          </cell>
          <cell r="DK67">
            <v>0</v>
          </cell>
          <cell r="DL67">
            <v>0</v>
          </cell>
          <cell r="DM67">
            <v>0</v>
          </cell>
          <cell r="DN67">
            <v>0</v>
          </cell>
          <cell r="DO67">
            <v>0</v>
          </cell>
          <cell r="DP67">
            <v>0</v>
          </cell>
          <cell r="DQ67">
            <v>0</v>
          </cell>
          <cell r="DR67">
            <v>0</v>
          </cell>
          <cell r="DS67">
            <v>0</v>
          </cell>
          <cell r="DT67">
            <v>0</v>
          </cell>
          <cell r="DU67">
            <v>0</v>
          </cell>
          <cell r="DV67">
            <v>0</v>
          </cell>
          <cell r="DW67">
            <v>0</v>
          </cell>
          <cell r="DX67">
            <v>0</v>
          </cell>
          <cell r="DY67">
            <v>0</v>
          </cell>
          <cell r="DZ67">
            <v>0</v>
          </cell>
          <cell r="EA67">
            <v>0</v>
          </cell>
          <cell r="EB67">
            <v>0</v>
          </cell>
          <cell r="EC67">
            <v>0</v>
          </cell>
          <cell r="ED67">
            <v>0</v>
          </cell>
          <cell r="EE67">
            <v>0</v>
          </cell>
          <cell r="EF67">
            <v>0</v>
          </cell>
          <cell r="EG67">
            <v>0</v>
          </cell>
          <cell r="EH67">
            <v>0</v>
          </cell>
          <cell r="EI67">
            <v>0</v>
          </cell>
          <cell r="EJ67">
            <v>0</v>
          </cell>
          <cell r="EK67">
            <v>0</v>
          </cell>
          <cell r="EL67">
            <v>0</v>
          </cell>
          <cell r="EM67">
            <v>0</v>
          </cell>
          <cell r="EN67">
            <v>0</v>
          </cell>
          <cell r="EO67">
            <v>0</v>
          </cell>
          <cell r="EP67">
            <v>0</v>
          </cell>
          <cell r="EQ67">
            <v>0</v>
          </cell>
          <cell r="ER67">
            <v>0</v>
          </cell>
          <cell r="ES67">
            <v>0</v>
          </cell>
          <cell r="ET67">
            <v>0</v>
          </cell>
          <cell r="EU67">
            <v>0</v>
          </cell>
          <cell r="EV67">
            <v>0</v>
          </cell>
          <cell r="EW67">
            <v>0</v>
          </cell>
          <cell r="EX67">
            <v>0</v>
          </cell>
          <cell r="EY67">
            <v>0</v>
          </cell>
          <cell r="EZ67">
            <v>0</v>
          </cell>
          <cell r="FA67">
            <v>0</v>
          </cell>
          <cell r="FB67">
            <v>0</v>
          </cell>
          <cell r="FC67">
            <v>0</v>
          </cell>
          <cell r="FD67">
            <v>0</v>
          </cell>
          <cell r="FE67">
            <v>0</v>
          </cell>
          <cell r="FF67">
            <v>0</v>
          </cell>
          <cell r="FG67">
            <v>0</v>
          </cell>
          <cell r="FH67">
            <v>0</v>
          </cell>
          <cell r="FI67">
            <v>0</v>
          </cell>
          <cell r="FJ67">
            <v>0</v>
          </cell>
          <cell r="FK67">
            <v>0</v>
          </cell>
          <cell r="FL67">
            <v>0</v>
          </cell>
          <cell r="FM67">
            <v>0</v>
          </cell>
          <cell r="FN67">
            <v>0</v>
          </cell>
          <cell r="FO67">
            <v>0</v>
          </cell>
          <cell r="FP67">
            <v>0</v>
          </cell>
          <cell r="FQ67">
            <v>0</v>
          </cell>
          <cell r="FR67">
            <v>0</v>
          </cell>
          <cell r="FS67">
            <v>0</v>
          </cell>
          <cell r="FT67">
            <v>0</v>
          </cell>
          <cell r="FU67">
            <v>0</v>
          </cell>
          <cell r="FV67">
            <v>0</v>
          </cell>
          <cell r="FW67">
            <v>0</v>
          </cell>
          <cell r="FX67">
            <v>0</v>
          </cell>
          <cell r="FY67">
            <v>0</v>
          </cell>
          <cell r="FZ67">
            <v>0</v>
          </cell>
          <cell r="GA67">
            <v>0</v>
          </cell>
          <cell r="GB67">
            <v>0</v>
          </cell>
          <cell r="GC67">
            <v>0</v>
          </cell>
          <cell r="GD67">
            <v>0</v>
          </cell>
          <cell r="GE67">
            <v>0</v>
          </cell>
          <cell r="GF67">
            <v>0</v>
          </cell>
          <cell r="GG67">
            <v>0</v>
          </cell>
          <cell r="GH67">
            <v>0</v>
          </cell>
          <cell r="GI67">
            <v>0</v>
          </cell>
          <cell r="GJ67">
            <v>0</v>
          </cell>
          <cell r="GK67">
            <v>0</v>
          </cell>
          <cell r="GL67">
            <v>0</v>
          </cell>
          <cell r="GM67">
            <v>0</v>
          </cell>
          <cell r="GN67">
            <v>0</v>
          </cell>
          <cell r="GO67">
            <v>0</v>
          </cell>
          <cell r="GP67">
            <v>0</v>
          </cell>
          <cell r="GQ67">
            <v>0</v>
          </cell>
          <cell r="GR67">
            <v>0</v>
          </cell>
          <cell r="GS67">
            <v>0</v>
          </cell>
          <cell r="GT67">
            <v>0</v>
          </cell>
          <cell r="GU67">
            <v>0</v>
          </cell>
          <cell r="GV67">
            <v>0</v>
          </cell>
          <cell r="GW67">
            <v>0</v>
          </cell>
          <cell r="GX67">
            <v>0</v>
          </cell>
          <cell r="GY67">
            <v>0</v>
          </cell>
          <cell r="GZ67">
            <v>0</v>
          </cell>
          <cell r="HA67">
            <v>0</v>
          </cell>
          <cell r="HB67">
            <v>0</v>
          </cell>
          <cell r="HC67">
            <v>0</v>
          </cell>
          <cell r="HD67">
            <v>0</v>
          </cell>
          <cell r="HE67">
            <v>1135260588.1500323</v>
          </cell>
        </row>
        <row r="68">
          <cell r="B68" t="str">
            <v>HBS-16</v>
          </cell>
          <cell r="C68" t="str">
            <v>삼화제관</v>
          </cell>
          <cell r="D68">
            <v>1</v>
          </cell>
          <cell r="E68" t="str">
            <v>담     보</v>
          </cell>
          <cell r="F68">
            <v>0</v>
          </cell>
          <cell r="G68">
            <v>1093212329.3546302</v>
          </cell>
          <cell r="H68">
            <v>0</v>
          </cell>
          <cell r="I68">
            <v>0</v>
          </cell>
          <cell r="J68">
            <v>0</v>
          </cell>
          <cell r="K68">
            <v>0</v>
          </cell>
          <cell r="L68">
            <v>0</v>
          </cell>
          <cell r="M68">
            <v>1048678482.1472877</v>
          </cell>
          <cell r="N68">
            <v>0</v>
          </cell>
          <cell r="O68">
            <v>0</v>
          </cell>
          <cell r="P68">
            <v>0</v>
          </cell>
          <cell r="Q68">
            <v>0</v>
          </cell>
          <cell r="R68">
            <v>0</v>
          </cell>
          <cell r="S68">
            <v>1007875167.7107946</v>
          </cell>
          <cell r="T68">
            <v>0</v>
          </cell>
          <cell r="U68">
            <v>0</v>
          </cell>
          <cell r="V68">
            <v>0</v>
          </cell>
          <cell r="W68">
            <v>0</v>
          </cell>
          <cell r="X68">
            <v>0</v>
          </cell>
          <cell r="Y68">
            <v>963807643.79112327</v>
          </cell>
          <cell r="Z68">
            <v>0</v>
          </cell>
          <cell r="AA68">
            <v>0</v>
          </cell>
          <cell r="AB68">
            <v>0</v>
          </cell>
          <cell r="AC68">
            <v>0</v>
          </cell>
          <cell r="AD68">
            <v>0</v>
          </cell>
          <cell r="AE68">
            <v>922538006.0669589</v>
          </cell>
          <cell r="AF68">
            <v>0</v>
          </cell>
          <cell r="AG68">
            <v>0</v>
          </cell>
          <cell r="AH68">
            <v>0</v>
          </cell>
          <cell r="AI68">
            <v>0</v>
          </cell>
          <cell r="AJ68">
            <v>0</v>
          </cell>
          <cell r="AK68">
            <v>879482107.72828567</v>
          </cell>
          <cell r="AL68">
            <v>0</v>
          </cell>
          <cell r="AM68">
            <v>0</v>
          </cell>
          <cell r="AN68">
            <v>0</v>
          </cell>
          <cell r="AO68">
            <v>0</v>
          </cell>
          <cell r="AP68">
            <v>0</v>
          </cell>
          <cell r="AQ68">
            <v>836851115.34000003</v>
          </cell>
          <cell r="AR68">
            <v>0</v>
          </cell>
          <cell r="AS68">
            <v>0</v>
          </cell>
          <cell r="AT68">
            <v>0</v>
          </cell>
          <cell r="AU68">
            <v>0</v>
          </cell>
          <cell r="AV68">
            <v>0</v>
          </cell>
          <cell r="AW68">
            <v>794026472.01815319</v>
          </cell>
          <cell r="AX68">
            <v>0</v>
          </cell>
          <cell r="AY68">
            <v>0</v>
          </cell>
          <cell r="AZ68">
            <v>0</v>
          </cell>
          <cell r="BA68">
            <v>0</v>
          </cell>
          <cell r="BB68">
            <v>0</v>
          </cell>
          <cell r="BC68">
            <v>751782271.7792877</v>
          </cell>
          <cell r="BD68">
            <v>0</v>
          </cell>
          <cell r="BE68">
            <v>57118874.974027403</v>
          </cell>
          <cell r="BF68">
            <v>42663682.779287674</v>
          </cell>
          <cell r="BG68">
            <v>35669636.422027402</v>
          </cell>
          <cell r="BH68">
            <v>28442455.186191782</v>
          </cell>
          <cell r="BI68">
            <v>21215273.950356163</v>
          </cell>
          <cell r="BJ68">
            <v>14221227.593095891</v>
          </cell>
          <cell r="BK68">
            <v>6994046.3572602738</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0</v>
          </cell>
          <cell r="DQ68">
            <v>0</v>
          </cell>
          <cell r="DR68">
            <v>0</v>
          </cell>
          <cell r="DS68">
            <v>0</v>
          </cell>
          <cell r="DT68">
            <v>0</v>
          </cell>
          <cell r="DU68">
            <v>0</v>
          </cell>
          <cell r="DV68">
            <v>0</v>
          </cell>
          <cell r="DW68">
            <v>0</v>
          </cell>
          <cell r="DX68">
            <v>0</v>
          </cell>
          <cell r="DY68">
            <v>0</v>
          </cell>
          <cell r="DZ68">
            <v>0</v>
          </cell>
          <cell r="EA68">
            <v>0</v>
          </cell>
          <cell r="EB68">
            <v>0</v>
          </cell>
          <cell r="EC68">
            <v>0</v>
          </cell>
          <cell r="ED68">
            <v>0</v>
          </cell>
          <cell r="EE68">
            <v>0</v>
          </cell>
          <cell r="EF68">
            <v>0</v>
          </cell>
          <cell r="EG68">
            <v>0</v>
          </cell>
          <cell r="EH68">
            <v>0</v>
          </cell>
          <cell r="EI68">
            <v>0</v>
          </cell>
          <cell r="EJ68">
            <v>0</v>
          </cell>
          <cell r="EK68">
            <v>0</v>
          </cell>
          <cell r="EL68">
            <v>0</v>
          </cell>
          <cell r="EM68">
            <v>0</v>
          </cell>
          <cell r="EN68">
            <v>0</v>
          </cell>
          <cell r="EO68">
            <v>0</v>
          </cell>
          <cell r="EP68">
            <v>0</v>
          </cell>
          <cell r="EQ68">
            <v>0</v>
          </cell>
          <cell r="ER68">
            <v>0</v>
          </cell>
          <cell r="ES68">
            <v>0</v>
          </cell>
          <cell r="ET68">
            <v>0</v>
          </cell>
          <cell r="EU68">
            <v>0</v>
          </cell>
          <cell r="EV68">
            <v>0</v>
          </cell>
          <cell r="EW68">
            <v>0</v>
          </cell>
          <cell r="EX68">
            <v>0</v>
          </cell>
          <cell r="EY68">
            <v>0</v>
          </cell>
          <cell r="EZ68">
            <v>0</v>
          </cell>
          <cell r="FA68">
            <v>0</v>
          </cell>
          <cell r="FB68">
            <v>0</v>
          </cell>
          <cell r="FC68">
            <v>0</v>
          </cell>
          <cell r="FD68">
            <v>0</v>
          </cell>
          <cell r="FE68">
            <v>0</v>
          </cell>
          <cell r="FF68">
            <v>0</v>
          </cell>
          <cell r="FG68">
            <v>0</v>
          </cell>
          <cell r="FH68">
            <v>0</v>
          </cell>
          <cell r="FI68">
            <v>0</v>
          </cell>
          <cell r="FJ68">
            <v>0</v>
          </cell>
          <cell r="FK68">
            <v>0</v>
          </cell>
          <cell r="FL68">
            <v>0</v>
          </cell>
          <cell r="FM68">
            <v>0</v>
          </cell>
          <cell r="FN68">
            <v>0</v>
          </cell>
          <cell r="FO68">
            <v>0</v>
          </cell>
          <cell r="FP68">
            <v>0</v>
          </cell>
          <cell r="FQ68">
            <v>0</v>
          </cell>
          <cell r="FR68">
            <v>0</v>
          </cell>
          <cell r="FS68">
            <v>0</v>
          </cell>
          <cell r="FT68">
            <v>0</v>
          </cell>
          <cell r="FU68">
            <v>0</v>
          </cell>
          <cell r="FV68">
            <v>0</v>
          </cell>
          <cell r="FW68">
            <v>0</v>
          </cell>
          <cell r="FX68">
            <v>0</v>
          </cell>
          <cell r="FY68">
            <v>0</v>
          </cell>
          <cell r="FZ68">
            <v>0</v>
          </cell>
          <cell r="GA68">
            <v>0</v>
          </cell>
          <cell r="GB68">
            <v>0</v>
          </cell>
          <cell r="GC68">
            <v>0</v>
          </cell>
          <cell r="GD68">
            <v>0</v>
          </cell>
          <cell r="GE68">
            <v>0</v>
          </cell>
          <cell r="GF68">
            <v>0</v>
          </cell>
          <cell r="GG68">
            <v>0</v>
          </cell>
          <cell r="GH68">
            <v>0</v>
          </cell>
          <cell r="GI68">
            <v>0</v>
          </cell>
          <cell r="GJ68">
            <v>0</v>
          </cell>
          <cell r="GK68">
            <v>0</v>
          </cell>
          <cell r="GL68">
            <v>0</v>
          </cell>
          <cell r="GM68">
            <v>0</v>
          </cell>
          <cell r="GN68">
            <v>0</v>
          </cell>
          <cell r="GO68">
            <v>0</v>
          </cell>
          <cell r="GP68">
            <v>0</v>
          </cell>
          <cell r="GQ68">
            <v>0</v>
          </cell>
          <cell r="GR68">
            <v>0</v>
          </cell>
          <cell r="GS68">
            <v>0</v>
          </cell>
          <cell r="GT68">
            <v>0</v>
          </cell>
          <cell r="GU68">
            <v>0</v>
          </cell>
          <cell r="GV68">
            <v>0</v>
          </cell>
          <cell r="GW68">
            <v>0</v>
          </cell>
          <cell r="GX68">
            <v>0</v>
          </cell>
          <cell r="GY68">
            <v>0</v>
          </cell>
          <cell r="GZ68">
            <v>0</v>
          </cell>
          <cell r="HA68">
            <v>0</v>
          </cell>
          <cell r="HB68">
            <v>0</v>
          </cell>
          <cell r="HC68">
            <v>0</v>
          </cell>
          <cell r="HD68">
            <v>0</v>
          </cell>
          <cell r="HE68">
            <v>8504578793.1987686</v>
          </cell>
        </row>
        <row r="69">
          <cell r="D69">
            <v>1</v>
          </cell>
          <cell r="E69" t="str">
            <v>무 담 보</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v>
          </cell>
          <cell r="EV69">
            <v>0</v>
          </cell>
          <cell r="EW69">
            <v>0</v>
          </cell>
          <cell r="EX69">
            <v>0</v>
          </cell>
          <cell r="EY69">
            <v>0</v>
          </cell>
          <cell r="EZ69">
            <v>0</v>
          </cell>
          <cell r="FA69">
            <v>0</v>
          </cell>
          <cell r="FB69">
            <v>0</v>
          </cell>
          <cell r="FC69">
            <v>0</v>
          </cell>
          <cell r="FD69">
            <v>0</v>
          </cell>
          <cell r="FE69">
            <v>0</v>
          </cell>
          <cell r="FF69">
            <v>0</v>
          </cell>
          <cell r="FG69">
            <v>0</v>
          </cell>
          <cell r="FH69">
            <v>0</v>
          </cell>
          <cell r="FI69">
            <v>0</v>
          </cell>
          <cell r="FJ69">
            <v>0</v>
          </cell>
          <cell r="FK69">
            <v>0</v>
          </cell>
          <cell r="FL69">
            <v>0</v>
          </cell>
          <cell r="FM69">
            <v>0</v>
          </cell>
          <cell r="FN69">
            <v>0</v>
          </cell>
          <cell r="FO69">
            <v>0</v>
          </cell>
          <cell r="FP69">
            <v>0</v>
          </cell>
          <cell r="FQ69">
            <v>0</v>
          </cell>
          <cell r="FR69">
            <v>0</v>
          </cell>
          <cell r="FS69">
            <v>0</v>
          </cell>
          <cell r="FT69">
            <v>0</v>
          </cell>
          <cell r="FU69">
            <v>0</v>
          </cell>
          <cell r="FV69">
            <v>0</v>
          </cell>
          <cell r="FW69">
            <v>0</v>
          </cell>
          <cell r="FX69">
            <v>0</v>
          </cell>
          <cell r="FY69">
            <v>0</v>
          </cell>
          <cell r="FZ69">
            <v>0</v>
          </cell>
          <cell r="GA69">
            <v>0</v>
          </cell>
          <cell r="GB69">
            <v>0</v>
          </cell>
          <cell r="GC69">
            <v>0</v>
          </cell>
          <cell r="GD69">
            <v>0</v>
          </cell>
          <cell r="GE69">
            <v>0</v>
          </cell>
          <cell r="GF69">
            <v>0</v>
          </cell>
          <cell r="GG69">
            <v>0</v>
          </cell>
          <cell r="GH69">
            <v>0</v>
          </cell>
          <cell r="GI69">
            <v>0</v>
          </cell>
          <cell r="GJ69">
            <v>0</v>
          </cell>
          <cell r="GK69">
            <v>0</v>
          </cell>
          <cell r="GL69">
            <v>0</v>
          </cell>
          <cell r="GM69">
            <v>0</v>
          </cell>
          <cell r="GN69">
            <v>0</v>
          </cell>
          <cell r="GO69">
            <v>0</v>
          </cell>
          <cell r="GP69">
            <v>0</v>
          </cell>
          <cell r="GQ69">
            <v>0</v>
          </cell>
          <cell r="GR69">
            <v>0</v>
          </cell>
          <cell r="GS69">
            <v>0</v>
          </cell>
          <cell r="GT69">
            <v>0</v>
          </cell>
          <cell r="GU69">
            <v>0</v>
          </cell>
          <cell r="GV69">
            <v>0</v>
          </cell>
          <cell r="GW69">
            <v>0</v>
          </cell>
          <cell r="GX69">
            <v>0</v>
          </cell>
          <cell r="GY69">
            <v>0</v>
          </cell>
          <cell r="GZ69">
            <v>0</v>
          </cell>
          <cell r="HA69">
            <v>0</v>
          </cell>
          <cell r="HB69">
            <v>0</v>
          </cell>
          <cell r="HC69">
            <v>0</v>
          </cell>
          <cell r="HD69">
            <v>0</v>
          </cell>
          <cell r="HE69">
            <v>0</v>
          </cell>
        </row>
        <row r="70">
          <cell r="E70" t="str">
            <v>Total</v>
          </cell>
          <cell r="F70">
            <v>0</v>
          </cell>
          <cell r="G70">
            <v>1093212329.3546302</v>
          </cell>
          <cell r="H70">
            <v>0</v>
          </cell>
          <cell r="I70">
            <v>0</v>
          </cell>
          <cell r="J70">
            <v>0</v>
          </cell>
          <cell r="K70">
            <v>0</v>
          </cell>
          <cell r="L70">
            <v>0</v>
          </cell>
          <cell r="M70">
            <v>1048678482.1472877</v>
          </cell>
          <cell r="N70">
            <v>0</v>
          </cell>
          <cell r="O70">
            <v>0</v>
          </cell>
          <cell r="P70">
            <v>0</v>
          </cell>
          <cell r="Q70">
            <v>0</v>
          </cell>
          <cell r="R70">
            <v>0</v>
          </cell>
          <cell r="S70">
            <v>1007875167.7107946</v>
          </cell>
          <cell r="T70">
            <v>0</v>
          </cell>
          <cell r="U70">
            <v>0</v>
          </cell>
          <cell r="V70">
            <v>0</v>
          </cell>
          <cell r="W70">
            <v>0</v>
          </cell>
          <cell r="X70">
            <v>0</v>
          </cell>
          <cell r="Y70">
            <v>963807643.79112327</v>
          </cell>
          <cell r="Z70">
            <v>0</v>
          </cell>
          <cell r="AA70">
            <v>0</v>
          </cell>
          <cell r="AB70">
            <v>0</v>
          </cell>
          <cell r="AC70">
            <v>0</v>
          </cell>
          <cell r="AD70">
            <v>0</v>
          </cell>
          <cell r="AE70">
            <v>922538006.0669589</v>
          </cell>
          <cell r="AF70">
            <v>0</v>
          </cell>
          <cell r="AG70">
            <v>0</v>
          </cell>
          <cell r="AH70">
            <v>0</v>
          </cell>
          <cell r="AI70">
            <v>0</v>
          </cell>
          <cell r="AJ70">
            <v>0</v>
          </cell>
          <cell r="AK70">
            <v>879482107.72828567</v>
          </cell>
          <cell r="AL70">
            <v>0</v>
          </cell>
          <cell r="AM70">
            <v>0</v>
          </cell>
          <cell r="AN70">
            <v>0</v>
          </cell>
          <cell r="AO70">
            <v>0</v>
          </cell>
          <cell r="AP70">
            <v>0</v>
          </cell>
          <cell r="AQ70">
            <v>836851115.34000003</v>
          </cell>
          <cell r="AR70">
            <v>0</v>
          </cell>
          <cell r="AS70">
            <v>0</v>
          </cell>
          <cell r="AT70">
            <v>0</v>
          </cell>
          <cell r="AU70">
            <v>0</v>
          </cell>
          <cell r="AV70">
            <v>0</v>
          </cell>
          <cell r="AW70">
            <v>794026472.01815319</v>
          </cell>
          <cell r="AX70">
            <v>0</v>
          </cell>
          <cell r="AY70">
            <v>0</v>
          </cell>
          <cell r="AZ70">
            <v>0</v>
          </cell>
          <cell r="BA70">
            <v>0</v>
          </cell>
          <cell r="BB70">
            <v>0</v>
          </cell>
          <cell r="BC70">
            <v>751782271.7792877</v>
          </cell>
          <cell r="BD70">
            <v>0</v>
          </cell>
          <cell r="BE70">
            <v>57118874.974027403</v>
          </cell>
          <cell r="BF70">
            <v>42663682.779287674</v>
          </cell>
          <cell r="BG70">
            <v>35669636.422027402</v>
          </cell>
          <cell r="BH70">
            <v>28442455.186191782</v>
          </cell>
          <cell r="BI70">
            <v>21215273.950356163</v>
          </cell>
          <cell r="BJ70">
            <v>14221227.593095891</v>
          </cell>
          <cell r="BK70">
            <v>6994046.3572602738</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DW70">
            <v>0</v>
          </cell>
          <cell r="DX70">
            <v>0</v>
          </cell>
          <cell r="DY70">
            <v>0</v>
          </cell>
          <cell r="DZ70">
            <v>0</v>
          </cell>
          <cell r="EA70">
            <v>0</v>
          </cell>
          <cell r="EB70">
            <v>0</v>
          </cell>
          <cell r="EC70">
            <v>0</v>
          </cell>
          <cell r="ED70">
            <v>0</v>
          </cell>
          <cell r="EE70">
            <v>0</v>
          </cell>
          <cell r="EF70">
            <v>0</v>
          </cell>
          <cell r="EG70">
            <v>0</v>
          </cell>
          <cell r="EH70">
            <v>0</v>
          </cell>
          <cell r="EI70">
            <v>0</v>
          </cell>
          <cell r="EJ70">
            <v>0</v>
          </cell>
          <cell r="EK70">
            <v>0</v>
          </cell>
          <cell r="EL70">
            <v>0</v>
          </cell>
          <cell r="EM70">
            <v>0</v>
          </cell>
          <cell r="EN70">
            <v>0</v>
          </cell>
          <cell r="EO70">
            <v>0</v>
          </cell>
          <cell r="EP70">
            <v>0</v>
          </cell>
          <cell r="EQ70">
            <v>0</v>
          </cell>
          <cell r="ER70">
            <v>0</v>
          </cell>
          <cell r="ES70">
            <v>0</v>
          </cell>
          <cell r="ET70">
            <v>0</v>
          </cell>
          <cell r="EU70">
            <v>0</v>
          </cell>
          <cell r="EV70">
            <v>0</v>
          </cell>
          <cell r="EW70">
            <v>0</v>
          </cell>
          <cell r="EX70">
            <v>0</v>
          </cell>
          <cell r="EY70">
            <v>0</v>
          </cell>
          <cell r="EZ70">
            <v>0</v>
          </cell>
          <cell r="FA70">
            <v>0</v>
          </cell>
          <cell r="FB70">
            <v>0</v>
          </cell>
          <cell r="FC70">
            <v>0</v>
          </cell>
          <cell r="FD70">
            <v>0</v>
          </cell>
          <cell r="FE70">
            <v>0</v>
          </cell>
          <cell r="FF70">
            <v>0</v>
          </cell>
          <cell r="FG70">
            <v>0</v>
          </cell>
          <cell r="FH70">
            <v>0</v>
          </cell>
          <cell r="FI70">
            <v>0</v>
          </cell>
          <cell r="FJ70">
            <v>0</v>
          </cell>
          <cell r="FK70">
            <v>0</v>
          </cell>
          <cell r="FL70">
            <v>0</v>
          </cell>
          <cell r="FM70">
            <v>0</v>
          </cell>
          <cell r="FN70">
            <v>0</v>
          </cell>
          <cell r="FO70">
            <v>0</v>
          </cell>
          <cell r="FP70">
            <v>0</v>
          </cell>
          <cell r="FQ70">
            <v>0</v>
          </cell>
          <cell r="FR70">
            <v>0</v>
          </cell>
          <cell r="FS70">
            <v>0</v>
          </cell>
          <cell r="FT70">
            <v>0</v>
          </cell>
          <cell r="FU70">
            <v>0</v>
          </cell>
          <cell r="FV70">
            <v>0</v>
          </cell>
          <cell r="FW70">
            <v>0</v>
          </cell>
          <cell r="FX70">
            <v>0</v>
          </cell>
          <cell r="FY70">
            <v>0</v>
          </cell>
          <cell r="FZ70">
            <v>0</v>
          </cell>
          <cell r="GA70">
            <v>0</v>
          </cell>
          <cell r="GB70">
            <v>0</v>
          </cell>
          <cell r="GC70">
            <v>0</v>
          </cell>
          <cell r="GD70">
            <v>0</v>
          </cell>
          <cell r="GE70">
            <v>0</v>
          </cell>
          <cell r="GF70">
            <v>0</v>
          </cell>
          <cell r="GG70">
            <v>0</v>
          </cell>
          <cell r="GH70">
            <v>0</v>
          </cell>
          <cell r="GI70">
            <v>0</v>
          </cell>
          <cell r="GJ70">
            <v>0</v>
          </cell>
          <cell r="GK70">
            <v>0</v>
          </cell>
          <cell r="GL70">
            <v>0</v>
          </cell>
          <cell r="GM70">
            <v>0</v>
          </cell>
          <cell r="GN70">
            <v>0</v>
          </cell>
          <cell r="GO70">
            <v>0</v>
          </cell>
          <cell r="GP70">
            <v>0</v>
          </cell>
          <cell r="GQ70">
            <v>0</v>
          </cell>
          <cell r="GR70">
            <v>0</v>
          </cell>
          <cell r="GS70">
            <v>0</v>
          </cell>
          <cell r="GT70">
            <v>0</v>
          </cell>
          <cell r="GU70">
            <v>0</v>
          </cell>
          <cell r="GV70">
            <v>0</v>
          </cell>
          <cell r="GW70">
            <v>0</v>
          </cell>
          <cell r="GX70">
            <v>0</v>
          </cell>
          <cell r="GY70">
            <v>0</v>
          </cell>
          <cell r="GZ70">
            <v>0</v>
          </cell>
          <cell r="HA70">
            <v>0</v>
          </cell>
          <cell r="HB70">
            <v>0</v>
          </cell>
          <cell r="HC70">
            <v>0</v>
          </cell>
          <cell r="HD70">
            <v>0</v>
          </cell>
          <cell r="HE70">
            <v>8504578793.1987686</v>
          </cell>
        </row>
        <row r="71">
          <cell r="A71" t="str">
            <v>HBS-16</v>
          </cell>
          <cell r="E71" t="str">
            <v>현     가</v>
          </cell>
          <cell r="F71">
            <v>0</v>
          </cell>
          <cell r="G71">
            <v>1088369710.3606184</v>
          </cell>
          <cell r="H71">
            <v>0</v>
          </cell>
          <cell r="I71">
            <v>0</v>
          </cell>
          <cell r="J71">
            <v>0</v>
          </cell>
          <cell r="K71">
            <v>0</v>
          </cell>
          <cell r="L71">
            <v>0</v>
          </cell>
          <cell r="M71">
            <v>1016289171.5025773</v>
          </cell>
          <cell r="N71">
            <v>0</v>
          </cell>
          <cell r="O71">
            <v>0</v>
          </cell>
          <cell r="P71">
            <v>0</v>
          </cell>
          <cell r="Q71">
            <v>0</v>
          </cell>
          <cell r="R71">
            <v>0</v>
          </cell>
          <cell r="S71">
            <v>944354399.17404723</v>
          </cell>
          <cell r="T71">
            <v>0</v>
          </cell>
          <cell r="U71">
            <v>0</v>
          </cell>
          <cell r="V71">
            <v>0</v>
          </cell>
          <cell r="W71">
            <v>0</v>
          </cell>
          <cell r="X71">
            <v>0</v>
          </cell>
          <cell r="Y71">
            <v>876379394.06882668</v>
          </cell>
          <cell r="Z71">
            <v>0</v>
          </cell>
          <cell r="AA71">
            <v>0</v>
          </cell>
          <cell r="AB71">
            <v>0</v>
          </cell>
          <cell r="AC71">
            <v>0</v>
          </cell>
          <cell r="AD71">
            <v>0</v>
          </cell>
          <cell r="AE71">
            <v>808216711.09986675</v>
          </cell>
          <cell r="AF71">
            <v>0</v>
          </cell>
          <cell r="AG71">
            <v>0</v>
          </cell>
          <cell r="AH71">
            <v>0</v>
          </cell>
          <cell r="AI71">
            <v>0</v>
          </cell>
          <cell r="AJ71">
            <v>0</v>
          </cell>
          <cell r="AK71">
            <v>746338183.6796881</v>
          </cell>
          <cell r="AL71">
            <v>0</v>
          </cell>
          <cell r="AM71">
            <v>0</v>
          </cell>
          <cell r="AN71">
            <v>0</v>
          </cell>
          <cell r="AO71">
            <v>0</v>
          </cell>
          <cell r="AP71">
            <v>0</v>
          </cell>
          <cell r="AQ71">
            <v>679401459.66347635</v>
          </cell>
          <cell r="AR71">
            <v>0</v>
          </cell>
          <cell r="AS71">
            <v>0</v>
          </cell>
          <cell r="AT71">
            <v>0</v>
          </cell>
          <cell r="AU71">
            <v>0</v>
          </cell>
          <cell r="AV71">
            <v>0</v>
          </cell>
          <cell r="AW71">
            <v>623278089.7442981</v>
          </cell>
          <cell r="AX71">
            <v>0</v>
          </cell>
          <cell r="AY71">
            <v>0</v>
          </cell>
          <cell r="AZ71">
            <v>0</v>
          </cell>
          <cell r="BA71">
            <v>0</v>
          </cell>
          <cell r="BB71">
            <v>0</v>
          </cell>
          <cell r="BC71">
            <v>570462589.43162835</v>
          </cell>
          <cell r="BD71">
            <v>0</v>
          </cell>
          <cell r="BE71">
            <v>42847985.80154907</v>
          </cell>
          <cell r="BF71">
            <v>31838905.0517837</v>
          </cell>
          <cell r="BG71">
            <v>26467096.679450739</v>
          </cell>
          <cell r="BH71">
            <v>20987607.556014758</v>
          </cell>
          <cell r="BI71">
            <v>15565115.056510899</v>
          </cell>
          <cell r="BJ71">
            <v>10375977.209538434</v>
          </cell>
          <cell r="BK71">
            <v>5073740.6937311487</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0</v>
          </cell>
          <cell r="CQ71">
            <v>0</v>
          </cell>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R71">
            <v>0</v>
          </cell>
          <cell r="DS71">
            <v>0</v>
          </cell>
          <cell r="DT71">
            <v>0</v>
          </cell>
          <cell r="DU71">
            <v>0</v>
          </cell>
          <cell r="DV71">
            <v>0</v>
          </cell>
          <cell r="DW71">
            <v>0</v>
          </cell>
          <cell r="DX71">
            <v>0</v>
          </cell>
          <cell r="DY71">
            <v>0</v>
          </cell>
          <cell r="DZ71">
            <v>0</v>
          </cell>
          <cell r="EA71">
            <v>0</v>
          </cell>
          <cell r="EB71">
            <v>0</v>
          </cell>
          <cell r="EC71">
            <v>0</v>
          </cell>
          <cell r="ED71">
            <v>0</v>
          </cell>
          <cell r="EE71">
            <v>0</v>
          </cell>
          <cell r="EF71">
            <v>0</v>
          </cell>
          <cell r="EG71">
            <v>0</v>
          </cell>
          <cell r="EH71">
            <v>0</v>
          </cell>
          <cell r="EI71">
            <v>0</v>
          </cell>
          <cell r="EJ71">
            <v>0</v>
          </cell>
          <cell r="EK71">
            <v>0</v>
          </cell>
          <cell r="EL71">
            <v>0</v>
          </cell>
          <cell r="EM71">
            <v>0</v>
          </cell>
          <cell r="EN71">
            <v>0</v>
          </cell>
          <cell r="EO71">
            <v>0</v>
          </cell>
          <cell r="EP71">
            <v>0</v>
          </cell>
          <cell r="EQ71">
            <v>0</v>
          </cell>
          <cell r="ER71">
            <v>0</v>
          </cell>
          <cell r="ES71">
            <v>0</v>
          </cell>
          <cell r="ET71">
            <v>0</v>
          </cell>
          <cell r="EU71">
            <v>0</v>
          </cell>
          <cell r="EV71">
            <v>0</v>
          </cell>
          <cell r="EW71">
            <v>0</v>
          </cell>
          <cell r="EX71">
            <v>0</v>
          </cell>
          <cell r="EY71">
            <v>0</v>
          </cell>
          <cell r="EZ71">
            <v>0</v>
          </cell>
          <cell r="FA71">
            <v>0</v>
          </cell>
          <cell r="FB71">
            <v>0</v>
          </cell>
          <cell r="FC71">
            <v>0</v>
          </cell>
          <cell r="FD71">
            <v>0</v>
          </cell>
          <cell r="FE71">
            <v>0</v>
          </cell>
          <cell r="FF71">
            <v>0</v>
          </cell>
          <cell r="FG71">
            <v>0</v>
          </cell>
          <cell r="FH71">
            <v>0</v>
          </cell>
          <cell r="FI71">
            <v>0</v>
          </cell>
          <cell r="FJ71">
            <v>0</v>
          </cell>
          <cell r="FK71">
            <v>0</v>
          </cell>
          <cell r="FL71">
            <v>0</v>
          </cell>
          <cell r="FM71">
            <v>0</v>
          </cell>
          <cell r="FN71">
            <v>0</v>
          </cell>
          <cell r="FO71">
            <v>0</v>
          </cell>
          <cell r="FP71">
            <v>0</v>
          </cell>
          <cell r="FQ71">
            <v>0</v>
          </cell>
          <cell r="FR71">
            <v>0</v>
          </cell>
          <cell r="FS71">
            <v>0</v>
          </cell>
          <cell r="FT71">
            <v>0</v>
          </cell>
          <cell r="FU71">
            <v>0</v>
          </cell>
          <cell r="FV71">
            <v>0</v>
          </cell>
          <cell r="FW71">
            <v>0</v>
          </cell>
          <cell r="FX71">
            <v>0</v>
          </cell>
          <cell r="FY71">
            <v>0</v>
          </cell>
          <cell r="FZ71">
            <v>0</v>
          </cell>
          <cell r="GA71">
            <v>0</v>
          </cell>
          <cell r="GB71">
            <v>0</v>
          </cell>
          <cell r="GC71">
            <v>0</v>
          </cell>
          <cell r="GD71">
            <v>0</v>
          </cell>
          <cell r="GE71">
            <v>0</v>
          </cell>
          <cell r="GF71">
            <v>0</v>
          </cell>
          <cell r="GG71">
            <v>0</v>
          </cell>
          <cell r="GH71">
            <v>0</v>
          </cell>
          <cell r="GI71">
            <v>0</v>
          </cell>
          <cell r="GJ71">
            <v>0</v>
          </cell>
          <cell r="GK71">
            <v>0</v>
          </cell>
          <cell r="GL71">
            <v>0</v>
          </cell>
          <cell r="GM71">
            <v>0</v>
          </cell>
          <cell r="GN71">
            <v>0</v>
          </cell>
          <cell r="GO71">
            <v>0</v>
          </cell>
          <cell r="GP71">
            <v>0</v>
          </cell>
          <cell r="GQ71">
            <v>0</v>
          </cell>
          <cell r="GR71">
            <v>0</v>
          </cell>
          <cell r="GS71">
            <v>0</v>
          </cell>
          <cell r="GT71">
            <v>0</v>
          </cell>
          <cell r="GU71">
            <v>0</v>
          </cell>
          <cell r="GV71">
            <v>0</v>
          </cell>
          <cell r="GW71">
            <v>0</v>
          </cell>
          <cell r="GX71">
            <v>0</v>
          </cell>
          <cell r="GY71">
            <v>0</v>
          </cell>
          <cell r="GZ71">
            <v>0</v>
          </cell>
          <cell r="HA71">
            <v>0</v>
          </cell>
          <cell r="HB71">
            <v>0</v>
          </cell>
          <cell r="HC71">
            <v>0</v>
          </cell>
          <cell r="HD71">
            <v>0</v>
          </cell>
          <cell r="HE71">
            <v>7506246136.7736063</v>
          </cell>
        </row>
        <row r="72">
          <cell r="B72" t="str">
            <v>HBS-17</v>
          </cell>
          <cell r="C72" t="str">
            <v>한양공영</v>
          </cell>
          <cell r="D72">
            <v>0.73079382228752976</v>
          </cell>
          <cell r="E72" t="str">
            <v>담     보</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cell r="EG72">
            <v>0</v>
          </cell>
          <cell r="EH72">
            <v>0</v>
          </cell>
          <cell r="EI72">
            <v>0</v>
          </cell>
          <cell r="EJ72">
            <v>0</v>
          </cell>
          <cell r="EK72">
            <v>0</v>
          </cell>
          <cell r="EL72">
            <v>0</v>
          </cell>
          <cell r="EM72">
            <v>0</v>
          </cell>
          <cell r="EN72">
            <v>0</v>
          </cell>
          <cell r="EO72">
            <v>0</v>
          </cell>
          <cell r="EP72">
            <v>0</v>
          </cell>
          <cell r="EQ72">
            <v>0</v>
          </cell>
          <cell r="ER72">
            <v>0</v>
          </cell>
          <cell r="ES72">
            <v>0</v>
          </cell>
          <cell r="ET72">
            <v>0</v>
          </cell>
          <cell r="EU72">
            <v>0</v>
          </cell>
          <cell r="EV72">
            <v>0</v>
          </cell>
          <cell r="EW72">
            <v>0</v>
          </cell>
          <cell r="EX72">
            <v>0</v>
          </cell>
          <cell r="EY72">
            <v>0</v>
          </cell>
          <cell r="EZ72">
            <v>0</v>
          </cell>
          <cell r="FA72">
            <v>0</v>
          </cell>
          <cell r="FB72">
            <v>0</v>
          </cell>
          <cell r="FC72">
            <v>0</v>
          </cell>
          <cell r="FD72">
            <v>0</v>
          </cell>
          <cell r="FE72">
            <v>0</v>
          </cell>
          <cell r="FF72">
            <v>0</v>
          </cell>
          <cell r="FG72">
            <v>0</v>
          </cell>
          <cell r="FH72">
            <v>0</v>
          </cell>
          <cell r="FI72">
            <v>0</v>
          </cell>
          <cell r="FJ72">
            <v>0</v>
          </cell>
          <cell r="FK72">
            <v>0</v>
          </cell>
          <cell r="FL72">
            <v>0</v>
          </cell>
          <cell r="FM72">
            <v>0</v>
          </cell>
          <cell r="FN72">
            <v>0</v>
          </cell>
          <cell r="FO72">
            <v>0</v>
          </cell>
          <cell r="FP72">
            <v>0</v>
          </cell>
          <cell r="FQ72">
            <v>0</v>
          </cell>
          <cell r="FR72">
            <v>0</v>
          </cell>
          <cell r="FS72">
            <v>0</v>
          </cell>
          <cell r="FT72">
            <v>0</v>
          </cell>
          <cell r="FU72">
            <v>0</v>
          </cell>
          <cell r="FV72">
            <v>0</v>
          </cell>
          <cell r="FW72">
            <v>0</v>
          </cell>
          <cell r="FX72">
            <v>0</v>
          </cell>
          <cell r="FY72">
            <v>0</v>
          </cell>
          <cell r="FZ72">
            <v>0</v>
          </cell>
          <cell r="GA72">
            <v>0</v>
          </cell>
          <cell r="GB72">
            <v>0</v>
          </cell>
          <cell r="GC72">
            <v>0</v>
          </cell>
          <cell r="GD72">
            <v>0</v>
          </cell>
          <cell r="GE72">
            <v>0</v>
          </cell>
          <cell r="GF72">
            <v>0</v>
          </cell>
          <cell r="GG72">
            <v>0</v>
          </cell>
          <cell r="GH72">
            <v>0</v>
          </cell>
          <cell r="GI72">
            <v>0</v>
          </cell>
          <cell r="GJ72">
            <v>0</v>
          </cell>
          <cell r="GK72">
            <v>0</v>
          </cell>
          <cell r="GL72">
            <v>0</v>
          </cell>
          <cell r="GM72">
            <v>0</v>
          </cell>
          <cell r="GN72">
            <v>0</v>
          </cell>
          <cell r="GO72">
            <v>0</v>
          </cell>
          <cell r="GP72">
            <v>0</v>
          </cell>
          <cell r="GQ72">
            <v>0</v>
          </cell>
          <cell r="GR72">
            <v>0</v>
          </cell>
          <cell r="GS72">
            <v>0</v>
          </cell>
          <cell r="GT72">
            <v>0</v>
          </cell>
          <cell r="GU72">
            <v>0</v>
          </cell>
          <cell r="GV72">
            <v>0</v>
          </cell>
          <cell r="GW72">
            <v>0</v>
          </cell>
          <cell r="GX72">
            <v>0</v>
          </cell>
          <cell r="GY72">
            <v>0</v>
          </cell>
          <cell r="GZ72">
            <v>0</v>
          </cell>
          <cell r="HA72">
            <v>0</v>
          </cell>
          <cell r="HB72">
            <v>0</v>
          </cell>
          <cell r="HC72">
            <v>0</v>
          </cell>
          <cell r="HD72">
            <v>0</v>
          </cell>
          <cell r="HE72">
            <v>0</v>
          </cell>
        </row>
        <row r="73">
          <cell r="D73">
            <v>0.73079382228752976</v>
          </cell>
          <cell r="E73" t="str">
            <v>무 담 보</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0</v>
          </cell>
          <cell r="DT73">
            <v>0</v>
          </cell>
          <cell r="DU73">
            <v>0</v>
          </cell>
          <cell r="DV73">
            <v>0</v>
          </cell>
          <cell r="DW73">
            <v>0</v>
          </cell>
          <cell r="DX73">
            <v>0</v>
          </cell>
          <cell r="DY73">
            <v>0</v>
          </cell>
          <cell r="DZ73">
            <v>0</v>
          </cell>
          <cell r="EA73">
            <v>0</v>
          </cell>
          <cell r="EB73">
            <v>0</v>
          </cell>
          <cell r="EC73">
            <v>0</v>
          </cell>
          <cell r="ED73">
            <v>0</v>
          </cell>
          <cell r="EE73">
            <v>0</v>
          </cell>
          <cell r="EF73">
            <v>0</v>
          </cell>
          <cell r="EG73">
            <v>0</v>
          </cell>
          <cell r="EH73">
            <v>0</v>
          </cell>
          <cell r="EI73">
            <v>0</v>
          </cell>
          <cell r="EJ73">
            <v>0</v>
          </cell>
          <cell r="EK73">
            <v>0</v>
          </cell>
          <cell r="EL73">
            <v>0</v>
          </cell>
          <cell r="EM73">
            <v>0</v>
          </cell>
          <cell r="EN73">
            <v>0</v>
          </cell>
          <cell r="EO73">
            <v>0</v>
          </cell>
          <cell r="EP73">
            <v>0</v>
          </cell>
          <cell r="EQ73">
            <v>0</v>
          </cell>
          <cell r="ER73">
            <v>0</v>
          </cell>
          <cell r="ES73">
            <v>0</v>
          </cell>
          <cell r="ET73">
            <v>0</v>
          </cell>
          <cell r="EU73">
            <v>0</v>
          </cell>
          <cell r="EV73">
            <v>0</v>
          </cell>
          <cell r="EW73">
            <v>0</v>
          </cell>
          <cell r="EX73">
            <v>0</v>
          </cell>
          <cell r="EY73">
            <v>0</v>
          </cell>
          <cell r="EZ73">
            <v>0</v>
          </cell>
          <cell r="FA73">
            <v>0</v>
          </cell>
          <cell r="FB73">
            <v>0</v>
          </cell>
          <cell r="FC73">
            <v>0</v>
          </cell>
          <cell r="FD73">
            <v>0</v>
          </cell>
          <cell r="FE73">
            <v>0</v>
          </cell>
          <cell r="FF73">
            <v>0</v>
          </cell>
          <cell r="FG73">
            <v>0</v>
          </cell>
          <cell r="FH73">
            <v>0</v>
          </cell>
          <cell r="FI73">
            <v>0</v>
          </cell>
          <cell r="FJ73">
            <v>0</v>
          </cell>
          <cell r="FK73">
            <v>0</v>
          </cell>
          <cell r="FL73">
            <v>0</v>
          </cell>
          <cell r="FM73">
            <v>0</v>
          </cell>
          <cell r="FN73">
            <v>0</v>
          </cell>
          <cell r="FO73">
            <v>0</v>
          </cell>
          <cell r="FP73">
            <v>0</v>
          </cell>
          <cell r="FQ73">
            <v>0</v>
          </cell>
          <cell r="FR73">
            <v>0</v>
          </cell>
          <cell r="FS73">
            <v>0</v>
          </cell>
          <cell r="FT73">
            <v>0</v>
          </cell>
          <cell r="FU73">
            <v>0</v>
          </cell>
          <cell r="FV73">
            <v>0</v>
          </cell>
          <cell r="FW73">
            <v>0</v>
          </cell>
          <cell r="FX73">
            <v>0</v>
          </cell>
          <cell r="FY73">
            <v>0</v>
          </cell>
          <cell r="FZ73">
            <v>0</v>
          </cell>
          <cell r="GA73">
            <v>0</v>
          </cell>
          <cell r="GB73">
            <v>0</v>
          </cell>
          <cell r="GC73">
            <v>0</v>
          </cell>
          <cell r="GD73">
            <v>0</v>
          </cell>
          <cell r="GE73">
            <v>0</v>
          </cell>
          <cell r="GF73">
            <v>0</v>
          </cell>
          <cell r="GG73">
            <v>0</v>
          </cell>
          <cell r="GH73">
            <v>0</v>
          </cell>
          <cell r="GI73">
            <v>0</v>
          </cell>
          <cell r="GJ73">
            <v>0</v>
          </cell>
          <cell r="GK73">
            <v>0</v>
          </cell>
          <cell r="GL73">
            <v>0</v>
          </cell>
          <cell r="GM73">
            <v>0</v>
          </cell>
          <cell r="GN73">
            <v>0</v>
          </cell>
          <cell r="GO73">
            <v>0</v>
          </cell>
          <cell r="GP73">
            <v>0</v>
          </cell>
          <cell r="GQ73">
            <v>0</v>
          </cell>
          <cell r="GR73">
            <v>0</v>
          </cell>
          <cell r="GS73">
            <v>0</v>
          </cell>
          <cell r="GT73">
            <v>0</v>
          </cell>
          <cell r="GU73">
            <v>0</v>
          </cell>
          <cell r="GV73">
            <v>0</v>
          </cell>
          <cell r="GW73">
            <v>0</v>
          </cell>
          <cell r="GX73">
            <v>0</v>
          </cell>
          <cell r="GY73">
            <v>0</v>
          </cell>
          <cell r="GZ73">
            <v>0</v>
          </cell>
          <cell r="HA73">
            <v>0</v>
          </cell>
          <cell r="HB73">
            <v>0</v>
          </cell>
          <cell r="HC73">
            <v>0</v>
          </cell>
          <cell r="HD73">
            <v>0</v>
          </cell>
          <cell r="HE73">
            <v>0</v>
          </cell>
        </row>
        <row r="74">
          <cell r="E74" t="str">
            <v>Total</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cell r="EG74">
            <v>0</v>
          </cell>
          <cell r="EH74">
            <v>0</v>
          </cell>
          <cell r="EI74">
            <v>0</v>
          </cell>
          <cell r="EJ74">
            <v>0</v>
          </cell>
          <cell r="EK74">
            <v>0</v>
          </cell>
          <cell r="EL74">
            <v>0</v>
          </cell>
          <cell r="EM74">
            <v>0</v>
          </cell>
          <cell r="EN74">
            <v>0</v>
          </cell>
          <cell r="EO74">
            <v>0</v>
          </cell>
          <cell r="EP74">
            <v>0</v>
          </cell>
          <cell r="EQ74">
            <v>0</v>
          </cell>
          <cell r="ER74">
            <v>0</v>
          </cell>
          <cell r="ES74">
            <v>0</v>
          </cell>
          <cell r="ET74">
            <v>0</v>
          </cell>
          <cell r="EU74">
            <v>0</v>
          </cell>
          <cell r="EV74">
            <v>0</v>
          </cell>
          <cell r="EW74">
            <v>0</v>
          </cell>
          <cell r="EX74">
            <v>0</v>
          </cell>
          <cell r="EY74">
            <v>0</v>
          </cell>
          <cell r="EZ74">
            <v>0</v>
          </cell>
          <cell r="FA74">
            <v>0</v>
          </cell>
          <cell r="FB74">
            <v>0</v>
          </cell>
          <cell r="FC74">
            <v>0</v>
          </cell>
          <cell r="FD74">
            <v>0</v>
          </cell>
          <cell r="FE74">
            <v>0</v>
          </cell>
          <cell r="FF74">
            <v>0</v>
          </cell>
          <cell r="FG74">
            <v>0</v>
          </cell>
          <cell r="FH74">
            <v>0</v>
          </cell>
          <cell r="FI74">
            <v>0</v>
          </cell>
          <cell r="FJ74">
            <v>0</v>
          </cell>
          <cell r="FK74">
            <v>0</v>
          </cell>
          <cell r="FL74">
            <v>0</v>
          </cell>
          <cell r="FM74">
            <v>0</v>
          </cell>
          <cell r="FN74">
            <v>0</v>
          </cell>
          <cell r="FO74">
            <v>0</v>
          </cell>
          <cell r="FP74">
            <v>0</v>
          </cell>
          <cell r="FQ74">
            <v>0</v>
          </cell>
          <cell r="FR74">
            <v>0</v>
          </cell>
          <cell r="FS74">
            <v>0</v>
          </cell>
          <cell r="FT74">
            <v>0</v>
          </cell>
          <cell r="FU74">
            <v>0</v>
          </cell>
          <cell r="FV74">
            <v>0</v>
          </cell>
          <cell r="FW74">
            <v>0</v>
          </cell>
          <cell r="FX74">
            <v>0</v>
          </cell>
          <cell r="FY74">
            <v>0</v>
          </cell>
          <cell r="FZ74">
            <v>0</v>
          </cell>
          <cell r="GA74">
            <v>0</v>
          </cell>
          <cell r="GB74">
            <v>0</v>
          </cell>
          <cell r="GC74">
            <v>0</v>
          </cell>
          <cell r="GD74">
            <v>0</v>
          </cell>
          <cell r="GE74">
            <v>0</v>
          </cell>
          <cell r="GF74">
            <v>0</v>
          </cell>
          <cell r="GG74">
            <v>0</v>
          </cell>
          <cell r="GH74">
            <v>0</v>
          </cell>
          <cell r="GI74">
            <v>0</v>
          </cell>
          <cell r="GJ74">
            <v>0</v>
          </cell>
          <cell r="GK74">
            <v>0</v>
          </cell>
          <cell r="GL74">
            <v>0</v>
          </cell>
          <cell r="GM74">
            <v>0</v>
          </cell>
          <cell r="GN74">
            <v>0</v>
          </cell>
          <cell r="GO74">
            <v>0</v>
          </cell>
          <cell r="GP74">
            <v>0</v>
          </cell>
          <cell r="GQ74">
            <v>0</v>
          </cell>
          <cell r="GR74">
            <v>0</v>
          </cell>
          <cell r="GS74">
            <v>0</v>
          </cell>
          <cell r="GT74">
            <v>0</v>
          </cell>
          <cell r="GU74">
            <v>0</v>
          </cell>
          <cell r="GV74">
            <v>0</v>
          </cell>
          <cell r="GW74">
            <v>0</v>
          </cell>
          <cell r="GX74">
            <v>0</v>
          </cell>
          <cell r="GY74">
            <v>0</v>
          </cell>
          <cell r="GZ74">
            <v>0</v>
          </cell>
          <cell r="HA74">
            <v>0</v>
          </cell>
          <cell r="HB74">
            <v>0</v>
          </cell>
          <cell r="HC74">
            <v>0</v>
          </cell>
          <cell r="HD74">
            <v>0</v>
          </cell>
          <cell r="HE74">
            <v>0</v>
          </cell>
        </row>
        <row r="75">
          <cell r="A75" t="str">
            <v>HBS-17</v>
          </cell>
          <cell r="E75" t="str">
            <v>현     가</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0</v>
          </cell>
          <cell r="DQ75">
            <v>0</v>
          </cell>
          <cell r="DR75">
            <v>0</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cell r="EG75">
            <v>0</v>
          </cell>
          <cell r="EH75">
            <v>0</v>
          </cell>
          <cell r="EI75">
            <v>0</v>
          </cell>
          <cell r="EJ75">
            <v>0</v>
          </cell>
          <cell r="EK75">
            <v>0</v>
          </cell>
          <cell r="EL75">
            <v>0</v>
          </cell>
          <cell r="EM75">
            <v>0</v>
          </cell>
          <cell r="EN75">
            <v>0</v>
          </cell>
          <cell r="EO75">
            <v>0</v>
          </cell>
          <cell r="EP75">
            <v>0</v>
          </cell>
          <cell r="EQ75">
            <v>0</v>
          </cell>
          <cell r="ER75">
            <v>0</v>
          </cell>
          <cell r="ES75">
            <v>0</v>
          </cell>
          <cell r="ET75">
            <v>0</v>
          </cell>
          <cell r="EU75">
            <v>0</v>
          </cell>
          <cell r="EV75">
            <v>0</v>
          </cell>
          <cell r="EW75">
            <v>0</v>
          </cell>
          <cell r="EX75">
            <v>0</v>
          </cell>
          <cell r="EY75">
            <v>0</v>
          </cell>
          <cell r="EZ75">
            <v>0</v>
          </cell>
          <cell r="FA75">
            <v>0</v>
          </cell>
          <cell r="FB75">
            <v>0</v>
          </cell>
          <cell r="FC75">
            <v>0</v>
          </cell>
          <cell r="FD75">
            <v>0</v>
          </cell>
          <cell r="FE75">
            <v>0</v>
          </cell>
          <cell r="FF75">
            <v>0</v>
          </cell>
          <cell r="FG75">
            <v>0</v>
          </cell>
          <cell r="FH75">
            <v>0</v>
          </cell>
          <cell r="FI75">
            <v>0</v>
          </cell>
          <cell r="FJ75">
            <v>0</v>
          </cell>
          <cell r="FK75">
            <v>0</v>
          </cell>
          <cell r="FL75">
            <v>0</v>
          </cell>
          <cell r="FM75">
            <v>0</v>
          </cell>
          <cell r="FN75">
            <v>0</v>
          </cell>
          <cell r="FO75">
            <v>0</v>
          </cell>
          <cell r="FP75">
            <v>0</v>
          </cell>
          <cell r="FQ75">
            <v>0</v>
          </cell>
          <cell r="FR75">
            <v>0</v>
          </cell>
          <cell r="FS75">
            <v>0</v>
          </cell>
          <cell r="FT75">
            <v>0</v>
          </cell>
          <cell r="FU75">
            <v>0</v>
          </cell>
          <cell r="FV75">
            <v>0</v>
          </cell>
          <cell r="FW75">
            <v>0</v>
          </cell>
          <cell r="FX75">
            <v>0</v>
          </cell>
          <cell r="FY75">
            <v>0</v>
          </cell>
          <cell r="FZ75">
            <v>0</v>
          </cell>
          <cell r="GA75">
            <v>0</v>
          </cell>
          <cell r="GB75">
            <v>0</v>
          </cell>
          <cell r="GC75">
            <v>0</v>
          </cell>
          <cell r="GD75">
            <v>0</v>
          </cell>
          <cell r="GE75">
            <v>0</v>
          </cell>
          <cell r="GF75">
            <v>0</v>
          </cell>
          <cell r="GG75">
            <v>0</v>
          </cell>
          <cell r="GH75">
            <v>0</v>
          </cell>
          <cell r="GI75">
            <v>0</v>
          </cell>
          <cell r="GJ75">
            <v>0</v>
          </cell>
          <cell r="GK75">
            <v>0</v>
          </cell>
          <cell r="GL75">
            <v>0</v>
          </cell>
          <cell r="GM75">
            <v>0</v>
          </cell>
          <cell r="GN75">
            <v>0</v>
          </cell>
          <cell r="GO75">
            <v>0</v>
          </cell>
          <cell r="GP75">
            <v>0</v>
          </cell>
          <cell r="GQ75">
            <v>0</v>
          </cell>
          <cell r="GR75">
            <v>0</v>
          </cell>
          <cell r="GS75">
            <v>0</v>
          </cell>
          <cell r="GT75">
            <v>0</v>
          </cell>
          <cell r="GU75">
            <v>0</v>
          </cell>
          <cell r="GV75">
            <v>0</v>
          </cell>
          <cell r="GW75">
            <v>0</v>
          </cell>
          <cell r="GX75">
            <v>0</v>
          </cell>
          <cell r="GY75">
            <v>0</v>
          </cell>
          <cell r="GZ75">
            <v>0</v>
          </cell>
          <cell r="HA75">
            <v>0</v>
          </cell>
          <cell r="HB75">
            <v>0</v>
          </cell>
          <cell r="HC75">
            <v>0</v>
          </cell>
          <cell r="HD75">
            <v>0</v>
          </cell>
          <cell r="HE75">
            <v>0</v>
          </cell>
        </row>
        <row r="76">
          <cell r="B76" t="str">
            <v>HBS-18</v>
          </cell>
          <cell r="C76" t="str">
            <v>주식회사 한양목재</v>
          </cell>
          <cell r="D76">
            <v>1</v>
          </cell>
          <cell r="E76" t="str">
            <v>담     보</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0</v>
          </cell>
          <cell r="DM76">
            <v>0</v>
          </cell>
          <cell r="DN76">
            <v>0</v>
          </cell>
          <cell r="DO76">
            <v>0</v>
          </cell>
          <cell r="DP76">
            <v>0</v>
          </cell>
          <cell r="DQ76">
            <v>0</v>
          </cell>
          <cell r="DR76">
            <v>0</v>
          </cell>
          <cell r="DS76">
            <v>0</v>
          </cell>
          <cell r="DT76">
            <v>0</v>
          </cell>
          <cell r="DU76">
            <v>0</v>
          </cell>
          <cell r="DV76">
            <v>0</v>
          </cell>
          <cell r="DW76">
            <v>0</v>
          </cell>
          <cell r="DX76">
            <v>0</v>
          </cell>
          <cell r="DY76">
            <v>0</v>
          </cell>
          <cell r="DZ76">
            <v>0</v>
          </cell>
          <cell r="EA76">
            <v>0</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0</v>
          </cell>
          <cell r="EU76">
            <v>0</v>
          </cell>
          <cell r="EV76">
            <v>0</v>
          </cell>
          <cell r="EW76">
            <v>0</v>
          </cell>
          <cell r="EX76">
            <v>0</v>
          </cell>
          <cell r="EY76">
            <v>0</v>
          </cell>
          <cell r="EZ76">
            <v>0</v>
          </cell>
          <cell r="FA76">
            <v>0</v>
          </cell>
          <cell r="FB76">
            <v>0</v>
          </cell>
          <cell r="FC76">
            <v>0</v>
          </cell>
          <cell r="FD76">
            <v>0</v>
          </cell>
          <cell r="FE76">
            <v>0</v>
          </cell>
          <cell r="FF76">
            <v>0</v>
          </cell>
          <cell r="FG76">
            <v>0</v>
          </cell>
          <cell r="FH76">
            <v>0</v>
          </cell>
          <cell r="FI76">
            <v>0</v>
          </cell>
          <cell r="FJ76">
            <v>0</v>
          </cell>
          <cell r="FK76">
            <v>0</v>
          </cell>
          <cell r="FL76">
            <v>0</v>
          </cell>
          <cell r="FM76">
            <v>0</v>
          </cell>
          <cell r="FN76">
            <v>0</v>
          </cell>
          <cell r="FO76">
            <v>0</v>
          </cell>
          <cell r="FP76">
            <v>0</v>
          </cell>
          <cell r="FQ76">
            <v>0</v>
          </cell>
          <cell r="FR76">
            <v>0</v>
          </cell>
          <cell r="FS76">
            <v>0</v>
          </cell>
          <cell r="FT76">
            <v>0</v>
          </cell>
          <cell r="FU76">
            <v>0</v>
          </cell>
          <cell r="FV76">
            <v>0</v>
          </cell>
          <cell r="FW76">
            <v>0</v>
          </cell>
          <cell r="FX76">
            <v>0</v>
          </cell>
          <cell r="FY76">
            <v>0</v>
          </cell>
          <cell r="FZ76">
            <v>0</v>
          </cell>
          <cell r="GA76">
            <v>0</v>
          </cell>
          <cell r="GB76">
            <v>0</v>
          </cell>
          <cell r="GC76">
            <v>0</v>
          </cell>
          <cell r="GD76">
            <v>0</v>
          </cell>
          <cell r="GE76">
            <v>0</v>
          </cell>
          <cell r="GF76">
            <v>0</v>
          </cell>
          <cell r="GG76">
            <v>0</v>
          </cell>
          <cell r="GH76">
            <v>0</v>
          </cell>
          <cell r="GI76">
            <v>0</v>
          </cell>
          <cell r="GJ76">
            <v>0</v>
          </cell>
          <cell r="GK76">
            <v>0</v>
          </cell>
          <cell r="GL76">
            <v>0</v>
          </cell>
          <cell r="GM76">
            <v>0</v>
          </cell>
          <cell r="GN76">
            <v>0</v>
          </cell>
          <cell r="GO76">
            <v>0</v>
          </cell>
          <cell r="GP76">
            <v>0</v>
          </cell>
          <cell r="GQ76">
            <v>0</v>
          </cell>
          <cell r="GR76">
            <v>0</v>
          </cell>
          <cell r="GS76">
            <v>0</v>
          </cell>
          <cell r="GT76">
            <v>0</v>
          </cell>
          <cell r="GU76">
            <v>0</v>
          </cell>
          <cell r="GV76">
            <v>0</v>
          </cell>
          <cell r="GW76">
            <v>0</v>
          </cell>
          <cell r="GX76">
            <v>0</v>
          </cell>
          <cell r="GY76">
            <v>0</v>
          </cell>
          <cell r="GZ76">
            <v>0</v>
          </cell>
          <cell r="HA76">
            <v>0</v>
          </cell>
          <cell r="HB76">
            <v>0</v>
          </cell>
          <cell r="HC76">
            <v>0</v>
          </cell>
          <cell r="HD76">
            <v>0</v>
          </cell>
          <cell r="HE76">
            <v>0</v>
          </cell>
        </row>
        <row r="77">
          <cell r="D77">
            <v>1</v>
          </cell>
          <cell r="E77" t="str">
            <v>무 담 보</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cell r="EI77">
            <v>0</v>
          </cell>
          <cell r="EJ77">
            <v>0</v>
          </cell>
          <cell r="EK77">
            <v>0</v>
          </cell>
          <cell r="EL77">
            <v>0</v>
          </cell>
          <cell r="EM77">
            <v>0</v>
          </cell>
          <cell r="EN77">
            <v>0</v>
          </cell>
          <cell r="EO77">
            <v>0</v>
          </cell>
          <cell r="EP77">
            <v>0</v>
          </cell>
          <cell r="EQ77">
            <v>0</v>
          </cell>
          <cell r="ER77">
            <v>0</v>
          </cell>
          <cell r="ES77">
            <v>0</v>
          </cell>
          <cell r="ET77">
            <v>0</v>
          </cell>
          <cell r="EU77">
            <v>0</v>
          </cell>
          <cell r="EV77">
            <v>0</v>
          </cell>
          <cell r="EW77">
            <v>0</v>
          </cell>
          <cell r="EX77">
            <v>0</v>
          </cell>
          <cell r="EY77">
            <v>0</v>
          </cell>
          <cell r="EZ77">
            <v>0</v>
          </cell>
          <cell r="FA77">
            <v>0</v>
          </cell>
          <cell r="FB77">
            <v>0</v>
          </cell>
          <cell r="FC77">
            <v>0</v>
          </cell>
          <cell r="FD77">
            <v>0</v>
          </cell>
          <cell r="FE77">
            <v>0</v>
          </cell>
          <cell r="FF77">
            <v>0</v>
          </cell>
          <cell r="FG77">
            <v>0</v>
          </cell>
          <cell r="FH77">
            <v>0</v>
          </cell>
          <cell r="FI77">
            <v>0</v>
          </cell>
          <cell r="FJ77">
            <v>0</v>
          </cell>
          <cell r="FK77">
            <v>0</v>
          </cell>
          <cell r="FL77">
            <v>0</v>
          </cell>
          <cell r="FM77">
            <v>0</v>
          </cell>
          <cell r="FN77">
            <v>0</v>
          </cell>
          <cell r="FO77">
            <v>0</v>
          </cell>
          <cell r="FP77">
            <v>0</v>
          </cell>
          <cell r="FQ77">
            <v>0</v>
          </cell>
          <cell r="FR77">
            <v>0</v>
          </cell>
          <cell r="FS77">
            <v>0</v>
          </cell>
          <cell r="FT77">
            <v>0</v>
          </cell>
          <cell r="FU77">
            <v>0</v>
          </cell>
          <cell r="FV77">
            <v>0</v>
          </cell>
          <cell r="FW77">
            <v>0</v>
          </cell>
          <cell r="FX77">
            <v>0</v>
          </cell>
          <cell r="FY77">
            <v>0</v>
          </cell>
          <cell r="FZ77">
            <v>0</v>
          </cell>
          <cell r="GA77">
            <v>0</v>
          </cell>
          <cell r="GB77">
            <v>0</v>
          </cell>
          <cell r="GC77">
            <v>0</v>
          </cell>
          <cell r="GD77">
            <v>0</v>
          </cell>
          <cell r="GE77">
            <v>0</v>
          </cell>
          <cell r="GF77">
            <v>0</v>
          </cell>
          <cell r="GG77">
            <v>0</v>
          </cell>
          <cell r="GH77">
            <v>0</v>
          </cell>
          <cell r="GI77">
            <v>0</v>
          </cell>
          <cell r="GJ77">
            <v>0</v>
          </cell>
          <cell r="GK77">
            <v>0</v>
          </cell>
          <cell r="GL77">
            <v>0</v>
          </cell>
          <cell r="GM77">
            <v>0</v>
          </cell>
          <cell r="GN77">
            <v>0</v>
          </cell>
          <cell r="GO77">
            <v>0</v>
          </cell>
          <cell r="GP77">
            <v>0</v>
          </cell>
          <cell r="GQ77">
            <v>0</v>
          </cell>
          <cell r="GR77">
            <v>0</v>
          </cell>
          <cell r="GS77">
            <v>0</v>
          </cell>
          <cell r="GT77">
            <v>0</v>
          </cell>
          <cell r="GU77">
            <v>0</v>
          </cell>
          <cell r="GV77">
            <v>0</v>
          </cell>
          <cell r="GW77">
            <v>0</v>
          </cell>
          <cell r="GX77">
            <v>0</v>
          </cell>
          <cell r="GY77">
            <v>0</v>
          </cell>
          <cell r="GZ77">
            <v>0</v>
          </cell>
          <cell r="HA77">
            <v>0</v>
          </cell>
          <cell r="HB77">
            <v>0</v>
          </cell>
          <cell r="HC77">
            <v>0</v>
          </cell>
          <cell r="HD77">
            <v>0</v>
          </cell>
          <cell r="HE77">
            <v>0</v>
          </cell>
        </row>
        <row r="78">
          <cell r="E78" t="str">
            <v>Total</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v>0</v>
          </cell>
          <cell r="CM78">
            <v>0</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0</v>
          </cell>
          <cell r="DM78">
            <v>0</v>
          </cell>
          <cell r="DN78">
            <v>0</v>
          </cell>
          <cell r="DO78">
            <v>0</v>
          </cell>
          <cell r="DP78">
            <v>0</v>
          </cell>
          <cell r="DQ78">
            <v>0</v>
          </cell>
          <cell r="DR78">
            <v>0</v>
          </cell>
          <cell r="DS78">
            <v>0</v>
          </cell>
          <cell r="DT78">
            <v>0</v>
          </cell>
          <cell r="DU78">
            <v>0</v>
          </cell>
          <cell r="DV78">
            <v>0</v>
          </cell>
          <cell r="DW78">
            <v>0</v>
          </cell>
          <cell r="DX78">
            <v>0</v>
          </cell>
          <cell r="DY78">
            <v>0</v>
          </cell>
          <cell r="DZ78">
            <v>0</v>
          </cell>
          <cell r="EA78">
            <v>0</v>
          </cell>
          <cell r="EB78">
            <v>0</v>
          </cell>
          <cell r="EC78">
            <v>0</v>
          </cell>
          <cell r="ED78">
            <v>0</v>
          </cell>
          <cell r="EE78">
            <v>0</v>
          </cell>
          <cell r="EF78">
            <v>0</v>
          </cell>
          <cell r="EG78">
            <v>0</v>
          </cell>
          <cell r="EH78">
            <v>0</v>
          </cell>
          <cell r="EI78">
            <v>0</v>
          </cell>
          <cell r="EJ78">
            <v>0</v>
          </cell>
          <cell r="EK78">
            <v>0</v>
          </cell>
          <cell r="EL78">
            <v>0</v>
          </cell>
          <cell r="EM78">
            <v>0</v>
          </cell>
          <cell r="EN78">
            <v>0</v>
          </cell>
          <cell r="EO78">
            <v>0</v>
          </cell>
          <cell r="EP78">
            <v>0</v>
          </cell>
          <cell r="EQ78">
            <v>0</v>
          </cell>
          <cell r="ER78">
            <v>0</v>
          </cell>
          <cell r="ES78">
            <v>0</v>
          </cell>
          <cell r="ET78">
            <v>0</v>
          </cell>
          <cell r="EU78">
            <v>0</v>
          </cell>
          <cell r="EV78">
            <v>0</v>
          </cell>
          <cell r="EW78">
            <v>0</v>
          </cell>
          <cell r="EX78">
            <v>0</v>
          </cell>
          <cell r="EY78">
            <v>0</v>
          </cell>
          <cell r="EZ78">
            <v>0</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0</v>
          </cell>
          <cell r="GN78">
            <v>0</v>
          </cell>
          <cell r="GO78">
            <v>0</v>
          </cell>
          <cell r="GP78">
            <v>0</v>
          </cell>
          <cell r="GQ78">
            <v>0</v>
          </cell>
          <cell r="GR78">
            <v>0</v>
          </cell>
          <cell r="GS78">
            <v>0</v>
          </cell>
          <cell r="GT78">
            <v>0</v>
          </cell>
          <cell r="GU78">
            <v>0</v>
          </cell>
          <cell r="GV78">
            <v>0</v>
          </cell>
          <cell r="GW78">
            <v>0</v>
          </cell>
          <cell r="GX78">
            <v>0</v>
          </cell>
          <cell r="GY78">
            <v>0</v>
          </cell>
          <cell r="GZ78">
            <v>0</v>
          </cell>
          <cell r="HA78">
            <v>0</v>
          </cell>
          <cell r="HB78">
            <v>0</v>
          </cell>
          <cell r="HC78">
            <v>0</v>
          </cell>
          <cell r="HD78">
            <v>0</v>
          </cell>
          <cell r="HE78">
            <v>0</v>
          </cell>
        </row>
        <row r="79">
          <cell r="A79" t="str">
            <v>HBS-18</v>
          </cell>
          <cell r="E79" t="str">
            <v>현     가</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cell r="FD79">
            <v>0</v>
          </cell>
          <cell r="FE79">
            <v>0</v>
          </cell>
          <cell r="FF79">
            <v>0</v>
          </cell>
          <cell r="FG79">
            <v>0</v>
          </cell>
          <cell r="FH79">
            <v>0</v>
          </cell>
          <cell r="FI79">
            <v>0</v>
          </cell>
          <cell r="FJ79">
            <v>0</v>
          </cell>
          <cell r="FK79">
            <v>0</v>
          </cell>
          <cell r="FL79">
            <v>0</v>
          </cell>
          <cell r="FM79">
            <v>0</v>
          </cell>
          <cell r="FN79">
            <v>0</v>
          </cell>
          <cell r="FO79">
            <v>0</v>
          </cell>
          <cell r="FP79">
            <v>0</v>
          </cell>
          <cell r="FQ79">
            <v>0</v>
          </cell>
          <cell r="FR79">
            <v>0</v>
          </cell>
          <cell r="FS79">
            <v>0</v>
          </cell>
          <cell r="FT79">
            <v>0</v>
          </cell>
          <cell r="FU79">
            <v>0</v>
          </cell>
          <cell r="FV79">
            <v>0</v>
          </cell>
          <cell r="FW79">
            <v>0</v>
          </cell>
          <cell r="FX79">
            <v>0</v>
          </cell>
          <cell r="FY79">
            <v>0</v>
          </cell>
          <cell r="FZ79">
            <v>0</v>
          </cell>
          <cell r="GA79">
            <v>0</v>
          </cell>
          <cell r="GB79">
            <v>0</v>
          </cell>
          <cell r="GC79">
            <v>0</v>
          </cell>
          <cell r="GD79">
            <v>0</v>
          </cell>
          <cell r="GE79">
            <v>0</v>
          </cell>
          <cell r="GF79">
            <v>0</v>
          </cell>
          <cell r="GG79">
            <v>0</v>
          </cell>
          <cell r="GH79">
            <v>0</v>
          </cell>
          <cell r="GI79">
            <v>0</v>
          </cell>
          <cell r="GJ79">
            <v>0</v>
          </cell>
          <cell r="GK79">
            <v>0</v>
          </cell>
          <cell r="GL79">
            <v>0</v>
          </cell>
          <cell r="GM79">
            <v>0</v>
          </cell>
          <cell r="GN79">
            <v>0</v>
          </cell>
          <cell r="GO79">
            <v>0</v>
          </cell>
          <cell r="GP79">
            <v>0</v>
          </cell>
          <cell r="GQ79">
            <v>0</v>
          </cell>
          <cell r="GR79">
            <v>0</v>
          </cell>
          <cell r="GS79">
            <v>0</v>
          </cell>
          <cell r="GT79">
            <v>0</v>
          </cell>
          <cell r="GU79">
            <v>0</v>
          </cell>
          <cell r="GV79">
            <v>0</v>
          </cell>
          <cell r="GW79">
            <v>0</v>
          </cell>
          <cell r="GX79">
            <v>0</v>
          </cell>
          <cell r="GY79">
            <v>0</v>
          </cell>
          <cell r="GZ79">
            <v>0</v>
          </cell>
          <cell r="HA79">
            <v>0</v>
          </cell>
          <cell r="HB79">
            <v>0</v>
          </cell>
          <cell r="HC79">
            <v>0</v>
          </cell>
          <cell r="HD79">
            <v>0</v>
          </cell>
          <cell r="HE79">
            <v>0</v>
          </cell>
        </row>
        <row r="80">
          <cell r="B80" t="str">
            <v>HBS-19</v>
          </cell>
          <cell r="C80" t="str">
            <v>한양산업</v>
          </cell>
          <cell r="D80">
            <v>1</v>
          </cell>
          <cell r="E80" t="str">
            <v>담     보</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v>0</v>
          </cell>
          <cell r="DU80">
            <v>0</v>
          </cell>
          <cell r="DV80">
            <v>0</v>
          </cell>
          <cell r="DW80">
            <v>0</v>
          </cell>
          <cell r="DX80">
            <v>0</v>
          </cell>
          <cell r="DY80">
            <v>0</v>
          </cell>
          <cell r="DZ80">
            <v>0</v>
          </cell>
          <cell r="EA80">
            <v>0</v>
          </cell>
          <cell r="EB80">
            <v>0</v>
          </cell>
          <cell r="EC80">
            <v>0</v>
          </cell>
          <cell r="ED80">
            <v>0</v>
          </cell>
          <cell r="EE80">
            <v>0</v>
          </cell>
          <cell r="EF80">
            <v>0</v>
          </cell>
          <cell r="EG80">
            <v>0</v>
          </cell>
          <cell r="EH80">
            <v>0</v>
          </cell>
          <cell r="EI80">
            <v>0</v>
          </cell>
          <cell r="EJ80">
            <v>0</v>
          </cell>
          <cell r="EK80">
            <v>0</v>
          </cell>
          <cell r="EL80">
            <v>0</v>
          </cell>
          <cell r="EM80">
            <v>0</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0</v>
          </cell>
          <cell r="GB80">
            <v>0</v>
          </cell>
          <cell r="GC80">
            <v>0</v>
          </cell>
          <cell r="GD80">
            <v>0</v>
          </cell>
          <cell r="GE80">
            <v>0</v>
          </cell>
          <cell r="GF80">
            <v>0</v>
          </cell>
          <cell r="GG80">
            <v>0</v>
          </cell>
          <cell r="GH80">
            <v>0</v>
          </cell>
          <cell r="GI80">
            <v>0</v>
          </cell>
          <cell r="GJ80">
            <v>0</v>
          </cell>
          <cell r="GK80">
            <v>0</v>
          </cell>
          <cell r="GL80">
            <v>0</v>
          </cell>
          <cell r="GM80">
            <v>0</v>
          </cell>
          <cell r="GN80">
            <v>0</v>
          </cell>
          <cell r="GO80">
            <v>0</v>
          </cell>
          <cell r="GP80">
            <v>0</v>
          </cell>
          <cell r="GQ80">
            <v>0</v>
          </cell>
          <cell r="GR80">
            <v>0</v>
          </cell>
          <cell r="GS80">
            <v>0</v>
          </cell>
          <cell r="GT80">
            <v>0</v>
          </cell>
          <cell r="GU80">
            <v>0</v>
          </cell>
          <cell r="GV80">
            <v>0</v>
          </cell>
          <cell r="GW80">
            <v>0</v>
          </cell>
          <cell r="GX80">
            <v>0</v>
          </cell>
          <cell r="GY80">
            <v>0</v>
          </cell>
          <cell r="GZ80">
            <v>0</v>
          </cell>
          <cell r="HA80">
            <v>0</v>
          </cell>
          <cell r="HB80">
            <v>0</v>
          </cell>
          <cell r="HC80">
            <v>0</v>
          </cell>
          <cell r="HD80">
            <v>0</v>
          </cell>
          <cell r="HE80">
            <v>0</v>
          </cell>
        </row>
        <row r="81">
          <cell r="D81">
            <v>1</v>
          </cell>
          <cell r="E81" t="str">
            <v>무 담 보</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v>0</v>
          </cell>
          <cell r="DU81">
            <v>0</v>
          </cell>
          <cell r="DV81">
            <v>0</v>
          </cell>
          <cell r="DW81">
            <v>0</v>
          </cell>
          <cell r="DX81">
            <v>0</v>
          </cell>
          <cell r="DY81">
            <v>0</v>
          </cell>
          <cell r="DZ81">
            <v>0</v>
          </cell>
          <cell r="EA81">
            <v>0</v>
          </cell>
          <cell r="EB81">
            <v>0</v>
          </cell>
          <cell r="EC81">
            <v>0</v>
          </cell>
          <cell r="ED81">
            <v>0</v>
          </cell>
          <cell r="EE81">
            <v>0</v>
          </cell>
          <cell r="EF81">
            <v>0</v>
          </cell>
          <cell r="EG81">
            <v>0</v>
          </cell>
          <cell r="EH81">
            <v>0</v>
          </cell>
          <cell r="EI81">
            <v>0</v>
          </cell>
          <cell r="EJ81">
            <v>0</v>
          </cell>
          <cell r="EK81">
            <v>0</v>
          </cell>
          <cell r="EL81">
            <v>0</v>
          </cell>
          <cell r="EM81">
            <v>0</v>
          </cell>
          <cell r="EN81">
            <v>0</v>
          </cell>
          <cell r="EO81">
            <v>0</v>
          </cell>
          <cell r="EP81">
            <v>0</v>
          </cell>
          <cell r="EQ81">
            <v>0</v>
          </cell>
          <cell r="ER81">
            <v>0</v>
          </cell>
          <cell r="ES81">
            <v>0</v>
          </cell>
          <cell r="ET81">
            <v>0</v>
          </cell>
          <cell r="EU81">
            <v>0</v>
          </cell>
          <cell r="EV81">
            <v>0</v>
          </cell>
          <cell r="EW81">
            <v>0</v>
          </cell>
          <cell r="EX81">
            <v>0</v>
          </cell>
          <cell r="EY81">
            <v>0</v>
          </cell>
          <cell r="EZ81">
            <v>0</v>
          </cell>
          <cell r="FA81">
            <v>0</v>
          </cell>
          <cell r="FB81">
            <v>0</v>
          </cell>
          <cell r="FC81">
            <v>0</v>
          </cell>
          <cell r="FD81">
            <v>0</v>
          </cell>
          <cell r="FE81">
            <v>0</v>
          </cell>
          <cell r="FF81">
            <v>0</v>
          </cell>
          <cell r="FG81">
            <v>0</v>
          </cell>
          <cell r="FH81">
            <v>0</v>
          </cell>
          <cell r="FI81">
            <v>0</v>
          </cell>
          <cell r="FJ81">
            <v>0</v>
          </cell>
          <cell r="FK81">
            <v>0</v>
          </cell>
          <cell r="FL81">
            <v>0</v>
          </cell>
          <cell r="FM81">
            <v>0</v>
          </cell>
          <cell r="FN81">
            <v>0</v>
          </cell>
          <cell r="FO81">
            <v>0</v>
          </cell>
          <cell r="FP81">
            <v>0</v>
          </cell>
          <cell r="FQ81">
            <v>0</v>
          </cell>
          <cell r="FR81">
            <v>0</v>
          </cell>
          <cell r="FS81">
            <v>0</v>
          </cell>
          <cell r="FT81">
            <v>0</v>
          </cell>
          <cell r="FU81">
            <v>0</v>
          </cell>
          <cell r="FV81">
            <v>0</v>
          </cell>
          <cell r="FW81">
            <v>0</v>
          </cell>
          <cell r="FX81">
            <v>0</v>
          </cell>
          <cell r="FY81">
            <v>0</v>
          </cell>
          <cell r="FZ81">
            <v>0</v>
          </cell>
          <cell r="GA81">
            <v>0</v>
          </cell>
          <cell r="GB81">
            <v>0</v>
          </cell>
          <cell r="GC81">
            <v>0</v>
          </cell>
          <cell r="GD81">
            <v>0</v>
          </cell>
          <cell r="GE81">
            <v>0</v>
          </cell>
          <cell r="GF81">
            <v>0</v>
          </cell>
          <cell r="GG81">
            <v>0</v>
          </cell>
          <cell r="GH81">
            <v>0</v>
          </cell>
          <cell r="GI81">
            <v>0</v>
          </cell>
          <cell r="GJ81">
            <v>0</v>
          </cell>
          <cell r="GK81">
            <v>0</v>
          </cell>
          <cell r="GL81">
            <v>0</v>
          </cell>
          <cell r="GM81">
            <v>0</v>
          </cell>
          <cell r="GN81">
            <v>0</v>
          </cell>
          <cell r="GO81">
            <v>0</v>
          </cell>
          <cell r="GP81">
            <v>0</v>
          </cell>
          <cell r="GQ81">
            <v>0</v>
          </cell>
          <cell r="GR81">
            <v>0</v>
          </cell>
          <cell r="GS81">
            <v>0</v>
          </cell>
          <cell r="GT81">
            <v>0</v>
          </cell>
          <cell r="GU81">
            <v>0</v>
          </cell>
          <cell r="GV81">
            <v>0</v>
          </cell>
          <cell r="GW81">
            <v>0</v>
          </cell>
          <cell r="GX81">
            <v>0</v>
          </cell>
          <cell r="GY81">
            <v>0</v>
          </cell>
          <cell r="GZ81">
            <v>0</v>
          </cell>
          <cell r="HA81">
            <v>0</v>
          </cell>
          <cell r="HB81">
            <v>0</v>
          </cell>
          <cell r="HC81">
            <v>0</v>
          </cell>
          <cell r="HD81">
            <v>0</v>
          </cell>
          <cell r="HE81">
            <v>0</v>
          </cell>
        </row>
        <row r="82">
          <cell r="E82" t="str">
            <v>Total</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v>0</v>
          </cell>
          <cell r="DK82">
            <v>0</v>
          </cell>
          <cell r="DL82">
            <v>0</v>
          </cell>
          <cell r="DM82">
            <v>0</v>
          </cell>
          <cell r="DN82">
            <v>0</v>
          </cell>
          <cell r="DO82">
            <v>0</v>
          </cell>
          <cell r="DP82">
            <v>0</v>
          </cell>
          <cell r="DQ82">
            <v>0</v>
          </cell>
          <cell r="DR82">
            <v>0</v>
          </cell>
          <cell r="DS82">
            <v>0</v>
          </cell>
          <cell r="DT82">
            <v>0</v>
          </cell>
          <cell r="DU82">
            <v>0</v>
          </cell>
          <cell r="DV82">
            <v>0</v>
          </cell>
          <cell r="DW82">
            <v>0</v>
          </cell>
          <cell r="DX82">
            <v>0</v>
          </cell>
          <cell r="DY82">
            <v>0</v>
          </cell>
          <cell r="DZ82">
            <v>0</v>
          </cell>
          <cell r="EA82">
            <v>0</v>
          </cell>
          <cell r="EB82">
            <v>0</v>
          </cell>
          <cell r="EC82">
            <v>0</v>
          </cell>
          <cell r="ED82">
            <v>0</v>
          </cell>
          <cell r="EE82">
            <v>0</v>
          </cell>
          <cell r="EF82">
            <v>0</v>
          </cell>
          <cell r="EG82">
            <v>0</v>
          </cell>
          <cell r="EH82">
            <v>0</v>
          </cell>
          <cell r="EI82">
            <v>0</v>
          </cell>
          <cell r="EJ82">
            <v>0</v>
          </cell>
          <cell r="EK82">
            <v>0</v>
          </cell>
          <cell r="EL82">
            <v>0</v>
          </cell>
          <cell r="EM82">
            <v>0</v>
          </cell>
          <cell r="EN82">
            <v>0</v>
          </cell>
          <cell r="EO82">
            <v>0</v>
          </cell>
          <cell r="EP82">
            <v>0</v>
          </cell>
          <cell r="EQ82">
            <v>0</v>
          </cell>
          <cell r="ER82">
            <v>0</v>
          </cell>
          <cell r="ES82">
            <v>0</v>
          </cell>
          <cell r="ET82">
            <v>0</v>
          </cell>
          <cell r="EU82">
            <v>0</v>
          </cell>
          <cell r="EV82">
            <v>0</v>
          </cell>
          <cell r="EW82">
            <v>0</v>
          </cell>
          <cell r="EX82">
            <v>0</v>
          </cell>
          <cell r="EY82">
            <v>0</v>
          </cell>
          <cell r="EZ82">
            <v>0</v>
          </cell>
          <cell r="FA82">
            <v>0</v>
          </cell>
          <cell r="FB82">
            <v>0</v>
          </cell>
          <cell r="FC82">
            <v>0</v>
          </cell>
          <cell r="FD82">
            <v>0</v>
          </cell>
          <cell r="FE82">
            <v>0</v>
          </cell>
          <cell r="FF82">
            <v>0</v>
          </cell>
          <cell r="FG82">
            <v>0</v>
          </cell>
          <cell r="FH82">
            <v>0</v>
          </cell>
          <cell r="FI82">
            <v>0</v>
          </cell>
          <cell r="FJ82">
            <v>0</v>
          </cell>
          <cell r="FK82">
            <v>0</v>
          </cell>
          <cell r="FL82">
            <v>0</v>
          </cell>
          <cell r="FM82">
            <v>0</v>
          </cell>
          <cell r="FN82">
            <v>0</v>
          </cell>
          <cell r="FO82">
            <v>0</v>
          </cell>
          <cell r="FP82">
            <v>0</v>
          </cell>
          <cell r="FQ82">
            <v>0</v>
          </cell>
          <cell r="FR82">
            <v>0</v>
          </cell>
          <cell r="FS82">
            <v>0</v>
          </cell>
          <cell r="FT82">
            <v>0</v>
          </cell>
          <cell r="FU82">
            <v>0</v>
          </cell>
          <cell r="FV82">
            <v>0</v>
          </cell>
          <cell r="FW82">
            <v>0</v>
          </cell>
          <cell r="FX82">
            <v>0</v>
          </cell>
          <cell r="FY82">
            <v>0</v>
          </cell>
          <cell r="FZ82">
            <v>0</v>
          </cell>
          <cell r="GA82">
            <v>0</v>
          </cell>
          <cell r="GB82">
            <v>0</v>
          </cell>
          <cell r="GC82">
            <v>0</v>
          </cell>
          <cell r="GD82">
            <v>0</v>
          </cell>
          <cell r="GE82">
            <v>0</v>
          </cell>
          <cell r="GF82">
            <v>0</v>
          </cell>
          <cell r="GG82">
            <v>0</v>
          </cell>
          <cell r="GH82">
            <v>0</v>
          </cell>
          <cell r="GI82">
            <v>0</v>
          </cell>
          <cell r="GJ82">
            <v>0</v>
          </cell>
          <cell r="GK82">
            <v>0</v>
          </cell>
          <cell r="GL82">
            <v>0</v>
          </cell>
          <cell r="GM82">
            <v>0</v>
          </cell>
          <cell r="GN82">
            <v>0</v>
          </cell>
          <cell r="GO82">
            <v>0</v>
          </cell>
          <cell r="GP82">
            <v>0</v>
          </cell>
          <cell r="GQ82">
            <v>0</v>
          </cell>
          <cell r="GR82">
            <v>0</v>
          </cell>
          <cell r="GS82">
            <v>0</v>
          </cell>
          <cell r="GT82">
            <v>0</v>
          </cell>
          <cell r="GU82">
            <v>0</v>
          </cell>
          <cell r="GV82">
            <v>0</v>
          </cell>
          <cell r="GW82">
            <v>0</v>
          </cell>
          <cell r="GX82">
            <v>0</v>
          </cell>
          <cell r="GY82">
            <v>0</v>
          </cell>
          <cell r="GZ82">
            <v>0</v>
          </cell>
          <cell r="HA82">
            <v>0</v>
          </cell>
          <cell r="HB82">
            <v>0</v>
          </cell>
          <cell r="HC82">
            <v>0</v>
          </cell>
          <cell r="HD82">
            <v>0</v>
          </cell>
          <cell r="HE82">
            <v>0</v>
          </cell>
        </row>
        <row r="83">
          <cell r="A83" t="str">
            <v>HBS-19</v>
          </cell>
          <cell r="E83" t="str">
            <v>현     가</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0</v>
          </cell>
          <cell r="DF83">
            <v>0</v>
          </cell>
          <cell r="DG83">
            <v>0</v>
          </cell>
          <cell r="DH83">
            <v>0</v>
          </cell>
          <cell r="DI83">
            <v>0</v>
          </cell>
          <cell r="DJ83">
            <v>0</v>
          </cell>
          <cell r="DK83">
            <v>0</v>
          </cell>
          <cell r="DL83">
            <v>0</v>
          </cell>
          <cell r="DM83">
            <v>0</v>
          </cell>
          <cell r="DN83">
            <v>0</v>
          </cell>
          <cell r="DO83">
            <v>0</v>
          </cell>
          <cell r="DP83">
            <v>0</v>
          </cell>
          <cell r="DQ83">
            <v>0</v>
          </cell>
          <cell r="DR83">
            <v>0</v>
          </cell>
          <cell r="DS83">
            <v>0</v>
          </cell>
          <cell r="DT83">
            <v>0</v>
          </cell>
          <cell r="DU83">
            <v>0</v>
          </cell>
          <cell r="DV83">
            <v>0</v>
          </cell>
          <cell r="DW83">
            <v>0</v>
          </cell>
          <cell r="DX83">
            <v>0</v>
          </cell>
          <cell r="DY83">
            <v>0</v>
          </cell>
          <cell r="DZ83">
            <v>0</v>
          </cell>
          <cell r="EA83">
            <v>0</v>
          </cell>
          <cell r="EB83">
            <v>0</v>
          </cell>
          <cell r="EC83">
            <v>0</v>
          </cell>
          <cell r="ED83">
            <v>0</v>
          </cell>
          <cell r="EE83">
            <v>0</v>
          </cell>
          <cell r="EF83">
            <v>0</v>
          </cell>
          <cell r="EG83">
            <v>0</v>
          </cell>
          <cell r="EH83">
            <v>0</v>
          </cell>
          <cell r="EI83">
            <v>0</v>
          </cell>
          <cell r="EJ83">
            <v>0</v>
          </cell>
          <cell r="EK83">
            <v>0</v>
          </cell>
          <cell r="EL83">
            <v>0</v>
          </cell>
          <cell r="EM83">
            <v>0</v>
          </cell>
          <cell r="EN83">
            <v>0</v>
          </cell>
          <cell r="EO83">
            <v>0</v>
          </cell>
          <cell r="EP83">
            <v>0</v>
          </cell>
          <cell r="EQ83">
            <v>0</v>
          </cell>
          <cell r="ER83">
            <v>0</v>
          </cell>
          <cell r="ES83">
            <v>0</v>
          </cell>
          <cell r="ET83">
            <v>0</v>
          </cell>
          <cell r="EU83">
            <v>0</v>
          </cell>
          <cell r="EV83">
            <v>0</v>
          </cell>
          <cell r="EW83">
            <v>0</v>
          </cell>
          <cell r="EX83">
            <v>0</v>
          </cell>
          <cell r="EY83">
            <v>0</v>
          </cell>
          <cell r="EZ83">
            <v>0</v>
          </cell>
          <cell r="FA83">
            <v>0</v>
          </cell>
          <cell r="FB83">
            <v>0</v>
          </cell>
          <cell r="FC83">
            <v>0</v>
          </cell>
          <cell r="FD83">
            <v>0</v>
          </cell>
          <cell r="FE83">
            <v>0</v>
          </cell>
          <cell r="FF83">
            <v>0</v>
          </cell>
          <cell r="FG83">
            <v>0</v>
          </cell>
          <cell r="FH83">
            <v>0</v>
          </cell>
          <cell r="FI83">
            <v>0</v>
          </cell>
          <cell r="FJ83">
            <v>0</v>
          </cell>
          <cell r="FK83">
            <v>0</v>
          </cell>
          <cell r="FL83">
            <v>0</v>
          </cell>
          <cell r="FM83">
            <v>0</v>
          </cell>
          <cell r="FN83">
            <v>0</v>
          </cell>
          <cell r="FO83">
            <v>0</v>
          </cell>
          <cell r="FP83">
            <v>0</v>
          </cell>
          <cell r="FQ83">
            <v>0</v>
          </cell>
          <cell r="FR83">
            <v>0</v>
          </cell>
          <cell r="FS83">
            <v>0</v>
          </cell>
          <cell r="FT83">
            <v>0</v>
          </cell>
          <cell r="FU83">
            <v>0</v>
          </cell>
          <cell r="FV83">
            <v>0</v>
          </cell>
          <cell r="FW83">
            <v>0</v>
          </cell>
          <cell r="FX83">
            <v>0</v>
          </cell>
          <cell r="FY83">
            <v>0</v>
          </cell>
          <cell r="FZ83">
            <v>0</v>
          </cell>
          <cell r="GA83">
            <v>0</v>
          </cell>
          <cell r="GB83">
            <v>0</v>
          </cell>
          <cell r="GC83">
            <v>0</v>
          </cell>
          <cell r="GD83">
            <v>0</v>
          </cell>
          <cell r="GE83">
            <v>0</v>
          </cell>
          <cell r="GF83">
            <v>0</v>
          </cell>
          <cell r="GG83">
            <v>0</v>
          </cell>
          <cell r="GH83">
            <v>0</v>
          </cell>
          <cell r="GI83">
            <v>0</v>
          </cell>
          <cell r="GJ83">
            <v>0</v>
          </cell>
          <cell r="GK83">
            <v>0</v>
          </cell>
          <cell r="GL83">
            <v>0</v>
          </cell>
          <cell r="GM83">
            <v>0</v>
          </cell>
          <cell r="GN83">
            <v>0</v>
          </cell>
          <cell r="GO83">
            <v>0</v>
          </cell>
          <cell r="GP83">
            <v>0</v>
          </cell>
          <cell r="GQ83">
            <v>0</v>
          </cell>
          <cell r="GR83">
            <v>0</v>
          </cell>
          <cell r="GS83">
            <v>0</v>
          </cell>
          <cell r="GT83">
            <v>0</v>
          </cell>
          <cell r="GU83">
            <v>0</v>
          </cell>
          <cell r="GV83">
            <v>0</v>
          </cell>
          <cell r="GW83">
            <v>0</v>
          </cell>
          <cell r="GX83">
            <v>0</v>
          </cell>
          <cell r="GY83">
            <v>0</v>
          </cell>
          <cell r="GZ83">
            <v>0</v>
          </cell>
          <cell r="HA83">
            <v>0</v>
          </cell>
          <cell r="HB83">
            <v>0</v>
          </cell>
          <cell r="HC83">
            <v>0</v>
          </cell>
          <cell r="HD83">
            <v>0</v>
          </cell>
          <cell r="HE83">
            <v>0</v>
          </cell>
        </row>
        <row r="84">
          <cell r="B84" t="str">
            <v>HBS-20</v>
          </cell>
          <cell r="C84" t="str">
            <v>에이아이테크</v>
          </cell>
          <cell r="D84">
            <v>0.3</v>
          </cell>
          <cell r="E84" t="str">
            <v>담     보</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v>0</v>
          </cell>
          <cell r="DU84">
            <v>0</v>
          </cell>
          <cell r="DV84">
            <v>0</v>
          </cell>
          <cell r="DW84">
            <v>0</v>
          </cell>
          <cell r="DX84">
            <v>0</v>
          </cell>
          <cell r="DY84">
            <v>0</v>
          </cell>
          <cell r="DZ84">
            <v>0</v>
          </cell>
          <cell r="EA84">
            <v>0</v>
          </cell>
          <cell r="EB84">
            <v>0</v>
          </cell>
          <cell r="EC84">
            <v>0</v>
          </cell>
          <cell r="ED84">
            <v>0</v>
          </cell>
          <cell r="EE84">
            <v>0</v>
          </cell>
          <cell r="EF84">
            <v>0</v>
          </cell>
          <cell r="EG84">
            <v>0</v>
          </cell>
          <cell r="EH84">
            <v>0</v>
          </cell>
          <cell r="EI84">
            <v>0</v>
          </cell>
          <cell r="EJ84">
            <v>0</v>
          </cell>
          <cell r="EK84">
            <v>0</v>
          </cell>
          <cell r="EL84">
            <v>0</v>
          </cell>
          <cell r="EM84">
            <v>0</v>
          </cell>
          <cell r="EN84">
            <v>0</v>
          </cell>
          <cell r="EO84">
            <v>0</v>
          </cell>
          <cell r="EP84">
            <v>0</v>
          </cell>
          <cell r="EQ84">
            <v>0</v>
          </cell>
          <cell r="ER84">
            <v>0</v>
          </cell>
          <cell r="ES84">
            <v>0</v>
          </cell>
          <cell r="ET84">
            <v>0</v>
          </cell>
          <cell r="EU84">
            <v>0</v>
          </cell>
          <cell r="EV84">
            <v>0</v>
          </cell>
          <cell r="EW84">
            <v>0</v>
          </cell>
          <cell r="EX84">
            <v>0</v>
          </cell>
          <cell r="EY84">
            <v>0</v>
          </cell>
          <cell r="EZ84">
            <v>0</v>
          </cell>
          <cell r="FA84">
            <v>0</v>
          </cell>
          <cell r="FB84">
            <v>0</v>
          </cell>
          <cell r="FC84">
            <v>0</v>
          </cell>
          <cell r="FD84">
            <v>0</v>
          </cell>
          <cell r="FE84">
            <v>0</v>
          </cell>
          <cell r="FF84">
            <v>0</v>
          </cell>
          <cell r="FG84">
            <v>0</v>
          </cell>
          <cell r="FH84">
            <v>0</v>
          </cell>
          <cell r="FI84">
            <v>0</v>
          </cell>
          <cell r="FJ84">
            <v>0</v>
          </cell>
          <cell r="FK84">
            <v>0</v>
          </cell>
          <cell r="FL84">
            <v>0</v>
          </cell>
          <cell r="FM84">
            <v>0</v>
          </cell>
          <cell r="FN84">
            <v>0</v>
          </cell>
          <cell r="FO84">
            <v>0</v>
          </cell>
          <cell r="FP84">
            <v>0</v>
          </cell>
          <cell r="FQ84">
            <v>0</v>
          </cell>
          <cell r="FR84">
            <v>0</v>
          </cell>
          <cell r="FS84">
            <v>0</v>
          </cell>
          <cell r="FT84">
            <v>0</v>
          </cell>
          <cell r="FU84">
            <v>0</v>
          </cell>
          <cell r="FV84">
            <v>0</v>
          </cell>
          <cell r="FW84">
            <v>0</v>
          </cell>
          <cell r="FX84">
            <v>0</v>
          </cell>
          <cell r="FY84">
            <v>0</v>
          </cell>
          <cell r="FZ84">
            <v>0</v>
          </cell>
          <cell r="GA84">
            <v>0</v>
          </cell>
          <cell r="GB84">
            <v>0</v>
          </cell>
          <cell r="GC84">
            <v>0</v>
          </cell>
          <cell r="GD84">
            <v>0</v>
          </cell>
          <cell r="GE84">
            <v>0</v>
          </cell>
          <cell r="GF84">
            <v>0</v>
          </cell>
          <cell r="GG84">
            <v>0</v>
          </cell>
          <cell r="GH84">
            <v>0</v>
          </cell>
          <cell r="GI84">
            <v>0</v>
          </cell>
          <cell r="GJ84">
            <v>0</v>
          </cell>
          <cell r="GK84">
            <v>0</v>
          </cell>
          <cell r="GL84">
            <v>0</v>
          </cell>
          <cell r="GM84">
            <v>0</v>
          </cell>
          <cell r="GN84">
            <v>0</v>
          </cell>
          <cell r="GO84">
            <v>0</v>
          </cell>
          <cell r="GP84">
            <v>0</v>
          </cell>
          <cell r="GQ84">
            <v>0</v>
          </cell>
          <cell r="GR84">
            <v>0</v>
          </cell>
          <cell r="GS84">
            <v>0</v>
          </cell>
          <cell r="GT84">
            <v>0</v>
          </cell>
          <cell r="GU84">
            <v>0</v>
          </cell>
          <cell r="GV84">
            <v>0</v>
          </cell>
          <cell r="GW84">
            <v>0</v>
          </cell>
          <cell r="GX84">
            <v>0</v>
          </cell>
          <cell r="GY84">
            <v>0</v>
          </cell>
          <cell r="GZ84">
            <v>0</v>
          </cell>
          <cell r="HA84">
            <v>0</v>
          </cell>
          <cell r="HB84">
            <v>0</v>
          </cell>
          <cell r="HC84">
            <v>0</v>
          </cell>
          <cell r="HD84">
            <v>0</v>
          </cell>
          <cell r="HE84">
            <v>0</v>
          </cell>
        </row>
        <row r="85">
          <cell r="D85">
            <v>0.3</v>
          </cell>
          <cell r="E85" t="str">
            <v>무 담 보</v>
          </cell>
          <cell r="F85">
            <v>0</v>
          </cell>
          <cell r="G85">
            <v>0</v>
          </cell>
          <cell r="H85">
            <v>0</v>
          </cell>
          <cell r="I85">
            <v>0</v>
          </cell>
          <cell r="J85">
            <v>0</v>
          </cell>
          <cell r="K85">
            <v>0</v>
          </cell>
          <cell r="L85">
            <v>0</v>
          </cell>
          <cell r="M85">
            <v>0</v>
          </cell>
          <cell r="N85">
            <v>4514851.5</v>
          </cell>
          <cell r="O85">
            <v>0</v>
          </cell>
          <cell r="P85">
            <v>0</v>
          </cell>
          <cell r="Q85">
            <v>0</v>
          </cell>
          <cell r="R85">
            <v>0</v>
          </cell>
          <cell r="S85">
            <v>0</v>
          </cell>
          <cell r="T85">
            <v>13010781.225304106</v>
          </cell>
          <cell r="U85">
            <v>0</v>
          </cell>
          <cell r="V85">
            <v>0</v>
          </cell>
          <cell r="W85">
            <v>0</v>
          </cell>
          <cell r="X85">
            <v>0</v>
          </cell>
          <cell r="Y85">
            <v>0</v>
          </cell>
          <cell r="Z85">
            <v>4503424.4221315067</v>
          </cell>
          <cell r="AA85">
            <v>0</v>
          </cell>
          <cell r="AB85">
            <v>0</v>
          </cell>
          <cell r="AC85">
            <v>0</v>
          </cell>
          <cell r="AD85">
            <v>0</v>
          </cell>
          <cell r="AE85">
            <v>0</v>
          </cell>
          <cell r="AF85">
            <v>4578066.8158684922</v>
          </cell>
          <cell r="AG85">
            <v>0</v>
          </cell>
          <cell r="AH85">
            <v>0</v>
          </cell>
          <cell r="AI85">
            <v>0</v>
          </cell>
          <cell r="AJ85">
            <v>0</v>
          </cell>
          <cell r="AK85">
            <v>0</v>
          </cell>
          <cell r="AL85">
            <v>4522119.0107268346</v>
          </cell>
          <cell r="AM85">
            <v>0</v>
          </cell>
          <cell r="AN85">
            <v>0</v>
          </cell>
          <cell r="AO85">
            <v>0</v>
          </cell>
          <cell r="AP85">
            <v>0</v>
          </cell>
          <cell r="AQ85">
            <v>0</v>
          </cell>
          <cell r="AR85">
            <v>55018287.536590151</v>
          </cell>
          <cell r="AS85">
            <v>0</v>
          </cell>
          <cell r="AT85">
            <v>0</v>
          </cell>
          <cell r="AU85">
            <v>0</v>
          </cell>
          <cell r="AV85">
            <v>0</v>
          </cell>
          <cell r="AW85">
            <v>0</v>
          </cell>
          <cell r="AX85">
            <v>3747755.1609472265</v>
          </cell>
          <cell r="AY85">
            <v>0</v>
          </cell>
          <cell r="AZ85">
            <v>0</v>
          </cell>
          <cell r="BA85">
            <v>0</v>
          </cell>
          <cell r="BB85">
            <v>0</v>
          </cell>
          <cell r="BC85">
            <v>0</v>
          </cell>
          <cell r="BD85">
            <v>54267784.779890403</v>
          </cell>
          <cell r="BE85">
            <v>0</v>
          </cell>
          <cell r="BF85">
            <v>0</v>
          </cell>
          <cell r="BG85">
            <v>0</v>
          </cell>
          <cell r="BH85">
            <v>0</v>
          </cell>
          <cell r="BI85">
            <v>0</v>
          </cell>
          <cell r="BJ85">
            <v>3002282.9480876713</v>
          </cell>
          <cell r="BK85">
            <v>0</v>
          </cell>
          <cell r="BL85">
            <v>0</v>
          </cell>
          <cell r="BM85">
            <v>0</v>
          </cell>
          <cell r="BN85">
            <v>0</v>
          </cell>
          <cell r="BO85">
            <v>0</v>
          </cell>
          <cell r="BP85">
            <v>53504773.643912323</v>
          </cell>
          <cell r="BQ85">
            <v>0</v>
          </cell>
          <cell r="BR85">
            <v>0</v>
          </cell>
          <cell r="BS85">
            <v>0</v>
          </cell>
          <cell r="BT85">
            <v>0</v>
          </cell>
          <cell r="BU85">
            <v>0</v>
          </cell>
          <cell r="BV85">
            <v>2251712.2110657538</v>
          </cell>
          <cell r="BW85">
            <v>0</v>
          </cell>
          <cell r="BX85">
            <v>0</v>
          </cell>
          <cell r="BY85">
            <v>0</v>
          </cell>
          <cell r="BZ85">
            <v>0</v>
          </cell>
          <cell r="CA85">
            <v>0</v>
          </cell>
          <cell r="CB85">
            <v>52741762.507934242</v>
          </cell>
          <cell r="CC85">
            <v>0</v>
          </cell>
          <cell r="CD85">
            <v>0</v>
          </cell>
          <cell r="CE85">
            <v>0</v>
          </cell>
          <cell r="CF85">
            <v>0</v>
          </cell>
          <cell r="CG85">
            <v>0</v>
          </cell>
          <cell r="CH85">
            <v>1507373.0035756126</v>
          </cell>
          <cell r="CI85">
            <v>0</v>
          </cell>
          <cell r="CJ85">
            <v>0</v>
          </cell>
          <cell r="CK85">
            <v>0</v>
          </cell>
          <cell r="CL85">
            <v>0</v>
          </cell>
          <cell r="CM85">
            <v>0</v>
          </cell>
          <cell r="CN85">
            <v>51974581.912196718</v>
          </cell>
          <cell r="CO85">
            <v>0</v>
          </cell>
          <cell r="CP85">
            <v>0</v>
          </cell>
          <cell r="CQ85">
            <v>0</v>
          </cell>
          <cell r="CR85">
            <v>0</v>
          </cell>
          <cell r="CS85">
            <v>0</v>
          </cell>
          <cell r="CT85">
            <v>749551.03218944592</v>
          </cell>
          <cell r="CU85">
            <v>0</v>
          </cell>
          <cell r="CV85">
            <v>0</v>
          </cell>
          <cell r="CW85">
            <v>0</v>
          </cell>
          <cell r="CX85">
            <v>0</v>
          </cell>
          <cell r="CY85">
            <v>0</v>
          </cell>
          <cell r="CZ85">
            <v>51215740.235978074</v>
          </cell>
          <cell r="DA85">
            <v>0</v>
          </cell>
          <cell r="DB85">
            <v>0</v>
          </cell>
          <cell r="DC85">
            <v>0</v>
          </cell>
          <cell r="DD85">
            <v>0</v>
          </cell>
          <cell r="DE85">
            <v>0</v>
          </cell>
          <cell r="DF85">
            <v>0</v>
          </cell>
          <cell r="DG85">
            <v>0</v>
          </cell>
          <cell r="DH85">
            <v>0</v>
          </cell>
          <cell r="DI85">
            <v>0</v>
          </cell>
          <cell r="DJ85">
            <v>0</v>
          </cell>
          <cell r="DK85">
            <v>0</v>
          </cell>
          <cell r="DL85">
            <v>0</v>
          </cell>
          <cell r="DM85">
            <v>0</v>
          </cell>
          <cell r="DN85">
            <v>0</v>
          </cell>
          <cell r="DO85">
            <v>0</v>
          </cell>
          <cell r="DP85">
            <v>0</v>
          </cell>
          <cell r="DQ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FI85">
            <v>0</v>
          </cell>
          <cell r="FJ85">
            <v>0</v>
          </cell>
          <cell r="FK85">
            <v>0</v>
          </cell>
          <cell r="FL85">
            <v>0</v>
          </cell>
          <cell r="FM85">
            <v>0</v>
          </cell>
          <cell r="FN85">
            <v>0</v>
          </cell>
          <cell r="FO85">
            <v>0</v>
          </cell>
          <cell r="FP85">
            <v>0</v>
          </cell>
          <cell r="FQ85">
            <v>0</v>
          </cell>
          <cell r="FR85">
            <v>0</v>
          </cell>
          <cell r="FS85">
            <v>0</v>
          </cell>
          <cell r="FT85">
            <v>0</v>
          </cell>
          <cell r="FU85">
            <v>0</v>
          </cell>
          <cell r="FV85">
            <v>0</v>
          </cell>
          <cell r="FW85">
            <v>0</v>
          </cell>
          <cell r="FX85">
            <v>0</v>
          </cell>
          <cell r="FY85">
            <v>0</v>
          </cell>
          <cell r="FZ85">
            <v>0</v>
          </cell>
          <cell r="GA85">
            <v>0</v>
          </cell>
          <cell r="GB85">
            <v>0</v>
          </cell>
          <cell r="GC85">
            <v>0</v>
          </cell>
          <cell r="GD85">
            <v>0</v>
          </cell>
          <cell r="GE85">
            <v>0</v>
          </cell>
          <cell r="GF85">
            <v>0</v>
          </cell>
          <cell r="GG85">
            <v>0</v>
          </cell>
          <cell r="GH85">
            <v>0</v>
          </cell>
          <cell r="GI85">
            <v>0</v>
          </cell>
          <cell r="GJ85">
            <v>0</v>
          </cell>
          <cell r="GK85">
            <v>0</v>
          </cell>
          <cell r="GL85">
            <v>0</v>
          </cell>
          <cell r="GM85">
            <v>0</v>
          </cell>
          <cell r="GN85">
            <v>0</v>
          </cell>
          <cell r="GO85">
            <v>0</v>
          </cell>
          <cell r="GP85">
            <v>0</v>
          </cell>
          <cell r="GQ85">
            <v>0</v>
          </cell>
          <cell r="GR85">
            <v>0</v>
          </cell>
          <cell r="GS85">
            <v>0</v>
          </cell>
          <cell r="GT85">
            <v>0</v>
          </cell>
          <cell r="GU85">
            <v>0</v>
          </cell>
          <cell r="GV85">
            <v>0</v>
          </cell>
          <cell r="GW85">
            <v>0</v>
          </cell>
          <cell r="GX85">
            <v>0</v>
          </cell>
          <cell r="GY85">
            <v>0</v>
          </cell>
          <cell r="GZ85">
            <v>0</v>
          </cell>
          <cell r="HA85">
            <v>0</v>
          </cell>
          <cell r="HB85">
            <v>0</v>
          </cell>
          <cell r="HC85">
            <v>0</v>
          </cell>
          <cell r="HD85">
            <v>0</v>
          </cell>
          <cell r="HE85">
            <v>361110847.94639856</v>
          </cell>
        </row>
        <row r="86">
          <cell r="E86" t="str">
            <v>Total</v>
          </cell>
          <cell r="F86">
            <v>0</v>
          </cell>
          <cell r="G86">
            <v>0</v>
          </cell>
          <cell r="H86">
            <v>0</v>
          </cell>
          <cell r="I86">
            <v>0</v>
          </cell>
          <cell r="J86">
            <v>0</v>
          </cell>
          <cell r="K86">
            <v>0</v>
          </cell>
          <cell r="L86">
            <v>0</v>
          </cell>
          <cell r="M86">
            <v>0</v>
          </cell>
          <cell r="N86">
            <v>4514851.5</v>
          </cell>
          <cell r="O86">
            <v>0</v>
          </cell>
          <cell r="P86">
            <v>0</v>
          </cell>
          <cell r="Q86">
            <v>0</v>
          </cell>
          <cell r="R86">
            <v>0</v>
          </cell>
          <cell r="S86">
            <v>0</v>
          </cell>
          <cell r="T86">
            <v>13010781.225304106</v>
          </cell>
          <cell r="U86">
            <v>0</v>
          </cell>
          <cell r="V86">
            <v>0</v>
          </cell>
          <cell r="W86">
            <v>0</v>
          </cell>
          <cell r="X86">
            <v>0</v>
          </cell>
          <cell r="Y86">
            <v>0</v>
          </cell>
          <cell r="Z86">
            <v>4503424.4221315067</v>
          </cell>
          <cell r="AA86">
            <v>0</v>
          </cell>
          <cell r="AB86">
            <v>0</v>
          </cell>
          <cell r="AC86">
            <v>0</v>
          </cell>
          <cell r="AD86">
            <v>0</v>
          </cell>
          <cell r="AE86">
            <v>0</v>
          </cell>
          <cell r="AF86">
            <v>4578066.8158684922</v>
          </cell>
          <cell r="AG86">
            <v>0</v>
          </cell>
          <cell r="AH86">
            <v>0</v>
          </cell>
          <cell r="AI86">
            <v>0</v>
          </cell>
          <cell r="AJ86">
            <v>0</v>
          </cell>
          <cell r="AK86">
            <v>0</v>
          </cell>
          <cell r="AL86">
            <v>4522119.0107268346</v>
          </cell>
          <cell r="AM86">
            <v>0</v>
          </cell>
          <cell r="AN86">
            <v>0</v>
          </cell>
          <cell r="AO86">
            <v>0</v>
          </cell>
          <cell r="AP86">
            <v>0</v>
          </cell>
          <cell r="AQ86">
            <v>0</v>
          </cell>
          <cell r="AR86">
            <v>55018287.536590151</v>
          </cell>
          <cell r="AS86">
            <v>0</v>
          </cell>
          <cell r="AT86">
            <v>0</v>
          </cell>
          <cell r="AU86">
            <v>0</v>
          </cell>
          <cell r="AV86">
            <v>0</v>
          </cell>
          <cell r="AW86">
            <v>0</v>
          </cell>
          <cell r="AX86">
            <v>3747755.1609472265</v>
          </cell>
          <cell r="AY86">
            <v>0</v>
          </cell>
          <cell r="AZ86">
            <v>0</v>
          </cell>
          <cell r="BA86">
            <v>0</v>
          </cell>
          <cell r="BB86">
            <v>0</v>
          </cell>
          <cell r="BC86">
            <v>0</v>
          </cell>
          <cell r="BD86">
            <v>54267784.779890403</v>
          </cell>
          <cell r="BE86">
            <v>0</v>
          </cell>
          <cell r="BF86">
            <v>0</v>
          </cell>
          <cell r="BG86">
            <v>0</v>
          </cell>
          <cell r="BH86">
            <v>0</v>
          </cell>
          <cell r="BI86">
            <v>0</v>
          </cell>
          <cell r="BJ86">
            <v>3002282.9480876713</v>
          </cell>
          <cell r="BK86">
            <v>0</v>
          </cell>
          <cell r="BL86">
            <v>0</v>
          </cell>
          <cell r="BM86">
            <v>0</v>
          </cell>
          <cell r="BN86">
            <v>0</v>
          </cell>
          <cell r="BO86">
            <v>0</v>
          </cell>
          <cell r="BP86">
            <v>53504773.643912323</v>
          </cell>
          <cell r="BQ86">
            <v>0</v>
          </cell>
          <cell r="BR86">
            <v>0</v>
          </cell>
          <cell r="BS86">
            <v>0</v>
          </cell>
          <cell r="BT86">
            <v>0</v>
          </cell>
          <cell r="BU86">
            <v>0</v>
          </cell>
          <cell r="BV86">
            <v>2251712.2110657538</v>
          </cell>
          <cell r="BW86">
            <v>0</v>
          </cell>
          <cell r="BX86">
            <v>0</v>
          </cell>
          <cell r="BY86">
            <v>0</v>
          </cell>
          <cell r="BZ86">
            <v>0</v>
          </cell>
          <cell r="CA86">
            <v>0</v>
          </cell>
          <cell r="CB86">
            <v>52741762.507934242</v>
          </cell>
          <cell r="CC86">
            <v>0</v>
          </cell>
          <cell r="CD86">
            <v>0</v>
          </cell>
          <cell r="CE86">
            <v>0</v>
          </cell>
          <cell r="CF86">
            <v>0</v>
          </cell>
          <cell r="CG86">
            <v>0</v>
          </cell>
          <cell r="CH86">
            <v>1507373.0035756126</v>
          </cell>
          <cell r="CI86">
            <v>0</v>
          </cell>
          <cell r="CJ86">
            <v>0</v>
          </cell>
          <cell r="CK86">
            <v>0</v>
          </cell>
          <cell r="CL86">
            <v>0</v>
          </cell>
          <cell r="CM86">
            <v>0</v>
          </cell>
          <cell r="CN86">
            <v>51974581.912196718</v>
          </cell>
          <cell r="CO86">
            <v>0</v>
          </cell>
          <cell r="CP86">
            <v>0</v>
          </cell>
          <cell r="CQ86">
            <v>0</v>
          </cell>
          <cell r="CR86">
            <v>0</v>
          </cell>
          <cell r="CS86">
            <v>0</v>
          </cell>
          <cell r="CT86">
            <v>749551.03218944592</v>
          </cell>
          <cell r="CU86">
            <v>0</v>
          </cell>
          <cell r="CV86">
            <v>0</v>
          </cell>
          <cell r="CW86">
            <v>0</v>
          </cell>
          <cell r="CX86">
            <v>0</v>
          </cell>
          <cell r="CY86">
            <v>0</v>
          </cell>
          <cell r="CZ86">
            <v>51215740.235978074</v>
          </cell>
          <cell r="DA86">
            <v>0</v>
          </cell>
          <cell r="DB86">
            <v>0</v>
          </cell>
          <cell r="DC86">
            <v>0</v>
          </cell>
          <cell r="DD86">
            <v>0</v>
          </cell>
          <cell r="DE86">
            <v>0</v>
          </cell>
          <cell r="DF86">
            <v>0</v>
          </cell>
          <cell r="DG86">
            <v>0</v>
          </cell>
          <cell r="DH86">
            <v>0</v>
          </cell>
          <cell r="DI86">
            <v>0</v>
          </cell>
          <cell r="DJ86">
            <v>0</v>
          </cell>
          <cell r="DK86">
            <v>0</v>
          </cell>
          <cell r="DL86">
            <v>0</v>
          </cell>
          <cell r="DM86">
            <v>0</v>
          </cell>
          <cell r="DN86">
            <v>0</v>
          </cell>
          <cell r="DO86">
            <v>0</v>
          </cell>
          <cell r="DP86">
            <v>0</v>
          </cell>
          <cell r="DQ86">
            <v>0</v>
          </cell>
          <cell r="DR86">
            <v>0</v>
          </cell>
          <cell r="DS86">
            <v>0</v>
          </cell>
          <cell r="DT86">
            <v>0</v>
          </cell>
          <cell r="DU86">
            <v>0</v>
          </cell>
          <cell r="DV86">
            <v>0</v>
          </cell>
          <cell r="DW86">
            <v>0</v>
          </cell>
          <cell r="DX86">
            <v>0</v>
          </cell>
          <cell r="DY86">
            <v>0</v>
          </cell>
          <cell r="DZ86">
            <v>0</v>
          </cell>
          <cell r="EA86">
            <v>0</v>
          </cell>
          <cell r="EB86">
            <v>0</v>
          </cell>
          <cell r="EC86">
            <v>0</v>
          </cell>
          <cell r="ED86">
            <v>0</v>
          </cell>
          <cell r="EE86">
            <v>0</v>
          </cell>
          <cell r="EF86">
            <v>0</v>
          </cell>
          <cell r="EG86">
            <v>0</v>
          </cell>
          <cell r="EH86">
            <v>0</v>
          </cell>
          <cell r="EI86">
            <v>0</v>
          </cell>
          <cell r="EJ86">
            <v>0</v>
          </cell>
          <cell r="EK86">
            <v>0</v>
          </cell>
          <cell r="EL86">
            <v>0</v>
          </cell>
          <cell r="EM86">
            <v>0</v>
          </cell>
          <cell r="EN86">
            <v>0</v>
          </cell>
          <cell r="EO86">
            <v>0</v>
          </cell>
          <cell r="EP86">
            <v>0</v>
          </cell>
          <cell r="EQ86">
            <v>0</v>
          </cell>
          <cell r="ER86">
            <v>0</v>
          </cell>
          <cell r="ES86">
            <v>0</v>
          </cell>
          <cell r="ET86">
            <v>0</v>
          </cell>
          <cell r="EU86">
            <v>0</v>
          </cell>
          <cell r="EV86">
            <v>0</v>
          </cell>
          <cell r="EW86">
            <v>0</v>
          </cell>
          <cell r="EX86">
            <v>0</v>
          </cell>
          <cell r="EY86">
            <v>0</v>
          </cell>
          <cell r="EZ86">
            <v>0</v>
          </cell>
          <cell r="FA86">
            <v>0</v>
          </cell>
          <cell r="FB86">
            <v>0</v>
          </cell>
          <cell r="FC86">
            <v>0</v>
          </cell>
          <cell r="FD86">
            <v>0</v>
          </cell>
          <cell r="FE86">
            <v>0</v>
          </cell>
          <cell r="FF86">
            <v>0</v>
          </cell>
          <cell r="FG86">
            <v>0</v>
          </cell>
          <cell r="FH86">
            <v>0</v>
          </cell>
          <cell r="FI86">
            <v>0</v>
          </cell>
          <cell r="FJ86">
            <v>0</v>
          </cell>
          <cell r="FK86">
            <v>0</v>
          </cell>
          <cell r="FL86">
            <v>0</v>
          </cell>
          <cell r="FM86">
            <v>0</v>
          </cell>
          <cell r="FN86">
            <v>0</v>
          </cell>
          <cell r="FO86">
            <v>0</v>
          </cell>
          <cell r="FP86">
            <v>0</v>
          </cell>
          <cell r="FQ86">
            <v>0</v>
          </cell>
          <cell r="FR86">
            <v>0</v>
          </cell>
          <cell r="FS86">
            <v>0</v>
          </cell>
          <cell r="FT86">
            <v>0</v>
          </cell>
          <cell r="FU86">
            <v>0</v>
          </cell>
          <cell r="FV86">
            <v>0</v>
          </cell>
          <cell r="FW86">
            <v>0</v>
          </cell>
          <cell r="FX86">
            <v>0</v>
          </cell>
          <cell r="FY86">
            <v>0</v>
          </cell>
          <cell r="FZ86">
            <v>0</v>
          </cell>
          <cell r="GA86">
            <v>0</v>
          </cell>
          <cell r="GB86">
            <v>0</v>
          </cell>
          <cell r="GC86">
            <v>0</v>
          </cell>
          <cell r="GD86">
            <v>0</v>
          </cell>
          <cell r="GE86">
            <v>0</v>
          </cell>
          <cell r="GF86">
            <v>0</v>
          </cell>
          <cell r="GG86">
            <v>0</v>
          </cell>
          <cell r="GH86">
            <v>0</v>
          </cell>
          <cell r="GI86">
            <v>0</v>
          </cell>
          <cell r="GJ86">
            <v>0</v>
          </cell>
          <cell r="GK86">
            <v>0</v>
          </cell>
          <cell r="GL86">
            <v>0</v>
          </cell>
          <cell r="GM86">
            <v>0</v>
          </cell>
          <cell r="GN86">
            <v>0</v>
          </cell>
          <cell r="GO86">
            <v>0</v>
          </cell>
          <cell r="GP86">
            <v>0</v>
          </cell>
          <cell r="GQ86">
            <v>0</v>
          </cell>
          <cell r="GR86">
            <v>0</v>
          </cell>
          <cell r="GS86">
            <v>0</v>
          </cell>
          <cell r="GT86">
            <v>0</v>
          </cell>
          <cell r="GU86">
            <v>0</v>
          </cell>
          <cell r="GV86">
            <v>0</v>
          </cell>
          <cell r="GW86">
            <v>0</v>
          </cell>
          <cell r="GX86">
            <v>0</v>
          </cell>
          <cell r="GY86">
            <v>0</v>
          </cell>
          <cell r="GZ86">
            <v>0</v>
          </cell>
          <cell r="HA86">
            <v>0</v>
          </cell>
          <cell r="HB86">
            <v>0</v>
          </cell>
          <cell r="HC86">
            <v>0</v>
          </cell>
          <cell r="HD86">
            <v>0</v>
          </cell>
          <cell r="HE86">
            <v>361110847.94639856</v>
          </cell>
        </row>
        <row r="87">
          <cell r="A87" t="str">
            <v>HBS-20</v>
          </cell>
          <cell r="E87" t="str">
            <v>현     가</v>
          </cell>
          <cell r="F87">
            <v>0</v>
          </cell>
          <cell r="G87">
            <v>0</v>
          </cell>
          <cell r="H87">
            <v>0</v>
          </cell>
          <cell r="I87">
            <v>0</v>
          </cell>
          <cell r="J87">
            <v>0</v>
          </cell>
          <cell r="K87">
            <v>0</v>
          </cell>
          <cell r="L87">
            <v>0</v>
          </cell>
          <cell r="M87">
            <v>0</v>
          </cell>
          <cell r="N87">
            <v>4356024.7374413311</v>
          </cell>
          <cell r="O87">
            <v>0</v>
          </cell>
          <cell r="P87">
            <v>0</v>
          </cell>
          <cell r="Q87">
            <v>0</v>
          </cell>
          <cell r="R87">
            <v>0</v>
          </cell>
          <cell r="S87">
            <v>0</v>
          </cell>
          <cell r="T87">
            <v>12128660.578207768</v>
          </cell>
          <cell r="U87">
            <v>0</v>
          </cell>
          <cell r="V87">
            <v>0</v>
          </cell>
          <cell r="W87">
            <v>0</v>
          </cell>
          <cell r="X87">
            <v>0</v>
          </cell>
          <cell r="Y87">
            <v>0</v>
          </cell>
          <cell r="Z87">
            <v>4074716.9835691582</v>
          </cell>
          <cell r="AA87">
            <v>0</v>
          </cell>
          <cell r="AB87">
            <v>0</v>
          </cell>
          <cell r="AC87">
            <v>0</v>
          </cell>
          <cell r="AD87">
            <v>0</v>
          </cell>
          <cell r="AE87">
            <v>0</v>
          </cell>
          <cell r="AF87">
            <v>3989165.6225483986</v>
          </cell>
          <cell r="AG87">
            <v>0</v>
          </cell>
          <cell r="AH87">
            <v>0</v>
          </cell>
          <cell r="AI87">
            <v>0</v>
          </cell>
          <cell r="AJ87">
            <v>0</v>
          </cell>
          <cell r="AK87">
            <v>0</v>
          </cell>
          <cell r="AL87">
            <v>3817531.4449008135</v>
          </cell>
          <cell r="AM87">
            <v>0</v>
          </cell>
          <cell r="AN87">
            <v>0</v>
          </cell>
          <cell r="AO87">
            <v>0</v>
          </cell>
          <cell r="AP87">
            <v>0</v>
          </cell>
          <cell r="AQ87">
            <v>0</v>
          </cell>
          <cell r="AR87">
            <v>44411269.109278679</v>
          </cell>
          <cell r="AS87">
            <v>0</v>
          </cell>
          <cell r="AT87">
            <v>0</v>
          </cell>
          <cell r="AU87">
            <v>0</v>
          </cell>
          <cell r="AV87">
            <v>0</v>
          </cell>
          <cell r="AW87">
            <v>0</v>
          </cell>
          <cell r="AX87">
            <v>2925541.8881339985</v>
          </cell>
          <cell r="AY87">
            <v>0</v>
          </cell>
          <cell r="AZ87">
            <v>0</v>
          </cell>
          <cell r="BA87">
            <v>0</v>
          </cell>
          <cell r="BB87">
            <v>0</v>
          </cell>
          <cell r="BC87">
            <v>0</v>
          </cell>
          <cell r="BD87">
            <v>40943505.339293435</v>
          </cell>
          <cell r="BE87">
            <v>0</v>
          </cell>
          <cell r="BF87">
            <v>0</v>
          </cell>
          <cell r="BG87">
            <v>0</v>
          </cell>
          <cell r="BH87">
            <v>0</v>
          </cell>
          <cell r="BI87">
            <v>0</v>
          </cell>
          <cell r="BJ87">
            <v>2190501.434705046</v>
          </cell>
          <cell r="BK87">
            <v>0</v>
          </cell>
          <cell r="BL87">
            <v>0</v>
          </cell>
          <cell r="BM87">
            <v>0</v>
          </cell>
          <cell r="BN87">
            <v>0</v>
          </cell>
          <cell r="BO87">
            <v>0</v>
          </cell>
          <cell r="BP87">
            <v>36956137.471823372</v>
          </cell>
          <cell r="BQ87">
            <v>0</v>
          </cell>
          <cell r="BR87">
            <v>0</v>
          </cell>
          <cell r="BS87">
            <v>0</v>
          </cell>
          <cell r="BT87">
            <v>0</v>
          </cell>
          <cell r="BU87">
            <v>0</v>
          </cell>
          <cell r="BV87">
            <v>1501039.4245020328</v>
          </cell>
          <cell r="BW87">
            <v>0</v>
          </cell>
          <cell r="BX87">
            <v>0</v>
          </cell>
          <cell r="BY87">
            <v>0</v>
          </cell>
          <cell r="BZ87">
            <v>0</v>
          </cell>
          <cell r="CA87">
            <v>0</v>
          </cell>
          <cell r="CB87">
            <v>33912791.020346619</v>
          </cell>
          <cell r="CC87">
            <v>0</v>
          </cell>
          <cell r="CD87">
            <v>0</v>
          </cell>
          <cell r="CE87">
            <v>0</v>
          </cell>
          <cell r="CF87">
            <v>0</v>
          </cell>
          <cell r="CG87">
            <v>0</v>
          </cell>
          <cell r="CH87">
            <v>935254.13323372602</v>
          </cell>
          <cell r="CI87">
            <v>0</v>
          </cell>
          <cell r="CJ87">
            <v>0</v>
          </cell>
          <cell r="CK87">
            <v>0</v>
          </cell>
          <cell r="CL87">
            <v>0</v>
          </cell>
          <cell r="CM87">
            <v>0</v>
          </cell>
          <cell r="CN87">
            <v>31104955.655013975</v>
          </cell>
          <cell r="CO87">
            <v>0</v>
          </cell>
          <cell r="CP87">
            <v>0</v>
          </cell>
          <cell r="CQ87">
            <v>0</v>
          </cell>
          <cell r="CR87">
            <v>0</v>
          </cell>
          <cell r="CS87">
            <v>0</v>
          </cell>
          <cell r="CT87">
            <v>432937.25750602898</v>
          </cell>
          <cell r="CU87">
            <v>0</v>
          </cell>
          <cell r="CV87">
            <v>0</v>
          </cell>
          <cell r="CW87">
            <v>0</v>
          </cell>
          <cell r="CX87">
            <v>0</v>
          </cell>
          <cell r="CY87">
            <v>0</v>
          </cell>
          <cell r="CZ87">
            <v>28533620.977370381</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v>0</v>
          </cell>
          <cell r="DU87">
            <v>0</v>
          </cell>
          <cell r="DV87">
            <v>0</v>
          </cell>
          <cell r="DW87">
            <v>0</v>
          </cell>
          <cell r="DX87">
            <v>0</v>
          </cell>
          <cell r="DY87">
            <v>0</v>
          </cell>
          <cell r="DZ87">
            <v>0</v>
          </cell>
          <cell r="EA87">
            <v>0</v>
          </cell>
          <cell r="EB87">
            <v>0</v>
          </cell>
          <cell r="EC87">
            <v>0</v>
          </cell>
          <cell r="ED87">
            <v>0</v>
          </cell>
          <cell r="EE87">
            <v>0</v>
          </cell>
          <cell r="EF87">
            <v>0</v>
          </cell>
          <cell r="EG87">
            <v>0</v>
          </cell>
          <cell r="EH87">
            <v>0</v>
          </cell>
          <cell r="EI87">
            <v>0</v>
          </cell>
          <cell r="EJ87">
            <v>0</v>
          </cell>
          <cell r="EK87">
            <v>0</v>
          </cell>
          <cell r="EL87">
            <v>0</v>
          </cell>
          <cell r="EM87">
            <v>0</v>
          </cell>
          <cell r="EN87">
            <v>0</v>
          </cell>
          <cell r="EO87">
            <v>0</v>
          </cell>
          <cell r="EP87">
            <v>0</v>
          </cell>
          <cell r="EQ87">
            <v>0</v>
          </cell>
          <cell r="ER87">
            <v>0</v>
          </cell>
          <cell r="ES87">
            <v>0</v>
          </cell>
          <cell r="ET87">
            <v>0</v>
          </cell>
          <cell r="EU87">
            <v>0</v>
          </cell>
          <cell r="EV87">
            <v>0</v>
          </cell>
          <cell r="EW87">
            <v>0</v>
          </cell>
          <cell r="EX87">
            <v>0</v>
          </cell>
          <cell r="EY87">
            <v>0</v>
          </cell>
          <cell r="EZ87">
            <v>0</v>
          </cell>
          <cell r="FA87">
            <v>0</v>
          </cell>
          <cell r="FB87">
            <v>0</v>
          </cell>
          <cell r="FC87">
            <v>0</v>
          </cell>
          <cell r="FD87">
            <v>0</v>
          </cell>
          <cell r="FE87">
            <v>0</v>
          </cell>
          <cell r="FF87">
            <v>0</v>
          </cell>
          <cell r="FG87">
            <v>0</v>
          </cell>
          <cell r="FH87">
            <v>0</v>
          </cell>
          <cell r="FI87">
            <v>0</v>
          </cell>
          <cell r="FJ87">
            <v>0</v>
          </cell>
          <cell r="FK87">
            <v>0</v>
          </cell>
          <cell r="FL87">
            <v>0</v>
          </cell>
          <cell r="FM87">
            <v>0</v>
          </cell>
          <cell r="FN87">
            <v>0</v>
          </cell>
          <cell r="FO87">
            <v>0</v>
          </cell>
          <cell r="FP87">
            <v>0</v>
          </cell>
          <cell r="FQ87">
            <v>0</v>
          </cell>
          <cell r="FR87">
            <v>0</v>
          </cell>
          <cell r="FS87">
            <v>0</v>
          </cell>
          <cell r="FT87">
            <v>0</v>
          </cell>
          <cell r="FU87">
            <v>0</v>
          </cell>
          <cell r="FV87">
            <v>0</v>
          </cell>
          <cell r="FW87">
            <v>0</v>
          </cell>
          <cell r="FX87">
            <v>0</v>
          </cell>
          <cell r="FY87">
            <v>0</v>
          </cell>
          <cell r="FZ87">
            <v>0</v>
          </cell>
          <cell r="GA87">
            <v>0</v>
          </cell>
          <cell r="GB87">
            <v>0</v>
          </cell>
          <cell r="GC87">
            <v>0</v>
          </cell>
          <cell r="GD87">
            <v>0</v>
          </cell>
          <cell r="GE87">
            <v>0</v>
          </cell>
          <cell r="GF87">
            <v>0</v>
          </cell>
          <cell r="GG87">
            <v>0</v>
          </cell>
          <cell r="GH87">
            <v>0</v>
          </cell>
          <cell r="GI87">
            <v>0</v>
          </cell>
          <cell r="GJ87">
            <v>0</v>
          </cell>
          <cell r="GK87">
            <v>0</v>
          </cell>
          <cell r="GL87">
            <v>0</v>
          </cell>
          <cell r="GM87">
            <v>0</v>
          </cell>
          <cell r="GN87">
            <v>0</v>
          </cell>
          <cell r="GO87">
            <v>0</v>
          </cell>
          <cell r="GP87">
            <v>0</v>
          </cell>
          <cell r="GQ87">
            <v>0</v>
          </cell>
          <cell r="GR87">
            <v>0</v>
          </cell>
          <cell r="GS87">
            <v>0</v>
          </cell>
          <cell r="GT87">
            <v>0</v>
          </cell>
          <cell r="GU87">
            <v>0</v>
          </cell>
          <cell r="GV87">
            <v>0</v>
          </cell>
          <cell r="GW87">
            <v>0</v>
          </cell>
          <cell r="GX87">
            <v>0</v>
          </cell>
          <cell r="GY87">
            <v>0</v>
          </cell>
          <cell r="GZ87">
            <v>0</v>
          </cell>
          <cell r="HA87">
            <v>0</v>
          </cell>
          <cell r="HB87">
            <v>0</v>
          </cell>
          <cell r="HC87">
            <v>0</v>
          </cell>
          <cell r="HD87">
            <v>0</v>
          </cell>
          <cell r="HE87">
            <v>252213653.07787481</v>
          </cell>
        </row>
        <row r="88">
          <cell r="B88" t="str">
            <v>HBS-21</v>
          </cell>
          <cell r="C88" t="str">
            <v>㈜에바스</v>
          </cell>
          <cell r="D88">
            <v>0.1</v>
          </cell>
          <cell r="E88" t="str">
            <v>담     보</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V88">
            <v>0</v>
          </cell>
          <cell r="BW88">
            <v>0</v>
          </cell>
          <cell r="BX88">
            <v>0</v>
          </cell>
          <cell r="BY88">
            <v>0</v>
          </cell>
          <cell r="BZ88">
            <v>0</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0</v>
          </cell>
          <cell r="CW88">
            <v>0</v>
          </cell>
          <cell r="CX88">
            <v>0</v>
          </cell>
          <cell r="CY88">
            <v>0</v>
          </cell>
          <cell r="CZ88">
            <v>0</v>
          </cell>
          <cell r="DA88">
            <v>0</v>
          </cell>
          <cell r="DB88">
            <v>0</v>
          </cell>
          <cell r="DC88">
            <v>0</v>
          </cell>
          <cell r="DD88">
            <v>0</v>
          </cell>
          <cell r="DE88">
            <v>0</v>
          </cell>
          <cell r="DF88">
            <v>0</v>
          </cell>
          <cell r="DG88">
            <v>0</v>
          </cell>
          <cell r="DH88">
            <v>0</v>
          </cell>
          <cell r="DI88">
            <v>0</v>
          </cell>
          <cell r="DJ88">
            <v>0</v>
          </cell>
          <cell r="DK88">
            <v>0</v>
          </cell>
          <cell r="DL88">
            <v>0</v>
          </cell>
          <cell r="DM88">
            <v>0</v>
          </cell>
          <cell r="DN88">
            <v>0</v>
          </cell>
          <cell r="DO88">
            <v>0</v>
          </cell>
          <cell r="DP88">
            <v>0</v>
          </cell>
          <cell r="DQ88">
            <v>0</v>
          </cell>
          <cell r="DR88">
            <v>0</v>
          </cell>
          <cell r="DS88">
            <v>0</v>
          </cell>
          <cell r="DT88">
            <v>0</v>
          </cell>
          <cell r="DU88">
            <v>0</v>
          </cell>
          <cell r="DV88">
            <v>0</v>
          </cell>
          <cell r="DW88">
            <v>0</v>
          </cell>
          <cell r="DX88">
            <v>0</v>
          </cell>
          <cell r="DY88">
            <v>0</v>
          </cell>
          <cell r="DZ88">
            <v>0</v>
          </cell>
          <cell r="EA88">
            <v>0</v>
          </cell>
          <cell r="EB88">
            <v>0</v>
          </cell>
          <cell r="EC88">
            <v>0</v>
          </cell>
          <cell r="ED88">
            <v>0</v>
          </cell>
          <cell r="EE88">
            <v>0</v>
          </cell>
          <cell r="EF88">
            <v>0</v>
          </cell>
          <cell r="EG88">
            <v>0</v>
          </cell>
          <cell r="EH88">
            <v>0</v>
          </cell>
          <cell r="EI88">
            <v>0</v>
          </cell>
          <cell r="EJ88">
            <v>0</v>
          </cell>
          <cell r="EK88">
            <v>0</v>
          </cell>
          <cell r="EL88">
            <v>0</v>
          </cell>
          <cell r="EM88">
            <v>0</v>
          </cell>
          <cell r="EN88">
            <v>0</v>
          </cell>
          <cell r="EO88">
            <v>0</v>
          </cell>
          <cell r="EP88">
            <v>0</v>
          </cell>
          <cell r="EQ88">
            <v>0</v>
          </cell>
          <cell r="ER88">
            <v>0</v>
          </cell>
          <cell r="ES88">
            <v>0</v>
          </cell>
          <cell r="ET88">
            <v>0</v>
          </cell>
          <cell r="EU88">
            <v>0</v>
          </cell>
          <cell r="EV88">
            <v>0</v>
          </cell>
          <cell r="EW88">
            <v>0</v>
          </cell>
          <cell r="EX88">
            <v>0</v>
          </cell>
          <cell r="EY88">
            <v>0</v>
          </cell>
          <cell r="EZ88">
            <v>0</v>
          </cell>
          <cell r="FA88">
            <v>0</v>
          </cell>
          <cell r="FB88">
            <v>0</v>
          </cell>
          <cell r="FC88">
            <v>0</v>
          </cell>
          <cell r="FD88">
            <v>0</v>
          </cell>
          <cell r="FE88">
            <v>0</v>
          </cell>
          <cell r="FF88">
            <v>0</v>
          </cell>
          <cell r="FG88">
            <v>0</v>
          </cell>
          <cell r="FH88">
            <v>0</v>
          </cell>
          <cell r="FI88">
            <v>0</v>
          </cell>
          <cell r="FJ88">
            <v>0</v>
          </cell>
          <cell r="FK88">
            <v>0</v>
          </cell>
          <cell r="FL88">
            <v>0</v>
          </cell>
          <cell r="FM88">
            <v>0</v>
          </cell>
          <cell r="FN88">
            <v>0</v>
          </cell>
          <cell r="FO88">
            <v>0</v>
          </cell>
          <cell r="FP88">
            <v>0</v>
          </cell>
          <cell r="FQ88">
            <v>0</v>
          </cell>
          <cell r="FR88">
            <v>0</v>
          </cell>
          <cell r="FS88">
            <v>0</v>
          </cell>
          <cell r="FT88">
            <v>0</v>
          </cell>
          <cell r="FU88">
            <v>0</v>
          </cell>
          <cell r="FV88">
            <v>0</v>
          </cell>
          <cell r="FW88">
            <v>0</v>
          </cell>
          <cell r="FX88">
            <v>0</v>
          </cell>
          <cell r="FY88">
            <v>0</v>
          </cell>
          <cell r="FZ88">
            <v>0</v>
          </cell>
          <cell r="GA88">
            <v>0</v>
          </cell>
          <cell r="GB88">
            <v>0</v>
          </cell>
          <cell r="GC88">
            <v>0</v>
          </cell>
          <cell r="GD88">
            <v>0</v>
          </cell>
          <cell r="GE88">
            <v>0</v>
          </cell>
          <cell r="GF88">
            <v>0</v>
          </cell>
          <cell r="GG88">
            <v>0</v>
          </cell>
          <cell r="GH88">
            <v>0</v>
          </cell>
          <cell r="GI88">
            <v>0</v>
          </cell>
          <cell r="GJ88">
            <v>0</v>
          </cell>
          <cell r="GK88">
            <v>0</v>
          </cell>
          <cell r="GL88">
            <v>0</v>
          </cell>
          <cell r="GM88">
            <v>0</v>
          </cell>
          <cell r="GN88">
            <v>0</v>
          </cell>
          <cell r="GO88">
            <v>0</v>
          </cell>
          <cell r="GP88">
            <v>0</v>
          </cell>
          <cell r="GQ88">
            <v>0</v>
          </cell>
          <cell r="GR88">
            <v>0</v>
          </cell>
          <cell r="GS88">
            <v>0</v>
          </cell>
          <cell r="GT88">
            <v>0</v>
          </cell>
          <cell r="GU88">
            <v>0</v>
          </cell>
          <cell r="GV88">
            <v>0</v>
          </cell>
          <cell r="GW88">
            <v>0</v>
          </cell>
          <cell r="GX88">
            <v>0</v>
          </cell>
          <cell r="GY88">
            <v>0</v>
          </cell>
          <cell r="GZ88">
            <v>0</v>
          </cell>
          <cell r="HA88">
            <v>0</v>
          </cell>
          <cell r="HB88">
            <v>0</v>
          </cell>
          <cell r="HC88">
            <v>0</v>
          </cell>
          <cell r="HD88">
            <v>0</v>
          </cell>
          <cell r="HE88">
            <v>0</v>
          </cell>
        </row>
        <row r="89">
          <cell r="D89">
            <v>0.1</v>
          </cell>
          <cell r="E89" t="str">
            <v>무 담 보</v>
          </cell>
          <cell r="F89">
            <v>0</v>
          </cell>
          <cell r="G89">
            <v>0</v>
          </cell>
          <cell r="H89">
            <v>0</v>
          </cell>
          <cell r="I89">
            <v>0</v>
          </cell>
          <cell r="J89">
            <v>0</v>
          </cell>
          <cell r="K89">
            <v>3157442.5250000004</v>
          </cell>
          <cell r="L89">
            <v>0</v>
          </cell>
          <cell r="M89">
            <v>0</v>
          </cell>
          <cell r="N89">
            <v>0</v>
          </cell>
          <cell r="O89">
            <v>0</v>
          </cell>
          <cell r="P89">
            <v>0</v>
          </cell>
          <cell r="Q89">
            <v>0</v>
          </cell>
          <cell r="R89">
            <v>0</v>
          </cell>
          <cell r="S89">
            <v>0</v>
          </cell>
          <cell r="T89">
            <v>0</v>
          </cell>
          <cell r="U89">
            <v>0</v>
          </cell>
          <cell r="V89">
            <v>0</v>
          </cell>
          <cell r="W89">
            <v>3157442.5250000004</v>
          </cell>
          <cell r="X89">
            <v>0</v>
          </cell>
          <cell r="Y89">
            <v>0</v>
          </cell>
          <cell r="Z89">
            <v>0</v>
          </cell>
          <cell r="AA89">
            <v>0</v>
          </cell>
          <cell r="AB89">
            <v>0</v>
          </cell>
          <cell r="AC89">
            <v>0</v>
          </cell>
          <cell r="AD89">
            <v>0</v>
          </cell>
          <cell r="AE89">
            <v>0</v>
          </cell>
          <cell r="AF89">
            <v>0</v>
          </cell>
          <cell r="AG89">
            <v>0</v>
          </cell>
          <cell r="AH89">
            <v>0</v>
          </cell>
          <cell r="AI89">
            <v>6217067.3089455999</v>
          </cell>
          <cell r="AJ89">
            <v>0</v>
          </cell>
          <cell r="AK89">
            <v>0</v>
          </cell>
          <cell r="AL89">
            <v>0</v>
          </cell>
          <cell r="AM89">
            <v>0</v>
          </cell>
          <cell r="AN89">
            <v>0</v>
          </cell>
          <cell r="AO89">
            <v>0</v>
          </cell>
          <cell r="AP89">
            <v>0</v>
          </cell>
          <cell r="AQ89">
            <v>0</v>
          </cell>
          <cell r="AR89">
            <v>0</v>
          </cell>
          <cell r="AS89">
            <v>0</v>
          </cell>
          <cell r="AT89">
            <v>0</v>
          </cell>
          <cell r="AU89">
            <v>3059624.7839455991</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0</v>
          </cell>
          <cell r="DE89">
            <v>0</v>
          </cell>
          <cell r="DF89">
            <v>0</v>
          </cell>
          <cell r="DG89">
            <v>0</v>
          </cell>
          <cell r="DH89">
            <v>0</v>
          </cell>
          <cell r="DI89">
            <v>0</v>
          </cell>
          <cell r="DJ89">
            <v>0</v>
          </cell>
          <cell r="DK89">
            <v>0</v>
          </cell>
          <cell r="DL89">
            <v>0</v>
          </cell>
          <cell r="DM89">
            <v>0</v>
          </cell>
          <cell r="DN89">
            <v>0</v>
          </cell>
          <cell r="DO89">
            <v>0</v>
          </cell>
          <cell r="DP89">
            <v>0</v>
          </cell>
          <cell r="DQ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0</v>
          </cell>
          <cell r="FB89">
            <v>0</v>
          </cell>
          <cell r="FC89">
            <v>0</v>
          </cell>
          <cell r="FD89">
            <v>0</v>
          </cell>
          <cell r="FE89">
            <v>0</v>
          </cell>
          <cell r="FF89">
            <v>0</v>
          </cell>
          <cell r="FG89">
            <v>0</v>
          </cell>
          <cell r="FH89">
            <v>0</v>
          </cell>
          <cell r="FI89">
            <v>0</v>
          </cell>
          <cell r="FJ89">
            <v>0</v>
          </cell>
          <cell r="FK89">
            <v>0</v>
          </cell>
          <cell r="FL89">
            <v>0</v>
          </cell>
          <cell r="FM89">
            <v>0</v>
          </cell>
          <cell r="FN89">
            <v>0</v>
          </cell>
          <cell r="FO89">
            <v>0</v>
          </cell>
          <cell r="FP89">
            <v>0</v>
          </cell>
          <cell r="FQ89">
            <v>0</v>
          </cell>
          <cell r="FR89">
            <v>0</v>
          </cell>
          <cell r="FS89">
            <v>0</v>
          </cell>
          <cell r="FT89">
            <v>0</v>
          </cell>
          <cell r="FU89">
            <v>0</v>
          </cell>
          <cell r="FV89">
            <v>0</v>
          </cell>
          <cell r="FW89">
            <v>0</v>
          </cell>
          <cell r="FX89">
            <v>0</v>
          </cell>
          <cell r="FY89">
            <v>0</v>
          </cell>
          <cell r="FZ89">
            <v>0</v>
          </cell>
          <cell r="GA89">
            <v>0</v>
          </cell>
          <cell r="GB89">
            <v>0</v>
          </cell>
          <cell r="GC89">
            <v>0</v>
          </cell>
          <cell r="GD89">
            <v>0</v>
          </cell>
          <cell r="GE89">
            <v>0</v>
          </cell>
          <cell r="GF89">
            <v>0</v>
          </cell>
          <cell r="GG89">
            <v>0</v>
          </cell>
          <cell r="GH89">
            <v>0</v>
          </cell>
          <cell r="GI89">
            <v>0</v>
          </cell>
          <cell r="GJ89">
            <v>0</v>
          </cell>
          <cell r="GK89">
            <v>0</v>
          </cell>
          <cell r="GL89">
            <v>0</v>
          </cell>
          <cell r="GM89">
            <v>0</v>
          </cell>
          <cell r="GN89">
            <v>0</v>
          </cell>
          <cell r="GO89">
            <v>0</v>
          </cell>
          <cell r="GP89">
            <v>0</v>
          </cell>
          <cell r="GQ89">
            <v>0</v>
          </cell>
          <cell r="GR89">
            <v>0</v>
          </cell>
          <cell r="GS89">
            <v>0</v>
          </cell>
          <cell r="GT89">
            <v>0</v>
          </cell>
          <cell r="GU89">
            <v>0</v>
          </cell>
          <cell r="GV89">
            <v>0</v>
          </cell>
          <cell r="GW89">
            <v>0</v>
          </cell>
          <cell r="GX89">
            <v>0</v>
          </cell>
          <cell r="GY89">
            <v>0</v>
          </cell>
          <cell r="GZ89">
            <v>0</v>
          </cell>
          <cell r="HA89">
            <v>0</v>
          </cell>
          <cell r="HB89">
            <v>0</v>
          </cell>
          <cell r="HC89">
            <v>0</v>
          </cell>
          <cell r="HD89">
            <v>0</v>
          </cell>
          <cell r="HE89">
            <v>15591577.1428912</v>
          </cell>
        </row>
        <row r="90">
          <cell r="E90" t="str">
            <v>Total</v>
          </cell>
          <cell r="F90">
            <v>0</v>
          </cell>
          <cell r="G90">
            <v>0</v>
          </cell>
          <cell r="H90">
            <v>0</v>
          </cell>
          <cell r="I90">
            <v>0</v>
          </cell>
          <cell r="J90">
            <v>0</v>
          </cell>
          <cell r="K90">
            <v>3157442.5250000004</v>
          </cell>
          <cell r="L90">
            <v>0</v>
          </cell>
          <cell r="M90">
            <v>0</v>
          </cell>
          <cell r="N90">
            <v>0</v>
          </cell>
          <cell r="O90">
            <v>0</v>
          </cell>
          <cell r="P90">
            <v>0</v>
          </cell>
          <cell r="Q90">
            <v>0</v>
          </cell>
          <cell r="R90">
            <v>0</v>
          </cell>
          <cell r="S90">
            <v>0</v>
          </cell>
          <cell r="T90">
            <v>0</v>
          </cell>
          <cell r="U90">
            <v>0</v>
          </cell>
          <cell r="V90">
            <v>0</v>
          </cell>
          <cell r="W90">
            <v>3157442.5250000004</v>
          </cell>
          <cell r="X90">
            <v>0</v>
          </cell>
          <cell r="Y90">
            <v>0</v>
          </cell>
          <cell r="Z90">
            <v>0</v>
          </cell>
          <cell r="AA90">
            <v>0</v>
          </cell>
          <cell r="AB90">
            <v>0</v>
          </cell>
          <cell r="AC90">
            <v>0</v>
          </cell>
          <cell r="AD90">
            <v>0</v>
          </cell>
          <cell r="AE90">
            <v>0</v>
          </cell>
          <cell r="AF90">
            <v>0</v>
          </cell>
          <cell r="AG90">
            <v>0</v>
          </cell>
          <cell r="AH90">
            <v>0</v>
          </cell>
          <cell r="AI90">
            <v>6217067.3089455999</v>
          </cell>
          <cell r="AJ90">
            <v>0</v>
          </cell>
          <cell r="AK90">
            <v>0</v>
          </cell>
          <cell r="AL90">
            <v>0</v>
          </cell>
          <cell r="AM90">
            <v>0</v>
          </cell>
          <cell r="AN90">
            <v>0</v>
          </cell>
          <cell r="AO90">
            <v>0</v>
          </cell>
          <cell r="AP90">
            <v>0</v>
          </cell>
          <cell r="AQ90">
            <v>0</v>
          </cell>
          <cell r="AR90">
            <v>0</v>
          </cell>
          <cell r="AS90">
            <v>0</v>
          </cell>
          <cell r="AT90">
            <v>0</v>
          </cell>
          <cell r="AU90">
            <v>3059624.7839455991</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0</v>
          </cell>
          <cell r="DM90">
            <v>0</v>
          </cell>
          <cell r="DN90">
            <v>0</v>
          </cell>
          <cell r="DO90">
            <v>0</v>
          </cell>
          <cell r="DP90">
            <v>0</v>
          </cell>
          <cell r="DQ90">
            <v>0</v>
          </cell>
          <cell r="DR90">
            <v>0</v>
          </cell>
          <cell r="DS90">
            <v>0</v>
          </cell>
          <cell r="DT90">
            <v>0</v>
          </cell>
          <cell r="DU90">
            <v>0</v>
          </cell>
          <cell r="DV90">
            <v>0</v>
          </cell>
          <cell r="DW90">
            <v>0</v>
          </cell>
          <cell r="DX90">
            <v>0</v>
          </cell>
          <cell r="DY90">
            <v>0</v>
          </cell>
          <cell r="DZ90">
            <v>0</v>
          </cell>
          <cell r="EA90">
            <v>0</v>
          </cell>
          <cell r="EB90">
            <v>0</v>
          </cell>
          <cell r="EC90">
            <v>0</v>
          </cell>
          <cell r="ED90">
            <v>0</v>
          </cell>
          <cell r="EE90">
            <v>0</v>
          </cell>
          <cell r="EF90">
            <v>0</v>
          </cell>
          <cell r="EG90">
            <v>0</v>
          </cell>
          <cell r="EH90">
            <v>0</v>
          </cell>
          <cell r="EI90">
            <v>0</v>
          </cell>
          <cell r="EJ90">
            <v>0</v>
          </cell>
          <cell r="EK90">
            <v>0</v>
          </cell>
          <cell r="EL90">
            <v>0</v>
          </cell>
          <cell r="EM90">
            <v>0</v>
          </cell>
          <cell r="EN90">
            <v>0</v>
          </cell>
          <cell r="EO90">
            <v>0</v>
          </cell>
          <cell r="EP90">
            <v>0</v>
          </cell>
          <cell r="EQ90">
            <v>0</v>
          </cell>
          <cell r="ER90">
            <v>0</v>
          </cell>
          <cell r="ES90">
            <v>0</v>
          </cell>
          <cell r="ET90">
            <v>0</v>
          </cell>
          <cell r="EU90">
            <v>0</v>
          </cell>
          <cell r="EV90">
            <v>0</v>
          </cell>
          <cell r="EW90">
            <v>0</v>
          </cell>
          <cell r="EX90">
            <v>0</v>
          </cell>
          <cell r="EY90">
            <v>0</v>
          </cell>
          <cell r="EZ90">
            <v>0</v>
          </cell>
          <cell r="FA90">
            <v>0</v>
          </cell>
          <cell r="FB90">
            <v>0</v>
          </cell>
          <cell r="FC90">
            <v>0</v>
          </cell>
          <cell r="FD90">
            <v>0</v>
          </cell>
          <cell r="FE90">
            <v>0</v>
          </cell>
          <cell r="FF90">
            <v>0</v>
          </cell>
          <cell r="FG90">
            <v>0</v>
          </cell>
          <cell r="FH90">
            <v>0</v>
          </cell>
          <cell r="FI90">
            <v>0</v>
          </cell>
          <cell r="FJ90">
            <v>0</v>
          </cell>
          <cell r="FK90">
            <v>0</v>
          </cell>
          <cell r="FL90">
            <v>0</v>
          </cell>
          <cell r="FM90">
            <v>0</v>
          </cell>
          <cell r="FN90">
            <v>0</v>
          </cell>
          <cell r="FO90">
            <v>0</v>
          </cell>
          <cell r="FP90">
            <v>0</v>
          </cell>
          <cell r="FQ90">
            <v>0</v>
          </cell>
          <cell r="FR90">
            <v>0</v>
          </cell>
          <cell r="FS90">
            <v>0</v>
          </cell>
          <cell r="FT90">
            <v>0</v>
          </cell>
          <cell r="FU90">
            <v>0</v>
          </cell>
          <cell r="FV90">
            <v>0</v>
          </cell>
          <cell r="FW90">
            <v>0</v>
          </cell>
          <cell r="FX90">
            <v>0</v>
          </cell>
          <cell r="FY90">
            <v>0</v>
          </cell>
          <cell r="FZ90">
            <v>0</v>
          </cell>
          <cell r="GA90">
            <v>0</v>
          </cell>
          <cell r="GB90">
            <v>0</v>
          </cell>
          <cell r="GC90">
            <v>0</v>
          </cell>
          <cell r="GD90">
            <v>0</v>
          </cell>
          <cell r="GE90">
            <v>0</v>
          </cell>
          <cell r="GF90">
            <v>0</v>
          </cell>
          <cell r="GG90">
            <v>0</v>
          </cell>
          <cell r="GH90">
            <v>0</v>
          </cell>
          <cell r="GI90">
            <v>0</v>
          </cell>
          <cell r="GJ90">
            <v>0</v>
          </cell>
          <cell r="GK90">
            <v>0</v>
          </cell>
          <cell r="GL90">
            <v>0</v>
          </cell>
          <cell r="GM90">
            <v>0</v>
          </cell>
          <cell r="GN90">
            <v>0</v>
          </cell>
          <cell r="GO90">
            <v>0</v>
          </cell>
          <cell r="GP90">
            <v>0</v>
          </cell>
          <cell r="GQ90">
            <v>0</v>
          </cell>
          <cell r="GR90">
            <v>0</v>
          </cell>
          <cell r="GS90">
            <v>0</v>
          </cell>
          <cell r="GT90">
            <v>0</v>
          </cell>
          <cell r="GU90">
            <v>0</v>
          </cell>
          <cell r="GV90">
            <v>0</v>
          </cell>
          <cell r="GW90">
            <v>0</v>
          </cell>
          <cell r="GX90">
            <v>0</v>
          </cell>
          <cell r="GY90">
            <v>0</v>
          </cell>
          <cell r="GZ90">
            <v>0</v>
          </cell>
          <cell r="HA90">
            <v>0</v>
          </cell>
          <cell r="HB90">
            <v>0</v>
          </cell>
          <cell r="HC90">
            <v>0</v>
          </cell>
          <cell r="HD90">
            <v>0</v>
          </cell>
          <cell r="HE90">
            <v>15591577.1428912</v>
          </cell>
        </row>
        <row r="91">
          <cell r="A91" t="str">
            <v>HBS-21</v>
          </cell>
          <cell r="E91" t="str">
            <v>현     가</v>
          </cell>
          <cell r="F91">
            <v>0</v>
          </cell>
          <cell r="G91">
            <v>0</v>
          </cell>
          <cell r="H91">
            <v>0</v>
          </cell>
          <cell r="I91">
            <v>0</v>
          </cell>
          <cell r="J91">
            <v>0</v>
          </cell>
          <cell r="K91">
            <v>3087669.5369362268</v>
          </cell>
          <cell r="L91">
            <v>0</v>
          </cell>
          <cell r="M91">
            <v>0</v>
          </cell>
          <cell r="N91">
            <v>0</v>
          </cell>
          <cell r="O91">
            <v>0</v>
          </cell>
          <cell r="P91">
            <v>0</v>
          </cell>
          <cell r="Q91">
            <v>0</v>
          </cell>
          <cell r="R91">
            <v>0</v>
          </cell>
          <cell r="S91">
            <v>0</v>
          </cell>
          <cell r="T91">
            <v>0</v>
          </cell>
          <cell r="U91">
            <v>0</v>
          </cell>
          <cell r="V91">
            <v>0</v>
          </cell>
          <cell r="W91">
            <v>2900035.1398167121</v>
          </cell>
          <cell r="X91">
            <v>0</v>
          </cell>
          <cell r="Y91">
            <v>0</v>
          </cell>
          <cell r="Z91">
            <v>0</v>
          </cell>
          <cell r="AA91">
            <v>0</v>
          </cell>
          <cell r="AB91">
            <v>0</v>
          </cell>
          <cell r="AC91">
            <v>0</v>
          </cell>
          <cell r="AD91">
            <v>0</v>
          </cell>
          <cell r="AE91">
            <v>0</v>
          </cell>
          <cell r="AF91">
            <v>0</v>
          </cell>
          <cell r="AG91">
            <v>0</v>
          </cell>
          <cell r="AH91">
            <v>0</v>
          </cell>
          <cell r="AI91">
            <v>5332192.9630386671</v>
          </cell>
          <cell r="AJ91">
            <v>0</v>
          </cell>
          <cell r="AK91">
            <v>0</v>
          </cell>
          <cell r="AL91">
            <v>0</v>
          </cell>
          <cell r="AM91">
            <v>0</v>
          </cell>
          <cell r="AN91">
            <v>0</v>
          </cell>
          <cell r="AO91">
            <v>0</v>
          </cell>
          <cell r="AP91">
            <v>0</v>
          </cell>
          <cell r="AQ91">
            <v>0</v>
          </cell>
          <cell r="AR91">
            <v>0</v>
          </cell>
          <cell r="AS91">
            <v>0</v>
          </cell>
          <cell r="AT91">
            <v>0</v>
          </cell>
          <cell r="AU91">
            <v>2428952.2590900175</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v>0</v>
          </cell>
          <cell r="CM91">
            <v>0</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0</v>
          </cell>
          <cell r="DE91">
            <v>0</v>
          </cell>
          <cell r="DF91">
            <v>0</v>
          </cell>
          <cell r="DG91">
            <v>0</v>
          </cell>
          <cell r="DH91">
            <v>0</v>
          </cell>
          <cell r="DI91">
            <v>0</v>
          </cell>
          <cell r="DJ91">
            <v>0</v>
          </cell>
          <cell r="DK91">
            <v>0</v>
          </cell>
          <cell r="DL91">
            <v>0</v>
          </cell>
          <cell r="DM91">
            <v>0</v>
          </cell>
          <cell r="DN91">
            <v>0</v>
          </cell>
          <cell r="DO91">
            <v>0</v>
          </cell>
          <cell r="DP91">
            <v>0</v>
          </cell>
          <cell r="DQ91">
            <v>0</v>
          </cell>
          <cell r="DR91">
            <v>0</v>
          </cell>
          <cell r="DS91">
            <v>0</v>
          </cell>
          <cell r="DT91">
            <v>0</v>
          </cell>
          <cell r="DU91">
            <v>0</v>
          </cell>
          <cell r="DV91">
            <v>0</v>
          </cell>
          <cell r="DW91">
            <v>0</v>
          </cell>
          <cell r="DX91">
            <v>0</v>
          </cell>
          <cell r="DY91">
            <v>0</v>
          </cell>
          <cell r="DZ91">
            <v>0</v>
          </cell>
          <cell r="EA91">
            <v>0</v>
          </cell>
          <cell r="EB91">
            <v>0</v>
          </cell>
          <cell r="EC91">
            <v>0</v>
          </cell>
          <cell r="ED91">
            <v>0</v>
          </cell>
          <cell r="EE91">
            <v>0</v>
          </cell>
          <cell r="EF91">
            <v>0</v>
          </cell>
          <cell r="EG91">
            <v>0</v>
          </cell>
          <cell r="EH91">
            <v>0</v>
          </cell>
          <cell r="EI91">
            <v>0</v>
          </cell>
          <cell r="EJ91">
            <v>0</v>
          </cell>
          <cell r="EK91">
            <v>0</v>
          </cell>
          <cell r="EL91">
            <v>0</v>
          </cell>
          <cell r="EM91">
            <v>0</v>
          </cell>
          <cell r="EN91">
            <v>0</v>
          </cell>
          <cell r="EO91">
            <v>0</v>
          </cell>
          <cell r="EP91">
            <v>0</v>
          </cell>
          <cell r="EQ91">
            <v>0</v>
          </cell>
          <cell r="ER91">
            <v>0</v>
          </cell>
          <cell r="ES91">
            <v>0</v>
          </cell>
          <cell r="ET91">
            <v>0</v>
          </cell>
          <cell r="EU91">
            <v>0</v>
          </cell>
          <cell r="EV91">
            <v>0</v>
          </cell>
          <cell r="EW91">
            <v>0</v>
          </cell>
          <cell r="EX91">
            <v>0</v>
          </cell>
          <cell r="EY91">
            <v>0</v>
          </cell>
          <cell r="EZ91">
            <v>0</v>
          </cell>
          <cell r="FA91">
            <v>0</v>
          </cell>
          <cell r="FB91">
            <v>0</v>
          </cell>
          <cell r="FC91">
            <v>0</v>
          </cell>
          <cell r="FD91">
            <v>0</v>
          </cell>
          <cell r="FE91">
            <v>0</v>
          </cell>
          <cell r="FF91">
            <v>0</v>
          </cell>
          <cell r="FG91">
            <v>0</v>
          </cell>
          <cell r="FH91">
            <v>0</v>
          </cell>
          <cell r="FI91">
            <v>0</v>
          </cell>
          <cell r="FJ91">
            <v>0</v>
          </cell>
          <cell r="FK91">
            <v>0</v>
          </cell>
          <cell r="FL91">
            <v>0</v>
          </cell>
          <cell r="FM91">
            <v>0</v>
          </cell>
          <cell r="FN91">
            <v>0</v>
          </cell>
          <cell r="FO91">
            <v>0</v>
          </cell>
          <cell r="FP91">
            <v>0</v>
          </cell>
          <cell r="FQ91">
            <v>0</v>
          </cell>
          <cell r="FR91">
            <v>0</v>
          </cell>
          <cell r="FS91">
            <v>0</v>
          </cell>
          <cell r="FT91">
            <v>0</v>
          </cell>
          <cell r="FU91">
            <v>0</v>
          </cell>
          <cell r="FV91">
            <v>0</v>
          </cell>
          <cell r="FW91">
            <v>0</v>
          </cell>
          <cell r="FX91">
            <v>0</v>
          </cell>
          <cell r="FY91">
            <v>0</v>
          </cell>
          <cell r="FZ91">
            <v>0</v>
          </cell>
          <cell r="GA91">
            <v>0</v>
          </cell>
          <cell r="GB91">
            <v>0</v>
          </cell>
          <cell r="GC91">
            <v>0</v>
          </cell>
          <cell r="GD91">
            <v>0</v>
          </cell>
          <cell r="GE91">
            <v>0</v>
          </cell>
          <cell r="GF91">
            <v>0</v>
          </cell>
          <cell r="GG91">
            <v>0</v>
          </cell>
          <cell r="GH91">
            <v>0</v>
          </cell>
          <cell r="GI91">
            <v>0</v>
          </cell>
          <cell r="GJ91">
            <v>0</v>
          </cell>
          <cell r="GK91">
            <v>0</v>
          </cell>
          <cell r="GL91">
            <v>0</v>
          </cell>
          <cell r="GM91">
            <v>0</v>
          </cell>
          <cell r="GN91">
            <v>0</v>
          </cell>
          <cell r="GO91">
            <v>0</v>
          </cell>
          <cell r="GP91">
            <v>0</v>
          </cell>
          <cell r="GQ91">
            <v>0</v>
          </cell>
          <cell r="GR91">
            <v>0</v>
          </cell>
          <cell r="GS91">
            <v>0</v>
          </cell>
          <cell r="GT91">
            <v>0</v>
          </cell>
          <cell r="GU91">
            <v>0</v>
          </cell>
          <cell r="GV91">
            <v>0</v>
          </cell>
          <cell r="GW91">
            <v>0</v>
          </cell>
          <cell r="GX91">
            <v>0</v>
          </cell>
          <cell r="GY91">
            <v>0</v>
          </cell>
          <cell r="GZ91">
            <v>0</v>
          </cell>
          <cell r="HA91">
            <v>0</v>
          </cell>
          <cell r="HB91">
            <v>0</v>
          </cell>
          <cell r="HC91">
            <v>0</v>
          </cell>
          <cell r="HD91">
            <v>0</v>
          </cell>
          <cell r="HE91">
            <v>13748849.898881624</v>
          </cell>
        </row>
        <row r="92">
          <cell r="B92" t="str">
            <v>HBS-22</v>
          </cell>
          <cell r="C92" t="str">
            <v>삼성제약공업 주식회사</v>
          </cell>
          <cell r="D92">
            <v>0.71753604837457663</v>
          </cell>
          <cell r="E92" t="str">
            <v>담     보</v>
          </cell>
          <cell r="F92">
            <v>0</v>
          </cell>
          <cell r="G92">
            <v>0</v>
          </cell>
          <cell r="H92">
            <v>126942477.35557</v>
          </cell>
          <cell r="I92">
            <v>0</v>
          </cell>
          <cell r="J92">
            <v>0</v>
          </cell>
          <cell r="K92">
            <v>0</v>
          </cell>
          <cell r="L92">
            <v>0</v>
          </cell>
          <cell r="M92">
            <v>0</v>
          </cell>
          <cell r="N92">
            <v>20599095.568849951</v>
          </cell>
          <cell r="O92">
            <v>0</v>
          </cell>
          <cell r="P92">
            <v>0</v>
          </cell>
          <cell r="Q92">
            <v>0</v>
          </cell>
          <cell r="R92">
            <v>0</v>
          </cell>
          <cell r="S92">
            <v>0</v>
          </cell>
          <cell r="T92">
            <v>122214901.1793403</v>
          </cell>
          <cell r="U92">
            <v>0</v>
          </cell>
          <cell r="V92">
            <v>0</v>
          </cell>
          <cell r="W92">
            <v>0</v>
          </cell>
          <cell r="X92">
            <v>0</v>
          </cell>
          <cell r="Y92">
            <v>0</v>
          </cell>
          <cell r="Z92">
            <v>15730601.004822494</v>
          </cell>
          <cell r="AA92">
            <v>0</v>
          </cell>
          <cell r="AB92">
            <v>0</v>
          </cell>
          <cell r="AC92">
            <v>0</v>
          </cell>
          <cell r="AD92">
            <v>0</v>
          </cell>
          <cell r="AE92">
            <v>0</v>
          </cell>
          <cell r="AF92">
            <v>117158540.47947554</v>
          </cell>
          <cell r="AG92">
            <v>0</v>
          </cell>
          <cell r="AH92">
            <v>0</v>
          </cell>
          <cell r="AI92">
            <v>0</v>
          </cell>
          <cell r="AJ92">
            <v>0</v>
          </cell>
          <cell r="AK92">
            <v>0</v>
          </cell>
          <cell r="AL92">
            <v>11148859.071505928</v>
          </cell>
          <cell r="AM92">
            <v>0</v>
          </cell>
          <cell r="AN92">
            <v>0</v>
          </cell>
          <cell r="AO92">
            <v>0</v>
          </cell>
          <cell r="AP92">
            <v>0</v>
          </cell>
          <cell r="AQ92">
            <v>0</v>
          </cell>
          <cell r="AR92">
            <v>112582888.84945026</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cell r="EC92">
            <v>0</v>
          </cell>
          <cell r="ED92">
            <v>0</v>
          </cell>
          <cell r="EE92">
            <v>0</v>
          </cell>
          <cell r="EF92">
            <v>0</v>
          </cell>
          <cell r="EG92">
            <v>0</v>
          </cell>
          <cell r="EH92">
            <v>0</v>
          </cell>
          <cell r="EI92">
            <v>0</v>
          </cell>
          <cell r="EJ92">
            <v>0</v>
          </cell>
          <cell r="EK92">
            <v>0</v>
          </cell>
          <cell r="EL92">
            <v>0</v>
          </cell>
          <cell r="EM92">
            <v>0</v>
          </cell>
          <cell r="EN92">
            <v>0</v>
          </cell>
          <cell r="EO92">
            <v>0</v>
          </cell>
          <cell r="EP92">
            <v>0</v>
          </cell>
          <cell r="EQ92">
            <v>0</v>
          </cell>
          <cell r="ER92">
            <v>0</v>
          </cell>
          <cell r="ES92">
            <v>0</v>
          </cell>
          <cell r="ET92">
            <v>0</v>
          </cell>
          <cell r="EU92">
            <v>0</v>
          </cell>
          <cell r="EV92">
            <v>0</v>
          </cell>
          <cell r="EW92">
            <v>0</v>
          </cell>
          <cell r="EX92">
            <v>0</v>
          </cell>
          <cell r="EY92">
            <v>0</v>
          </cell>
          <cell r="EZ92">
            <v>0</v>
          </cell>
          <cell r="FA92">
            <v>0</v>
          </cell>
          <cell r="FB92">
            <v>0</v>
          </cell>
          <cell r="FC92">
            <v>0</v>
          </cell>
          <cell r="FD92">
            <v>0</v>
          </cell>
          <cell r="FE92">
            <v>0</v>
          </cell>
          <cell r="FF92">
            <v>0</v>
          </cell>
          <cell r="FG92">
            <v>0</v>
          </cell>
          <cell r="FH92">
            <v>0</v>
          </cell>
          <cell r="FI92">
            <v>0</v>
          </cell>
          <cell r="FJ92">
            <v>0</v>
          </cell>
          <cell r="FK92">
            <v>0</v>
          </cell>
          <cell r="FL92">
            <v>0</v>
          </cell>
          <cell r="FM92">
            <v>0</v>
          </cell>
          <cell r="FN92">
            <v>0</v>
          </cell>
          <cell r="FO92">
            <v>0</v>
          </cell>
          <cell r="FP92">
            <v>0</v>
          </cell>
          <cell r="FQ92">
            <v>0</v>
          </cell>
          <cell r="FR92">
            <v>0</v>
          </cell>
          <cell r="FS92">
            <v>0</v>
          </cell>
          <cell r="FT92">
            <v>0</v>
          </cell>
          <cell r="FU92">
            <v>0</v>
          </cell>
          <cell r="FV92">
            <v>0</v>
          </cell>
          <cell r="FW92">
            <v>0</v>
          </cell>
          <cell r="FX92">
            <v>0</v>
          </cell>
          <cell r="FY92">
            <v>0</v>
          </cell>
          <cell r="FZ92">
            <v>0</v>
          </cell>
          <cell r="GA92">
            <v>0</v>
          </cell>
          <cell r="GB92">
            <v>0</v>
          </cell>
          <cell r="GC92">
            <v>0</v>
          </cell>
          <cell r="GD92">
            <v>0</v>
          </cell>
          <cell r="GE92">
            <v>0</v>
          </cell>
          <cell r="GF92">
            <v>0</v>
          </cell>
          <cell r="GG92">
            <v>0</v>
          </cell>
          <cell r="GH92">
            <v>0</v>
          </cell>
          <cell r="GI92">
            <v>0</v>
          </cell>
          <cell r="GJ92">
            <v>0</v>
          </cell>
          <cell r="GK92">
            <v>0</v>
          </cell>
          <cell r="GL92">
            <v>0</v>
          </cell>
          <cell r="GM92">
            <v>0</v>
          </cell>
          <cell r="GN92">
            <v>0</v>
          </cell>
          <cell r="GO92">
            <v>0</v>
          </cell>
          <cell r="GP92">
            <v>0</v>
          </cell>
          <cell r="GQ92">
            <v>0</v>
          </cell>
          <cell r="GR92">
            <v>0</v>
          </cell>
          <cell r="GS92">
            <v>0</v>
          </cell>
          <cell r="GT92">
            <v>0</v>
          </cell>
          <cell r="GU92">
            <v>0</v>
          </cell>
          <cell r="GV92">
            <v>0</v>
          </cell>
          <cell r="GW92">
            <v>0</v>
          </cell>
          <cell r="GX92">
            <v>0</v>
          </cell>
          <cell r="GY92">
            <v>0</v>
          </cell>
          <cell r="GZ92">
            <v>0</v>
          </cell>
          <cell r="HA92">
            <v>0</v>
          </cell>
          <cell r="HB92">
            <v>0</v>
          </cell>
          <cell r="HC92">
            <v>0</v>
          </cell>
          <cell r="HD92">
            <v>0</v>
          </cell>
          <cell r="HE92">
            <v>526377363.50901449</v>
          </cell>
        </row>
        <row r="93">
          <cell r="D93">
            <v>0.71753604837457663</v>
          </cell>
          <cell r="E93" t="str">
            <v>무 담 보</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v>0</v>
          </cell>
          <cell r="DU93">
            <v>0</v>
          </cell>
          <cell r="DV93">
            <v>0</v>
          </cell>
          <cell r="DW93">
            <v>0</v>
          </cell>
          <cell r="DX93">
            <v>0</v>
          </cell>
          <cell r="DY93">
            <v>0</v>
          </cell>
          <cell r="DZ93">
            <v>0</v>
          </cell>
          <cell r="EA93">
            <v>0</v>
          </cell>
          <cell r="EB93">
            <v>0</v>
          </cell>
          <cell r="EC93">
            <v>0</v>
          </cell>
          <cell r="ED93">
            <v>0</v>
          </cell>
          <cell r="EE93">
            <v>0</v>
          </cell>
          <cell r="EF93">
            <v>0</v>
          </cell>
          <cell r="EG93">
            <v>0</v>
          </cell>
          <cell r="EH93">
            <v>0</v>
          </cell>
          <cell r="EI93">
            <v>0</v>
          </cell>
          <cell r="EJ93">
            <v>0</v>
          </cell>
          <cell r="EK93">
            <v>0</v>
          </cell>
          <cell r="EL93">
            <v>0</v>
          </cell>
          <cell r="EM93">
            <v>0</v>
          </cell>
          <cell r="EN93">
            <v>0</v>
          </cell>
          <cell r="EO93">
            <v>0</v>
          </cell>
          <cell r="EP93">
            <v>0</v>
          </cell>
          <cell r="EQ93">
            <v>0</v>
          </cell>
          <cell r="ER93">
            <v>0</v>
          </cell>
          <cell r="ES93">
            <v>0</v>
          </cell>
          <cell r="ET93">
            <v>0</v>
          </cell>
          <cell r="EU93">
            <v>0</v>
          </cell>
          <cell r="EV93">
            <v>0</v>
          </cell>
          <cell r="EW93">
            <v>0</v>
          </cell>
          <cell r="EX93">
            <v>0</v>
          </cell>
          <cell r="EY93">
            <v>0</v>
          </cell>
          <cell r="EZ93">
            <v>0</v>
          </cell>
          <cell r="FA93">
            <v>0</v>
          </cell>
          <cell r="FB93">
            <v>0</v>
          </cell>
          <cell r="FC93">
            <v>0</v>
          </cell>
          <cell r="FD93">
            <v>0</v>
          </cell>
          <cell r="FE93">
            <v>0</v>
          </cell>
          <cell r="FF93">
            <v>0</v>
          </cell>
          <cell r="FG93">
            <v>0</v>
          </cell>
          <cell r="FH93">
            <v>0</v>
          </cell>
          <cell r="FI93">
            <v>0</v>
          </cell>
          <cell r="FJ93">
            <v>0</v>
          </cell>
          <cell r="FK93">
            <v>0</v>
          </cell>
          <cell r="FL93">
            <v>0</v>
          </cell>
          <cell r="FM93">
            <v>0</v>
          </cell>
          <cell r="FN93">
            <v>0</v>
          </cell>
          <cell r="FO93">
            <v>0</v>
          </cell>
          <cell r="FP93">
            <v>0</v>
          </cell>
          <cell r="FQ93">
            <v>0</v>
          </cell>
          <cell r="FR93">
            <v>0</v>
          </cell>
          <cell r="FS93">
            <v>0</v>
          </cell>
          <cell r="FT93">
            <v>0</v>
          </cell>
          <cell r="FU93">
            <v>0</v>
          </cell>
          <cell r="FV93">
            <v>0</v>
          </cell>
          <cell r="FW93">
            <v>0</v>
          </cell>
          <cell r="FX93">
            <v>0</v>
          </cell>
          <cell r="FY93">
            <v>0</v>
          </cell>
          <cell r="FZ93">
            <v>0</v>
          </cell>
          <cell r="GA93">
            <v>0</v>
          </cell>
          <cell r="GB93">
            <v>0</v>
          </cell>
          <cell r="GC93">
            <v>0</v>
          </cell>
          <cell r="GD93">
            <v>0</v>
          </cell>
          <cell r="GE93">
            <v>0</v>
          </cell>
          <cell r="GF93">
            <v>0</v>
          </cell>
          <cell r="GG93">
            <v>0</v>
          </cell>
          <cell r="GH93">
            <v>0</v>
          </cell>
          <cell r="GI93">
            <v>0</v>
          </cell>
          <cell r="GJ93">
            <v>0</v>
          </cell>
          <cell r="GK93">
            <v>0</v>
          </cell>
          <cell r="GL93">
            <v>0</v>
          </cell>
          <cell r="GM93">
            <v>0</v>
          </cell>
          <cell r="GN93">
            <v>0</v>
          </cell>
          <cell r="GO93">
            <v>0</v>
          </cell>
          <cell r="GP93">
            <v>0</v>
          </cell>
          <cell r="GQ93">
            <v>0</v>
          </cell>
          <cell r="GR93">
            <v>0</v>
          </cell>
          <cell r="GS93">
            <v>0</v>
          </cell>
          <cell r="GT93">
            <v>0</v>
          </cell>
          <cell r="GU93">
            <v>0</v>
          </cell>
          <cell r="GV93">
            <v>0</v>
          </cell>
          <cell r="GW93">
            <v>0</v>
          </cell>
          <cell r="GX93">
            <v>0</v>
          </cell>
          <cell r="GY93">
            <v>0</v>
          </cell>
          <cell r="GZ93">
            <v>0</v>
          </cell>
          <cell r="HA93">
            <v>0</v>
          </cell>
          <cell r="HB93">
            <v>0</v>
          </cell>
          <cell r="HC93">
            <v>0</v>
          </cell>
          <cell r="HD93">
            <v>0</v>
          </cell>
          <cell r="HE93">
            <v>0</v>
          </cell>
        </row>
        <row r="94">
          <cell r="E94" t="str">
            <v>Total</v>
          </cell>
          <cell r="F94">
            <v>0</v>
          </cell>
          <cell r="G94">
            <v>0</v>
          </cell>
          <cell r="H94">
            <v>126942477.35557</v>
          </cell>
          <cell r="I94">
            <v>0</v>
          </cell>
          <cell r="J94">
            <v>0</v>
          </cell>
          <cell r="K94">
            <v>0</v>
          </cell>
          <cell r="L94">
            <v>0</v>
          </cell>
          <cell r="M94">
            <v>0</v>
          </cell>
          <cell r="N94">
            <v>20599095.568849951</v>
          </cell>
          <cell r="O94">
            <v>0</v>
          </cell>
          <cell r="P94">
            <v>0</v>
          </cell>
          <cell r="Q94">
            <v>0</v>
          </cell>
          <cell r="R94">
            <v>0</v>
          </cell>
          <cell r="S94">
            <v>0</v>
          </cell>
          <cell r="T94">
            <v>122214901.1793403</v>
          </cell>
          <cell r="U94">
            <v>0</v>
          </cell>
          <cell r="V94">
            <v>0</v>
          </cell>
          <cell r="W94">
            <v>0</v>
          </cell>
          <cell r="X94">
            <v>0</v>
          </cell>
          <cell r="Y94">
            <v>0</v>
          </cell>
          <cell r="Z94">
            <v>15730601.004822494</v>
          </cell>
          <cell r="AA94">
            <v>0</v>
          </cell>
          <cell r="AB94">
            <v>0</v>
          </cell>
          <cell r="AC94">
            <v>0</v>
          </cell>
          <cell r="AD94">
            <v>0</v>
          </cell>
          <cell r="AE94">
            <v>0</v>
          </cell>
          <cell r="AF94">
            <v>117158540.47947554</v>
          </cell>
          <cell r="AG94">
            <v>0</v>
          </cell>
          <cell r="AH94">
            <v>0</v>
          </cell>
          <cell r="AI94">
            <v>0</v>
          </cell>
          <cell r="AJ94">
            <v>0</v>
          </cell>
          <cell r="AK94">
            <v>0</v>
          </cell>
          <cell r="AL94">
            <v>11148859.071505928</v>
          </cell>
          <cell r="AM94">
            <v>0</v>
          </cell>
          <cell r="AN94">
            <v>0</v>
          </cell>
          <cell r="AO94">
            <v>0</v>
          </cell>
          <cell r="AP94">
            <v>0</v>
          </cell>
          <cell r="AQ94">
            <v>0</v>
          </cell>
          <cell r="AR94">
            <v>112582888.84945026</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cell r="CP94">
            <v>0</v>
          </cell>
          <cell r="CQ94">
            <v>0</v>
          </cell>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cell r="DX94">
            <v>0</v>
          </cell>
          <cell r="DY94">
            <v>0</v>
          </cell>
          <cell r="DZ94">
            <v>0</v>
          </cell>
          <cell r="EA94">
            <v>0</v>
          </cell>
          <cell r="EB94">
            <v>0</v>
          </cell>
          <cell r="EC94">
            <v>0</v>
          </cell>
          <cell r="ED94">
            <v>0</v>
          </cell>
          <cell r="EE94">
            <v>0</v>
          </cell>
          <cell r="EF94">
            <v>0</v>
          </cell>
          <cell r="EG94">
            <v>0</v>
          </cell>
          <cell r="EH94">
            <v>0</v>
          </cell>
          <cell r="EI94">
            <v>0</v>
          </cell>
          <cell r="EJ94">
            <v>0</v>
          </cell>
          <cell r="EK94">
            <v>0</v>
          </cell>
          <cell r="EL94">
            <v>0</v>
          </cell>
          <cell r="EM94">
            <v>0</v>
          </cell>
          <cell r="EN94">
            <v>0</v>
          </cell>
          <cell r="EO94">
            <v>0</v>
          </cell>
          <cell r="EP94">
            <v>0</v>
          </cell>
          <cell r="EQ94">
            <v>0</v>
          </cell>
          <cell r="ER94">
            <v>0</v>
          </cell>
          <cell r="ES94">
            <v>0</v>
          </cell>
          <cell r="ET94">
            <v>0</v>
          </cell>
          <cell r="EU94">
            <v>0</v>
          </cell>
          <cell r="EV94">
            <v>0</v>
          </cell>
          <cell r="EW94">
            <v>0</v>
          </cell>
          <cell r="EX94">
            <v>0</v>
          </cell>
          <cell r="EY94">
            <v>0</v>
          </cell>
          <cell r="EZ94">
            <v>0</v>
          </cell>
          <cell r="FA94">
            <v>0</v>
          </cell>
          <cell r="FB94">
            <v>0</v>
          </cell>
          <cell r="FC94">
            <v>0</v>
          </cell>
          <cell r="FD94">
            <v>0</v>
          </cell>
          <cell r="FE94">
            <v>0</v>
          </cell>
          <cell r="FF94">
            <v>0</v>
          </cell>
          <cell r="FG94">
            <v>0</v>
          </cell>
          <cell r="FH94">
            <v>0</v>
          </cell>
          <cell r="FI94">
            <v>0</v>
          </cell>
          <cell r="FJ94">
            <v>0</v>
          </cell>
          <cell r="FK94">
            <v>0</v>
          </cell>
          <cell r="FL94">
            <v>0</v>
          </cell>
          <cell r="FM94">
            <v>0</v>
          </cell>
          <cell r="FN94">
            <v>0</v>
          </cell>
          <cell r="FO94">
            <v>0</v>
          </cell>
          <cell r="FP94">
            <v>0</v>
          </cell>
          <cell r="FQ94">
            <v>0</v>
          </cell>
          <cell r="FR94">
            <v>0</v>
          </cell>
          <cell r="FS94">
            <v>0</v>
          </cell>
          <cell r="FT94">
            <v>0</v>
          </cell>
          <cell r="FU94">
            <v>0</v>
          </cell>
          <cell r="FV94">
            <v>0</v>
          </cell>
          <cell r="FW94">
            <v>0</v>
          </cell>
          <cell r="FX94">
            <v>0</v>
          </cell>
          <cell r="FY94">
            <v>0</v>
          </cell>
          <cell r="FZ94">
            <v>0</v>
          </cell>
          <cell r="GA94">
            <v>0</v>
          </cell>
          <cell r="GB94">
            <v>0</v>
          </cell>
          <cell r="GC94">
            <v>0</v>
          </cell>
          <cell r="GD94">
            <v>0</v>
          </cell>
          <cell r="GE94">
            <v>0</v>
          </cell>
          <cell r="GF94">
            <v>0</v>
          </cell>
          <cell r="GG94">
            <v>0</v>
          </cell>
          <cell r="GH94">
            <v>0</v>
          </cell>
          <cell r="GI94">
            <v>0</v>
          </cell>
          <cell r="GJ94">
            <v>0</v>
          </cell>
          <cell r="GK94">
            <v>0</v>
          </cell>
          <cell r="GL94">
            <v>0</v>
          </cell>
          <cell r="GM94">
            <v>0</v>
          </cell>
          <cell r="GN94">
            <v>0</v>
          </cell>
          <cell r="GO94">
            <v>0</v>
          </cell>
          <cell r="GP94">
            <v>0</v>
          </cell>
          <cell r="GQ94">
            <v>0</v>
          </cell>
          <cell r="GR94">
            <v>0</v>
          </cell>
          <cell r="GS94">
            <v>0</v>
          </cell>
          <cell r="GT94">
            <v>0</v>
          </cell>
          <cell r="GU94">
            <v>0</v>
          </cell>
          <cell r="GV94">
            <v>0</v>
          </cell>
          <cell r="GW94">
            <v>0</v>
          </cell>
          <cell r="GX94">
            <v>0</v>
          </cell>
          <cell r="GY94">
            <v>0</v>
          </cell>
          <cell r="GZ94">
            <v>0</v>
          </cell>
          <cell r="HA94">
            <v>0</v>
          </cell>
          <cell r="HB94">
            <v>0</v>
          </cell>
          <cell r="HC94">
            <v>0</v>
          </cell>
          <cell r="HD94">
            <v>0</v>
          </cell>
          <cell r="HE94">
            <v>526377363.50901449</v>
          </cell>
        </row>
        <row r="95">
          <cell r="A95" t="str">
            <v>HBS-22</v>
          </cell>
          <cell r="E95" t="str">
            <v>현     가</v>
          </cell>
          <cell r="F95">
            <v>0</v>
          </cell>
          <cell r="G95">
            <v>0</v>
          </cell>
          <cell r="H95">
            <v>125801712.12430364</v>
          </cell>
          <cell r="I95">
            <v>0</v>
          </cell>
          <cell r="J95">
            <v>0</v>
          </cell>
          <cell r="K95">
            <v>0</v>
          </cell>
          <cell r="L95">
            <v>0</v>
          </cell>
          <cell r="M95">
            <v>0</v>
          </cell>
          <cell r="N95">
            <v>19874445.453372829</v>
          </cell>
          <cell r="O95">
            <v>0</v>
          </cell>
          <cell r="P95">
            <v>0</v>
          </cell>
          <cell r="Q95">
            <v>0</v>
          </cell>
          <cell r="R95">
            <v>0</v>
          </cell>
          <cell r="S95">
            <v>0</v>
          </cell>
          <cell r="T95">
            <v>113928827.81862135</v>
          </cell>
          <cell r="U95">
            <v>0</v>
          </cell>
          <cell r="V95">
            <v>0</v>
          </cell>
          <cell r="W95">
            <v>0</v>
          </cell>
          <cell r="X95">
            <v>0</v>
          </cell>
          <cell r="Y95">
            <v>0</v>
          </cell>
          <cell r="Z95">
            <v>14233112.642259534</v>
          </cell>
          <cell r="AA95">
            <v>0</v>
          </cell>
          <cell r="AB95">
            <v>0</v>
          </cell>
          <cell r="AC95">
            <v>0</v>
          </cell>
          <cell r="AD95">
            <v>0</v>
          </cell>
          <cell r="AE95">
            <v>0</v>
          </cell>
          <cell r="AF95">
            <v>102087811.48599429</v>
          </cell>
          <cell r="AG95">
            <v>0</v>
          </cell>
          <cell r="AH95">
            <v>0</v>
          </cell>
          <cell r="AI95">
            <v>0</v>
          </cell>
          <cell r="AJ95">
            <v>0</v>
          </cell>
          <cell r="AK95">
            <v>0</v>
          </cell>
          <cell r="AL95">
            <v>9411764.7013011221</v>
          </cell>
          <cell r="AM95">
            <v>0</v>
          </cell>
          <cell r="AN95">
            <v>0</v>
          </cell>
          <cell r="AO95">
            <v>0</v>
          </cell>
          <cell r="AP95">
            <v>0</v>
          </cell>
          <cell r="AQ95">
            <v>0</v>
          </cell>
          <cell r="AR95">
            <v>90877946.182307243</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0</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cell r="EC95">
            <v>0</v>
          </cell>
          <cell r="ED95">
            <v>0</v>
          </cell>
          <cell r="EE95">
            <v>0</v>
          </cell>
          <cell r="EF95">
            <v>0</v>
          </cell>
          <cell r="EG95">
            <v>0</v>
          </cell>
          <cell r="EH95">
            <v>0</v>
          </cell>
          <cell r="EI95">
            <v>0</v>
          </cell>
          <cell r="EJ95">
            <v>0</v>
          </cell>
          <cell r="EK95">
            <v>0</v>
          </cell>
          <cell r="EL95">
            <v>0</v>
          </cell>
          <cell r="EM95">
            <v>0</v>
          </cell>
          <cell r="EN95">
            <v>0</v>
          </cell>
          <cell r="EO95">
            <v>0</v>
          </cell>
          <cell r="EP95">
            <v>0</v>
          </cell>
          <cell r="EQ95">
            <v>0</v>
          </cell>
          <cell r="ER95">
            <v>0</v>
          </cell>
          <cell r="ES95">
            <v>0</v>
          </cell>
          <cell r="ET95">
            <v>0</v>
          </cell>
          <cell r="EU95">
            <v>0</v>
          </cell>
          <cell r="EV95">
            <v>0</v>
          </cell>
          <cell r="EW95">
            <v>0</v>
          </cell>
          <cell r="EX95">
            <v>0</v>
          </cell>
          <cell r="EY95">
            <v>0</v>
          </cell>
          <cell r="EZ95">
            <v>0</v>
          </cell>
          <cell r="FA95">
            <v>0</v>
          </cell>
          <cell r="FB95">
            <v>0</v>
          </cell>
          <cell r="FC95">
            <v>0</v>
          </cell>
          <cell r="FD95">
            <v>0</v>
          </cell>
          <cell r="FE95">
            <v>0</v>
          </cell>
          <cell r="FF95">
            <v>0</v>
          </cell>
          <cell r="FG95">
            <v>0</v>
          </cell>
          <cell r="FH95">
            <v>0</v>
          </cell>
          <cell r="FI95">
            <v>0</v>
          </cell>
          <cell r="FJ95">
            <v>0</v>
          </cell>
          <cell r="FK95">
            <v>0</v>
          </cell>
          <cell r="FL95">
            <v>0</v>
          </cell>
          <cell r="FM95">
            <v>0</v>
          </cell>
          <cell r="FN95">
            <v>0</v>
          </cell>
          <cell r="FO95">
            <v>0</v>
          </cell>
          <cell r="FP95">
            <v>0</v>
          </cell>
          <cell r="FQ95">
            <v>0</v>
          </cell>
          <cell r="FR95">
            <v>0</v>
          </cell>
          <cell r="FS95">
            <v>0</v>
          </cell>
          <cell r="FT95">
            <v>0</v>
          </cell>
          <cell r="FU95">
            <v>0</v>
          </cell>
          <cell r="FV95">
            <v>0</v>
          </cell>
          <cell r="FW95">
            <v>0</v>
          </cell>
          <cell r="FX95">
            <v>0</v>
          </cell>
          <cell r="FY95">
            <v>0</v>
          </cell>
          <cell r="FZ95">
            <v>0</v>
          </cell>
          <cell r="GA95">
            <v>0</v>
          </cell>
          <cell r="GB95">
            <v>0</v>
          </cell>
          <cell r="GC95">
            <v>0</v>
          </cell>
          <cell r="GD95">
            <v>0</v>
          </cell>
          <cell r="GE95">
            <v>0</v>
          </cell>
          <cell r="GF95">
            <v>0</v>
          </cell>
          <cell r="GG95">
            <v>0</v>
          </cell>
          <cell r="GH95">
            <v>0</v>
          </cell>
          <cell r="GI95">
            <v>0</v>
          </cell>
          <cell r="GJ95">
            <v>0</v>
          </cell>
          <cell r="GK95">
            <v>0</v>
          </cell>
          <cell r="GL95">
            <v>0</v>
          </cell>
          <cell r="GM95">
            <v>0</v>
          </cell>
          <cell r="GN95">
            <v>0</v>
          </cell>
          <cell r="GO95">
            <v>0</v>
          </cell>
          <cell r="GP95">
            <v>0</v>
          </cell>
          <cell r="GQ95">
            <v>0</v>
          </cell>
          <cell r="GR95">
            <v>0</v>
          </cell>
          <cell r="GS95">
            <v>0</v>
          </cell>
          <cell r="GT95">
            <v>0</v>
          </cell>
          <cell r="GU95">
            <v>0</v>
          </cell>
          <cell r="GV95">
            <v>0</v>
          </cell>
          <cell r="GW95">
            <v>0</v>
          </cell>
          <cell r="GX95">
            <v>0</v>
          </cell>
          <cell r="GY95">
            <v>0</v>
          </cell>
          <cell r="GZ95">
            <v>0</v>
          </cell>
          <cell r="HA95">
            <v>0</v>
          </cell>
          <cell r="HB95">
            <v>0</v>
          </cell>
          <cell r="HC95">
            <v>0</v>
          </cell>
          <cell r="HD95">
            <v>0</v>
          </cell>
          <cell r="HE95">
            <v>476215620.40815997</v>
          </cell>
        </row>
        <row r="96">
          <cell r="B96" t="str">
            <v>HBS-23</v>
          </cell>
          <cell r="C96" t="str">
            <v>㈜휴니드테크놀러지스</v>
          </cell>
          <cell r="D96">
            <v>0.58858806441520051</v>
          </cell>
          <cell r="E96" t="str">
            <v>담     보</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0</v>
          </cell>
          <cell r="DF96">
            <v>0</v>
          </cell>
          <cell r="DG96">
            <v>0</v>
          </cell>
          <cell r="DH96">
            <v>0</v>
          </cell>
          <cell r="DI96">
            <v>0</v>
          </cell>
          <cell r="DJ96">
            <v>0</v>
          </cell>
          <cell r="DK96">
            <v>0</v>
          </cell>
          <cell r="DL96">
            <v>0</v>
          </cell>
          <cell r="DM96">
            <v>0</v>
          </cell>
          <cell r="DN96">
            <v>0</v>
          </cell>
          <cell r="DO96">
            <v>0</v>
          </cell>
          <cell r="DP96">
            <v>0</v>
          </cell>
          <cell r="DQ96">
            <v>0</v>
          </cell>
          <cell r="DR96">
            <v>0</v>
          </cell>
          <cell r="DS96">
            <v>0</v>
          </cell>
          <cell r="DT96">
            <v>0</v>
          </cell>
          <cell r="DU96">
            <v>0</v>
          </cell>
          <cell r="DV96">
            <v>0</v>
          </cell>
          <cell r="DW96">
            <v>0</v>
          </cell>
          <cell r="DX96">
            <v>0</v>
          </cell>
          <cell r="DY96">
            <v>0</v>
          </cell>
          <cell r="DZ96">
            <v>0</v>
          </cell>
          <cell r="EA96">
            <v>0</v>
          </cell>
          <cell r="EB96">
            <v>0</v>
          </cell>
          <cell r="EC96">
            <v>0</v>
          </cell>
          <cell r="ED96">
            <v>0</v>
          </cell>
          <cell r="EE96">
            <v>0</v>
          </cell>
          <cell r="EF96">
            <v>0</v>
          </cell>
          <cell r="EG96">
            <v>0</v>
          </cell>
          <cell r="EH96">
            <v>0</v>
          </cell>
          <cell r="EI96">
            <v>0</v>
          </cell>
          <cell r="EJ96">
            <v>0</v>
          </cell>
          <cell r="EK96">
            <v>0</v>
          </cell>
          <cell r="EL96">
            <v>0</v>
          </cell>
          <cell r="EM96">
            <v>0</v>
          </cell>
          <cell r="EN96">
            <v>0</v>
          </cell>
          <cell r="EO96">
            <v>0</v>
          </cell>
          <cell r="EP96">
            <v>0</v>
          </cell>
          <cell r="EQ96">
            <v>0</v>
          </cell>
          <cell r="ER96">
            <v>0</v>
          </cell>
          <cell r="ES96">
            <v>0</v>
          </cell>
          <cell r="ET96">
            <v>0</v>
          </cell>
          <cell r="EU96">
            <v>0</v>
          </cell>
          <cell r="EV96">
            <v>0</v>
          </cell>
          <cell r="EW96">
            <v>0</v>
          </cell>
          <cell r="EX96">
            <v>0</v>
          </cell>
          <cell r="EY96">
            <v>0</v>
          </cell>
          <cell r="EZ96">
            <v>0</v>
          </cell>
          <cell r="FA96">
            <v>0</v>
          </cell>
          <cell r="FB96">
            <v>0</v>
          </cell>
          <cell r="FC96">
            <v>0</v>
          </cell>
          <cell r="FD96">
            <v>0</v>
          </cell>
          <cell r="FE96">
            <v>0</v>
          </cell>
          <cell r="FF96">
            <v>0</v>
          </cell>
          <cell r="FG96">
            <v>0</v>
          </cell>
          <cell r="FH96">
            <v>0</v>
          </cell>
          <cell r="FI96">
            <v>0</v>
          </cell>
          <cell r="FJ96">
            <v>0</v>
          </cell>
          <cell r="FK96">
            <v>0</v>
          </cell>
          <cell r="FL96">
            <v>0</v>
          </cell>
          <cell r="FM96">
            <v>0</v>
          </cell>
          <cell r="FN96">
            <v>0</v>
          </cell>
          <cell r="FO96">
            <v>0</v>
          </cell>
          <cell r="FP96">
            <v>0</v>
          </cell>
          <cell r="FQ96">
            <v>0</v>
          </cell>
          <cell r="FR96">
            <v>0</v>
          </cell>
          <cell r="FS96">
            <v>0</v>
          </cell>
          <cell r="FT96">
            <v>0</v>
          </cell>
          <cell r="FU96">
            <v>0</v>
          </cell>
          <cell r="FV96">
            <v>0</v>
          </cell>
          <cell r="FW96">
            <v>0</v>
          </cell>
          <cell r="FX96">
            <v>0</v>
          </cell>
          <cell r="FY96">
            <v>0</v>
          </cell>
          <cell r="FZ96">
            <v>0</v>
          </cell>
          <cell r="GA96">
            <v>0</v>
          </cell>
          <cell r="GB96">
            <v>0</v>
          </cell>
          <cell r="GC96">
            <v>0</v>
          </cell>
          <cell r="GD96">
            <v>0</v>
          </cell>
          <cell r="GE96">
            <v>0</v>
          </cell>
          <cell r="GF96">
            <v>0</v>
          </cell>
          <cell r="GG96">
            <v>0</v>
          </cell>
          <cell r="GH96">
            <v>0</v>
          </cell>
          <cell r="GI96">
            <v>0</v>
          </cell>
          <cell r="GJ96">
            <v>0</v>
          </cell>
          <cell r="GK96">
            <v>0</v>
          </cell>
          <cell r="GL96">
            <v>0</v>
          </cell>
          <cell r="GM96">
            <v>0</v>
          </cell>
          <cell r="GN96">
            <v>0</v>
          </cell>
          <cell r="GO96">
            <v>0</v>
          </cell>
          <cell r="GP96">
            <v>0</v>
          </cell>
          <cell r="GQ96">
            <v>0</v>
          </cell>
          <cell r="GR96">
            <v>0</v>
          </cell>
          <cell r="GS96">
            <v>0</v>
          </cell>
          <cell r="GT96">
            <v>0</v>
          </cell>
          <cell r="GU96">
            <v>0</v>
          </cell>
          <cell r="GV96">
            <v>0</v>
          </cell>
          <cell r="GW96">
            <v>0</v>
          </cell>
          <cell r="GX96">
            <v>0</v>
          </cell>
          <cell r="GY96">
            <v>0</v>
          </cell>
          <cell r="GZ96">
            <v>0</v>
          </cell>
          <cell r="HA96">
            <v>0</v>
          </cell>
          <cell r="HB96">
            <v>0</v>
          </cell>
          <cell r="HC96">
            <v>0</v>
          </cell>
          <cell r="HD96">
            <v>0</v>
          </cell>
          <cell r="HE96">
            <v>0</v>
          </cell>
        </row>
        <row r="97">
          <cell r="D97">
            <v>0.58858806441520051</v>
          </cell>
          <cell r="E97" t="str">
            <v>무 담 보</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0</v>
          </cell>
          <cell r="DF97">
            <v>0</v>
          </cell>
          <cell r="DG97">
            <v>0</v>
          </cell>
          <cell r="DH97">
            <v>0</v>
          </cell>
          <cell r="DI97">
            <v>0</v>
          </cell>
          <cell r="DJ97">
            <v>0</v>
          </cell>
          <cell r="DK97">
            <v>0</v>
          </cell>
          <cell r="DL97">
            <v>0</v>
          </cell>
          <cell r="DM97">
            <v>0</v>
          </cell>
          <cell r="DN97">
            <v>0</v>
          </cell>
          <cell r="DO97">
            <v>0</v>
          </cell>
          <cell r="DP97">
            <v>0</v>
          </cell>
          <cell r="DQ97">
            <v>0</v>
          </cell>
          <cell r="DR97">
            <v>0</v>
          </cell>
          <cell r="DS97">
            <v>0</v>
          </cell>
          <cell r="DT97">
            <v>0</v>
          </cell>
          <cell r="DU97">
            <v>0</v>
          </cell>
          <cell r="DV97">
            <v>0</v>
          </cell>
          <cell r="DW97">
            <v>0</v>
          </cell>
          <cell r="DX97">
            <v>0</v>
          </cell>
          <cell r="DY97">
            <v>0</v>
          </cell>
          <cell r="DZ97">
            <v>0</v>
          </cell>
          <cell r="EA97">
            <v>0</v>
          </cell>
          <cell r="EB97">
            <v>0</v>
          </cell>
          <cell r="EC97">
            <v>0</v>
          </cell>
          <cell r="ED97">
            <v>0</v>
          </cell>
          <cell r="EE97">
            <v>0</v>
          </cell>
          <cell r="EF97">
            <v>0</v>
          </cell>
          <cell r="EG97">
            <v>0</v>
          </cell>
          <cell r="EH97">
            <v>0</v>
          </cell>
          <cell r="EI97">
            <v>0</v>
          </cell>
          <cell r="EJ97">
            <v>0</v>
          </cell>
          <cell r="EK97">
            <v>0</v>
          </cell>
          <cell r="EL97">
            <v>0</v>
          </cell>
          <cell r="EM97">
            <v>0</v>
          </cell>
          <cell r="EN97">
            <v>0</v>
          </cell>
          <cell r="EO97">
            <v>0</v>
          </cell>
          <cell r="EP97">
            <v>0</v>
          </cell>
          <cell r="EQ97">
            <v>0</v>
          </cell>
          <cell r="ER97">
            <v>0</v>
          </cell>
          <cell r="ES97">
            <v>0</v>
          </cell>
          <cell r="ET97">
            <v>0</v>
          </cell>
          <cell r="EU97">
            <v>0</v>
          </cell>
          <cell r="EV97">
            <v>0</v>
          </cell>
          <cell r="EW97">
            <v>0</v>
          </cell>
          <cell r="EX97">
            <v>0</v>
          </cell>
          <cell r="EY97">
            <v>0</v>
          </cell>
          <cell r="EZ97">
            <v>0</v>
          </cell>
          <cell r="FA97">
            <v>0</v>
          </cell>
          <cell r="FB97">
            <v>0</v>
          </cell>
          <cell r="FC97">
            <v>0</v>
          </cell>
          <cell r="FD97">
            <v>0</v>
          </cell>
          <cell r="FE97">
            <v>0</v>
          </cell>
          <cell r="FF97">
            <v>0</v>
          </cell>
          <cell r="FG97">
            <v>0</v>
          </cell>
          <cell r="FH97">
            <v>0</v>
          </cell>
          <cell r="FI97">
            <v>0</v>
          </cell>
          <cell r="FJ97">
            <v>0</v>
          </cell>
          <cell r="FK97">
            <v>0</v>
          </cell>
          <cell r="FL97">
            <v>0</v>
          </cell>
          <cell r="FM97">
            <v>0</v>
          </cell>
          <cell r="FN97">
            <v>0</v>
          </cell>
          <cell r="FO97">
            <v>0</v>
          </cell>
          <cell r="FP97">
            <v>0</v>
          </cell>
          <cell r="FQ97">
            <v>0</v>
          </cell>
          <cell r="FR97">
            <v>0</v>
          </cell>
          <cell r="FS97">
            <v>0</v>
          </cell>
          <cell r="FT97">
            <v>0</v>
          </cell>
          <cell r="FU97">
            <v>0</v>
          </cell>
          <cell r="FV97">
            <v>0</v>
          </cell>
          <cell r="FW97">
            <v>0</v>
          </cell>
          <cell r="FX97">
            <v>0</v>
          </cell>
          <cell r="FY97">
            <v>0</v>
          </cell>
          <cell r="FZ97">
            <v>0</v>
          </cell>
          <cell r="GA97">
            <v>0</v>
          </cell>
          <cell r="GB97">
            <v>0</v>
          </cell>
          <cell r="GC97">
            <v>0</v>
          </cell>
          <cell r="GD97">
            <v>0</v>
          </cell>
          <cell r="GE97">
            <v>0</v>
          </cell>
          <cell r="GF97">
            <v>0</v>
          </cell>
          <cell r="GG97">
            <v>0</v>
          </cell>
          <cell r="GH97">
            <v>0</v>
          </cell>
          <cell r="GI97">
            <v>0</v>
          </cell>
          <cell r="GJ97">
            <v>0</v>
          </cell>
          <cell r="GK97">
            <v>0</v>
          </cell>
          <cell r="GL97">
            <v>0</v>
          </cell>
          <cell r="GM97">
            <v>0</v>
          </cell>
          <cell r="GN97">
            <v>0</v>
          </cell>
          <cell r="GO97">
            <v>0</v>
          </cell>
          <cell r="GP97">
            <v>0</v>
          </cell>
          <cell r="GQ97">
            <v>0</v>
          </cell>
          <cell r="GR97">
            <v>0</v>
          </cell>
          <cell r="GS97">
            <v>0</v>
          </cell>
          <cell r="GT97">
            <v>0</v>
          </cell>
          <cell r="GU97">
            <v>0</v>
          </cell>
          <cell r="GV97">
            <v>0</v>
          </cell>
          <cell r="GW97">
            <v>0</v>
          </cell>
          <cell r="GX97">
            <v>0</v>
          </cell>
          <cell r="GY97">
            <v>0</v>
          </cell>
          <cell r="GZ97">
            <v>0</v>
          </cell>
          <cell r="HA97">
            <v>0</v>
          </cell>
          <cell r="HB97">
            <v>0</v>
          </cell>
          <cell r="HC97">
            <v>0</v>
          </cell>
          <cell r="HD97">
            <v>0</v>
          </cell>
          <cell r="HE97">
            <v>0</v>
          </cell>
        </row>
        <row r="98">
          <cell r="E98" t="str">
            <v>Total</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0</v>
          </cell>
          <cell r="ED98">
            <v>0</v>
          </cell>
          <cell r="EE98">
            <v>0</v>
          </cell>
          <cell r="EF98">
            <v>0</v>
          </cell>
          <cell r="EG98">
            <v>0</v>
          </cell>
          <cell r="EH98">
            <v>0</v>
          </cell>
          <cell r="EI98">
            <v>0</v>
          </cell>
          <cell r="EJ98">
            <v>0</v>
          </cell>
          <cell r="EK98">
            <v>0</v>
          </cell>
          <cell r="EL98">
            <v>0</v>
          </cell>
          <cell r="EM98">
            <v>0</v>
          </cell>
          <cell r="EN98">
            <v>0</v>
          </cell>
          <cell r="EO98">
            <v>0</v>
          </cell>
          <cell r="EP98">
            <v>0</v>
          </cell>
          <cell r="EQ98">
            <v>0</v>
          </cell>
          <cell r="ER98">
            <v>0</v>
          </cell>
          <cell r="ES98">
            <v>0</v>
          </cell>
          <cell r="ET98">
            <v>0</v>
          </cell>
          <cell r="EU98">
            <v>0</v>
          </cell>
          <cell r="EV98">
            <v>0</v>
          </cell>
          <cell r="EW98">
            <v>0</v>
          </cell>
          <cell r="EX98">
            <v>0</v>
          </cell>
          <cell r="EY98">
            <v>0</v>
          </cell>
          <cell r="EZ98">
            <v>0</v>
          </cell>
          <cell r="FA98">
            <v>0</v>
          </cell>
          <cell r="FB98">
            <v>0</v>
          </cell>
          <cell r="FC98">
            <v>0</v>
          </cell>
          <cell r="FD98">
            <v>0</v>
          </cell>
          <cell r="FE98">
            <v>0</v>
          </cell>
          <cell r="FF98">
            <v>0</v>
          </cell>
          <cell r="FG98">
            <v>0</v>
          </cell>
          <cell r="FH98">
            <v>0</v>
          </cell>
          <cell r="FI98">
            <v>0</v>
          </cell>
          <cell r="FJ98">
            <v>0</v>
          </cell>
          <cell r="FK98">
            <v>0</v>
          </cell>
          <cell r="FL98">
            <v>0</v>
          </cell>
          <cell r="FM98">
            <v>0</v>
          </cell>
          <cell r="FN98">
            <v>0</v>
          </cell>
          <cell r="FO98">
            <v>0</v>
          </cell>
          <cell r="FP98">
            <v>0</v>
          </cell>
          <cell r="FQ98">
            <v>0</v>
          </cell>
          <cell r="FR98">
            <v>0</v>
          </cell>
          <cell r="FS98">
            <v>0</v>
          </cell>
          <cell r="FT98">
            <v>0</v>
          </cell>
          <cell r="FU98">
            <v>0</v>
          </cell>
          <cell r="FV98">
            <v>0</v>
          </cell>
          <cell r="FW98">
            <v>0</v>
          </cell>
          <cell r="FX98">
            <v>0</v>
          </cell>
          <cell r="FY98">
            <v>0</v>
          </cell>
          <cell r="FZ98">
            <v>0</v>
          </cell>
          <cell r="GA98">
            <v>0</v>
          </cell>
          <cell r="GB98">
            <v>0</v>
          </cell>
          <cell r="GC98">
            <v>0</v>
          </cell>
          <cell r="GD98">
            <v>0</v>
          </cell>
          <cell r="GE98">
            <v>0</v>
          </cell>
          <cell r="GF98">
            <v>0</v>
          </cell>
          <cell r="GG98">
            <v>0</v>
          </cell>
          <cell r="GH98">
            <v>0</v>
          </cell>
          <cell r="GI98">
            <v>0</v>
          </cell>
          <cell r="GJ98">
            <v>0</v>
          </cell>
          <cell r="GK98">
            <v>0</v>
          </cell>
          <cell r="GL98">
            <v>0</v>
          </cell>
          <cell r="GM98">
            <v>0</v>
          </cell>
          <cell r="GN98">
            <v>0</v>
          </cell>
          <cell r="GO98">
            <v>0</v>
          </cell>
          <cell r="GP98">
            <v>0</v>
          </cell>
          <cell r="GQ98">
            <v>0</v>
          </cell>
          <cell r="GR98">
            <v>0</v>
          </cell>
          <cell r="GS98">
            <v>0</v>
          </cell>
          <cell r="GT98">
            <v>0</v>
          </cell>
          <cell r="GU98">
            <v>0</v>
          </cell>
          <cell r="GV98">
            <v>0</v>
          </cell>
          <cell r="GW98">
            <v>0</v>
          </cell>
          <cell r="GX98">
            <v>0</v>
          </cell>
          <cell r="GY98">
            <v>0</v>
          </cell>
          <cell r="GZ98">
            <v>0</v>
          </cell>
          <cell r="HA98">
            <v>0</v>
          </cell>
          <cell r="HB98">
            <v>0</v>
          </cell>
          <cell r="HC98">
            <v>0</v>
          </cell>
          <cell r="HD98">
            <v>0</v>
          </cell>
          <cell r="HE98">
            <v>0</v>
          </cell>
        </row>
        <row r="99">
          <cell r="A99" t="str">
            <v>HBS-23</v>
          </cell>
          <cell r="E99" t="str">
            <v>현     가</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0</v>
          </cell>
          <cell r="DE99">
            <v>0</v>
          </cell>
          <cell r="DF99">
            <v>0</v>
          </cell>
          <cell r="DG99">
            <v>0</v>
          </cell>
          <cell r="DH99">
            <v>0</v>
          </cell>
          <cell r="DI99">
            <v>0</v>
          </cell>
          <cell r="DJ99">
            <v>0</v>
          </cell>
          <cell r="DK99">
            <v>0</v>
          </cell>
          <cell r="DL99">
            <v>0</v>
          </cell>
          <cell r="DM99">
            <v>0</v>
          </cell>
          <cell r="DN99">
            <v>0</v>
          </cell>
          <cell r="DO99">
            <v>0</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0</v>
          </cell>
          <cell r="EF99">
            <v>0</v>
          </cell>
          <cell r="EG99">
            <v>0</v>
          </cell>
          <cell r="EH99">
            <v>0</v>
          </cell>
          <cell r="EI99">
            <v>0</v>
          </cell>
          <cell r="EJ99">
            <v>0</v>
          </cell>
          <cell r="EK99">
            <v>0</v>
          </cell>
          <cell r="EL99">
            <v>0</v>
          </cell>
          <cell r="EM99">
            <v>0</v>
          </cell>
          <cell r="EN99">
            <v>0</v>
          </cell>
          <cell r="EO99">
            <v>0</v>
          </cell>
          <cell r="EP99">
            <v>0</v>
          </cell>
          <cell r="EQ99">
            <v>0</v>
          </cell>
          <cell r="ER99">
            <v>0</v>
          </cell>
          <cell r="ES99">
            <v>0</v>
          </cell>
          <cell r="ET99">
            <v>0</v>
          </cell>
          <cell r="EU99">
            <v>0</v>
          </cell>
          <cell r="EV99">
            <v>0</v>
          </cell>
          <cell r="EW99">
            <v>0</v>
          </cell>
          <cell r="EX99">
            <v>0</v>
          </cell>
          <cell r="EY99">
            <v>0</v>
          </cell>
          <cell r="EZ99">
            <v>0</v>
          </cell>
          <cell r="FA99">
            <v>0</v>
          </cell>
          <cell r="FB99">
            <v>0</v>
          </cell>
          <cell r="FC99">
            <v>0</v>
          </cell>
          <cell r="FD99">
            <v>0</v>
          </cell>
          <cell r="FE99">
            <v>0</v>
          </cell>
          <cell r="FF99">
            <v>0</v>
          </cell>
          <cell r="FG99">
            <v>0</v>
          </cell>
          <cell r="FH99">
            <v>0</v>
          </cell>
          <cell r="FI99">
            <v>0</v>
          </cell>
          <cell r="FJ99">
            <v>0</v>
          </cell>
          <cell r="FK99">
            <v>0</v>
          </cell>
          <cell r="FL99">
            <v>0</v>
          </cell>
          <cell r="FM99">
            <v>0</v>
          </cell>
          <cell r="FN99">
            <v>0</v>
          </cell>
          <cell r="FO99">
            <v>0</v>
          </cell>
          <cell r="FP99">
            <v>0</v>
          </cell>
          <cell r="FQ99">
            <v>0</v>
          </cell>
          <cell r="FR99">
            <v>0</v>
          </cell>
          <cell r="FS99">
            <v>0</v>
          </cell>
          <cell r="FT99">
            <v>0</v>
          </cell>
          <cell r="FU99">
            <v>0</v>
          </cell>
          <cell r="FV99">
            <v>0</v>
          </cell>
          <cell r="FW99">
            <v>0</v>
          </cell>
          <cell r="FX99">
            <v>0</v>
          </cell>
          <cell r="FY99">
            <v>0</v>
          </cell>
          <cell r="FZ99">
            <v>0</v>
          </cell>
          <cell r="GA99">
            <v>0</v>
          </cell>
          <cell r="GB99">
            <v>0</v>
          </cell>
          <cell r="GC99">
            <v>0</v>
          </cell>
          <cell r="GD99">
            <v>0</v>
          </cell>
          <cell r="GE99">
            <v>0</v>
          </cell>
          <cell r="GF99">
            <v>0</v>
          </cell>
          <cell r="GG99">
            <v>0</v>
          </cell>
          <cell r="GH99">
            <v>0</v>
          </cell>
          <cell r="GI99">
            <v>0</v>
          </cell>
          <cell r="GJ99">
            <v>0</v>
          </cell>
          <cell r="GK99">
            <v>0</v>
          </cell>
          <cell r="GL99">
            <v>0</v>
          </cell>
          <cell r="GM99">
            <v>0</v>
          </cell>
          <cell r="GN99">
            <v>0</v>
          </cell>
          <cell r="GO99">
            <v>0</v>
          </cell>
          <cell r="GP99">
            <v>0</v>
          </cell>
          <cell r="GQ99">
            <v>0</v>
          </cell>
          <cell r="GR99">
            <v>0</v>
          </cell>
          <cell r="GS99">
            <v>0</v>
          </cell>
          <cell r="GT99">
            <v>0</v>
          </cell>
          <cell r="GU99">
            <v>0</v>
          </cell>
          <cell r="GV99">
            <v>0</v>
          </cell>
          <cell r="GW99">
            <v>0</v>
          </cell>
          <cell r="GX99">
            <v>0</v>
          </cell>
          <cell r="GY99">
            <v>0</v>
          </cell>
          <cell r="GZ99">
            <v>0</v>
          </cell>
          <cell r="HA99">
            <v>0</v>
          </cell>
          <cell r="HB99">
            <v>0</v>
          </cell>
          <cell r="HC99">
            <v>0</v>
          </cell>
          <cell r="HD99">
            <v>0</v>
          </cell>
          <cell r="HE99">
            <v>0</v>
          </cell>
        </row>
        <row r="100">
          <cell r="B100" t="str">
            <v>HBS-24</v>
          </cell>
          <cell r="C100" t="str">
            <v>㈜ 공영토건</v>
          </cell>
          <cell r="D100">
            <v>9.7550814798832347E-2</v>
          </cell>
          <cell r="E100" t="str">
            <v>담     보</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0</v>
          </cell>
          <cell r="DQ100">
            <v>0</v>
          </cell>
          <cell r="DR100">
            <v>0</v>
          </cell>
          <cell r="DS100">
            <v>0</v>
          </cell>
          <cell r="DT100">
            <v>0</v>
          </cell>
          <cell r="DU100">
            <v>0</v>
          </cell>
          <cell r="DV100">
            <v>0</v>
          </cell>
          <cell r="DW100">
            <v>0</v>
          </cell>
          <cell r="DX100">
            <v>0</v>
          </cell>
          <cell r="DY100">
            <v>0</v>
          </cell>
          <cell r="DZ100">
            <v>0</v>
          </cell>
          <cell r="EA100">
            <v>0</v>
          </cell>
          <cell r="EB100">
            <v>0</v>
          </cell>
          <cell r="EC100">
            <v>0</v>
          </cell>
          <cell r="ED100">
            <v>0</v>
          </cell>
          <cell r="EE100">
            <v>0</v>
          </cell>
          <cell r="EF100">
            <v>0</v>
          </cell>
          <cell r="EG100">
            <v>0</v>
          </cell>
          <cell r="EH100">
            <v>0</v>
          </cell>
          <cell r="EI100">
            <v>0</v>
          </cell>
          <cell r="EJ100">
            <v>0</v>
          </cell>
          <cell r="EK100">
            <v>0</v>
          </cell>
          <cell r="EL100">
            <v>0</v>
          </cell>
          <cell r="EM100">
            <v>0</v>
          </cell>
          <cell r="EN100">
            <v>0</v>
          </cell>
          <cell r="EO100">
            <v>0</v>
          </cell>
          <cell r="EP100">
            <v>0</v>
          </cell>
          <cell r="EQ100">
            <v>0</v>
          </cell>
          <cell r="ER100">
            <v>0</v>
          </cell>
          <cell r="ES100">
            <v>0</v>
          </cell>
          <cell r="ET100">
            <v>0</v>
          </cell>
          <cell r="EU100">
            <v>0</v>
          </cell>
          <cell r="EV100">
            <v>0</v>
          </cell>
          <cell r="EW100">
            <v>0</v>
          </cell>
          <cell r="EX100">
            <v>0</v>
          </cell>
          <cell r="EY100">
            <v>0</v>
          </cell>
          <cell r="EZ100">
            <v>0</v>
          </cell>
          <cell r="FA100">
            <v>0</v>
          </cell>
          <cell r="FB100">
            <v>0</v>
          </cell>
          <cell r="FC100">
            <v>0</v>
          </cell>
          <cell r="FD100">
            <v>0</v>
          </cell>
          <cell r="FE100">
            <v>0</v>
          </cell>
          <cell r="FF100">
            <v>0</v>
          </cell>
          <cell r="FG100">
            <v>0</v>
          </cell>
          <cell r="FH100">
            <v>0</v>
          </cell>
          <cell r="FI100">
            <v>0</v>
          </cell>
          <cell r="FJ100">
            <v>0</v>
          </cell>
          <cell r="FK100">
            <v>0</v>
          </cell>
          <cell r="FL100">
            <v>0</v>
          </cell>
          <cell r="FM100">
            <v>0</v>
          </cell>
          <cell r="FN100">
            <v>0</v>
          </cell>
          <cell r="FO100">
            <v>0</v>
          </cell>
          <cell r="FP100">
            <v>0</v>
          </cell>
          <cell r="FQ100">
            <v>0</v>
          </cell>
          <cell r="FR100">
            <v>0</v>
          </cell>
          <cell r="FS100">
            <v>0</v>
          </cell>
          <cell r="FT100">
            <v>0</v>
          </cell>
          <cell r="FU100">
            <v>0</v>
          </cell>
          <cell r="FV100">
            <v>0</v>
          </cell>
          <cell r="FW100">
            <v>0</v>
          </cell>
          <cell r="FX100">
            <v>0</v>
          </cell>
          <cell r="FY100">
            <v>0</v>
          </cell>
          <cell r="FZ100">
            <v>0</v>
          </cell>
          <cell r="GA100">
            <v>0</v>
          </cell>
          <cell r="GB100">
            <v>0</v>
          </cell>
          <cell r="GC100">
            <v>0</v>
          </cell>
          <cell r="GD100">
            <v>0</v>
          </cell>
          <cell r="GE100">
            <v>0</v>
          </cell>
          <cell r="GF100">
            <v>0</v>
          </cell>
          <cell r="GG100">
            <v>0</v>
          </cell>
          <cell r="GH100">
            <v>0</v>
          </cell>
          <cell r="GI100">
            <v>0</v>
          </cell>
          <cell r="GJ100">
            <v>0</v>
          </cell>
          <cell r="GK100">
            <v>0</v>
          </cell>
          <cell r="GL100">
            <v>0</v>
          </cell>
          <cell r="GM100">
            <v>0</v>
          </cell>
          <cell r="GN100">
            <v>0</v>
          </cell>
          <cell r="GO100">
            <v>0</v>
          </cell>
          <cell r="GP100">
            <v>0</v>
          </cell>
          <cell r="GQ100">
            <v>0</v>
          </cell>
          <cell r="GR100">
            <v>0</v>
          </cell>
          <cell r="GS100">
            <v>0</v>
          </cell>
          <cell r="GT100">
            <v>0</v>
          </cell>
          <cell r="GU100">
            <v>0</v>
          </cell>
          <cell r="GV100">
            <v>0</v>
          </cell>
          <cell r="GW100">
            <v>0</v>
          </cell>
          <cell r="GX100">
            <v>0</v>
          </cell>
          <cell r="GY100">
            <v>0</v>
          </cell>
          <cell r="GZ100">
            <v>0</v>
          </cell>
          <cell r="HA100">
            <v>0</v>
          </cell>
          <cell r="HB100">
            <v>0</v>
          </cell>
          <cell r="HC100">
            <v>0</v>
          </cell>
          <cell r="HD100">
            <v>0</v>
          </cell>
          <cell r="HE100">
            <v>0</v>
          </cell>
        </row>
        <row r="101">
          <cell r="D101">
            <v>9.7550814798832347E-2</v>
          </cell>
          <cell r="E101" t="str">
            <v>무 담 보</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0</v>
          </cell>
          <cell r="CW101">
            <v>0</v>
          </cell>
          <cell r="CX101">
            <v>0</v>
          </cell>
          <cell r="CY101">
            <v>0</v>
          </cell>
          <cell r="CZ101">
            <v>0</v>
          </cell>
          <cell r="DA101">
            <v>0</v>
          </cell>
          <cell r="DB101">
            <v>0</v>
          </cell>
          <cell r="DC101">
            <v>0</v>
          </cell>
          <cell r="DD101">
            <v>0</v>
          </cell>
          <cell r="DE101">
            <v>0</v>
          </cell>
          <cell r="DF101">
            <v>0</v>
          </cell>
          <cell r="DG101">
            <v>0</v>
          </cell>
          <cell r="DH101">
            <v>0</v>
          </cell>
          <cell r="DI101">
            <v>0</v>
          </cell>
          <cell r="DJ101">
            <v>0</v>
          </cell>
          <cell r="DK101">
            <v>0</v>
          </cell>
          <cell r="DL101">
            <v>0</v>
          </cell>
          <cell r="DM101">
            <v>0</v>
          </cell>
          <cell r="DN101">
            <v>0</v>
          </cell>
          <cell r="DO101">
            <v>0</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cell r="EC101">
            <v>0</v>
          </cell>
          <cell r="ED101">
            <v>0</v>
          </cell>
          <cell r="EE101">
            <v>0</v>
          </cell>
          <cell r="EF101">
            <v>0</v>
          </cell>
          <cell r="EG101">
            <v>0</v>
          </cell>
          <cell r="EH101">
            <v>0</v>
          </cell>
          <cell r="EI101">
            <v>0</v>
          </cell>
          <cell r="EJ101">
            <v>0</v>
          </cell>
          <cell r="EK101">
            <v>0</v>
          </cell>
          <cell r="EL101">
            <v>0</v>
          </cell>
          <cell r="EM101">
            <v>0</v>
          </cell>
          <cell r="EN101">
            <v>0</v>
          </cell>
          <cell r="EO101">
            <v>0</v>
          </cell>
          <cell r="EP101">
            <v>0</v>
          </cell>
          <cell r="EQ101">
            <v>0</v>
          </cell>
          <cell r="ER101">
            <v>0</v>
          </cell>
          <cell r="ES101">
            <v>0</v>
          </cell>
          <cell r="ET101">
            <v>0</v>
          </cell>
          <cell r="EU101">
            <v>0</v>
          </cell>
          <cell r="EV101">
            <v>0</v>
          </cell>
          <cell r="EW101">
            <v>0</v>
          </cell>
          <cell r="EX101">
            <v>0</v>
          </cell>
          <cell r="EY101">
            <v>0</v>
          </cell>
          <cell r="EZ101">
            <v>0</v>
          </cell>
          <cell r="FA101">
            <v>0</v>
          </cell>
          <cell r="FB101">
            <v>0</v>
          </cell>
          <cell r="FC101">
            <v>0</v>
          </cell>
          <cell r="FD101">
            <v>0</v>
          </cell>
          <cell r="FE101">
            <v>0</v>
          </cell>
          <cell r="FF101">
            <v>0</v>
          </cell>
          <cell r="FG101">
            <v>0</v>
          </cell>
          <cell r="FH101">
            <v>0</v>
          </cell>
          <cell r="FI101">
            <v>0</v>
          </cell>
          <cell r="FJ101">
            <v>0</v>
          </cell>
          <cell r="FK101">
            <v>0</v>
          </cell>
          <cell r="FL101">
            <v>0</v>
          </cell>
          <cell r="FM101">
            <v>0</v>
          </cell>
          <cell r="FN101">
            <v>0</v>
          </cell>
          <cell r="FO101">
            <v>0</v>
          </cell>
          <cell r="FP101">
            <v>0</v>
          </cell>
          <cell r="FQ101">
            <v>0</v>
          </cell>
          <cell r="FR101">
            <v>0</v>
          </cell>
          <cell r="FS101">
            <v>0</v>
          </cell>
          <cell r="FT101">
            <v>0</v>
          </cell>
          <cell r="FU101">
            <v>0</v>
          </cell>
          <cell r="FV101">
            <v>0</v>
          </cell>
          <cell r="FW101">
            <v>0</v>
          </cell>
          <cell r="FX101">
            <v>0</v>
          </cell>
          <cell r="FY101">
            <v>0</v>
          </cell>
          <cell r="FZ101">
            <v>0</v>
          </cell>
          <cell r="GA101">
            <v>0</v>
          </cell>
          <cell r="GB101">
            <v>0</v>
          </cell>
          <cell r="GC101">
            <v>0</v>
          </cell>
          <cell r="GD101">
            <v>0</v>
          </cell>
          <cell r="GE101">
            <v>0</v>
          </cell>
          <cell r="GF101">
            <v>0</v>
          </cell>
          <cell r="GG101">
            <v>0</v>
          </cell>
          <cell r="GH101">
            <v>0</v>
          </cell>
          <cell r="GI101">
            <v>0</v>
          </cell>
          <cell r="GJ101">
            <v>0</v>
          </cell>
          <cell r="GK101">
            <v>0</v>
          </cell>
          <cell r="GL101">
            <v>0</v>
          </cell>
          <cell r="GM101">
            <v>0</v>
          </cell>
          <cell r="GN101">
            <v>0</v>
          </cell>
          <cell r="GO101">
            <v>0</v>
          </cell>
          <cell r="GP101">
            <v>0</v>
          </cell>
          <cell r="GQ101">
            <v>0</v>
          </cell>
          <cell r="GR101">
            <v>0</v>
          </cell>
          <cell r="GS101">
            <v>0</v>
          </cell>
          <cell r="GT101">
            <v>0</v>
          </cell>
          <cell r="GU101">
            <v>0</v>
          </cell>
          <cell r="GV101">
            <v>0</v>
          </cell>
          <cell r="GW101">
            <v>0</v>
          </cell>
          <cell r="GX101">
            <v>0</v>
          </cell>
          <cell r="GY101">
            <v>0</v>
          </cell>
          <cell r="GZ101">
            <v>0</v>
          </cell>
          <cell r="HA101">
            <v>0</v>
          </cell>
          <cell r="HB101">
            <v>0</v>
          </cell>
          <cell r="HC101">
            <v>0</v>
          </cell>
          <cell r="HD101">
            <v>0</v>
          </cell>
          <cell r="HE101">
            <v>0</v>
          </cell>
        </row>
        <row r="102">
          <cell r="E102" t="str">
            <v>Total</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0</v>
          </cell>
          <cell r="DM102">
            <v>0</v>
          </cell>
          <cell r="DN102">
            <v>0</v>
          </cell>
          <cell r="DO102">
            <v>0</v>
          </cell>
          <cell r="DP102">
            <v>0</v>
          </cell>
          <cell r="DQ102">
            <v>0</v>
          </cell>
          <cell r="DR102">
            <v>0</v>
          </cell>
          <cell r="DS102">
            <v>0</v>
          </cell>
          <cell r="DT102">
            <v>0</v>
          </cell>
          <cell r="DU102">
            <v>0</v>
          </cell>
          <cell r="DV102">
            <v>0</v>
          </cell>
          <cell r="DW102">
            <v>0</v>
          </cell>
          <cell r="DX102">
            <v>0</v>
          </cell>
          <cell r="DY102">
            <v>0</v>
          </cell>
          <cell r="DZ102">
            <v>0</v>
          </cell>
          <cell r="EA102">
            <v>0</v>
          </cell>
          <cell r="EB102">
            <v>0</v>
          </cell>
          <cell r="EC102">
            <v>0</v>
          </cell>
          <cell r="ED102">
            <v>0</v>
          </cell>
          <cell r="EE102">
            <v>0</v>
          </cell>
          <cell r="EF102">
            <v>0</v>
          </cell>
          <cell r="EG102">
            <v>0</v>
          </cell>
          <cell r="EH102">
            <v>0</v>
          </cell>
          <cell r="EI102">
            <v>0</v>
          </cell>
          <cell r="EJ102">
            <v>0</v>
          </cell>
          <cell r="EK102">
            <v>0</v>
          </cell>
          <cell r="EL102">
            <v>0</v>
          </cell>
          <cell r="EM102">
            <v>0</v>
          </cell>
          <cell r="EN102">
            <v>0</v>
          </cell>
          <cell r="EO102">
            <v>0</v>
          </cell>
          <cell r="EP102">
            <v>0</v>
          </cell>
          <cell r="EQ102">
            <v>0</v>
          </cell>
          <cell r="ER102">
            <v>0</v>
          </cell>
          <cell r="ES102">
            <v>0</v>
          </cell>
          <cell r="ET102">
            <v>0</v>
          </cell>
          <cell r="EU102">
            <v>0</v>
          </cell>
          <cell r="EV102">
            <v>0</v>
          </cell>
          <cell r="EW102">
            <v>0</v>
          </cell>
          <cell r="EX102">
            <v>0</v>
          </cell>
          <cell r="EY102">
            <v>0</v>
          </cell>
          <cell r="EZ102">
            <v>0</v>
          </cell>
          <cell r="FA102">
            <v>0</v>
          </cell>
          <cell r="FB102">
            <v>0</v>
          </cell>
          <cell r="FC102">
            <v>0</v>
          </cell>
          <cell r="FD102">
            <v>0</v>
          </cell>
          <cell r="FE102">
            <v>0</v>
          </cell>
          <cell r="FF102">
            <v>0</v>
          </cell>
          <cell r="FG102">
            <v>0</v>
          </cell>
          <cell r="FH102">
            <v>0</v>
          </cell>
          <cell r="FI102">
            <v>0</v>
          </cell>
          <cell r="FJ102">
            <v>0</v>
          </cell>
          <cell r="FK102">
            <v>0</v>
          </cell>
          <cell r="FL102">
            <v>0</v>
          </cell>
          <cell r="FM102">
            <v>0</v>
          </cell>
          <cell r="FN102">
            <v>0</v>
          </cell>
          <cell r="FO102">
            <v>0</v>
          </cell>
          <cell r="FP102">
            <v>0</v>
          </cell>
          <cell r="FQ102">
            <v>0</v>
          </cell>
          <cell r="FR102">
            <v>0</v>
          </cell>
          <cell r="FS102">
            <v>0</v>
          </cell>
          <cell r="FT102">
            <v>0</v>
          </cell>
          <cell r="FU102">
            <v>0</v>
          </cell>
          <cell r="FV102">
            <v>0</v>
          </cell>
          <cell r="FW102">
            <v>0</v>
          </cell>
          <cell r="FX102">
            <v>0</v>
          </cell>
          <cell r="FY102">
            <v>0</v>
          </cell>
          <cell r="FZ102">
            <v>0</v>
          </cell>
          <cell r="GA102">
            <v>0</v>
          </cell>
          <cell r="GB102">
            <v>0</v>
          </cell>
          <cell r="GC102">
            <v>0</v>
          </cell>
          <cell r="GD102">
            <v>0</v>
          </cell>
          <cell r="GE102">
            <v>0</v>
          </cell>
          <cell r="GF102">
            <v>0</v>
          </cell>
          <cell r="GG102">
            <v>0</v>
          </cell>
          <cell r="GH102">
            <v>0</v>
          </cell>
          <cell r="GI102">
            <v>0</v>
          </cell>
          <cell r="GJ102">
            <v>0</v>
          </cell>
          <cell r="GK102">
            <v>0</v>
          </cell>
          <cell r="GL102">
            <v>0</v>
          </cell>
          <cell r="GM102">
            <v>0</v>
          </cell>
          <cell r="GN102">
            <v>0</v>
          </cell>
          <cell r="GO102">
            <v>0</v>
          </cell>
          <cell r="GP102">
            <v>0</v>
          </cell>
          <cell r="GQ102">
            <v>0</v>
          </cell>
          <cell r="GR102">
            <v>0</v>
          </cell>
          <cell r="GS102">
            <v>0</v>
          </cell>
          <cell r="GT102">
            <v>0</v>
          </cell>
          <cell r="GU102">
            <v>0</v>
          </cell>
          <cell r="GV102">
            <v>0</v>
          </cell>
          <cell r="GW102">
            <v>0</v>
          </cell>
          <cell r="GX102">
            <v>0</v>
          </cell>
          <cell r="GY102">
            <v>0</v>
          </cell>
          <cell r="GZ102">
            <v>0</v>
          </cell>
          <cell r="HA102">
            <v>0</v>
          </cell>
          <cell r="HB102">
            <v>0</v>
          </cell>
          <cell r="HC102">
            <v>0</v>
          </cell>
          <cell r="HD102">
            <v>0</v>
          </cell>
          <cell r="HE102">
            <v>0</v>
          </cell>
        </row>
        <row r="103">
          <cell r="A103" t="str">
            <v>HBS-24</v>
          </cell>
          <cell r="E103" t="str">
            <v>현     가</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EI103">
            <v>0</v>
          </cell>
          <cell r="EJ103">
            <v>0</v>
          </cell>
          <cell r="EK103">
            <v>0</v>
          </cell>
          <cell r="EL103">
            <v>0</v>
          </cell>
          <cell r="EM103">
            <v>0</v>
          </cell>
          <cell r="EN103">
            <v>0</v>
          </cell>
          <cell r="EO103">
            <v>0</v>
          </cell>
          <cell r="EP103">
            <v>0</v>
          </cell>
          <cell r="EQ103">
            <v>0</v>
          </cell>
          <cell r="ER103">
            <v>0</v>
          </cell>
          <cell r="ES103">
            <v>0</v>
          </cell>
          <cell r="ET103">
            <v>0</v>
          </cell>
          <cell r="EU103">
            <v>0</v>
          </cell>
          <cell r="EV103">
            <v>0</v>
          </cell>
          <cell r="EW103">
            <v>0</v>
          </cell>
          <cell r="EX103">
            <v>0</v>
          </cell>
          <cell r="EY103">
            <v>0</v>
          </cell>
          <cell r="EZ103">
            <v>0</v>
          </cell>
          <cell r="FA103">
            <v>0</v>
          </cell>
          <cell r="FB103">
            <v>0</v>
          </cell>
          <cell r="FC103">
            <v>0</v>
          </cell>
          <cell r="FD103">
            <v>0</v>
          </cell>
          <cell r="FE103">
            <v>0</v>
          </cell>
          <cell r="FF103">
            <v>0</v>
          </cell>
          <cell r="FG103">
            <v>0</v>
          </cell>
          <cell r="FH103">
            <v>0</v>
          </cell>
          <cell r="FI103">
            <v>0</v>
          </cell>
          <cell r="FJ103">
            <v>0</v>
          </cell>
          <cell r="FK103">
            <v>0</v>
          </cell>
          <cell r="FL103">
            <v>0</v>
          </cell>
          <cell r="FM103">
            <v>0</v>
          </cell>
          <cell r="FN103">
            <v>0</v>
          </cell>
          <cell r="FO103">
            <v>0</v>
          </cell>
          <cell r="FP103">
            <v>0</v>
          </cell>
          <cell r="FQ103">
            <v>0</v>
          </cell>
          <cell r="FR103">
            <v>0</v>
          </cell>
          <cell r="FS103">
            <v>0</v>
          </cell>
          <cell r="FT103">
            <v>0</v>
          </cell>
          <cell r="FU103">
            <v>0</v>
          </cell>
          <cell r="FV103">
            <v>0</v>
          </cell>
          <cell r="FW103">
            <v>0</v>
          </cell>
          <cell r="FX103">
            <v>0</v>
          </cell>
          <cell r="FY103">
            <v>0</v>
          </cell>
          <cell r="FZ103">
            <v>0</v>
          </cell>
          <cell r="GA103">
            <v>0</v>
          </cell>
          <cell r="GB103">
            <v>0</v>
          </cell>
          <cell r="GC103">
            <v>0</v>
          </cell>
          <cell r="GD103">
            <v>0</v>
          </cell>
          <cell r="GE103">
            <v>0</v>
          </cell>
          <cell r="GF103">
            <v>0</v>
          </cell>
          <cell r="GG103">
            <v>0</v>
          </cell>
          <cell r="GH103">
            <v>0</v>
          </cell>
          <cell r="GI103">
            <v>0</v>
          </cell>
          <cell r="GJ103">
            <v>0</v>
          </cell>
          <cell r="GK103">
            <v>0</v>
          </cell>
          <cell r="GL103">
            <v>0</v>
          </cell>
          <cell r="GM103">
            <v>0</v>
          </cell>
          <cell r="GN103">
            <v>0</v>
          </cell>
          <cell r="GO103">
            <v>0</v>
          </cell>
          <cell r="GP103">
            <v>0</v>
          </cell>
          <cell r="GQ103">
            <v>0</v>
          </cell>
          <cell r="GR103">
            <v>0</v>
          </cell>
          <cell r="GS103">
            <v>0</v>
          </cell>
          <cell r="GT103">
            <v>0</v>
          </cell>
          <cell r="GU103">
            <v>0</v>
          </cell>
          <cell r="GV103">
            <v>0</v>
          </cell>
          <cell r="GW103">
            <v>0</v>
          </cell>
          <cell r="GX103">
            <v>0</v>
          </cell>
          <cell r="GY103">
            <v>0</v>
          </cell>
          <cell r="GZ103">
            <v>0</v>
          </cell>
          <cell r="HA103">
            <v>0</v>
          </cell>
          <cell r="HB103">
            <v>0</v>
          </cell>
          <cell r="HC103">
            <v>0</v>
          </cell>
          <cell r="HD103">
            <v>0</v>
          </cell>
          <cell r="HE103">
            <v>0</v>
          </cell>
        </row>
        <row r="104">
          <cell r="B104" t="str">
            <v>HBS-25</v>
          </cell>
          <cell r="C104" t="str">
            <v>스카이버</v>
          </cell>
          <cell r="D104">
            <v>0.51239196404510101</v>
          </cell>
          <cell r="E104" t="str">
            <v>담     보</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v>0</v>
          </cell>
          <cell r="DU104">
            <v>0</v>
          </cell>
          <cell r="DV104">
            <v>0</v>
          </cell>
          <cell r="DW104">
            <v>0</v>
          </cell>
          <cell r="DX104">
            <v>0</v>
          </cell>
          <cell r="DY104">
            <v>0</v>
          </cell>
          <cell r="DZ104">
            <v>0</v>
          </cell>
          <cell r="EA104">
            <v>0</v>
          </cell>
          <cell r="EB104">
            <v>0</v>
          </cell>
          <cell r="EC104">
            <v>0</v>
          </cell>
          <cell r="ED104">
            <v>0</v>
          </cell>
          <cell r="EE104">
            <v>0</v>
          </cell>
          <cell r="EF104">
            <v>0</v>
          </cell>
          <cell r="EG104">
            <v>0</v>
          </cell>
          <cell r="EH104">
            <v>0</v>
          </cell>
          <cell r="EI104">
            <v>0</v>
          </cell>
          <cell r="EJ104">
            <v>0</v>
          </cell>
          <cell r="EK104">
            <v>0</v>
          </cell>
          <cell r="EL104">
            <v>0</v>
          </cell>
          <cell r="EM104">
            <v>0</v>
          </cell>
          <cell r="EN104">
            <v>0</v>
          </cell>
          <cell r="EO104">
            <v>0</v>
          </cell>
          <cell r="EP104">
            <v>0</v>
          </cell>
          <cell r="EQ104">
            <v>0</v>
          </cell>
          <cell r="ER104">
            <v>0</v>
          </cell>
          <cell r="ES104">
            <v>0</v>
          </cell>
          <cell r="ET104">
            <v>0</v>
          </cell>
          <cell r="EU104">
            <v>0</v>
          </cell>
          <cell r="EV104">
            <v>0</v>
          </cell>
          <cell r="EW104">
            <v>0</v>
          </cell>
          <cell r="EX104">
            <v>0</v>
          </cell>
          <cell r="EY104">
            <v>0</v>
          </cell>
          <cell r="EZ104">
            <v>0</v>
          </cell>
          <cell r="FA104">
            <v>0</v>
          </cell>
          <cell r="FB104">
            <v>0</v>
          </cell>
          <cell r="FC104">
            <v>0</v>
          </cell>
          <cell r="FD104">
            <v>0</v>
          </cell>
          <cell r="FE104">
            <v>0</v>
          </cell>
          <cell r="FF104">
            <v>0</v>
          </cell>
          <cell r="FG104">
            <v>0</v>
          </cell>
          <cell r="FH104">
            <v>0</v>
          </cell>
          <cell r="FI104">
            <v>0</v>
          </cell>
          <cell r="FJ104">
            <v>0</v>
          </cell>
          <cell r="FK104">
            <v>0</v>
          </cell>
          <cell r="FL104">
            <v>0</v>
          </cell>
          <cell r="FM104">
            <v>0</v>
          </cell>
          <cell r="FN104">
            <v>0</v>
          </cell>
          <cell r="FO104">
            <v>0</v>
          </cell>
          <cell r="FP104">
            <v>0</v>
          </cell>
          <cell r="FQ104">
            <v>0</v>
          </cell>
          <cell r="FR104">
            <v>0</v>
          </cell>
          <cell r="FS104">
            <v>0</v>
          </cell>
          <cell r="FT104">
            <v>0</v>
          </cell>
          <cell r="FU104">
            <v>0</v>
          </cell>
          <cell r="FV104">
            <v>0</v>
          </cell>
          <cell r="FW104">
            <v>0</v>
          </cell>
          <cell r="FX104">
            <v>0</v>
          </cell>
          <cell r="FY104">
            <v>0</v>
          </cell>
          <cell r="FZ104">
            <v>0</v>
          </cell>
          <cell r="GA104">
            <v>0</v>
          </cell>
          <cell r="GB104">
            <v>0</v>
          </cell>
          <cell r="GC104">
            <v>0</v>
          </cell>
          <cell r="GD104">
            <v>0</v>
          </cell>
          <cell r="GE104">
            <v>0</v>
          </cell>
          <cell r="GF104">
            <v>0</v>
          </cell>
          <cell r="GG104">
            <v>0</v>
          </cell>
          <cell r="GH104">
            <v>0</v>
          </cell>
          <cell r="GI104">
            <v>0</v>
          </cell>
          <cell r="GJ104">
            <v>0</v>
          </cell>
          <cell r="GK104">
            <v>0</v>
          </cell>
          <cell r="GL104">
            <v>0</v>
          </cell>
          <cell r="GM104">
            <v>0</v>
          </cell>
          <cell r="GN104">
            <v>0</v>
          </cell>
          <cell r="GO104">
            <v>0</v>
          </cell>
          <cell r="GP104">
            <v>0</v>
          </cell>
          <cell r="GQ104">
            <v>0</v>
          </cell>
          <cell r="GR104">
            <v>0</v>
          </cell>
          <cell r="GS104">
            <v>0</v>
          </cell>
          <cell r="GT104">
            <v>0</v>
          </cell>
          <cell r="GU104">
            <v>0</v>
          </cell>
          <cell r="GV104">
            <v>0</v>
          </cell>
          <cell r="GW104">
            <v>0</v>
          </cell>
          <cell r="GX104">
            <v>0</v>
          </cell>
          <cell r="GY104">
            <v>0</v>
          </cell>
          <cell r="GZ104">
            <v>0</v>
          </cell>
          <cell r="HA104">
            <v>0</v>
          </cell>
          <cell r="HB104">
            <v>0</v>
          </cell>
          <cell r="HC104">
            <v>0</v>
          </cell>
          <cell r="HD104">
            <v>0</v>
          </cell>
          <cell r="HE104">
            <v>0</v>
          </cell>
        </row>
        <row r="105">
          <cell r="D105">
            <v>0.51239196404510101</v>
          </cell>
          <cell r="E105" t="str">
            <v>무 담 보</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v>0</v>
          </cell>
          <cell r="DU105">
            <v>0</v>
          </cell>
          <cell r="DV105">
            <v>0</v>
          </cell>
          <cell r="DW105">
            <v>0</v>
          </cell>
          <cell r="DX105">
            <v>0</v>
          </cell>
          <cell r="DY105">
            <v>0</v>
          </cell>
          <cell r="DZ105">
            <v>0</v>
          </cell>
          <cell r="EA105">
            <v>0</v>
          </cell>
          <cell r="EB105">
            <v>0</v>
          </cell>
          <cell r="EC105">
            <v>0</v>
          </cell>
          <cell r="ED105">
            <v>0</v>
          </cell>
          <cell r="EE105">
            <v>0</v>
          </cell>
          <cell r="EF105">
            <v>0</v>
          </cell>
          <cell r="EG105">
            <v>0</v>
          </cell>
          <cell r="EH105">
            <v>0</v>
          </cell>
          <cell r="EI105">
            <v>0</v>
          </cell>
          <cell r="EJ105">
            <v>0</v>
          </cell>
          <cell r="EK105">
            <v>0</v>
          </cell>
          <cell r="EL105">
            <v>0</v>
          </cell>
          <cell r="EM105">
            <v>0</v>
          </cell>
          <cell r="EN105">
            <v>0</v>
          </cell>
          <cell r="EO105">
            <v>0</v>
          </cell>
          <cell r="EP105">
            <v>0</v>
          </cell>
          <cell r="EQ105">
            <v>0</v>
          </cell>
          <cell r="ER105">
            <v>0</v>
          </cell>
          <cell r="ES105">
            <v>0</v>
          </cell>
          <cell r="ET105">
            <v>0</v>
          </cell>
          <cell r="EU105">
            <v>0</v>
          </cell>
          <cell r="EV105">
            <v>0</v>
          </cell>
          <cell r="EW105">
            <v>0</v>
          </cell>
          <cell r="EX105">
            <v>0</v>
          </cell>
          <cell r="EY105">
            <v>0</v>
          </cell>
          <cell r="EZ105">
            <v>0</v>
          </cell>
          <cell r="FA105">
            <v>0</v>
          </cell>
          <cell r="FB105">
            <v>0</v>
          </cell>
          <cell r="FC105">
            <v>0</v>
          </cell>
          <cell r="FD105">
            <v>0</v>
          </cell>
          <cell r="FE105">
            <v>0</v>
          </cell>
          <cell r="FF105">
            <v>0</v>
          </cell>
          <cell r="FG105">
            <v>0</v>
          </cell>
          <cell r="FH105">
            <v>0</v>
          </cell>
          <cell r="FI105">
            <v>0</v>
          </cell>
          <cell r="FJ105">
            <v>0</v>
          </cell>
          <cell r="FK105">
            <v>0</v>
          </cell>
          <cell r="FL105">
            <v>0</v>
          </cell>
          <cell r="FM105">
            <v>0</v>
          </cell>
          <cell r="FN105">
            <v>0</v>
          </cell>
          <cell r="FO105">
            <v>0</v>
          </cell>
          <cell r="FP105">
            <v>0</v>
          </cell>
          <cell r="FQ105">
            <v>0</v>
          </cell>
          <cell r="FR105">
            <v>0</v>
          </cell>
          <cell r="FS105">
            <v>0</v>
          </cell>
          <cell r="FT105">
            <v>0</v>
          </cell>
          <cell r="FU105">
            <v>0</v>
          </cell>
          <cell r="FV105">
            <v>0</v>
          </cell>
          <cell r="FW105">
            <v>0</v>
          </cell>
          <cell r="FX105">
            <v>0</v>
          </cell>
          <cell r="FY105">
            <v>0</v>
          </cell>
          <cell r="FZ105">
            <v>0</v>
          </cell>
          <cell r="GA105">
            <v>0</v>
          </cell>
          <cell r="GB105">
            <v>0</v>
          </cell>
          <cell r="GC105">
            <v>0</v>
          </cell>
          <cell r="GD105">
            <v>0</v>
          </cell>
          <cell r="GE105">
            <v>0</v>
          </cell>
          <cell r="GF105">
            <v>0</v>
          </cell>
          <cell r="GG105">
            <v>0</v>
          </cell>
          <cell r="GH105">
            <v>0</v>
          </cell>
          <cell r="GI105">
            <v>0</v>
          </cell>
          <cell r="GJ105">
            <v>0</v>
          </cell>
          <cell r="GK105">
            <v>0</v>
          </cell>
          <cell r="GL105">
            <v>0</v>
          </cell>
          <cell r="GM105">
            <v>0</v>
          </cell>
          <cell r="GN105">
            <v>0</v>
          </cell>
          <cell r="GO105">
            <v>0</v>
          </cell>
          <cell r="GP105">
            <v>0</v>
          </cell>
          <cell r="GQ105">
            <v>0</v>
          </cell>
          <cell r="GR105">
            <v>0</v>
          </cell>
          <cell r="GS105">
            <v>0</v>
          </cell>
          <cell r="GT105">
            <v>0</v>
          </cell>
          <cell r="GU105">
            <v>0</v>
          </cell>
          <cell r="GV105">
            <v>0</v>
          </cell>
          <cell r="GW105">
            <v>0</v>
          </cell>
          <cell r="GX105">
            <v>0</v>
          </cell>
          <cell r="GY105">
            <v>0</v>
          </cell>
          <cell r="GZ105">
            <v>0</v>
          </cell>
          <cell r="HA105">
            <v>0</v>
          </cell>
          <cell r="HB105">
            <v>0</v>
          </cell>
          <cell r="HC105">
            <v>0</v>
          </cell>
          <cell r="HD105">
            <v>0</v>
          </cell>
          <cell r="HE105">
            <v>0</v>
          </cell>
        </row>
        <row r="106">
          <cell r="E106" t="str">
            <v>Total</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v>0</v>
          </cell>
          <cell r="CM106">
            <v>0</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0</v>
          </cell>
          <cell r="DF106">
            <v>0</v>
          </cell>
          <cell r="DG106">
            <v>0</v>
          </cell>
          <cell r="DH106">
            <v>0</v>
          </cell>
          <cell r="DI106">
            <v>0</v>
          </cell>
          <cell r="DJ106">
            <v>0</v>
          </cell>
          <cell r="DK106">
            <v>0</v>
          </cell>
          <cell r="DL106">
            <v>0</v>
          </cell>
          <cell r="DM106">
            <v>0</v>
          </cell>
          <cell r="DN106">
            <v>0</v>
          </cell>
          <cell r="DO106">
            <v>0</v>
          </cell>
          <cell r="DP106">
            <v>0</v>
          </cell>
          <cell r="DQ106">
            <v>0</v>
          </cell>
          <cell r="DR106">
            <v>0</v>
          </cell>
          <cell r="DS106">
            <v>0</v>
          </cell>
          <cell r="DT106">
            <v>0</v>
          </cell>
          <cell r="DU106">
            <v>0</v>
          </cell>
          <cell r="DV106">
            <v>0</v>
          </cell>
          <cell r="DW106">
            <v>0</v>
          </cell>
          <cell r="DX106">
            <v>0</v>
          </cell>
          <cell r="DY106">
            <v>0</v>
          </cell>
          <cell r="DZ106">
            <v>0</v>
          </cell>
          <cell r="EA106">
            <v>0</v>
          </cell>
          <cell r="EB106">
            <v>0</v>
          </cell>
          <cell r="EC106">
            <v>0</v>
          </cell>
          <cell r="ED106">
            <v>0</v>
          </cell>
          <cell r="EE106">
            <v>0</v>
          </cell>
          <cell r="EF106">
            <v>0</v>
          </cell>
          <cell r="EG106">
            <v>0</v>
          </cell>
          <cell r="EH106">
            <v>0</v>
          </cell>
          <cell r="EI106">
            <v>0</v>
          </cell>
          <cell r="EJ106">
            <v>0</v>
          </cell>
          <cell r="EK106">
            <v>0</v>
          </cell>
          <cell r="EL106">
            <v>0</v>
          </cell>
          <cell r="EM106">
            <v>0</v>
          </cell>
          <cell r="EN106">
            <v>0</v>
          </cell>
          <cell r="EO106">
            <v>0</v>
          </cell>
          <cell r="EP106">
            <v>0</v>
          </cell>
          <cell r="EQ106">
            <v>0</v>
          </cell>
          <cell r="ER106">
            <v>0</v>
          </cell>
          <cell r="ES106">
            <v>0</v>
          </cell>
          <cell r="ET106">
            <v>0</v>
          </cell>
          <cell r="EU106">
            <v>0</v>
          </cell>
          <cell r="EV106">
            <v>0</v>
          </cell>
          <cell r="EW106">
            <v>0</v>
          </cell>
          <cell r="EX106">
            <v>0</v>
          </cell>
          <cell r="EY106">
            <v>0</v>
          </cell>
          <cell r="EZ106">
            <v>0</v>
          </cell>
          <cell r="FA106">
            <v>0</v>
          </cell>
          <cell r="FB106">
            <v>0</v>
          </cell>
          <cell r="FC106">
            <v>0</v>
          </cell>
          <cell r="FD106">
            <v>0</v>
          </cell>
          <cell r="FE106">
            <v>0</v>
          </cell>
          <cell r="FF106">
            <v>0</v>
          </cell>
          <cell r="FG106">
            <v>0</v>
          </cell>
          <cell r="FH106">
            <v>0</v>
          </cell>
          <cell r="FI106">
            <v>0</v>
          </cell>
          <cell r="FJ106">
            <v>0</v>
          </cell>
          <cell r="FK106">
            <v>0</v>
          </cell>
          <cell r="FL106">
            <v>0</v>
          </cell>
          <cell r="FM106">
            <v>0</v>
          </cell>
          <cell r="FN106">
            <v>0</v>
          </cell>
          <cell r="FO106">
            <v>0</v>
          </cell>
          <cell r="FP106">
            <v>0</v>
          </cell>
          <cell r="FQ106">
            <v>0</v>
          </cell>
          <cell r="FR106">
            <v>0</v>
          </cell>
          <cell r="FS106">
            <v>0</v>
          </cell>
          <cell r="FT106">
            <v>0</v>
          </cell>
          <cell r="FU106">
            <v>0</v>
          </cell>
          <cell r="FV106">
            <v>0</v>
          </cell>
          <cell r="FW106">
            <v>0</v>
          </cell>
          <cell r="FX106">
            <v>0</v>
          </cell>
          <cell r="FY106">
            <v>0</v>
          </cell>
          <cell r="FZ106">
            <v>0</v>
          </cell>
          <cell r="GA106">
            <v>0</v>
          </cell>
          <cell r="GB106">
            <v>0</v>
          </cell>
          <cell r="GC106">
            <v>0</v>
          </cell>
          <cell r="GD106">
            <v>0</v>
          </cell>
          <cell r="GE106">
            <v>0</v>
          </cell>
          <cell r="GF106">
            <v>0</v>
          </cell>
          <cell r="GG106">
            <v>0</v>
          </cell>
          <cell r="GH106">
            <v>0</v>
          </cell>
          <cell r="GI106">
            <v>0</v>
          </cell>
          <cell r="GJ106">
            <v>0</v>
          </cell>
          <cell r="GK106">
            <v>0</v>
          </cell>
          <cell r="GL106">
            <v>0</v>
          </cell>
          <cell r="GM106">
            <v>0</v>
          </cell>
          <cell r="GN106">
            <v>0</v>
          </cell>
          <cell r="GO106">
            <v>0</v>
          </cell>
          <cell r="GP106">
            <v>0</v>
          </cell>
          <cell r="GQ106">
            <v>0</v>
          </cell>
          <cell r="GR106">
            <v>0</v>
          </cell>
          <cell r="GS106">
            <v>0</v>
          </cell>
          <cell r="GT106">
            <v>0</v>
          </cell>
          <cell r="GU106">
            <v>0</v>
          </cell>
          <cell r="GV106">
            <v>0</v>
          </cell>
          <cell r="GW106">
            <v>0</v>
          </cell>
          <cell r="GX106">
            <v>0</v>
          </cell>
          <cell r="GY106">
            <v>0</v>
          </cell>
          <cell r="GZ106">
            <v>0</v>
          </cell>
          <cell r="HA106">
            <v>0</v>
          </cell>
          <cell r="HB106">
            <v>0</v>
          </cell>
          <cell r="HC106">
            <v>0</v>
          </cell>
          <cell r="HD106">
            <v>0</v>
          </cell>
          <cell r="HE106">
            <v>0</v>
          </cell>
        </row>
        <row r="107">
          <cell r="A107" t="str">
            <v>HBS-25</v>
          </cell>
          <cell r="E107" t="str">
            <v>현     가</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0</v>
          </cell>
          <cell r="DQ107">
            <v>0</v>
          </cell>
          <cell r="DR107">
            <v>0</v>
          </cell>
          <cell r="DS107">
            <v>0</v>
          </cell>
          <cell r="DT107">
            <v>0</v>
          </cell>
          <cell r="DU107">
            <v>0</v>
          </cell>
          <cell r="DV107">
            <v>0</v>
          </cell>
          <cell r="DW107">
            <v>0</v>
          </cell>
          <cell r="DX107">
            <v>0</v>
          </cell>
          <cell r="DY107">
            <v>0</v>
          </cell>
          <cell r="DZ107">
            <v>0</v>
          </cell>
          <cell r="EA107">
            <v>0</v>
          </cell>
          <cell r="EB107">
            <v>0</v>
          </cell>
          <cell r="EC107">
            <v>0</v>
          </cell>
          <cell r="ED107">
            <v>0</v>
          </cell>
          <cell r="EE107">
            <v>0</v>
          </cell>
          <cell r="EF107">
            <v>0</v>
          </cell>
          <cell r="EG107">
            <v>0</v>
          </cell>
          <cell r="EH107">
            <v>0</v>
          </cell>
          <cell r="EI107">
            <v>0</v>
          </cell>
          <cell r="EJ107">
            <v>0</v>
          </cell>
          <cell r="EK107">
            <v>0</v>
          </cell>
          <cell r="EL107">
            <v>0</v>
          </cell>
          <cell r="EM107">
            <v>0</v>
          </cell>
          <cell r="EN107">
            <v>0</v>
          </cell>
          <cell r="EO107">
            <v>0</v>
          </cell>
          <cell r="EP107">
            <v>0</v>
          </cell>
          <cell r="EQ107">
            <v>0</v>
          </cell>
          <cell r="ER107">
            <v>0</v>
          </cell>
          <cell r="ES107">
            <v>0</v>
          </cell>
          <cell r="ET107">
            <v>0</v>
          </cell>
          <cell r="EU107">
            <v>0</v>
          </cell>
          <cell r="EV107">
            <v>0</v>
          </cell>
          <cell r="EW107">
            <v>0</v>
          </cell>
          <cell r="EX107">
            <v>0</v>
          </cell>
          <cell r="EY107">
            <v>0</v>
          </cell>
          <cell r="EZ107">
            <v>0</v>
          </cell>
          <cell r="FA107">
            <v>0</v>
          </cell>
          <cell r="FB107">
            <v>0</v>
          </cell>
          <cell r="FC107">
            <v>0</v>
          </cell>
          <cell r="FD107">
            <v>0</v>
          </cell>
          <cell r="FE107">
            <v>0</v>
          </cell>
          <cell r="FF107">
            <v>0</v>
          </cell>
          <cell r="FG107">
            <v>0</v>
          </cell>
          <cell r="FH107">
            <v>0</v>
          </cell>
          <cell r="FI107">
            <v>0</v>
          </cell>
          <cell r="FJ107">
            <v>0</v>
          </cell>
          <cell r="FK107">
            <v>0</v>
          </cell>
          <cell r="FL107">
            <v>0</v>
          </cell>
          <cell r="FM107">
            <v>0</v>
          </cell>
          <cell r="FN107">
            <v>0</v>
          </cell>
          <cell r="FO107">
            <v>0</v>
          </cell>
          <cell r="FP107">
            <v>0</v>
          </cell>
          <cell r="FQ107">
            <v>0</v>
          </cell>
          <cell r="FR107">
            <v>0</v>
          </cell>
          <cell r="FS107">
            <v>0</v>
          </cell>
          <cell r="FT107">
            <v>0</v>
          </cell>
          <cell r="FU107">
            <v>0</v>
          </cell>
          <cell r="FV107">
            <v>0</v>
          </cell>
          <cell r="FW107">
            <v>0</v>
          </cell>
          <cell r="FX107">
            <v>0</v>
          </cell>
          <cell r="FY107">
            <v>0</v>
          </cell>
          <cell r="FZ107">
            <v>0</v>
          </cell>
          <cell r="GA107">
            <v>0</v>
          </cell>
          <cell r="GB107">
            <v>0</v>
          </cell>
          <cell r="GC107">
            <v>0</v>
          </cell>
          <cell r="GD107">
            <v>0</v>
          </cell>
          <cell r="GE107">
            <v>0</v>
          </cell>
          <cell r="GF107">
            <v>0</v>
          </cell>
          <cell r="GG107">
            <v>0</v>
          </cell>
          <cell r="GH107">
            <v>0</v>
          </cell>
          <cell r="GI107">
            <v>0</v>
          </cell>
          <cell r="GJ107">
            <v>0</v>
          </cell>
          <cell r="GK107">
            <v>0</v>
          </cell>
          <cell r="GL107">
            <v>0</v>
          </cell>
          <cell r="GM107">
            <v>0</v>
          </cell>
          <cell r="GN107">
            <v>0</v>
          </cell>
          <cell r="GO107">
            <v>0</v>
          </cell>
          <cell r="GP107">
            <v>0</v>
          </cell>
          <cell r="GQ107">
            <v>0</v>
          </cell>
          <cell r="GR107">
            <v>0</v>
          </cell>
          <cell r="GS107">
            <v>0</v>
          </cell>
          <cell r="GT107">
            <v>0</v>
          </cell>
          <cell r="GU107">
            <v>0</v>
          </cell>
          <cell r="GV107">
            <v>0</v>
          </cell>
          <cell r="GW107">
            <v>0</v>
          </cell>
          <cell r="GX107">
            <v>0</v>
          </cell>
          <cell r="GY107">
            <v>0</v>
          </cell>
          <cell r="GZ107">
            <v>0</v>
          </cell>
          <cell r="HA107">
            <v>0</v>
          </cell>
          <cell r="HB107">
            <v>0</v>
          </cell>
          <cell r="HC107">
            <v>0</v>
          </cell>
          <cell r="HD107">
            <v>0</v>
          </cell>
          <cell r="HE107">
            <v>0</v>
          </cell>
        </row>
        <row r="108">
          <cell r="B108" t="str">
            <v>HBS-26</v>
          </cell>
          <cell r="C108" t="str">
            <v>삼웅기업㈜</v>
          </cell>
          <cell r="D108">
            <v>0.3</v>
          </cell>
          <cell r="E108" t="str">
            <v>담     보</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0</v>
          </cell>
          <cell r="DH108">
            <v>0</v>
          </cell>
          <cell r="DI108">
            <v>0</v>
          </cell>
          <cell r="DJ108">
            <v>0</v>
          </cell>
          <cell r="DK108">
            <v>0</v>
          </cell>
          <cell r="DL108">
            <v>0</v>
          </cell>
          <cell r="DM108">
            <v>0</v>
          </cell>
          <cell r="DN108">
            <v>0</v>
          </cell>
          <cell r="DO108">
            <v>0</v>
          </cell>
          <cell r="DP108">
            <v>0</v>
          </cell>
          <cell r="DQ108">
            <v>0</v>
          </cell>
          <cell r="DR108">
            <v>0</v>
          </cell>
          <cell r="DS108">
            <v>0</v>
          </cell>
          <cell r="DT108">
            <v>0</v>
          </cell>
          <cell r="DU108">
            <v>0</v>
          </cell>
          <cell r="DV108">
            <v>0</v>
          </cell>
          <cell r="DW108">
            <v>0</v>
          </cell>
          <cell r="DX108">
            <v>0</v>
          </cell>
          <cell r="DY108">
            <v>0</v>
          </cell>
          <cell r="DZ108">
            <v>0</v>
          </cell>
          <cell r="EA108">
            <v>0</v>
          </cell>
          <cell r="EB108">
            <v>0</v>
          </cell>
          <cell r="EC108">
            <v>0</v>
          </cell>
          <cell r="ED108">
            <v>0</v>
          </cell>
          <cell r="EE108">
            <v>0</v>
          </cell>
          <cell r="EF108">
            <v>0</v>
          </cell>
          <cell r="EG108">
            <v>0</v>
          </cell>
          <cell r="EH108">
            <v>0</v>
          </cell>
          <cell r="EI108">
            <v>0</v>
          </cell>
          <cell r="EJ108">
            <v>0</v>
          </cell>
          <cell r="EK108">
            <v>0</v>
          </cell>
          <cell r="EL108">
            <v>0</v>
          </cell>
          <cell r="EM108">
            <v>0</v>
          </cell>
          <cell r="EN108">
            <v>0</v>
          </cell>
          <cell r="EO108">
            <v>0</v>
          </cell>
          <cell r="EP108">
            <v>0</v>
          </cell>
          <cell r="EQ108">
            <v>0</v>
          </cell>
          <cell r="ER108">
            <v>0</v>
          </cell>
          <cell r="ES108">
            <v>0</v>
          </cell>
          <cell r="ET108">
            <v>0</v>
          </cell>
          <cell r="EU108">
            <v>0</v>
          </cell>
          <cell r="EV108">
            <v>0</v>
          </cell>
          <cell r="EW108">
            <v>0</v>
          </cell>
          <cell r="EX108">
            <v>0</v>
          </cell>
          <cell r="EY108">
            <v>0</v>
          </cell>
          <cell r="EZ108">
            <v>0</v>
          </cell>
          <cell r="FA108">
            <v>0</v>
          </cell>
          <cell r="FB108">
            <v>0</v>
          </cell>
          <cell r="FC108">
            <v>0</v>
          </cell>
          <cell r="FD108">
            <v>0</v>
          </cell>
          <cell r="FE108">
            <v>0</v>
          </cell>
          <cell r="FF108">
            <v>0</v>
          </cell>
          <cell r="FG108">
            <v>0</v>
          </cell>
          <cell r="FH108">
            <v>0</v>
          </cell>
          <cell r="FI108">
            <v>0</v>
          </cell>
          <cell r="FJ108">
            <v>0</v>
          </cell>
          <cell r="FK108">
            <v>0</v>
          </cell>
          <cell r="FL108">
            <v>0</v>
          </cell>
          <cell r="FM108">
            <v>0</v>
          </cell>
          <cell r="FN108">
            <v>0</v>
          </cell>
          <cell r="FO108">
            <v>0</v>
          </cell>
          <cell r="FP108">
            <v>0</v>
          </cell>
          <cell r="FQ108">
            <v>0</v>
          </cell>
          <cell r="FR108">
            <v>0</v>
          </cell>
          <cell r="FS108">
            <v>0</v>
          </cell>
          <cell r="FT108">
            <v>0</v>
          </cell>
          <cell r="FU108">
            <v>0</v>
          </cell>
          <cell r="FV108">
            <v>0</v>
          </cell>
          <cell r="FW108">
            <v>0</v>
          </cell>
          <cell r="FX108">
            <v>0</v>
          </cell>
          <cell r="FY108">
            <v>0</v>
          </cell>
          <cell r="FZ108">
            <v>0</v>
          </cell>
          <cell r="GA108">
            <v>0</v>
          </cell>
          <cell r="GB108">
            <v>0</v>
          </cell>
          <cell r="GC108">
            <v>0</v>
          </cell>
          <cell r="GD108">
            <v>0</v>
          </cell>
          <cell r="GE108">
            <v>0</v>
          </cell>
          <cell r="GF108">
            <v>0</v>
          </cell>
          <cell r="GG108">
            <v>0</v>
          </cell>
          <cell r="GH108">
            <v>0</v>
          </cell>
          <cell r="GI108">
            <v>0</v>
          </cell>
          <cell r="GJ108">
            <v>0</v>
          </cell>
          <cell r="GK108">
            <v>0</v>
          </cell>
          <cell r="GL108">
            <v>0</v>
          </cell>
          <cell r="GM108">
            <v>0</v>
          </cell>
          <cell r="GN108">
            <v>0</v>
          </cell>
          <cell r="GO108">
            <v>0</v>
          </cell>
          <cell r="GP108">
            <v>0</v>
          </cell>
          <cell r="GQ108">
            <v>0</v>
          </cell>
          <cell r="GR108">
            <v>0</v>
          </cell>
          <cell r="GS108">
            <v>0</v>
          </cell>
          <cell r="GT108">
            <v>0</v>
          </cell>
          <cell r="GU108">
            <v>0</v>
          </cell>
          <cell r="GV108">
            <v>0</v>
          </cell>
          <cell r="GW108">
            <v>0</v>
          </cell>
          <cell r="GX108">
            <v>0</v>
          </cell>
          <cell r="GY108">
            <v>0</v>
          </cell>
          <cell r="GZ108">
            <v>0</v>
          </cell>
          <cell r="HA108">
            <v>0</v>
          </cell>
          <cell r="HB108">
            <v>0</v>
          </cell>
          <cell r="HC108">
            <v>0</v>
          </cell>
          <cell r="HD108">
            <v>0</v>
          </cell>
          <cell r="HE108">
            <v>0</v>
          </cell>
        </row>
        <row r="109">
          <cell r="D109">
            <v>0.3</v>
          </cell>
          <cell r="E109" t="str">
            <v>무 담 보</v>
          </cell>
          <cell r="F109">
            <v>0</v>
          </cell>
          <cell r="G109">
            <v>0</v>
          </cell>
          <cell r="H109">
            <v>1218623.8304882098</v>
          </cell>
          <cell r="I109">
            <v>0</v>
          </cell>
          <cell r="J109">
            <v>0</v>
          </cell>
          <cell r="K109">
            <v>0</v>
          </cell>
          <cell r="L109">
            <v>0</v>
          </cell>
          <cell r="M109">
            <v>0</v>
          </cell>
          <cell r="N109">
            <v>0</v>
          </cell>
          <cell r="O109">
            <v>0</v>
          </cell>
          <cell r="P109">
            <v>0</v>
          </cell>
          <cell r="Q109">
            <v>0</v>
          </cell>
          <cell r="R109">
            <v>0</v>
          </cell>
          <cell r="S109">
            <v>0</v>
          </cell>
          <cell r="T109">
            <v>1002919.86</v>
          </cell>
          <cell r="U109">
            <v>0</v>
          </cell>
          <cell r="V109">
            <v>0</v>
          </cell>
          <cell r="W109">
            <v>0</v>
          </cell>
          <cell r="X109">
            <v>0</v>
          </cell>
          <cell r="Y109">
            <v>0</v>
          </cell>
          <cell r="Z109">
            <v>0</v>
          </cell>
          <cell r="AA109">
            <v>0</v>
          </cell>
          <cell r="AB109">
            <v>0</v>
          </cell>
          <cell r="AC109">
            <v>0</v>
          </cell>
          <cell r="AD109">
            <v>0</v>
          </cell>
          <cell r="AE109">
            <v>0</v>
          </cell>
          <cell r="AF109">
            <v>1002919.86</v>
          </cell>
          <cell r="AG109">
            <v>0</v>
          </cell>
          <cell r="AH109">
            <v>0</v>
          </cell>
          <cell r="AI109">
            <v>0</v>
          </cell>
          <cell r="AJ109">
            <v>0</v>
          </cell>
          <cell r="AK109">
            <v>0</v>
          </cell>
          <cell r="AL109">
            <v>0</v>
          </cell>
          <cell r="AM109">
            <v>0</v>
          </cell>
          <cell r="AN109">
            <v>0</v>
          </cell>
          <cell r="AO109">
            <v>0</v>
          </cell>
          <cell r="AP109">
            <v>0</v>
          </cell>
          <cell r="AQ109">
            <v>0</v>
          </cell>
          <cell r="AR109">
            <v>1003603.0376874013</v>
          </cell>
          <cell r="AS109">
            <v>0</v>
          </cell>
          <cell r="AT109">
            <v>0</v>
          </cell>
          <cell r="AU109">
            <v>0</v>
          </cell>
          <cell r="AV109">
            <v>0</v>
          </cell>
          <cell r="AW109">
            <v>0</v>
          </cell>
          <cell r="AX109">
            <v>0</v>
          </cell>
          <cell r="AY109">
            <v>0</v>
          </cell>
          <cell r="AZ109">
            <v>0</v>
          </cell>
          <cell r="BA109">
            <v>0</v>
          </cell>
          <cell r="BB109">
            <v>0</v>
          </cell>
          <cell r="BC109">
            <v>0</v>
          </cell>
          <cell r="BD109">
            <v>1002244.1897597123</v>
          </cell>
          <cell r="BE109">
            <v>0</v>
          </cell>
          <cell r="BF109">
            <v>0</v>
          </cell>
          <cell r="BG109">
            <v>0</v>
          </cell>
          <cell r="BH109">
            <v>0</v>
          </cell>
          <cell r="BI109">
            <v>0</v>
          </cell>
          <cell r="BJ109">
            <v>0</v>
          </cell>
          <cell r="BK109">
            <v>0</v>
          </cell>
          <cell r="BL109">
            <v>0</v>
          </cell>
          <cell r="BM109">
            <v>0</v>
          </cell>
          <cell r="BN109">
            <v>0</v>
          </cell>
          <cell r="BO109">
            <v>0</v>
          </cell>
          <cell r="BP109">
            <v>6574696.8599999994</v>
          </cell>
          <cell r="BQ109">
            <v>0</v>
          </cell>
          <cell r="BR109">
            <v>0</v>
          </cell>
          <cell r="BS109">
            <v>0</v>
          </cell>
          <cell r="BT109">
            <v>0</v>
          </cell>
          <cell r="BU109">
            <v>0</v>
          </cell>
          <cell r="BV109">
            <v>0</v>
          </cell>
          <cell r="BW109">
            <v>0</v>
          </cell>
          <cell r="BX109">
            <v>0</v>
          </cell>
          <cell r="BY109">
            <v>0</v>
          </cell>
          <cell r="BZ109">
            <v>0</v>
          </cell>
          <cell r="CA109">
            <v>0</v>
          </cell>
          <cell r="CB109">
            <v>6407543.5499999998</v>
          </cell>
          <cell r="CC109">
            <v>0</v>
          </cell>
          <cell r="CD109">
            <v>0</v>
          </cell>
          <cell r="CE109">
            <v>0</v>
          </cell>
          <cell r="CF109">
            <v>0</v>
          </cell>
          <cell r="CG109">
            <v>0</v>
          </cell>
          <cell r="CH109">
            <v>0</v>
          </cell>
          <cell r="CI109">
            <v>0</v>
          </cell>
          <cell r="CJ109">
            <v>0</v>
          </cell>
          <cell r="CK109">
            <v>0</v>
          </cell>
          <cell r="CL109">
            <v>0</v>
          </cell>
          <cell r="CM109">
            <v>0</v>
          </cell>
          <cell r="CN109">
            <v>6240845.6917916005</v>
          </cell>
          <cell r="CO109">
            <v>0</v>
          </cell>
          <cell r="CP109">
            <v>0</v>
          </cell>
          <cell r="CQ109">
            <v>0</v>
          </cell>
          <cell r="CR109">
            <v>0</v>
          </cell>
          <cell r="CS109">
            <v>0</v>
          </cell>
          <cell r="CT109">
            <v>0</v>
          </cell>
          <cell r="CU109">
            <v>0</v>
          </cell>
          <cell r="CV109">
            <v>0</v>
          </cell>
          <cell r="CW109">
            <v>0</v>
          </cell>
          <cell r="CX109">
            <v>0</v>
          </cell>
          <cell r="CY109">
            <v>0</v>
          </cell>
          <cell r="CZ109">
            <v>6072899.0948798563</v>
          </cell>
          <cell r="DA109">
            <v>0</v>
          </cell>
          <cell r="DB109">
            <v>0</v>
          </cell>
          <cell r="DC109">
            <v>0</v>
          </cell>
          <cell r="DD109">
            <v>0</v>
          </cell>
          <cell r="DE109">
            <v>0</v>
          </cell>
          <cell r="DF109">
            <v>0</v>
          </cell>
          <cell r="DG109">
            <v>0</v>
          </cell>
          <cell r="DH109">
            <v>0</v>
          </cell>
          <cell r="DI109">
            <v>0</v>
          </cell>
          <cell r="DJ109">
            <v>0</v>
          </cell>
          <cell r="DK109">
            <v>0</v>
          </cell>
          <cell r="DL109">
            <v>5906083.6199999992</v>
          </cell>
          <cell r="DM109">
            <v>0</v>
          </cell>
          <cell r="DN109">
            <v>0</v>
          </cell>
          <cell r="DO109">
            <v>0</v>
          </cell>
          <cell r="DP109">
            <v>0</v>
          </cell>
          <cell r="DQ109">
            <v>0</v>
          </cell>
          <cell r="DR109">
            <v>0</v>
          </cell>
          <cell r="DS109">
            <v>0</v>
          </cell>
          <cell r="DT109">
            <v>0</v>
          </cell>
          <cell r="DU109">
            <v>0</v>
          </cell>
          <cell r="DV109">
            <v>0</v>
          </cell>
          <cell r="DW109">
            <v>0</v>
          </cell>
          <cell r="DX109">
            <v>5738930.3099999996</v>
          </cell>
          <cell r="DY109">
            <v>0</v>
          </cell>
          <cell r="DZ109">
            <v>0</v>
          </cell>
          <cell r="EA109">
            <v>0</v>
          </cell>
          <cell r="EB109">
            <v>0</v>
          </cell>
          <cell r="EC109">
            <v>0</v>
          </cell>
          <cell r="ED109">
            <v>0</v>
          </cell>
          <cell r="EE109">
            <v>0</v>
          </cell>
          <cell r="EF109">
            <v>0</v>
          </cell>
          <cell r="EG109">
            <v>0</v>
          </cell>
          <cell r="EH109">
            <v>0</v>
          </cell>
          <cell r="EI109">
            <v>0</v>
          </cell>
          <cell r="EJ109">
            <v>0</v>
          </cell>
          <cell r="EK109">
            <v>0</v>
          </cell>
          <cell r="EL109">
            <v>0</v>
          </cell>
          <cell r="EM109">
            <v>0</v>
          </cell>
          <cell r="EN109">
            <v>0</v>
          </cell>
          <cell r="EO109">
            <v>0</v>
          </cell>
          <cell r="EP109">
            <v>0</v>
          </cell>
          <cell r="EQ109">
            <v>0</v>
          </cell>
          <cell r="ER109">
            <v>0</v>
          </cell>
          <cell r="ES109">
            <v>0</v>
          </cell>
          <cell r="ET109">
            <v>0</v>
          </cell>
          <cell r="EU109">
            <v>0</v>
          </cell>
          <cell r="EV109">
            <v>0</v>
          </cell>
          <cell r="EW109">
            <v>0</v>
          </cell>
          <cell r="EX109">
            <v>0</v>
          </cell>
          <cell r="EY109">
            <v>0</v>
          </cell>
          <cell r="EZ109">
            <v>0</v>
          </cell>
          <cell r="FA109">
            <v>0</v>
          </cell>
          <cell r="FB109">
            <v>0</v>
          </cell>
          <cell r="FC109">
            <v>0</v>
          </cell>
          <cell r="FD109">
            <v>0</v>
          </cell>
          <cell r="FE109">
            <v>0</v>
          </cell>
          <cell r="FF109">
            <v>0</v>
          </cell>
          <cell r="FG109">
            <v>0</v>
          </cell>
          <cell r="FH109">
            <v>0</v>
          </cell>
          <cell r="FI109">
            <v>0</v>
          </cell>
          <cell r="FJ109">
            <v>0</v>
          </cell>
          <cell r="FK109">
            <v>0</v>
          </cell>
          <cell r="FL109">
            <v>0</v>
          </cell>
          <cell r="FM109">
            <v>0</v>
          </cell>
          <cell r="FN109">
            <v>0</v>
          </cell>
          <cell r="FO109">
            <v>0</v>
          </cell>
          <cell r="FP109">
            <v>0</v>
          </cell>
          <cell r="FQ109">
            <v>0</v>
          </cell>
          <cell r="FR109">
            <v>0</v>
          </cell>
          <cell r="FS109">
            <v>0</v>
          </cell>
          <cell r="FT109">
            <v>0</v>
          </cell>
          <cell r="FU109">
            <v>0</v>
          </cell>
          <cell r="FV109">
            <v>0</v>
          </cell>
          <cell r="FW109">
            <v>0</v>
          </cell>
          <cell r="FX109">
            <v>0</v>
          </cell>
          <cell r="FY109">
            <v>0</v>
          </cell>
          <cell r="FZ109">
            <v>0</v>
          </cell>
          <cell r="GA109">
            <v>0</v>
          </cell>
          <cell r="GB109">
            <v>0</v>
          </cell>
          <cell r="GC109">
            <v>0</v>
          </cell>
          <cell r="GD109">
            <v>0</v>
          </cell>
          <cell r="GE109">
            <v>0</v>
          </cell>
          <cell r="GF109">
            <v>0</v>
          </cell>
          <cell r="GG109">
            <v>0</v>
          </cell>
          <cell r="GH109">
            <v>0</v>
          </cell>
          <cell r="GI109">
            <v>0</v>
          </cell>
          <cell r="GJ109">
            <v>0</v>
          </cell>
          <cell r="GK109">
            <v>0</v>
          </cell>
          <cell r="GL109">
            <v>0</v>
          </cell>
          <cell r="GM109">
            <v>0</v>
          </cell>
          <cell r="GN109">
            <v>0</v>
          </cell>
          <cell r="GO109">
            <v>0</v>
          </cell>
          <cell r="GP109">
            <v>0</v>
          </cell>
          <cell r="GQ109">
            <v>0</v>
          </cell>
          <cell r="GR109">
            <v>0</v>
          </cell>
          <cell r="GS109">
            <v>0</v>
          </cell>
          <cell r="GT109">
            <v>0</v>
          </cell>
          <cell r="GU109">
            <v>0</v>
          </cell>
          <cell r="GV109">
            <v>0</v>
          </cell>
          <cell r="GW109">
            <v>0</v>
          </cell>
          <cell r="GX109">
            <v>0</v>
          </cell>
          <cell r="GY109">
            <v>0</v>
          </cell>
          <cell r="GZ109">
            <v>0</v>
          </cell>
          <cell r="HA109">
            <v>0</v>
          </cell>
          <cell r="HB109">
            <v>0</v>
          </cell>
          <cell r="HC109">
            <v>0</v>
          </cell>
          <cell r="HD109">
            <v>0</v>
          </cell>
          <cell r="HE109">
            <v>42171309.904606782</v>
          </cell>
        </row>
        <row r="110">
          <cell r="E110" t="str">
            <v>Total</v>
          </cell>
          <cell r="F110">
            <v>0</v>
          </cell>
          <cell r="G110">
            <v>0</v>
          </cell>
          <cell r="H110">
            <v>1218623.8304882098</v>
          </cell>
          <cell r="I110">
            <v>0</v>
          </cell>
          <cell r="J110">
            <v>0</v>
          </cell>
          <cell r="K110">
            <v>0</v>
          </cell>
          <cell r="L110">
            <v>0</v>
          </cell>
          <cell r="M110">
            <v>0</v>
          </cell>
          <cell r="N110">
            <v>0</v>
          </cell>
          <cell r="O110">
            <v>0</v>
          </cell>
          <cell r="P110">
            <v>0</v>
          </cell>
          <cell r="Q110">
            <v>0</v>
          </cell>
          <cell r="R110">
            <v>0</v>
          </cell>
          <cell r="S110">
            <v>0</v>
          </cell>
          <cell r="T110">
            <v>1002919.86</v>
          </cell>
          <cell r="U110">
            <v>0</v>
          </cell>
          <cell r="V110">
            <v>0</v>
          </cell>
          <cell r="W110">
            <v>0</v>
          </cell>
          <cell r="X110">
            <v>0</v>
          </cell>
          <cell r="Y110">
            <v>0</v>
          </cell>
          <cell r="Z110">
            <v>0</v>
          </cell>
          <cell r="AA110">
            <v>0</v>
          </cell>
          <cell r="AB110">
            <v>0</v>
          </cell>
          <cell r="AC110">
            <v>0</v>
          </cell>
          <cell r="AD110">
            <v>0</v>
          </cell>
          <cell r="AE110">
            <v>0</v>
          </cell>
          <cell r="AF110">
            <v>1002919.86</v>
          </cell>
          <cell r="AG110">
            <v>0</v>
          </cell>
          <cell r="AH110">
            <v>0</v>
          </cell>
          <cell r="AI110">
            <v>0</v>
          </cell>
          <cell r="AJ110">
            <v>0</v>
          </cell>
          <cell r="AK110">
            <v>0</v>
          </cell>
          <cell r="AL110">
            <v>0</v>
          </cell>
          <cell r="AM110">
            <v>0</v>
          </cell>
          <cell r="AN110">
            <v>0</v>
          </cell>
          <cell r="AO110">
            <v>0</v>
          </cell>
          <cell r="AP110">
            <v>0</v>
          </cell>
          <cell r="AQ110">
            <v>0</v>
          </cell>
          <cell r="AR110">
            <v>1003603.0376874013</v>
          </cell>
          <cell r="AS110">
            <v>0</v>
          </cell>
          <cell r="AT110">
            <v>0</v>
          </cell>
          <cell r="AU110">
            <v>0</v>
          </cell>
          <cell r="AV110">
            <v>0</v>
          </cell>
          <cell r="AW110">
            <v>0</v>
          </cell>
          <cell r="AX110">
            <v>0</v>
          </cell>
          <cell r="AY110">
            <v>0</v>
          </cell>
          <cell r="AZ110">
            <v>0</v>
          </cell>
          <cell r="BA110">
            <v>0</v>
          </cell>
          <cell r="BB110">
            <v>0</v>
          </cell>
          <cell r="BC110">
            <v>0</v>
          </cell>
          <cell r="BD110">
            <v>1002244.1897597123</v>
          </cell>
          <cell r="BE110">
            <v>0</v>
          </cell>
          <cell r="BF110">
            <v>0</v>
          </cell>
          <cell r="BG110">
            <v>0</v>
          </cell>
          <cell r="BH110">
            <v>0</v>
          </cell>
          <cell r="BI110">
            <v>0</v>
          </cell>
          <cell r="BJ110">
            <v>0</v>
          </cell>
          <cell r="BK110">
            <v>0</v>
          </cell>
          <cell r="BL110">
            <v>0</v>
          </cell>
          <cell r="BM110">
            <v>0</v>
          </cell>
          <cell r="BN110">
            <v>0</v>
          </cell>
          <cell r="BO110">
            <v>0</v>
          </cell>
          <cell r="BP110">
            <v>6574696.8599999994</v>
          </cell>
          <cell r="BQ110">
            <v>0</v>
          </cell>
          <cell r="BR110">
            <v>0</v>
          </cell>
          <cell r="BS110">
            <v>0</v>
          </cell>
          <cell r="BT110">
            <v>0</v>
          </cell>
          <cell r="BU110">
            <v>0</v>
          </cell>
          <cell r="BV110">
            <v>0</v>
          </cell>
          <cell r="BW110">
            <v>0</v>
          </cell>
          <cell r="BX110">
            <v>0</v>
          </cell>
          <cell r="BY110">
            <v>0</v>
          </cell>
          <cell r="BZ110">
            <v>0</v>
          </cell>
          <cell r="CA110">
            <v>0</v>
          </cell>
          <cell r="CB110">
            <v>6407543.5499999998</v>
          </cell>
          <cell r="CC110">
            <v>0</v>
          </cell>
          <cell r="CD110">
            <v>0</v>
          </cell>
          <cell r="CE110">
            <v>0</v>
          </cell>
          <cell r="CF110">
            <v>0</v>
          </cell>
          <cell r="CG110">
            <v>0</v>
          </cell>
          <cell r="CH110">
            <v>0</v>
          </cell>
          <cell r="CI110">
            <v>0</v>
          </cell>
          <cell r="CJ110">
            <v>0</v>
          </cell>
          <cell r="CK110">
            <v>0</v>
          </cell>
          <cell r="CL110">
            <v>0</v>
          </cell>
          <cell r="CM110">
            <v>0</v>
          </cell>
          <cell r="CN110">
            <v>6240845.6917916005</v>
          </cell>
          <cell r="CO110">
            <v>0</v>
          </cell>
          <cell r="CP110">
            <v>0</v>
          </cell>
          <cell r="CQ110">
            <v>0</v>
          </cell>
          <cell r="CR110">
            <v>0</v>
          </cell>
          <cell r="CS110">
            <v>0</v>
          </cell>
          <cell r="CT110">
            <v>0</v>
          </cell>
          <cell r="CU110">
            <v>0</v>
          </cell>
          <cell r="CV110">
            <v>0</v>
          </cell>
          <cell r="CW110">
            <v>0</v>
          </cell>
          <cell r="CX110">
            <v>0</v>
          </cell>
          <cell r="CY110">
            <v>0</v>
          </cell>
          <cell r="CZ110">
            <v>6072899.0948798563</v>
          </cell>
          <cell r="DA110">
            <v>0</v>
          </cell>
          <cell r="DB110">
            <v>0</v>
          </cell>
          <cell r="DC110">
            <v>0</v>
          </cell>
          <cell r="DD110">
            <v>0</v>
          </cell>
          <cell r="DE110">
            <v>0</v>
          </cell>
          <cell r="DF110">
            <v>0</v>
          </cell>
          <cell r="DG110">
            <v>0</v>
          </cell>
          <cell r="DH110">
            <v>0</v>
          </cell>
          <cell r="DI110">
            <v>0</v>
          </cell>
          <cell r="DJ110">
            <v>0</v>
          </cell>
          <cell r="DK110">
            <v>0</v>
          </cell>
          <cell r="DL110">
            <v>5906083.6199999992</v>
          </cell>
          <cell r="DM110">
            <v>0</v>
          </cell>
          <cell r="DN110">
            <v>0</v>
          </cell>
          <cell r="DO110">
            <v>0</v>
          </cell>
          <cell r="DP110">
            <v>0</v>
          </cell>
          <cell r="DQ110">
            <v>0</v>
          </cell>
          <cell r="DR110">
            <v>0</v>
          </cell>
          <cell r="DS110">
            <v>0</v>
          </cell>
          <cell r="DT110">
            <v>0</v>
          </cell>
          <cell r="DU110">
            <v>0</v>
          </cell>
          <cell r="DV110">
            <v>0</v>
          </cell>
          <cell r="DW110">
            <v>0</v>
          </cell>
          <cell r="DX110">
            <v>5738930.3099999996</v>
          </cell>
          <cell r="DY110">
            <v>0</v>
          </cell>
          <cell r="DZ110">
            <v>0</v>
          </cell>
          <cell r="EA110">
            <v>0</v>
          </cell>
          <cell r="EB110">
            <v>0</v>
          </cell>
          <cell r="EC110">
            <v>0</v>
          </cell>
          <cell r="ED110">
            <v>0</v>
          </cell>
          <cell r="EE110">
            <v>0</v>
          </cell>
          <cell r="EF110">
            <v>0</v>
          </cell>
          <cell r="EG110">
            <v>0</v>
          </cell>
          <cell r="EH110">
            <v>0</v>
          </cell>
          <cell r="EI110">
            <v>0</v>
          </cell>
          <cell r="EJ110">
            <v>0</v>
          </cell>
          <cell r="EK110">
            <v>0</v>
          </cell>
          <cell r="EL110">
            <v>0</v>
          </cell>
          <cell r="EM110">
            <v>0</v>
          </cell>
          <cell r="EN110">
            <v>0</v>
          </cell>
          <cell r="EO110">
            <v>0</v>
          </cell>
          <cell r="EP110">
            <v>0</v>
          </cell>
          <cell r="EQ110">
            <v>0</v>
          </cell>
          <cell r="ER110">
            <v>0</v>
          </cell>
          <cell r="ES110">
            <v>0</v>
          </cell>
          <cell r="ET110">
            <v>0</v>
          </cell>
          <cell r="EU110">
            <v>0</v>
          </cell>
          <cell r="EV110">
            <v>0</v>
          </cell>
          <cell r="EW110">
            <v>0</v>
          </cell>
          <cell r="EX110">
            <v>0</v>
          </cell>
          <cell r="EY110">
            <v>0</v>
          </cell>
          <cell r="EZ110">
            <v>0</v>
          </cell>
          <cell r="FA110">
            <v>0</v>
          </cell>
          <cell r="FB110">
            <v>0</v>
          </cell>
          <cell r="FC110">
            <v>0</v>
          </cell>
          <cell r="FD110">
            <v>0</v>
          </cell>
          <cell r="FE110">
            <v>0</v>
          </cell>
          <cell r="FF110">
            <v>0</v>
          </cell>
          <cell r="FG110">
            <v>0</v>
          </cell>
          <cell r="FH110">
            <v>0</v>
          </cell>
          <cell r="FI110">
            <v>0</v>
          </cell>
          <cell r="FJ110">
            <v>0</v>
          </cell>
          <cell r="FK110">
            <v>0</v>
          </cell>
          <cell r="FL110">
            <v>0</v>
          </cell>
          <cell r="FM110">
            <v>0</v>
          </cell>
          <cell r="FN110">
            <v>0</v>
          </cell>
          <cell r="FO110">
            <v>0</v>
          </cell>
          <cell r="FP110">
            <v>0</v>
          </cell>
          <cell r="FQ110">
            <v>0</v>
          </cell>
          <cell r="FR110">
            <v>0</v>
          </cell>
          <cell r="FS110">
            <v>0</v>
          </cell>
          <cell r="FT110">
            <v>0</v>
          </cell>
          <cell r="FU110">
            <v>0</v>
          </cell>
          <cell r="FV110">
            <v>0</v>
          </cell>
          <cell r="FW110">
            <v>0</v>
          </cell>
          <cell r="FX110">
            <v>0</v>
          </cell>
          <cell r="FY110">
            <v>0</v>
          </cell>
          <cell r="FZ110">
            <v>0</v>
          </cell>
          <cell r="GA110">
            <v>0</v>
          </cell>
          <cell r="GB110">
            <v>0</v>
          </cell>
          <cell r="GC110">
            <v>0</v>
          </cell>
          <cell r="GD110">
            <v>0</v>
          </cell>
          <cell r="GE110">
            <v>0</v>
          </cell>
          <cell r="GF110">
            <v>0</v>
          </cell>
          <cell r="GG110">
            <v>0</v>
          </cell>
          <cell r="GH110">
            <v>0</v>
          </cell>
          <cell r="GI110">
            <v>0</v>
          </cell>
          <cell r="GJ110">
            <v>0</v>
          </cell>
          <cell r="GK110">
            <v>0</v>
          </cell>
          <cell r="GL110">
            <v>0</v>
          </cell>
          <cell r="GM110">
            <v>0</v>
          </cell>
          <cell r="GN110">
            <v>0</v>
          </cell>
          <cell r="GO110">
            <v>0</v>
          </cell>
          <cell r="GP110">
            <v>0</v>
          </cell>
          <cell r="GQ110">
            <v>0</v>
          </cell>
          <cell r="GR110">
            <v>0</v>
          </cell>
          <cell r="GS110">
            <v>0</v>
          </cell>
          <cell r="GT110">
            <v>0</v>
          </cell>
          <cell r="GU110">
            <v>0</v>
          </cell>
          <cell r="GV110">
            <v>0</v>
          </cell>
          <cell r="GW110">
            <v>0</v>
          </cell>
          <cell r="GX110">
            <v>0</v>
          </cell>
          <cell r="GY110">
            <v>0</v>
          </cell>
          <cell r="GZ110">
            <v>0</v>
          </cell>
          <cell r="HA110">
            <v>0</v>
          </cell>
          <cell r="HB110">
            <v>0</v>
          </cell>
          <cell r="HC110">
            <v>0</v>
          </cell>
          <cell r="HD110">
            <v>0</v>
          </cell>
          <cell r="HE110">
            <v>42171309.904606782</v>
          </cell>
        </row>
        <row r="111">
          <cell r="A111" t="str">
            <v>HBS-26</v>
          </cell>
          <cell r="E111" t="str">
            <v>현     가</v>
          </cell>
          <cell r="F111">
            <v>0</v>
          </cell>
          <cell r="G111">
            <v>0</v>
          </cell>
          <cell r="H111">
            <v>1207672.699513196</v>
          </cell>
          <cell r="I111">
            <v>0</v>
          </cell>
          <cell r="J111">
            <v>0</v>
          </cell>
          <cell r="K111">
            <v>0</v>
          </cell>
          <cell r="L111">
            <v>0</v>
          </cell>
          <cell r="M111">
            <v>0</v>
          </cell>
          <cell r="N111">
            <v>0</v>
          </cell>
          <cell r="O111">
            <v>0</v>
          </cell>
          <cell r="P111">
            <v>0</v>
          </cell>
          <cell r="Q111">
            <v>0</v>
          </cell>
          <cell r="R111">
            <v>0</v>
          </cell>
          <cell r="S111">
            <v>0</v>
          </cell>
          <cell r="T111">
            <v>934922.68899474468</v>
          </cell>
          <cell r="U111">
            <v>0</v>
          </cell>
          <cell r="V111">
            <v>0</v>
          </cell>
          <cell r="W111">
            <v>0</v>
          </cell>
          <cell r="X111">
            <v>0</v>
          </cell>
          <cell r="Y111">
            <v>0</v>
          </cell>
          <cell r="Z111">
            <v>0</v>
          </cell>
          <cell r="AA111">
            <v>0</v>
          </cell>
          <cell r="AB111">
            <v>0</v>
          </cell>
          <cell r="AC111">
            <v>0</v>
          </cell>
          <cell r="AD111">
            <v>0</v>
          </cell>
          <cell r="AE111">
            <v>0</v>
          </cell>
          <cell r="AF111">
            <v>873908.92020523502</v>
          </cell>
          <cell r="AG111">
            <v>0</v>
          </cell>
          <cell r="AH111">
            <v>0</v>
          </cell>
          <cell r="AI111">
            <v>0</v>
          </cell>
          <cell r="AJ111">
            <v>0</v>
          </cell>
          <cell r="AK111">
            <v>0</v>
          </cell>
          <cell r="AL111">
            <v>0</v>
          </cell>
          <cell r="AM111">
            <v>0</v>
          </cell>
          <cell r="AN111">
            <v>0</v>
          </cell>
          <cell r="AO111">
            <v>0</v>
          </cell>
          <cell r="AP111">
            <v>0</v>
          </cell>
          <cell r="AQ111">
            <v>0</v>
          </cell>
          <cell r="AR111">
            <v>810117.62781570409</v>
          </cell>
          <cell r="AS111">
            <v>0</v>
          </cell>
          <cell r="AT111">
            <v>0</v>
          </cell>
          <cell r="AU111">
            <v>0</v>
          </cell>
          <cell r="AV111">
            <v>0</v>
          </cell>
          <cell r="AW111">
            <v>0</v>
          </cell>
          <cell r="AX111">
            <v>0</v>
          </cell>
          <cell r="AY111">
            <v>0</v>
          </cell>
          <cell r="AZ111">
            <v>0</v>
          </cell>
          <cell r="BA111">
            <v>0</v>
          </cell>
          <cell r="BB111">
            <v>0</v>
          </cell>
          <cell r="BC111">
            <v>0</v>
          </cell>
          <cell r="BD111">
            <v>756164.83151360869</v>
          </cell>
          <cell r="BE111">
            <v>0</v>
          </cell>
          <cell r="BF111">
            <v>0</v>
          </cell>
          <cell r="BG111">
            <v>0</v>
          </cell>
          <cell r="BH111">
            <v>0</v>
          </cell>
          <cell r="BI111">
            <v>0</v>
          </cell>
          <cell r="BJ111">
            <v>0</v>
          </cell>
          <cell r="BK111">
            <v>0</v>
          </cell>
          <cell r="BL111">
            <v>0</v>
          </cell>
          <cell r="BM111">
            <v>0</v>
          </cell>
          <cell r="BN111">
            <v>0</v>
          </cell>
          <cell r="BO111">
            <v>0</v>
          </cell>
          <cell r="BP111">
            <v>4541191.083449631</v>
          </cell>
          <cell r="BQ111">
            <v>0</v>
          </cell>
          <cell r="BR111">
            <v>0</v>
          </cell>
          <cell r="BS111">
            <v>0</v>
          </cell>
          <cell r="BT111">
            <v>0</v>
          </cell>
          <cell r="BU111">
            <v>0</v>
          </cell>
          <cell r="BV111">
            <v>0</v>
          </cell>
          <cell r="BW111">
            <v>0</v>
          </cell>
          <cell r="BX111">
            <v>0</v>
          </cell>
          <cell r="BY111">
            <v>0</v>
          </cell>
          <cell r="BZ111">
            <v>0</v>
          </cell>
          <cell r="CA111">
            <v>0</v>
          </cell>
          <cell r="CB111">
            <v>4120030.7883573393</v>
          </cell>
          <cell r="CC111">
            <v>0</v>
          </cell>
          <cell r="CD111">
            <v>0</v>
          </cell>
          <cell r="CE111">
            <v>0</v>
          </cell>
          <cell r="CF111">
            <v>0</v>
          </cell>
          <cell r="CG111">
            <v>0</v>
          </cell>
          <cell r="CH111">
            <v>0</v>
          </cell>
          <cell r="CI111">
            <v>0</v>
          </cell>
          <cell r="CJ111">
            <v>0</v>
          </cell>
          <cell r="CK111">
            <v>0</v>
          </cell>
          <cell r="CL111">
            <v>0</v>
          </cell>
          <cell r="CM111">
            <v>0</v>
          </cell>
          <cell r="CN111">
            <v>3734926.214912157</v>
          </cell>
          <cell r="CO111">
            <v>0</v>
          </cell>
          <cell r="CP111">
            <v>0</v>
          </cell>
          <cell r="CQ111">
            <v>0</v>
          </cell>
          <cell r="CR111">
            <v>0</v>
          </cell>
          <cell r="CS111">
            <v>0</v>
          </cell>
          <cell r="CT111">
            <v>0</v>
          </cell>
          <cell r="CU111">
            <v>0</v>
          </cell>
          <cell r="CV111">
            <v>0</v>
          </cell>
          <cell r="CW111">
            <v>0</v>
          </cell>
          <cell r="CX111">
            <v>0</v>
          </cell>
          <cell r="CY111">
            <v>0</v>
          </cell>
          <cell r="CZ111">
            <v>3383370.0383654777</v>
          </cell>
          <cell r="DA111">
            <v>0</v>
          </cell>
          <cell r="DB111">
            <v>0</v>
          </cell>
          <cell r="DC111">
            <v>0</v>
          </cell>
          <cell r="DD111">
            <v>0</v>
          </cell>
          <cell r="DE111">
            <v>0</v>
          </cell>
          <cell r="DF111">
            <v>0</v>
          </cell>
          <cell r="DG111">
            <v>0</v>
          </cell>
          <cell r="DH111">
            <v>0</v>
          </cell>
          <cell r="DI111">
            <v>0</v>
          </cell>
          <cell r="DJ111">
            <v>0</v>
          </cell>
          <cell r="DK111">
            <v>0</v>
          </cell>
          <cell r="DL111">
            <v>3063147.2710253969</v>
          </cell>
          <cell r="DM111">
            <v>0</v>
          </cell>
          <cell r="DN111">
            <v>0</v>
          </cell>
          <cell r="DO111">
            <v>0</v>
          </cell>
          <cell r="DP111">
            <v>0</v>
          </cell>
          <cell r="DQ111">
            <v>0</v>
          </cell>
          <cell r="DR111">
            <v>0</v>
          </cell>
          <cell r="DS111">
            <v>0</v>
          </cell>
          <cell r="DT111">
            <v>0</v>
          </cell>
          <cell r="DU111">
            <v>0</v>
          </cell>
          <cell r="DV111">
            <v>0</v>
          </cell>
          <cell r="DW111">
            <v>0</v>
          </cell>
          <cell r="DX111">
            <v>2770856.8457756704</v>
          </cell>
          <cell r="DY111">
            <v>0</v>
          </cell>
          <cell r="DZ111">
            <v>0</v>
          </cell>
          <cell r="EA111">
            <v>0</v>
          </cell>
          <cell r="EB111">
            <v>0</v>
          </cell>
          <cell r="EC111">
            <v>0</v>
          </cell>
          <cell r="ED111">
            <v>0</v>
          </cell>
          <cell r="EE111">
            <v>0</v>
          </cell>
          <cell r="EF111">
            <v>0</v>
          </cell>
          <cell r="EG111">
            <v>0</v>
          </cell>
          <cell r="EH111">
            <v>0</v>
          </cell>
          <cell r="EI111">
            <v>0</v>
          </cell>
          <cell r="EJ111">
            <v>0</v>
          </cell>
          <cell r="EK111">
            <v>0</v>
          </cell>
          <cell r="EL111">
            <v>0</v>
          </cell>
          <cell r="EM111">
            <v>0</v>
          </cell>
          <cell r="EN111">
            <v>0</v>
          </cell>
          <cell r="EO111">
            <v>0</v>
          </cell>
          <cell r="EP111">
            <v>0</v>
          </cell>
          <cell r="EQ111">
            <v>0</v>
          </cell>
          <cell r="ER111">
            <v>0</v>
          </cell>
          <cell r="ES111">
            <v>0</v>
          </cell>
          <cell r="ET111">
            <v>0</v>
          </cell>
          <cell r="EU111">
            <v>0</v>
          </cell>
          <cell r="EV111">
            <v>0</v>
          </cell>
          <cell r="EW111">
            <v>0</v>
          </cell>
          <cell r="EX111">
            <v>0</v>
          </cell>
          <cell r="EY111">
            <v>0</v>
          </cell>
          <cell r="EZ111">
            <v>0</v>
          </cell>
          <cell r="FA111">
            <v>0</v>
          </cell>
          <cell r="FB111">
            <v>0</v>
          </cell>
          <cell r="FC111">
            <v>0</v>
          </cell>
          <cell r="FD111">
            <v>0</v>
          </cell>
          <cell r="FE111">
            <v>0</v>
          </cell>
          <cell r="FF111">
            <v>0</v>
          </cell>
          <cell r="FG111">
            <v>0</v>
          </cell>
          <cell r="FH111">
            <v>0</v>
          </cell>
          <cell r="FI111">
            <v>0</v>
          </cell>
          <cell r="FJ111">
            <v>0</v>
          </cell>
          <cell r="FK111">
            <v>0</v>
          </cell>
          <cell r="FL111">
            <v>0</v>
          </cell>
          <cell r="FM111">
            <v>0</v>
          </cell>
          <cell r="FN111">
            <v>0</v>
          </cell>
          <cell r="FO111">
            <v>0</v>
          </cell>
          <cell r="FP111">
            <v>0</v>
          </cell>
          <cell r="FQ111">
            <v>0</v>
          </cell>
          <cell r="FR111">
            <v>0</v>
          </cell>
          <cell r="FS111">
            <v>0</v>
          </cell>
          <cell r="FT111">
            <v>0</v>
          </cell>
          <cell r="FU111">
            <v>0</v>
          </cell>
          <cell r="FV111">
            <v>0</v>
          </cell>
          <cell r="FW111">
            <v>0</v>
          </cell>
          <cell r="FX111">
            <v>0</v>
          </cell>
          <cell r="FY111">
            <v>0</v>
          </cell>
          <cell r="FZ111">
            <v>0</v>
          </cell>
          <cell r="GA111">
            <v>0</v>
          </cell>
          <cell r="GB111">
            <v>0</v>
          </cell>
          <cell r="GC111">
            <v>0</v>
          </cell>
          <cell r="GD111">
            <v>0</v>
          </cell>
          <cell r="GE111">
            <v>0</v>
          </cell>
          <cell r="GF111">
            <v>0</v>
          </cell>
          <cell r="GG111">
            <v>0</v>
          </cell>
          <cell r="GH111">
            <v>0</v>
          </cell>
          <cell r="GI111">
            <v>0</v>
          </cell>
          <cell r="GJ111">
            <v>0</v>
          </cell>
          <cell r="GK111">
            <v>0</v>
          </cell>
          <cell r="GL111">
            <v>0</v>
          </cell>
          <cell r="GM111">
            <v>0</v>
          </cell>
          <cell r="GN111">
            <v>0</v>
          </cell>
          <cell r="GO111">
            <v>0</v>
          </cell>
          <cell r="GP111">
            <v>0</v>
          </cell>
          <cell r="GQ111">
            <v>0</v>
          </cell>
          <cell r="GR111">
            <v>0</v>
          </cell>
          <cell r="GS111">
            <v>0</v>
          </cell>
          <cell r="GT111">
            <v>0</v>
          </cell>
          <cell r="GU111">
            <v>0</v>
          </cell>
          <cell r="GV111">
            <v>0</v>
          </cell>
          <cell r="GW111">
            <v>0</v>
          </cell>
          <cell r="GX111">
            <v>0</v>
          </cell>
          <cell r="GY111">
            <v>0</v>
          </cell>
          <cell r="GZ111">
            <v>0</v>
          </cell>
          <cell r="HA111">
            <v>0</v>
          </cell>
          <cell r="HB111">
            <v>0</v>
          </cell>
          <cell r="HC111">
            <v>0</v>
          </cell>
          <cell r="HD111">
            <v>0</v>
          </cell>
          <cell r="HE111">
            <v>26196309.009928159</v>
          </cell>
        </row>
        <row r="112">
          <cell r="B112" t="str">
            <v>HBS-27</v>
          </cell>
          <cell r="C112" t="str">
            <v>쌍용자동차㈜</v>
          </cell>
          <cell r="D112">
            <v>0.22437384273903976</v>
          </cell>
          <cell r="E112" t="str">
            <v>담     보</v>
          </cell>
          <cell r="F112">
            <v>45735380.547354952</v>
          </cell>
          <cell r="G112">
            <v>44260045.69098866</v>
          </cell>
          <cell r="H112">
            <v>45735380.547354952</v>
          </cell>
          <cell r="I112">
            <v>45735380.547354952</v>
          </cell>
          <cell r="J112">
            <v>41309375.978256084</v>
          </cell>
          <cell r="K112">
            <v>45735380.547354952</v>
          </cell>
          <cell r="L112">
            <v>44260045.69098866</v>
          </cell>
          <cell r="M112">
            <v>45735380.547354952</v>
          </cell>
          <cell r="N112">
            <v>44260045.69098866</v>
          </cell>
          <cell r="O112">
            <v>45735380.547354952</v>
          </cell>
          <cell r="P112">
            <v>45735380.547354952</v>
          </cell>
          <cell r="Q112">
            <v>44260045.69098866</v>
          </cell>
          <cell r="R112">
            <v>45735380.547354952</v>
          </cell>
          <cell r="S112">
            <v>44260045.69098866</v>
          </cell>
          <cell r="T112">
            <v>45735380.547354952</v>
          </cell>
          <cell r="U112">
            <v>45735380.547354952</v>
          </cell>
          <cell r="V112">
            <v>41309375.978256084</v>
          </cell>
          <cell r="W112">
            <v>45735380.547354952</v>
          </cell>
          <cell r="X112">
            <v>44260045.69098866</v>
          </cell>
          <cell r="Y112">
            <v>45735380.547354952</v>
          </cell>
          <cell r="Z112">
            <v>44260045.69098866</v>
          </cell>
          <cell r="AA112">
            <v>45735380.547354952</v>
          </cell>
          <cell r="AB112">
            <v>45735380.547354952</v>
          </cell>
          <cell r="AC112">
            <v>44260045.69098866</v>
          </cell>
          <cell r="AD112">
            <v>45735380.547354952</v>
          </cell>
          <cell r="AE112">
            <v>44260045.69098866</v>
          </cell>
          <cell r="AF112">
            <v>45735380.547354952</v>
          </cell>
          <cell r="AG112">
            <v>45610420.49121464</v>
          </cell>
          <cell r="AH112">
            <v>1837658554.6299059</v>
          </cell>
          <cell r="AI112">
            <v>36488336.392971717</v>
          </cell>
          <cell r="AJ112">
            <v>35311293.283521011</v>
          </cell>
          <cell r="AK112">
            <v>36488336.392971717</v>
          </cell>
          <cell r="AL112">
            <v>35311293.283521011</v>
          </cell>
          <cell r="AM112">
            <v>36488336.392971717</v>
          </cell>
          <cell r="AN112">
            <v>36488336.392971717</v>
          </cell>
          <cell r="AO112">
            <v>35311293.283521011</v>
          </cell>
          <cell r="AP112">
            <v>36488336.392971717</v>
          </cell>
          <cell r="AQ112">
            <v>35311293.283521011</v>
          </cell>
          <cell r="AR112">
            <v>36488336.392971717</v>
          </cell>
          <cell r="AS112">
            <v>36588304.437883958</v>
          </cell>
          <cell r="AT112">
            <v>1828038242.6949229</v>
          </cell>
          <cell r="AU112">
            <v>27441228.328412972</v>
          </cell>
          <cell r="AV112">
            <v>26556027.414593197</v>
          </cell>
          <cell r="AW112">
            <v>27441228.328412972</v>
          </cell>
          <cell r="AX112">
            <v>26556027.414593197</v>
          </cell>
          <cell r="AY112">
            <v>27441228.328412972</v>
          </cell>
          <cell r="AZ112">
            <v>27441228.328412972</v>
          </cell>
          <cell r="BA112">
            <v>26556027.414593197</v>
          </cell>
          <cell r="BB112">
            <v>27441228.328412972</v>
          </cell>
          <cell r="BC112">
            <v>26556027.414593197</v>
          </cell>
          <cell r="BD112">
            <v>27441228.328412972</v>
          </cell>
          <cell r="BE112">
            <v>27441228.328412972</v>
          </cell>
          <cell r="BF112">
            <v>1819776367.4992719</v>
          </cell>
          <cell r="BG112">
            <v>18294152.218941979</v>
          </cell>
          <cell r="BH112">
            <v>17704018.276395466</v>
          </cell>
          <cell r="BI112">
            <v>18294152.218941979</v>
          </cell>
          <cell r="BJ112">
            <v>17704018.276395466</v>
          </cell>
          <cell r="BK112">
            <v>18294152.218941979</v>
          </cell>
          <cell r="BL112">
            <v>18294152.218941979</v>
          </cell>
          <cell r="BM112">
            <v>17704018.276395466</v>
          </cell>
          <cell r="BN112">
            <v>18294152.218941979</v>
          </cell>
          <cell r="BO112">
            <v>17704018.276395466</v>
          </cell>
          <cell r="BP112">
            <v>18294152.218941979</v>
          </cell>
          <cell r="BQ112">
            <v>18294152.218941979</v>
          </cell>
          <cell r="BR112">
            <v>1811514492.3036203</v>
          </cell>
          <cell r="BS112">
            <v>9147076.1094709896</v>
          </cell>
          <cell r="BT112">
            <v>8852009.1381977331</v>
          </cell>
          <cell r="BU112">
            <v>9147076.1094709896</v>
          </cell>
          <cell r="BV112">
            <v>8852009.1381977331</v>
          </cell>
          <cell r="BW112">
            <v>9147076.1094709896</v>
          </cell>
          <cell r="BX112">
            <v>9147076.1094709896</v>
          </cell>
          <cell r="BY112">
            <v>8852009.1381977331</v>
          </cell>
          <cell r="BZ112">
            <v>9147076.1094709896</v>
          </cell>
          <cell r="CA112">
            <v>8852009.1381977331</v>
          </cell>
          <cell r="CB112">
            <v>9147076.1094709896</v>
          </cell>
          <cell r="CC112">
            <v>9122084.0982429292</v>
          </cell>
          <cell r="CD112">
            <v>1803524304.4558358</v>
          </cell>
          <cell r="CE112">
            <v>0</v>
          </cell>
          <cell r="CF112">
            <v>0</v>
          </cell>
          <cell r="CG112">
            <v>0</v>
          </cell>
          <cell r="CH112">
            <v>0</v>
          </cell>
          <cell r="CI112">
            <v>0</v>
          </cell>
          <cell r="CJ112">
            <v>0</v>
          </cell>
          <cell r="CK112">
            <v>0</v>
          </cell>
          <cell r="CL112">
            <v>0</v>
          </cell>
          <cell r="CM112">
            <v>0</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0</v>
          </cell>
          <cell r="DE112">
            <v>0</v>
          </cell>
          <cell r="DF112">
            <v>0</v>
          </cell>
          <cell r="DG112">
            <v>0</v>
          </cell>
          <cell r="DH112">
            <v>0</v>
          </cell>
          <cell r="DI112">
            <v>0</v>
          </cell>
          <cell r="DJ112">
            <v>0</v>
          </cell>
          <cell r="DK112">
            <v>0</v>
          </cell>
          <cell r="DL112">
            <v>0</v>
          </cell>
          <cell r="DM112">
            <v>0</v>
          </cell>
          <cell r="DN112">
            <v>0</v>
          </cell>
          <cell r="DO112">
            <v>0</v>
          </cell>
          <cell r="DP112">
            <v>0</v>
          </cell>
          <cell r="DQ112">
            <v>0</v>
          </cell>
          <cell r="DR112">
            <v>0</v>
          </cell>
          <cell r="DS112">
            <v>0</v>
          </cell>
          <cell r="DT112">
            <v>0</v>
          </cell>
          <cell r="DU112">
            <v>0</v>
          </cell>
          <cell r="DV112">
            <v>0</v>
          </cell>
          <cell r="DW112">
            <v>0</v>
          </cell>
          <cell r="DX112">
            <v>0</v>
          </cell>
          <cell r="DY112">
            <v>0</v>
          </cell>
          <cell r="DZ112">
            <v>0</v>
          </cell>
          <cell r="EA112">
            <v>0</v>
          </cell>
          <cell r="EB112">
            <v>0</v>
          </cell>
          <cell r="EC112">
            <v>0</v>
          </cell>
          <cell r="ED112">
            <v>0</v>
          </cell>
          <cell r="EE112">
            <v>0</v>
          </cell>
          <cell r="EF112">
            <v>0</v>
          </cell>
          <cell r="EG112">
            <v>0</v>
          </cell>
          <cell r="EH112">
            <v>0</v>
          </cell>
          <cell r="EI112">
            <v>0</v>
          </cell>
          <cell r="EJ112">
            <v>0</v>
          </cell>
          <cell r="EK112">
            <v>0</v>
          </cell>
          <cell r="EL112">
            <v>0</v>
          </cell>
          <cell r="EM112">
            <v>0</v>
          </cell>
          <cell r="EN112">
            <v>0</v>
          </cell>
          <cell r="EO112">
            <v>0</v>
          </cell>
          <cell r="EP112">
            <v>0</v>
          </cell>
          <cell r="EQ112">
            <v>0</v>
          </cell>
          <cell r="ER112">
            <v>0</v>
          </cell>
          <cell r="ES112">
            <v>0</v>
          </cell>
          <cell r="ET112">
            <v>0</v>
          </cell>
          <cell r="EU112">
            <v>0</v>
          </cell>
          <cell r="EV112">
            <v>0</v>
          </cell>
          <cell r="EW112">
            <v>0</v>
          </cell>
          <cell r="EX112">
            <v>0</v>
          </cell>
          <cell r="EY112">
            <v>0</v>
          </cell>
          <cell r="EZ112">
            <v>0</v>
          </cell>
          <cell r="FA112">
            <v>0</v>
          </cell>
          <cell r="FB112">
            <v>0</v>
          </cell>
          <cell r="FC112">
            <v>0</v>
          </cell>
          <cell r="FD112">
            <v>0</v>
          </cell>
          <cell r="FE112">
            <v>0</v>
          </cell>
          <cell r="FF112">
            <v>0</v>
          </cell>
          <cell r="FG112">
            <v>0</v>
          </cell>
          <cell r="FH112">
            <v>0</v>
          </cell>
          <cell r="FI112">
            <v>0</v>
          </cell>
          <cell r="FJ112">
            <v>0</v>
          </cell>
          <cell r="FK112">
            <v>0</v>
          </cell>
          <cell r="FL112">
            <v>0</v>
          </cell>
          <cell r="FM112">
            <v>0</v>
          </cell>
          <cell r="FN112">
            <v>0</v>
          </cell>
          <cell r="FO112">
            <v>0</v>
          </cell>
          <cell r="FP112">
            <v>0</v>
          </cell>
          <cell r="FQ112">
            <v>0</v>
          </cell>
          <cell r="FR112">
            <v>0</v>
          </cell>
          <cell r="FS112">
            <v>0</v>
          </cell>
          <cell r="FT112">
            <v>0</v>
          </cell>
          <cell r="FU112">
            <v>0</v>
          </cell>
          <cell r="FV112">
            <v>0</v>
          </cell>
          <cell r="FW112">
            <v>0</v>
          </cell>
          <cell r="FX112">
            <v>0</v>
          </cell>
          <cell r="FY112">
            <v>0</v>
          </cell>
          <cell r="FZ112">
            <v>0</v>
          </cell>
          <cell r="GA112">
            <v>0</v>
          </cell>
          <cell r="GB112">
            <v>0</v>
          </cell>
          <cell r="GC112">
            <v>0</v>
          </cell>
          <cell r="GD112">
            <v>0</v>
          </cell>
          <cell r="GE112">
            <v>0</v>
          </cell>
          <cell r="GF112">
            <v>0</v>
          </cell>
          <cell r="GG112">
            <v>0</v>
          </cell>
          <cell r="GH112">
            <v>0</v>
          </cell>
          <cell r="GI112">
            <v>0</v>
          </cell>
          <cell r="GJ112">
            <v>0</v>
          </cell>
          <cell r="GK112">
            <v>0</v>
          </cell>
          <cell r="GL112">
            <v>0</v>
          </cell>
          <cell r="GM112">
            <v>0</v>
          </cell>
          <cell r="GN112">
            <v>0</v>
          </cell>
          <cell r="GO112">
            <v>0</v>
          </cell>
          <cell r="GP112">
            <v>0</v>
          </cell>
          <cell r="GQ112">
            <v>0</v>
          </cell>
          <cell r="GR112">
            <v>0</v>
          </cell>
          <cell r="GS112">
            <v>0</v>
          </cell>
          <cell r="GT112">
            <v>0</v>
          </cell>
          <cell r="GU112">
            <v>0</v>
          </cell>
          <cell r="GV112">
            <v>0</v>
          </cell>
          <cell r="GW112">
            <v>0</v>
          </cell>
          <cell r="GX112">
            <v>0</v>
          </cell>
          <cell r="GY112">
            <v>0</v>
          </cell>
          <cell r="GZ112">
            <v>0</v>
          </cell>
          <cell r="HA112">
            <v>0</v>
          </cell>
          <cell r="HB112">
            <v>0</v>
          </cell>
          <cell r="HC112">
            <v>0</v>
          </cell>
          <cell r="HD112">
            <v>0</v>
          </cell>
          <cell r="HE112">
            <v>11352211553.840948</v>
          </cell>
        </row>
        <row r="113">
          <cell r="D113">
            <v>0.22437384273903976</v>
          </cell>
          <cell r="E113" t="str">
            <v>무 담 보</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v>0</v>
          </cell>
          <cell r="DU113">
            <v>0</v>
          </cell>
          <cell r="DV113">
            <v>0</v>
          </cell>
          <cell r="DW113">
            <v>0</v>
          </cell>
          <cell r="DX113">
            <v>0</v>
          </cell>
          <cell r="DY113">
            <v>0</v>
          </cell>
          <cell r="DZ113">
            <v>0</v>
          </cell>
          <cell r="EA113">
            <v>0</v>
          </cell>
          <cell r="EB113">
            <v>0</v>
          </cell>
          <cell r="EC113">
            <v>0</v>
          </cell>
          <cell r="ED113">
            <v>0</v>
          </cell>
          <cell r="EE113">
            <v>0</v>
          </cell>
          <cell r="EF113">
            <v>0</v>
          </cell>
          <cell r="EG113">
            <v>0</v>
          </cell>
          <cell r="EH113">
            <v>0</v>
          </cell>
          <cell r="EI113">
            <v>0</v>
          </cell>
          <cell r="EJ113">
            <v>0</v>
          </cell>
          <cell r="EK113">
            <v>0</v>
          </cell>
          <cell r="EL113">
            <v>0</v>
          </cell>
          <cell r="EM113">
            <v>0</v>
          </cell>
          <cell r="EN113">
            <v>0</v>
          </cell>
          <cell r="EO113">
            <v>0</v>
          </cell>
          <cell r="EP113">
            <v>0</v>
          </cell>
          <cell r="EQ113">
            <v>0</v>
          </cell>
          <cell r="ER113">
            <v>0</v>
          </cell>
          <cell r="ES113">
            <v>0</v>
          </cell>
          <cell r="ET113">
            <v>0</v>
          </cell>
          <cell r="EU113">
            <v>0</v>
          </cell>
          <cell r="EV113">
            <v>0</v>
          </cell>
          <cell r="EW113">
            <v>0</v>
          </cell>
          <cell r="EX113">
            <v>0</v>
          </cell>
          <cell r="EY113">
            <v>0</v>
          </cell>
          <cell r="EZ113">
            <v>0</v>
          </cell>
          <cell r="FA113">
            <v>0</v>
          </cell>
          <cell r="FB113">
            <v>0</v>
          </cell>
          <cell r="FC113">
            <v>0</v>
          </cell>
          <cell r="FD113">
            <v>0</v>
          </cell>
          <cell r="FE113">
            <v>0</v>
          </cell>
          <cell r="FF113">
            <v>0</v>
          </cell>
          <cell r="FG113">
            <v>0</v>
          </cell>
          <cell r="FH113">
            <v>0</v>
          </cell>
          <cell r="FI113">
            <v>0</v>
          </cell>
          <cell r="FJ113">
            <v>0</v>
          </cell>
          <cell r="FK113">
            <v>0</v>
          </cell>
          <cell r="FL113">
            <v>0</v>
          </cell>
          <cell r="FM113">
            <v>0</v>
          </cell>
          <cell r="FN113">
            <v>0</v>
          </cell>
          <cell r="FO113">
            <v>0</v>
          </cell>
          <cell r="FP113">
            <v>0</v>
          </cell>
          <cell r="FQ113">
            <v>0</v>
          </cell>
          <cell r="FR113">
            <v>0</v>
          </cell>
          <cell r="FS113">
            <v>0</v>
          </cell>
          <cell r="FT113">
            <v>0</v>
          </cell>
          <cell r="FU113">
            <v>0</v>
          </cell>
          <cell r="FV113">
            <v>0</v>
          </cell>
          <cell r="FW113">
            <v>0</v>
          </cell>
          <cell r="FX113">
            <v>0</v>
          </cell>
          <cell r="FY113">
            <v>0</v>
          </cell>
          <cell r="FZ113">
            <v>0</v>
          </cell>
          <cell r="GA113">
            <v>0</v>
          </cell>
          <cell r="GB113">
            <v>0</v>
          </cell>
          <cell r="GC113">
            <v>0</v>
          </cell>
          <cell r="GD113">
            <v>0</v>
          </cell>
          <cell r="GE113">
            <v>0</v>
          </cell>
          <cell r="GF113">
            <v>0</v>
          </cell>
          <cell r="GG113">
            <v>0</v>
          </cell>
          <cell r="GH113">
            <v>0</v>
          </cell>
          <cell r="GI113">
            <v>0</v>
          </cell>
          <cell r="GJ113">
            <v>0</v>
          </cell>
          <cell r="GK113">
            <v>0</v>
          </cell>
          <cell r="GL113">
            <v>0</v>
          </cell>
          <cell r="GM113">
            <v>0</v>
          </cell>
          <cell r="GN113">
            <v>0</v>
          </cell>
          <cell r="GO113">
            <v>0</v>
          </cell>
          <cell r="GP113">
            <v>0</v>
          </cell>
          <cell r="GQ113">
            <v>0</v>
          </cell>
          <cell r="GR113">
            <v>0</v>
          </cell>
          <cell r="GS113">
            <v>0</v>
          </cell>
          <cell r="GT113">
            <v>0</v>
          </cell>
          <cell r="GU113">
            <v>0</v>
          </cell>
          <cell r="GV113">
            <v>0</v>
          </cell>
          <cell r="GW113">
            <v>0</v>
          </cell>
          <cell r="GX113">
            <v>0</v>
          </cell>
          <cell r="GY113">
            <v>0</v>
          </cell>
          <cell r="GZ113">
            <v>0</v>
          </cell>
          <cell r="HA113">
            <v>0</v>
          </cell>
          <cell r="HB113">
            <v>0</v>
          </cell>
          <cell r="HC113">
            <v>0</v>
          </cell>
          <cell r="HD113">
            <v>0</v>
          </cell>
          <cell r="HE113">
            <v>0</v>
          </cell>
        </row>
        <row r="114">
          <cell r="E114" t="str">
            <v>Total</v>
          </cell>
          <cell r="F114">
            <v>45735380.547354952</v>
          </cell>
          <cell r="G114">
            <v>44260045.69098866</v>
          </cell>
          <cell r="H114">
            <v>45735380.547354952</v>
          </cell>
          <cell r="I114">
            <v>45735380.547354952</v>
          </cell>
          <cell r="J114">
            <v>41309375.978256084</v>
          </cell>
          <cell r="K114">
            <v>45735380.547354952</v>
          </cell>
          <cell r="L114">
            <v>44260045.69098866</v>
          </cell>
          <cell r="M114">
            <v>45735380.547354952</v>
          </cell>
          <cell r="N114">
            <v>44260045.69098866</v>
          </cell>
          <cell r="O114">
            <v>45735380.547354952</v>
          </cell>
          <cell r="P114">
            <v>45735380.547354952</v>
          </cell>
          <cell r="Q114">
            <v>44260045.69098866</v>
          </cell>
          <cell r="R114">
            <v>45735380.547354952</v>
          </cell>
          <cell r="S114">
            <v>44260045.69098866</v>
          </cell>
          <cell r="T114">
            <v>45735380.547354952</v>
          </cell>
          <cell r="U114">
            <v>45735380.547354952</v>
          </cell>
          <cell r="V114">
            <v>41309375.978256084</v>
          </cell>
          <cell r="W114">
            <v>45735380.547354952</v>
          </cell>
          <cell r="X114">
            <v>44260045.69098866</v>
          </cell>
          <cell r="Y114">
            <v>45735380.547354952</v>
          </cell>
          <cell r="Z114">
            <v>44260045.69098866</v>
          </cell>
          <cell r="AA114">
            <v>45735380.547354952</v>
          </cell>
          <cell r="AB114">
            <v>45735380.547354952</v>
          </cell>
          <cell r="AC114">
            <v>44260045.69098866</v>
          </cell>
          <cell r="AD114">
            <v>45735380.547354952</v>
          </cell>
          <cell r="AE114">
            <v>44260045.69098866</v>
          </cell>
          <cell r="AF114">
            <v>45735380.547354952</v>
          </cell>
          <cell r="AG114">
            <v>45610420.49121464</v>
          </cell>
          <cell r="AH114">
            <v>1837658554.6299059</v>
          </cell>
          <cell r="AI114">
            <v>36488336.392971717</v>
          </cell>
          <cell r="AJ114">
            <v>35311293.283521011</v>
          </cell>
          <cell r="AK114">
            <v>36488336.392971717</v>
          </cell>
          <cell r="AL114">
            <v>35311293.283521011</v>
          </cell>
          <cell r="AM114">
            <v>36488336.392971717</v>
          </cell>
          <cell r="AN114">
            <v>36488336.392971717</v>
          </cell>
          <cell r="AO114">
            <v>35311293.283521011</v>
          </cell>
          <cell r="AP114">
            <v>36488336.392971717</v>
          </cell>
          <cell r="AQ114">
            <v>35311293.283521011</v>
          </cell>
          <cell r="AR114">
            <v>36488336.392971717</v>
          </cell>
          <cell r="AS114">
            <v>36588304.437883958</v>
          </cell>
          <cell r="AT114">
            <v>1828038242.6949229</v>
          </cell>
          <cell r="AU114">
            <v>27441228.328412972</v>
          </cell>
          <cell r="AV114">
            <v>26556027.414593197</v>
          </cell>
          <cell r="AW114">
            <v>27441228.328412972</v>
          </cell>
          <cell r="AX114">
            <v>26556027.414593197</v>
          </cell>
          <cell r="AY114">
            <v>27441228.328412972</v>
          </cell>
          <cell r="AZ114">
            <v>27441228.328412972</v>
          </cell>
          <cell r="BA114">
            <v>26556027.414593197</v>
          </cell>
          <cell r="BB114">
            <v>27441228.328412972</v>
          </cell>
          <cell r="BC114">
            <v>26556027.414593197</v>
          </cell>
          <cell r="BD114">
            <v>27441228.328412972</v>
          </cell>
          <cell r="BE114">
            <v>27441228.328412972</v>
          </cell>
          <cell r="BF114">
            <v>1819776367.4992719</v>
          </cell>
          <cell r="BG114">
            <v>18294152.218941979</v>
          </cell>
          <cell r="BH114">
            <v>17704018.276395466</v>
          </cell>
          <cell r="BI114">
            <v>18294152.218941979</v>
          </cell>
          <cell r="BJ114">
            <v>17704018.276395466</v>
          </cell>
          <cell r="BK114">
            <v>18294152.218941979</v>
          </cell>
          <cell r="BL114">
            <v>18294152.218941979</v>
          </cell>
          <cell r="BM114">
            <v>17704018.276395466</v>
          </cell>
          <cell r="BN114">
            <v>18294152.218941979</v>
          </cell>
          <cell r="BO114">
            <v>17704018.276395466</v>
          </cell>
          <cell r="BP114">
            <v>18294152.218941979</v>
          </cell>
          <cell r="BQ114">
            <v>18294152.218941979</v>
          </cell>
          <cell r="BR114">
            <v>1811514492.3036203</v>
          </cell>
          <cell r="BS114">
            <v>9147076.1094709896</v>
          </cell>
          <cell r="BT114">
            <v>8852009.1381977331</v>
          </cell>
          <cell r="BU114">
            <v>9147076.1094709896</v>
          </cell>
          <cell r="BV114">
            <v>8852009.1381977331</v>
          </cell>
          <cell r="BW114">
            <v>9147076.1094709896</v>
          </cell>
          <cell r="BX114">
            <v>9147076.1094709896</v>
          </cell>
          <cell r="BY114">
            <v>8852009.1381977331</v>
          </cell>
          <cell r="BZ114">
            <v>9147076.1094709896</v>
          </cell>
          <cell r="CA114">
            <v>8852009.1381977331</v>
          </cell>
          <cell r="CB114">
            <v>9147076.1094709896</v>
          </cell>
          <cell r="CC114">
            <v>9122084.0982429292</v>
          </cell>
          <cell r="CD114">
            <v>1803524304.4558358</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0</v>
          </cell>
          <cell r="DM114">
            <v>0</v>
          </cell>
          <cell r="DN114">
            <v>0</v>
          </cell>
          <cell r="DO114">
            <v>0</v>
          </cell>
          <cell r="DP114">
            <v>0</v>
          </cell>
          <cell r="DQ114">
            <v>0</v>
          </cell>
          <cell r="DR114">
            <v>0</v>
          </cell>
          <cell r="DS114">
            <v>0</v>
          </cell>
          <cell r="DT114">
            <v>0</v>
          </cell>
          <cell r="DU114">
            <v>0</v>
          </cell>
          <cell r="DV114">
            <v>0</v>
          </cell>
          <cell r="DW114">
            <v>0</v>
          </cell>
          <cell r="DX114">
            <v>0</v>
          </cell>
          <cell r="DY114">
            <v>0</v>
          </cell>
          <cell r="DZ114">
            <v>0</v>
          </cell>
          <cell r="EA114">
            <v>0</v>
          </cell>
          <cell r="EB114">
            <v>0</v>
          </cell>
          <cell r="EC114">
            <v>0</v>
          </cell>
          <cell r="ED114">
            <v>0</v>
          </cell>
          <cell r="EE114">
            <v>0</v>
          </cell>
          <cell r="EF114">
            <v>0</v>
          </cell>
          <cell r="EG114">
            <v>0</v>
          </cell>
          <cell r="EH114">
            <v>0</v>
          </cell>
          <cell r="EI114">
            <v>0</v>
          </cell>
          <cell r="EJ114">
            <v>0</v>
          </cell>
          <cell r="EK114">
            <v>0</v>
          </cell>
          <cell r="EL114">
            <v>0</v>
          </cell>
          <cell r="EM114">
            <v>0</v>
          </cell>
          <cell r="EN114">
            <v>0</v>
          </cell>
          <cell r="EO114">
            <v>0</v>
          </cell>
          <cell r="EP114">
            <v>0</v>
          </cell>
          <cell r="EQ114">
            <v>0</v>
          </cell>
          <cell r="ER114">
            <v>0</v>
          </cell>
          <cell r="ES114">
            <v>0</v>
          </cell>
          <cell r="ET114">
            <v>0</v>
          </cell>
          <cell r="EU114">
            <v>0</v>
          </cell>
          <cell r="EV114">
            <v>0</v>
          </cell>
          <cell r="EW114">
            <v>0</v>
          </cell>
          <cell r="EX114">
            <v>0</v>
          </cell>
          <cell r="EY114">
            <v>0</v>
          </cell>
          <cell r="EZ114">
            <v>0</v>
          </cell>
          <cell r="FA114">
            <v>0</v>
          </cell>
          <cell r="FB114">
            <v>0</v>
          </cell>
          <cell r="FC114">
            <v>0</v>
          </cell>
          <cell r="FD114">
            <v>0</v>
          </cell>
          <cell r="FE114">
            <v>0</v>
          </cell>
          <cell r="FF114">
            <v>0</v>
          </cell>
          <cell r="FG114">
            <v>0</v>
          </cell>
          <cell r="FH114">
            <v>0</v>
          </cell>
          <cell r="FI114">
            <v>0</v>
          </cell>
          <cell r="FJ114">
            <v>0</v>
          </cell>
          <cell r="FK114">
            <v>0</v>
          </cell>
          <cell r="FL114">
            <v>0</v>
          </cell>
          <cell r="FM114">
            <v>0</v>
          </cell>
          <cell r="FN114">
            <v>0</v>
          </cell>
          <cell r="FO114">
            <v>0</v>
          </cell>
          <cell r="FP114">
            <v>0</v>
          </cell>
          <cell r="FQ114">
            <v>0</v>
          </cell>
          <cell r="FR114">
            <v>0</v>
          </cell>
          <cell r="FS114">
            <v>0</v>
          </cell>
          <cell r="FT114">
            <v>0</v>
          </cell>
          <cell r="FU114">
            <v>0</v>
          </cell>
          <cell r="FV114">
            <v>0</v>
          </cell>
          <cell r="FW114">
            <v>0</v>
          </cell>
          <cell r="FX114">
            <v>0</v>
          </cell>
          <cell r="FY114">
            <v>0</v>
          </cell>
          <cell r="FZ114">
            <v>0</v>
          </cell>
          <cell r="GA114">
            <v>0</v>
          </cell>
          <cell r="GB114">
            <v>0</v>
          </cell>
          <cell r="GC114">
            <v>0</v>
          </cell>
          <cell r="GD114">
            <v>0</v>
          </cell>
          <cell r="GE114">
            <v>0</v>
          </cell>
          <cell r="GF114">
            <v>0</v>
          </cell>
          <cell r="GG114">
            <v>0</v>
          </cell>
          <cell r="GH114">
            <v>0</v>
          </cell>
          <cell r="GI114">
            <v>0</v>
          </cell>
          <cell r="GJ114">
            <v>0</v>
          </cell>
          <cell r="GK114">
            <v>0</v>
          </cell>
          <cell r="GL114">
            <v>0</v>
          </cell>
          <cell r="GM114">
            <v>0</v>
          </cell>
          <cell r="GN114">
            <v>0</v>
          </cell>
          <cell r="GO114">
            <v>0</v>
          </cell>
          <cell r="GP114">
            <v>0</v>
          </cell>
          <cell r="GQ114">
            <v>0</v>
          </cell>
          <cell r="GR114">
            <v>0</v>
          </cell>
          <cell r="GS114">
            <v>0</v>
          </cell>
          <cell r="GT114">
            <v>0</v>
          </cell>
          <cell r="GU114">
            <v>0</v>
          </cell>
          <cell r="GV114">
            <v>0</v>
          </cell>
          <cell r="GW114">
            <v>0</v>
          </cell>
          <cell r="GX114">
            <v>0</v>
          </cell>
          <cell r="GY114">
            <v>0</v>
          </cell>
          <cell r="GZ114">
            <v>0</v>
          </cell>
          <cell r="HA114">
            <v>0</v>
          </cell>
          <cell r="HB114">
            <v>0</v>
          </cell>
          <cell r="HC114">
            <v>0</v>
          </cell>
          <cell r="HD114">
            <v>0</v>
          </cell>
          <cell r="HE114">
            <v>11352211553.840948</v>
          </cell>
        </row>
        <row r="115">
          <cell r="A115" t="str">
            <v>HBS-27</v>
          </cell>
          <cell r="E115" t="str">
            <v>현     가</v>
          </cell>
          <cell r="F115">
            <v>45735380.547354952</v>
          </cell>
          <cell r="G115">
            <v>44063986.30510015</v>
          </cell>
          <cell r="H115">
            <v>45324380.753952309</v>
          </cell>
          <cell r="I115">
            <v>45116929.536439717</v>
          </cell>
          <cell r="J115">
            <v>40582270.119089939</v>
          </cell>
          <cell r="K115">
            <v>44724722.669735231</v>
          </cell>
          <cell r="L115">
            <v>43090262.803828165</v>
          </cell>
          <cell r="M115">
            <v>44322805.126746416</v>
          </cell>
          <cell r="N115">
            <v>42703033.291400664</v>
          </cell>
          <cell r="O115">
            <v>43924499.40517804</v>
          </cell>
          <cell r="P115">
            <v>43723455.491755329</v>
          </cell>
          <cell r="Q115">
            <v>42125586.820153542</v>
          </cell>
          <cell r="R115">
            <v>43330535.809905209</v>
          </cell>
          <cell r="S115">
            <v>41470581.07490053</v>
          </cell>
          <cell r="T115">
            <v>42634558.022942163</v>
          </cell>
          <cell r="U115">
            <v>42417295.097083189</v>
          </cell>
          <cell r="V115">
            <v>38136008.488489196</v>
          </cell>
          <cell r="W115">
            <v>42006848.792986035</v>
          </cell>
          <cell r="X115">
            <v>40451296.326843157</v>
          </cell>
          <cell r="Y115">
            <v>41586664.465471514</v>
          </cell>
          <cell r="Z115">
            <v>40046671.813637026</v>
          </cell>
          <cell r="AA115">
            <v>41170683.139947429</v>
          </cell>
          <cell r="AB115">
            <v>40960880.024977088</v>
          </cell>
          <cell r="AC115">
            <v>39444060.749809869</v>
          </cell>
          <cell r="AD115">
            <v>40551158.269543439</v>
          </cell>
          <cell r="AE115">
            <v>38775322.345802985</v>
          </cell>
          <cell r="AF115">
            <v>39852194.201553129</v>
          </cell>
          <cell r="AG115">
            <v>39529416.077562861</v>
          </cell>
          <cell r="AH115">
            <v>1584633112.7350991</v>
          </cell>
          <cell r="AI115">
            <v>31294956.428674873</v>
          </cell>
          <cell r="AJ115">
            <v>30127694.210805867</v>
          </cell>
          <cell r="AK115">
            <v>30964403.334328484</v>
          </cell>
          <cell r="AL115">
            <v>29809470.328002226</v>
          </cell>
          <cell r="AM115">
            <v>30637341.708277665</v>
          </cell>
          <cell r="AN115">
            <v>30472456.267223094</v>
          </cell>
          <cell r="AO115">
            <v>29335872.263105307</v>
          </cell>
          <cell r="AP115">
            <v>30150590.83390886</v>
          </cell>
          <cell r="AQ115">
            <v>28667637.241162408</v>
          </cell>
          <cell r="AR115">
            <v>29453721.652467601</v>
          </cell>
          <cell r="AS115">
            <v>29365421.443244491</v>
          </cell>
          <cell r="AT115">
            <v>1459581152.6995978</v>
          </cell>
          <cell r="AU115">
            <v>21784839.072505299</v>
          </cell>
          <cell r="AV115">
            <v>20965351.503103733</v>
          </cell>
          <cell r="AW115">
            <v>21540234.457547572</v>
          </cell>
          <cell r="AX115">
            <v>20729948.261665858</v>
          </cell>
          <cell r="AY115">
            <v>21298376.313080601</v>
          </cell>
          <cell r="AZ115">
            <v>21176507.433455531</v>
          </cell>
          <cell r="BA115">
            <v>20379903.67855522</v>
          </cell>
          <cell r="BB115">
            <v>20938733.290177722</v>
          </cell>
          <cell r="BC115">
            <v>20151073.96466212</v>
          </cell>
          <cell r="BD115">
            <v>20703628.923461944</v>
          </cell>
          <cell r="BE115">
            <v>20585163.176402815</v>
          </cell>
          <cell r="BF115">
            <v>1358056389.0845745</v>
          </cell>
          <cell r="BG115">
            <v>13574377.089762468</v>
          </cell>
          <cell r="BH115">
            <v>13063745.211766664</v>
          </cell>
          <cell r="BI115">
            <v>13421961.216031134</v>
          </cell>
          <cell r="BJ115">
            <v>12917062.816877501</v>
          </cell>
          <cell r="BK115">
            <v>13271256.698807115</v>
          </cell>
          <cell r="BL115">
            <v>13195318.835689021</v>
          </cell>
          <cell r="BM115">
            <v>12698946.118674779</v>
          </cell>
          <cell r="BN115">
            <v>13047159.105323063</v>
          </cell>
          <cell r="BO115">
            <v>12302857.694030592</v>
          </cell>
          <cell r="BP115">
            <v>12635904.393001871</v>
          </cell>
          <cell r="BQ115">
            <v>12559322.798628459</v>
          </cell>
          <cell r="BR115">
            <v>1236833196.3360381</v>
          </cell>
          <cell r="BS115">
            <v>6207425.3369930964</v>
          </cell>
          <cell r="BT115">
            <v>5971949.4337313725</v>
          </cell>
          <cell r="BU115">
            <v>6133614.1538144685</v>
          </cell>
          <cell r="BV115">
            <v>5900938.2447671285</v>
          </cell>
          <cell r="BW115">
            <v>6060680.6438202057</v>
          </cell>
          <cell r="BX115">
            <v>6023949.0754056117</v>
          </cell>
          <cell r="BY115">
            <v>5795433.2620489448</v>
          </cell>
          <cell r="BZ115">
            <v>5952319.5696886936</v>
          </cell>
          <cell r="CA115">
            <v>5726520.9895878751</v>
          </cell>
          <cell r="CB115">
            <v>5881541.7952903882</v>
          </cell>
          <cell r="CC115">
            <v>5829923.5286793541</v>
          </cell>
          <cell r="CD115">
            <v>1146096026.3238688</v>
          </cell>
          <cell r="CE115">
            <v>0</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0</v>
          </cell>
          <cell r="DM115">
            <v>0</v>
          </cell>
          <cell r="DN115">
            <v>0</v>
          </cell>
          <cell r="DO115">
            <v>0</v>
          </cell>
          <cell r="DP115">
            <v>0</v>
          </cell>
          <cell r="DQ115">
            <v>0</v>
          </cell>
          <cell r="DR115">
            <v>0</v>
          </cell>
          <cell r="DS115">
            <v>0</v>
          </cell>
          <cell r="DT115">
            <v>0</v>
          </cell>
          <cell r="DU115">
            <v>0</v>
          </cell>
          <cell r="DV115">
            <v>0</v>
          </cell>
          <cell r="DW115">
            <v>0</v>
          </cell>
          <cell r="DX115">
            <v>0</v>
          </cell>
          <cell r="DY115">
            <v>0</v>
          </cell>
          <cell r="DZ115">
            <v>0</v>
          </cell>
          <cell r="EA115">
            <v>0</v>
          </cell>
          <cell r="EB115">
            <v>0</v>
          </cell>
          <cell r="EC115">
            <v>0</v>
          </cell>
          <cell r="ED115">
            <v>0</v>
          </cell>
          <cell r="EE115">
            <v>0</v>
          </cell>
          <cell r="EF115">
            <v>0</v>
          </cell>
          <cell r="EG115">
            <v>0</v>
          </cell>
          <cell r="EH115">
            <v>0</v>
          </cell>
          <cell r="EI115">
            <v>0</v>
          </cell>
          <cell r="EJ115">
            <v>0</v>
          </cell>
          <cell r="EK115">
            <v>0</v>
          </cell>
          <cell r="EL115">
            <v>0</v>
          </cell>
          <cell r="EM115">
            <v>0</v>
          </cell>
          <cell r="EN115">
            <v>0</v>
          </cell>
          <cell r="EO115">
            <v>0</v>
          </cell>
          <cell r="EP115">
            <v>0</v>
          </cell>
          <cell r="EQ115">
            <v>0</v>
          </cell>
          <cell r="ER115">
            <v>0</v>
          </cell>
          <cell r="ES115">
            <v>0</v>
          </cell>
          <cell r="ET115">
            <v>0</v>
          </cell>
          <cell r="EU115">
            <v>0</v>
          </cell>
          <cell r="EV115">
            <v>0</v>
          </cell>
          <cell r="EW115">
            <v>0</v>
          </cell>
          <cell r="EX115">
            <v>0</v>
          </cell>
          <cell r="EY115">
            <v>0</v>
          </cell>
          <cell r="EZ115">
            <v>0</v>
          </cell>
          <cell r="FA115">
            <v>0</v>
          </cell>
          <cell r="FB115">
            <v>0</v>
          </cell>
          <cell r="FC115">
            <v>0</v>
          </cell>
          <cell r="FD115">
            <v>0</v>
          </cell>
          <cell r="FE115">
            <v>0</v>
          </cell>
          <cell r="FF115">
            <v>0</v>
          </cell>
          <cell r="FG115">
            <v>0</v>
          </cell>
          <cell r="FH115">
            <v>0</v>
          </cell>
          <cell r="FI115">
            <v>0</v>
          </cell>
          <cell r="FJ115">
            <v>0</v>
          </cell>
          <cell r="FK115">
            <v>0</v>
          </cell>
          <cell r="FL115">
            <v>0</v>
          </cell>
          <cell r="FM115">
            <v>0</v>
          </cell>
          <cell r="FN115">
            <v>0</v>
          </cell>
          <cell r="FO115">
            <v>0</v>
          </cell>
          <cell r="FP115">
            <v>0</v>
          </cell>
          <cell r="FQ115">
            <v>0</v>
          </cell>
          <cell r="FR115">
            <v>0</v>
          </cell>
          <cell r="FS115">
            <v>0</v>
          </cell>
          <cell r="FT115">
            <v>0</v>
          </cell>
          <cell r="FU115">
            <v>0</v>
          </cell>
          <cell r="FV115">
            <v>0</v>
          </cell>
          <cell r="FW115">
            <v>0</v>
          </cell>
          <cell r="FX115">
            <v>0</v>
          </cell>
          <cell r="FY115">
            <v>0</v>
          </cell>
          <cell r="FZ115">
            <v>0</v>
          </cell>
          <cell r="GA115">
            <v>0</v>
          </cell>
          <cell r="GB115">
            <v>0</v>
          </cell>
          <cell r="GC115">
            <v>0</v>
          </cell>
          <cell r="GD115">
            <v>0</v>
          </cell>
          <cell r="GE115">
            <v>0</v>
          </cell>
          <cell r="GF115">
            <v>0</v>
          </cell>
          <cell r="GG115">
            <v>0</v>
          </cell>
          <cell r="GH115">
            <v>0</v>
          </cell>
          <cell r="GI115">
            <v>0</v>
          </cell>
          <cell r="GJ115">
            <v>0</v>
          </cell>
          <cell r="GK115">
            <v>0</v>
          </cell>
          <cell r="GL115">
            <v>0</v>
          </cell>
          <cell r="GM115">
            <v>0</v>
          </cell>
          <cell r="GN115">
            <v>0</v>
          </cell>
          <cell r="GO115">
            <v>0</v>
          </cell>
          <cell r="GP115">
            <v>0</v>
          </cell>
          <cell r="GQ115">
            <v>0</v>
          </cell>
          <cell r="GR115">
            <v>0</v>
          </cell>
          <cell r="GS115">
            <v>0</v>
          </cell>
          <cell r="GT115">
            <v>0</v>
          </cell>
          <cell r="GU115">
            <v>0</v>
          </cell>
          <cell r="GV115">
            <v>0</v>
          </cell>
          <cell r="GW115">
            <v>0</v>
          </cell>
          <cell r="GX115">
            <v>0</v>
          </cell>
          <cell r="GY115">
            <v>0</v>
          </cell>
          <cell r="GZ115">
            <v>0</v>
          </cell>
          <cell r="HA115">
            <v>0</v>
          </cell>
          <cell r="HB115">
            <v>0</v>
          </cell>
          <cell r="HC115">
            <v>0</v>
          </cell>
          <cell r="HD115">
            <v>0</v>
          </cell>
          <cell r="HE115">
            <v>8731706898.5496044</v>
          </cell>
        </row>
        <row r="116">
          <cell r="B116" t="str">
            <v>HBS-28</v>
          </cell>
          <cell r="C116" t="str">
            <v>㈜한국일보</v>
          </cell>
          <cell r="D116">
            <v>1</v>
          </cell>
          <cell r="E116" t="str">
            <v>담     보</v>
          </cell>
          <cell r="F116">
            <v>508748219.17808217</v>
          </cell>
          <cell r="G116">
            <v>492336986.30136985</v>
          </cell>
          <cell r="H116">
            <v>508748219.17808217</v>
          </cell>
          <cell r="I116">
            <v>508748219.17808217</v>
          </cell>
          <cell r="J116">
            <v>459514520.5479452</v>
          </cell>
          <cell r="K116">
            <v>508748219.17808217</v>
          </cell>
          <cell r="L116">
            <v>492336986.30136985</v>
          </cell>
          <cell r="M116">
            <v>508748219.17808217</v>
          </cell>
          <cell r="N116">
            <v>492336986.30136985</v>
          </cell>
          <cell r="O116">
            <v>508748219.17808217</v>
          </cell>
          <cell r="P116">
            <v>508748219.17808217</v>
          </cell>
          <cell r="Q116">
            <v>492336986.30136985</v>
          </cell>
          <cell r="R116">
            <v>508748219.17808217</v>
          </cell>
          <cell r="S116">
            <v>492336986.30136985</v>
          </cell>
          <cell r="T116">
            <v>508748219.17808217</v>
          </cell>
          <cell r="U116">
            <v>508748219.17808217</v>
          </cell>
          <cell r="V116">
            <v>459514520.5479452</v>
          </cell>
          <cell r="W116">
            <v>508748219.17808217</v>
          </cell>
          <cell r="X116">
            <v>492336986.30136985</v>
          </cell>
          <cell r="Y116">
            <v>508748219.17808217</v>
          </cell>
          <cell r="Z116">
            <v>492336986.30136985</v>
          </cell>
          <cell r="AA116">
            <v>508748219.17808217</v>
          </cell>
          <cell r="AB116">
            <v>508748219.17808217</v>
          </cell>
          <cell r="AC116">
            <v>492336986.30136985</v>
          </cell>
          <cell r="AD116">
            <v>508748219.17808217</v>
          </cell>
          <cell r="AE116">
            <v>492336986.30136985</v>
          </cell>
          <cell r="AF116">
            <v>508748219.17808217</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0</v>
          </cell>
          <cell r="DU116">
            <v>0</v>
          </cell>
          <cell r="DV116">
            <v>0</v>
          </cell>
          <cell r="DW116">
            <v>0</v>
          </cell>
          <cell r="DX116">
            <v>0</v>
          </cell>
          <cell r="DY116">
            <v>0</v>
          </cell>
          <cell r="DZ116">
            <v>0</v>
          </cell>
          <cell r="EA116">
            <v>0</v>
          </cell>
          <cell r="EB116">
            <v>0</v>
          </cell>
          <cell r="EC116">
            <v>0</v>
          </cell>
          <cell r="ED116">
            <v>0</v>
          </cell>
          <cell r="EE116">
            <v>0</v>
          </cell>
          <cell r="EF116">
            <v>0</v>
          </cell>
          <cell r="EG116">
            <v>0</v>
          </cell>
          <cell r="EH116">
            <v>0</v>
          </cell>
          <cell r="EI116">
            <v>0</v>
          </cell>
          <cell r="EJ116">
            <v>0</v>
          </cell>
          <cell r="EK116">
            <v>0</v>
          </cell>
          <cell r="EL116">
            <v>0</v>
          </cell>
          <cell r="EM116">
            <v>0</v>
          </cell>
          <cell r="EN116">
            <v>0</v>
          </cell>
          <cell r="EO116">
            <v>0</v>
          </cell>
          <cell r="EP116">
            <v>0</v>
          </cell>
          <cell r="EQ116">
            <v>0</v>
          </cell>
          <cell r="ER116">
            <v>0</v>
          </cell>
          <cell r="ES116">
            <v>0</v>
          </cell>
          <cell r="ET116">
            <v>0</v>
          </cell>
          <cell r="EU116">
            <v>0</v>
          </cell>
          <cell r="EV116">
            <v>0</v>
          </cell>
          <cell r="EW116">
            <v>0</v>
          </cell>
          <cell r="EX116">
            <v>0</v>
          </cell>
          <cell r="EY116">
            <v>0</v>
          </cell>
          <cell r="EZ116">
            <v>0</v>
          </cell>
          <cell r="FA116">
            <v>0</v>
          </cell>
          <cell r="FB116">
            <v>0</v>
          </cell>
          <cell r="FC116">
            <v>0</v>
          </cell>
          <cell r="FD116">
            <v>0</v>
          </cell>
          <cell r="FE116">
            <v>0</v>
          </cell>
          <cell r="FF116">
            <v>0</v>
          </cell>
          <cell r="FG116">
            <v>0</v>
          </cell>
          <cell r="FH116">
            <v>0</v>
          </cell>
          <cell r="FI116">
            <v>0</v>
          </cell>
          <cell r="FJ116">
            <v>0</v>
          </cell>
          <cell r="FK116">
            <v>0</v>
          </cell>
          <cell r="FL116">
            <v>0</v>
          </cell>
          <cell r="FM116">
            <v>0</v>
          </cell>
          <cell r="FN116">
            <v>0</v>
          </cell>
          <cell r="FO116">
            <v>0</v>
          </cell>
          <cell r="FP116">
            <v>0</v>
          </cell>
          <cell r="FQ116">
            <v>0</v>
          </cell>
          <cell r="FR116">
            <v>0</v>
          </cell>
          <cell r="FS116">
            <v>0</v>
          </cell>
          <cell r="FT116">
            <v>0</v>
          </cell>
          <cell r="FU116">
            <v>0</v>
          </cell>
          <cell r="FV116">
            <v>0</v>
          </cell>
          <cell r="FW116">
            <v>0</v>
          </cell>
          <cell r="FX116">
            <v>0</v>
          </cell>
          <cell r="FY116">
            <v>0</v>
          </cell>
          <cell r="FZ116">
            <v>0</v>
          </cell>
          <cell r="GA116">
            <v>0</v>
          </cell>
          <cell r="GB116">
            <v>0</v>
          </cell>
          <cell r="GC116">
            <v>0</v>
          </cell>
          <cell r="GD116">
            <v>0</v>
          </cell>
          <cell r="GE116">
            <v>0</v>
          </cell>
          <cell r="GF116">
            <v>0</v>
          </cell>
          <cell r="GG116">
            <v>0</v>
          </cell>
          <cell r="GH116">
            <v>0</v>
          </cell>
          <cell r="GI116">
            <v>0</v>
          </cell>
          <cell r="GJ116">
            <v>0</v>
          </cell>
          <cell r="GK116">
            <v>0</v>
          </cell>
          <cell r="GL116">
            <v>0</v>
          </cell>
          <cell r="GM116">
            <v>0</v>
          </cell>
          <cell r="GN116">
            <v>0</v>
          </cell>
          <cell r="GO116">
            <v>0</v>
          </cell>
          <cell r="GP116">
            <v>0</v>
          </cell>
          <cell r="GQ116">
            <v>0</v>
          </cell>
          <cell r="GR116">
            <v>0</v>
          </cell>
          <cell r="GS116">
            <v>0</v>
          </cell>
          <cell r="GT116">
            <v>0</v>
          </cell>
          <cell r="GU116">
            <v>0</v>
          </cell>
          <cell r="GV116">
            <v>0</v>
          </cell>
          <cell r="GW116">
            <v>0</v>
          </cell>
          <cell r="GX116">
            <v>0</v>
          </cell>
          <cell r="GY116">
            <v>0</v>
          </cell>
          <cell r="GZ116">
            <v>0</v>
          </cell>
          <cell r="HA116">
            <v>0</v>
          </cell>
          <cell r="HB116">
            <v>0</v>
          </cell>
          <cell r="HC116">
            <v>0</v>
          </cell>
          <cell r="HD116">
            <v>0</v>
          </cell>
          <cell r="HE116">
            <v>13490033424.657534</v>
          </cell>
        </row>
        <row r="117">
          <cell r="D117">
            <v>1</v>
          </cell>
          <cell r="E117" t="str">
            <v>무 담 보</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cell r="DX117">
            <v>0</v>
          </cell>
          <cell r="DY117">
            <v>0</v>
          </cell>
          <cell r="DZ117">
            <v>0</v>
          </cell>
          <cell r="EA117">
            <v>0</v>
          </cell>
          <cell r="EB117">
            <v>0</v>
          </cell>
          <cell r="EC117">
            <v>0</v>
          </cell>
          <cell r="ED117">
            <v>0</v>
          </cell>
          <cell r="EE117">
            <v>0</v>
          </cell>
          <cell r="EF117">
            <v>0</v>
          </cell>
          <cell r="EG117">
            <v>0</v>
          </cell>
          <cell r="EH117">
            <v>0</v>
          </cell>
          <cell r="EI117">
            <v>0</v>
          </cell>
          <cell r="EJ117">
            <v>0</v>
          </cell>
          <cell r="EK117">
            <v>0</v>
          </cell>
          <cell r="EL117">
            <v>0</v>
          </cell>
          <cell r="EM117">
            <v>0</v>
          </cell>
          <cell r="EN117">
            <v>0</v>
          </cell>
          <cell r="EO117">
            <v>0</v>
          </cell>
          <cell r="EP117">
            <v>0</v>
          </cell>
          <cell r="EQ117">
            <v>0</v>
          </cell>
          <cell r="ER117">
            <v>0</v>
          </cell>
          <cell r="ES117">
            <v>0</v>
          </cell>
          <cell r="ET117">
            <v>0</v>
          </cell>
          <cell r="EU117">
            <v>0</v>
          </cell>
          <cell r="EV117">
            <v>0</v>
          </cell>
          <cell r="EW117">
            <v>0</v>
          </cell>
          <cell r="EX117">
            <v>0</v>
          </cell>
          <cell r="EY117">
            <v>0</v>
          </cell>
          <cell r="EZ117">
            <v>0</v>
          </cell>
          <cell r="FA117">
            <v>0</v>
          </cell>
          <cell r="FB117">
            <v>0</v>
          </cell>
          <cell r="FC117">
            <v>0</v>
          </cell>
          <cell r="FD117">
            <v>0</v>
          </cell>
          <cell r="FE117">
            <v>0</v>
          </cell>
          <cell r="FF117">
            <v>0</v>
          </cell>
          <cell r="FG117">
            <v>0</v>
          </cell>
          <cell r="FH117">
            <v>0</v>
          </cell>
          <cell r="FI117">
            <v>0</v>
          </cell>
          <cell r="FJ117">
            <v>0</v>
          </cell>
          <cell r="FK117">
            <v>0</v>
          </cell>
          <cell r="FL117">
            <v>0</v>
          </cell>
          <cell r="FM117">
            <v>0</v>
          </cell>
          <cell r="FN117">
            <v>0</v>
          </cell>
          <cell r="FO117">
            <v>0</v>
          </cell>
          <cell r="FP117">
            <v>0</v>
          </cell>
          <cell r="FQ117">
            <v>0</v>
          </cell>
          <cell r="FR117">
            <v>0</v>
          </cell>
          <cell r="FS117">
            <v>0</v>
          </cell>
          <cell r="FT117">
            <v>0</v>
          </cell>
          <cell r="FU117">
            <v>0</v>
          </cell>
          <cell r="FV117">
            <v>0</v>
          </cell>
          <cell r="FW117">
            <v>0</v>
          </cell>
          <cell r="FX117">
            <v>0</v>
          </cell>
          <cell r="FY117">
            <v>0</v>
          </cell>
          <cell r="FZ117">
            <v>0</v>
          </cell>
          <cell r="GA117">
            <v>0</v>
          </cell>
          <cell r="GB117">
            <v>0</v>
          </cell>
          <cell r="GC117">
            <v>0</v>
          </cell>
          <cell r="GD117">
            <v>0</v>
          </cell>
          <cell r="GE117">
            <v>0</v>
          </cell>
          <cell r="GF117">
            <v>0</v>
          </cell>
          <cell r="GG117">
            <v>0</v>
          </cell>
          <cell r="GH117">
            <v>0</v>
          </cell>
          <cell r="GI117">
            <v>0</v>
          </cell>
          <cell r="GJ117">
            <v>0</v>
          </cell>
          <cell r="GK117">
            <v>0</v>
          </cell>
          <cell r="GL117">
            <v>0</v>
          </cell>
          <cell r="GM117">
            <v>0</v>
          </cell>
          <cell r="GN117">
            <v>0</v>
          </cell>
          <cell r="GO117">
            <v>0</v>
          </cell>
          <cell r="GP117">
            <v>0</v>
          </cell>
          <cell r="GQ117">
            <v>0</v>
          </cell>
          <cell r="GR117">
            <v>0</v>
          </cell>
          <cell r="GS117">
            <v>0</v>
          </cell>
          <cell r="GT117">
            <v>0</v>
          </cell>
          <cell r="GU117">
            <v>0</v>
          </cell>
          <cell r="GV117">
            <v>0</v>
          </cell>
          <cell r="GW117">
            <v>0</v>
          </cell>
          <cell r="GX117">
            <v>0</v>
          </cell>
          <cell r="GY117">
            <v>0</v>
          </cell>
          <cell r="GZ117">
            <v>0</v>
          </cell>
          <cell r="HA117">
            <v>0</v>
          </cell>
          <cell r="HB117">
            <v>0</v>
          </cell>
          <cell r="HC117">
            <v>0</v>
          </cell>
          <cell r="HD117">
            <v>0</v>
          </cell>
          <cell r="HE117">
            <v>0</v>
          </cell>
        </row>
        <row r="118">
          <cell r="E118" t="str">
            <v>Total</v>
          </cell>
          <cell r="F118">
            <v>508748219.17808217</v>
          </cell>
          <cell r="G118">
            <v>492336986.30136985</v>
          </cell>
          <cell r="H118">
            <v>508748219.17808217</v>
          </cell>
          <cell r="I118">
            <v>508748219.17808217</v>
          </cell>
          <cell r="J118">
            <v>459514520.5479452</v>
          </cell>
          <cell r="K118">
            <v>508748219.17808217</v>
          </cell>
          <cell r="L118">
            <v>492336986.30136985</v>
          </cell>
          <cell r="M118">
            <v>508748219.17808217</v>
          </cell>
          <cell r="N118">
            <v>492336986.30136985</v>
          </cell>
          <cell r="O118">
            <v>508748219.17808217</v>
          </cell>
          <cell r="P118">
            <v>508748219.17808217</v>
          </cell>
          <cell r="Q118">
            <v>492336986.30136985</v>
          </cell>
          <cell r="R118">
            <v>508748219.17808217</v>
          </cell>
          <cell r="S118">
            <v>492336986.30136985</v>
          </cell>
          <cell r="T118">
            <v>508748219.17808217</v>
          </cell>
          <cell r="U118">
            <v>508748219.17808217</v>
          </cell>
          <cell r="V118">
            <v>459514520.5479452</v>
          </cell>
          <cell r="W118">
            <v>508748219.17808217</v>
          </cell>
          <cell r="X118">
            <v>492336986.30136985</v>
          </cell>
          <cell r="Y118">
            <v>508748219.17808217</v>
          </cell>
          <cell r="Z118">
            <v>492336986.30136985</v>
          </cell>
          <cell r="AA118">
            <v>508748219.17808217</v>
          </cell>
          <cell r="AB118">
            <v>508748219.17808217</v>
          </cell>
          <cell r="AC118">
            <v>492336986.30136985</v>
          </cell>
          <cell r="AD118">
            <v>508748219.17808217</v>
          </cell>
          <cell r="AE118">
            <v>492336986.30136985</v>
          </cell>
          <cell r="AF118">
            <v>508748219.17808217</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cell r="EG118">
            <v>0</v>
          </cell>
          <cell r="EH118">
            <v>0</v>
          </cell>
          <cell r="EI118">
            <v>0</v>
          </cell>
          <cell r="EJ118">
            <v>0</v>
          </cell>
          <cell r="EK118">
            <v>0</v>
          </cell>
          <cell r="EL118">
            <v>0</v>
          </cell>
          <cell r="EM118">
            <v>0</v>
          </cell>
          <cell r="EN118">
            <v>0</v>
          </cell>
          <cell r="EO118">
            <v>0</v>
          </cell>
          <cell r="EP118">
            <v>0</v>
          </cell>
          <cell r="EQ118">
            <v>0</v>
          </cell>
          <cell r="ER118">
            <v>0</v>
          </cell>
          <cell r="ES118">
            <v>0</v>
          </cell>
          <cell r="ET118">
            <v>0</v>
          </cell>
          <cell r="EU118">
            <v>0</v>
          </cell>
          <cell r="EV118">
            <v>0</v>
          </cell>
          <cell r="EW118">
            <v>0</v>
          </cell>
          <cell r="EX118">
            <v>0</v>
          </cell>
          <cell r="EY118">
            <v>0</v>
          </cell>
          <cell r="EZ118">
            <v>0</v>
          </cell>
          <cell r="FA118">
            <v>0</v>
          </cell>
          <cell r="FB118">
            <v>0</v>
          </cell>
          <cell r="FC118">
            <v>0</v>
          </cell>
          <cell r="FD118">
            <v>0</v>
          </cell>
          <cell r="FE118">
            <v>0</v>
          </cell>
          <cell r="FF118">
            <v>0</v>
          </cell>
          <cell r="FG118">
            <v>0</v>
          </cell>
          <cell r="FH118">
            <v>0</v>
          </cell>
          <cell r="FI118">
            <v>0</v>
          </cell>
          <cell r="FJ118">
            <v>0</v>
          </cell>
          <cell r="FK118">
            <v>0</v>
          </cell>
          <cell r="FL118">
            <v>0</v>
          </cell>
          <cell r="FM118">
            <v>0</v>
          </cell>
          <cell r="FN118">
            <v>0</v>
          </cell>
          <cell r="FO118">
            <v>0</v>
          </cell>
          <cell r="FP118">
            <v>0</v>
          </cell>
          <cell r="FQ118">
            <v>0</v>
          </cell>
          <cell r="FR118">
            <v>0</v>
          </cell>
          <cell r="FS118">
            <v>0</v>
          </cell>
          <cell r="FT118">
            <v>0</v>
          </cell>
          <cell r="FU118">
            <v>0</v>
          </cell>
          <cell r="FV118">
            <v>0</v>
          </cell>
          <cell r="FW118">
            <v>0</v>
          </cell>
          <cell r="FX118">
            <v>0</v>
          </cell>
          <cell r="FY118">
            <v>0</v>
          </cell>
          <cell r="FZ118">
            <v>0</v>
          </cell>
          <cell r="GA118">
            <v>0</v>
          </cell>
          <cell r="GB118">
            <v>0</v>
          </cell>
          <cell r="GC118">
            <v>0</v>
          </cell>
          <cell r="GD118">
            <v>0</v>
          </cell>
          <cell r="GE118">
            <v>0</v>
          </cell>
          <cell r="GF118">
            <v>0</v>
          </cell>
          <cell r="GG118">
            <v>0</v>
          </cell>
          <cell r="GH118">
            <v>0</v>
          </cell>
          <cell r="GI118">
            <v>0</v>
          </cell>
          <cell r="GJ118">
            <v>0</v>
          </cell>
          <cell r="GK118">
            <v>0</v>
          </cell>
          <cell r="GL118">
            <v>0</v>
          </cell>
          <cell r="GM118">
            <v>0</v>
          </cell>
          <cell r="GN118">
            <v>0</v>
          </cell>
          <cell r="GO118">
            <v>0</v>
          </cell>
          <cell r="GP118">
            <v>0</v>
          </cell>
          <cell r="GQ118">
            <v>0</v>
          </cell>
          <cell r="GR118">
            <v>0</v>
          </cell>
          <cell r="GS118">
            <v>0</v>
          </cell>
          <cell r="GT118">
            <v>0</v>
          </cell>
          <cell r="GU118">
            <v>0</v>
          </cell>
          <cell r="GV118">
            <v>0</v>
          </cell>
          <cell r="GW118">
            <v>0</v>
          </cell>
          <cell r="GX118">
            <v>0</v>
          </cell>
          <cell r="GY118">
            <v>0</v>
          </cell>
          <cell r="GZ118">
            <v>0</v>
          </cell>
          <cell r="HA118">
            <v>0</v>
          </cell>
          <cell r="HB118">
            <v>0</v>
          </cell>
          <cell r="HC118">
            <v>0</v>
          </cell>
          <cell r="HD118">
            <v>0</v>
          </cell>
          <cell r="HE118">
            <v>13490033424.657534</v>
          </cell>
        </row>
        <row r="119">
          <cell r="A119" t="str">
            <v>HBS-28</v>
          </cell>
          <cell r="E119" t="str">
            <v>현     가</v>
          </cell>
          <cell r="F119">
            <v>508748219.17808217</v>
          </cell>
          <cell r="G119">
            <v>490156073.79489899</v>
          </cell>
          <cell r="H119">
            <v>504176366.69814813</v>
          </cell>
          <cell r="I119">
            <v>501868734.48403364</v>
          </cell>
          <cell r="J119">
            <v>451426388.19663107</v>
          </cell>
          <cell r="K119">
            <v>497505929.52652991</v>
          </cell>
          <cell r="L119">
            <v>479324632.33064693</v>
          </cell>
          <cell r="M119">
            <v>493035105.58662033</v>
          </cell>
          <cell r="N119">
            <v>475017194.13940436</v>
          </cell>
          <cell r="O119">
            <v>488604458.5883618</v>
          </cell>
          <cell r="P119">
            <v>486368099.5222227</v>
          </cell>
          <cell r="Q119">
            <v>468593833.04779911</v>
          </cell>
          <cell r="R119">
            <v>481997365.39846718</v>
          </cell>
          <cell r="S119">
            <v>461307723.20328063</v>
          </cell>
          <cell r="T119">
            <v>474255493.45015496</v>
          </cell>
          <cell r="U119">
            <v>471838718.39982545</v>
          </cell>
          <cell r="V119">
            <v>424214823.90401083</v>
          </cell>
          <cell r="W119">
            <v>467273022.78783762</v>
          </cell>
          <cell r="X119">
            <v>449969470.53754306</v>
          </cell>
          <cell r="Y119">
            <v>462599003.99120349</v>
          </cell>
          <cell r="Z119">
            <v>445468534.98030472</v>
          </cell>
          <cell r="AA119">
            <v>457971738.27177668</v>
          </cell>
          <cell r="AB119">
            <v>455637944.17535144</v>
          </cell>
          <cell r="AC119">
            <v>438765249.64824885</v>
          </cell>
          <cell r="AD119">
            <v>451080308.25014997</v>
          </cell>
          <cell r="AE119">
            <v>431326381.35716236</v>
          </cell>
          <cell r="AF119">
            <v>443305217.70528507</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0</v>
          </cell>
          <cell r="DV119">
            <v>0</v>
          </cell>
          <cell r="DW119">
            <v>0</v>
          </cell>
          <cell r="DX119">
            <v>0</v>
          </cell>
          <cell r="DY119">
            <v>0</v>
          </cell>
          <cell r="DZ119">
            <v>0</v>
          </cell>
          <cell r="EA119">
            <v>0</v>
          </cell>
          <cell r="EB119">
            <v>0</v>
          </cell>
          <cell r="EC119">
            <v>0</v>
          </cell>
          <cell r="ED119">
            <v>0</v>
          </cell>
          <cell r="EE119">
            <v>0</v>
          </cell>
          <cell r="EF119">
            <v>0</v>
          </cell>
          <cell r="EG119">
            <v>0</v>
          </cell>
          <cell r="EH119">
            <v>0</v>
          </cell>
          <cell r="EI119">
            <v>0</v>
          </cell>
          <cell r="EJ119">
            <v>0</v>
          </cell>
          <cell r="EK119">
            <v>0</v>
          </cell>
          <cell r="EL119">
            <v>0</v>
          </cell>
          <cell r="EM119">
            <v>0</v>
          </cell>
          <cell r="EN119">
            <v>0</v>
          </cell>
          <cell r="EO119">
            <v>0</v>
          </cell>
          <cell r="EP119">
            <v>0</v>
          </cell>
          <cell r="EQ119">
            <v>0</v>
          </cell>
          <cell r="ER119">
            <v>0</v>
          </cell>
          <cell r="ES119">
            <v>0</v>
          </cell>
          <cell r="ET119">
            <v>0</v>
          </cell>
          <cell r="EU119">
            <v>0</v>
          </cell>
          <cell r="EV119">
            <v>0</v>
          </cell>
          <cell r="EW119">
            <v>0</v>
          </cell>
          <cell r="EX119">
            <v>0</v>
          </cell>
          <cell r="EY119">
            <v>0</v>
          </cell>
          <cell r="EZ119">
            <v>0</v>
          </cell>
          <cell r="FA119">
            <v>0</v>
          </cell>
          <cell r="FB119">
            <v>0</v>
          </cell>
          <cell r="FC119">
            <v>0</v>
          </cell>
          <cell r="FD119">
            <v>0</v>
          </cell>
          <cell r="FE119">
            <v>0</v>
          </cell>
          <cell r="FF119">
            <v>0</v>
          </cell>
          <cell r="FG119">
            <v>0</v>
          </cell>
          <cell r="FH119">
            <v>0</v>
          </cell>
          <cell r="FI119">
            <v>0</v>
          </cell>
          <cell r="FJ119">
            <v>0</v>
          </cell>
          <cell r="FK119">
            <v>0</v>
          </cell>
          <cell r="FL119">
            <v>0</v>
          </cell>
          <cell r="FM119">
            <v>0</v>
          </cell>
          <cell r="FN119">
            <v>0</v>
          </cell>
          <cell r="FO119">
            <v>0</v>
          </cell>
          <cell r="FP119">
            <v>0</v>
          </cell>
          <cell r="FQ119">
            <v>0</v>
          </cell>
          <cell r="FR119">
            <v>0</v>
          </cell>
          <cell r="FS119">
            <v>0</v>
          </cell>
          <cell r="FT119">
            <v>0</v>
          </cell>
          <cell r="FU119">
            <v>0</v>
          </cell>
          <cell r="FV119">
            <v>0</v>
          </cell>
          <cell r="FW119">
            <v>0</v>
          </cell>
          <cell r="FX119">
            <v>0</v>
          </cell>
          <cell r="FY119">
            <v>0</v>
          </cell>
          <cell r="FZ119">
            <v>0</v>
          </cell>
          <cell r="GA119">
            <v>0</v>
          </cell>
          <cell r="GB119">
            <v>0</v>
          </cell>
          <cell r="GC119">
            <v>0</v>
          </cell>
          <cell r="GD119">
            <v>0</v>
          </cell>
          <cell r="GE119">
            <v>0</v>
          </cell>
          <cell r="GF119">
            <v>0</v>
          </cell>
          <cell r="GG119">
            <v>0</v>
          </cell>
          <cell r="GH119">
            <v>0</v>
          </cell>
          <cell r="GI119">
            <v>0</v>
          </cell>
          <cell r="GJ119">
            <v>0</v>
          </cell>
          <cell r="GK119">
            <v>0</v>
          </cell>
          <cell r="GL119">
            <v>0</v>
          </cell>
          <cell r="GM119">
            <v>0</v>
          </cell>
          <cell r="GN119">
            <v>0</v>
          </cell>
          <cell r="GO119">
            <v>0</v>
          </cell>
          <cell r="GP119">
            <v>0</v>
          </cell>
          <cell r="GQ119">
            <v>0</v>
          </cell>
          <cell r="GR119">
            <v>0</v>
          </cell>
          <cell r="GS119">
            <v>0</v>
          </cell>
          <cell r="GT119">
            <v>0</v>
          </cell>
          <cell r="GU119">
            <v>0</v>
          </cell>
          <cell r="GV119">
            <v>0</v>
          </cell>
          <cell r="GW119">
            <v>0</v>
          </cell>
          <cell r="GX119">
            <v>0</v>
          </cell>
          <cell r="GY119">
            <v>0</v>
          </cell>
          <cell r="GZ119">
            <v>0</v>
          </cell>
          <cell r="HA119">
            <v>0</v>
          </cell>
          <cell r="HB119">
            <v>0</v>
          </cell>
          <cell r="HC119">
            <v>0</v>
          </cell>
          <cell r="HD119">
            <v>0</v>
          </cell>
          <cell r="HE119">
            <v>12661836031.15398</v>
          </cell>
        </row>
        <row r="120">
          <cell r="B120" t="str">
            <v>HBS-29</v>
          </cell>
          <cell r="C120" t="str">
            <v>갑 을</v>
          </cell>
          <cell r="D120">
            <v>1</v>
          </cell>
          <cell r="E120" t="str">
            <v>담     보</v>
          </cell>
          <cell r="F120">
            <v>727032298.38999999</v>
          </cell>
          <cell r="G120">
            <v>727032298.38999999</v>
          </cell>
          <cell r="H120">
            <v>2149550334.0566669</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49997394185</v>
          </cell>
          <cell r="AB120">
            <v>216753082</v>
          </cell>
          <cell r="AC120">
            <v>626451926</v>
          </cell>
          <cell r="AD120">
            <v>1356730190</v>
          </cell>
          <cell r="AE120">
            <v>823499989</v>
          </cell>
          <cell r="AF120">
            <v>0</v>
          </cell>
          <cell r="AG120">
            <v>0</v>
          </cell>
          <cell r="AH120">
            <v>0</v>
          </cell>
          <cell r="AI120">
            <v>0</v>
          </cell>
          <cell r="AJ120">
            <v>0</v>
          </cell>
          <cell r="AK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v>0</v>
          </cell>
          <cell r="DU120">
            <v>0</v>
          </cell>
          <cell r="DV120">
            <v>0</v>
          </cell>
          <cell r="DW120">
            <v>0</v>
          </cell>
          <cell r="DX120">
            <v>0</v>
          </cell>
          <cell r="DY120">
            <v>0</v>
          </cell>
          <cell r="DZ120">
            <v>0</v>
          </cell>
          <cell r="EA120">
            <v>0</v>
          </cell>
          <cell r="EB120">
            <v>0</v>
          </cell>
          <cell r="EC120">
            <v>0</v>
          </cell>
          <cell r="ED120">
            <v>0</v>
          </cell>
          <cell r="EE120">
            <v>0</v>
          </cell>
          <cell r="EF120">
            <v>0</v>
          </cell>
          <cell r="EG120">
            <v>0</v>
          </cell>
          <cell r="EH120">
            <v>0</v>
          </cell>
          <cell r="EI120">
            <v>0</v>
          </cell>
          <cell r="EJ120">
            <v>0</v>
          </cell>
          <cell r="EK120">
            <v>0</v>
          </cell>
          <cell r="EL120">
            <v>0</v>
          </cell>
          <cell r="EM120">
            <v>0</v>
          </cell>
          <cell r="EN120">
            <v>0</v>
          </cell>
          <cell r="EO120">
            <v>0</v>
          </cell>
          <cell r="EP120">
            <v>0</v>
          </cell>
          <cell r="EQ120">
            <v>0</v>
          </cell>
          <cell r="ER120">
            <v>0</v>
          </cell>
          <cell r="ES120">
            <v>0</v>
          </cell>
          <cell r="ET120">
            <v>0</v>
          </cell>
          <cell r="EU120">
            <v>0</v>
          </cell>
          <cell r="EV120">
            <v>0</v>
          </cell>
          <cell r="EW120">
            <v>0</v>
          </cell>
          <cell r="EX120">
            <v>0</v>
          </cell>
          <cell r="EY120">
            <v>0</v>
          </cell>
          <cell r="EZ120">
            <v>0</v>
          </cell>
          <cell r="FA120">
            <v>0</v>
          </cell>
          <cell r="FB120">
            <v>0</v>
          </cell>
          <cell r="FC120">
            <v>0</v>
          </cell>
          <cell r="FD120">
            <v>0</v>
          </cell>
          <cell r="FE120">
            <v>0</v>
          </cell>
          <cell r="FF120">
            <v>0</v>
          </cell>
          <cell r="FG120">
            <v>0</v>
          </cell>
          <cell r="FH120">
            <v>0</v>
          </cell>
          <cell r="FI120">
            <v>0</v>
          </cell>
          <cell r="FJ120">
            <v>0</v>
          </cell>
          <cell r="FK120">
            <v>0</v>
          </cell>
          <cell r="FL120">
            <v>0</v>
          </cell>
          <cell r="FM120">
            <v>0</v>
          </cell>
          <cell r="FN120">
            <v>0</v>
          </cell>
          <cell r="FO120">
            <v>0</v>
          </cell>
          <cell r="FP120">
            <v>0</v>
          </cell>
          <cell r="FQ120">
            <v>0</v>
          </cell>
          <cell r="FR120">
            <v>0</v>
          </cell>
          <cell r="FS120">
            <v>0</v>
          </cell>
          <cell r="FT120">
            <v>0</v>
          </cell>
          <cell r="FU120">
            <v>0</v>
          </cell>
          <cell r="FV120">
            <v>0</v>
          </cell>
          <cell r="FW120">
            <v>0</v>
          </cell>
          <cell r="FX120">
            <v>0</v>
          </cell>
          <cell r="FY120">
            <v>0</v>
          </cell>
          <cell r="FZ120">
            <v>0</v>
          </cell>
          <cell r="GA120">
            <v>0</v>
          </cell>
          <cell r="GB120">
            <v>0</v>
          </cell>
          <cell r="GC120">
            <v>0</v>
          </cell>
          <cell r="GD120">
            <v>0</v>
          </cell>
          <cell r="GE120">
            <v>0</v>
          </cell>
          <cell r="GF120">
            <v>0</v>
          </cell>
          <cell r="GG120">
            <v>0</v>
          </cell>
          <cell r="GH120">
            <v>0</v>
          </cell>
          <cell r="GI120">
            <v>0</v>
          </cell>
          <cell r="GJ120">
            <v>0</v>
          </cell>
          <cell r="GK120">
            <v>0</v>
          </cell>
          <cell r="GL120">
            <v>0</v>
          </cell>
          <cell r="GM120">
            <v>0</v>
          </cell>
          <cell r="GN120">
            <v>0</v>
          </cell>
          <cell r="GO120">
            <v>0</v>
          </cell>
          <cell r="GP120">
            <v>0</v>
          </cell>
          <cell r="GQ120">
            <v>0</v>
          </cell>
          <cell r="GR120">
            <v>0</v>
          </cell>
          <cell r="GS120">
            <v>0</v>
          </cell>
          <cell r="GT120">
            <v>0</v>
          </cell>
          <cell r="GU120">
            <v>0</v>
          </cell>
          <cell r="GV120">
            <v>0</v>
          </cell>
          <cell r="GW120">
            <v>0</v>
          </cell>
          <cell r="GX120">
            <v>0</v>
          </cell>
          <cell r="GY120">
            <v>0</v>
          </cell>
          <cell r="GZ120">
            <v>0</v>
          </cell>
          <cell r="HA120">
            <v>0</v>
          </cell>
          <cell r="HB120">
            <v>0</v>
          </cell>
          <cell r="HC120">
            <v>0</v>
          </cell>
          <cell r="HD120">
            <v>0</v>
          </cell>
          <cell r="HE120">
            <v>56624444302.83667</v>
          </cell>
        </row>
        <row r="121">
          <cell r="D121">
            <v>1</v>
          </cell>
          <cell r="E121" t="str">
            <v>무 담 보</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0</v>
          </cell>
          <cell r="DM121">
            <v>0</v>
          </cell>
          <cell r="DN121">
            <v>0</v>
          </cell>
          <cell r="DO121">
            <v>0</v>
          </cell>
          <cell r="DP121">
            <v>0</v>
          </cell>
          <cell r="DQ121">
            <v>0</v>
          </cell>
          <cell r="DR121">
            <v>0</v>
          </cell>
          <cell r="DS121">
            <v>0</v>
          </cell>
          <cell r="DT121">
            <v>0</v>
          </cell>
          <cell r="DU121">
            <v>0</v>
          </cell>
          <cell r="DV121">
            <v>0</v>
          </cell>
          <cell r="DW121">
            <v>0</v>
          </cell>
          <cell r="DX121">
            <v>0</v>
          </cell>
          <cell r="DY121">
            <v>0</v>
          </cell>
          <cell r="DZ121">
            <v>0</v>
          </cell>
          <cell r="EA121">
            <v>0</v>
          </cell>
          <cell r="EB121">
            <v>0</v>
          </cell>
          <cell r="EC121">
            <v>0</v>
          </cell>
          <cell r="ED121">
            <v>0</v>
          </cell>
          <cell r="EE121">
            <v>0</v>
          </cell>
          <cell r="EF121">
            <v>0</v>
          </cell>
          <cell r="EG121">
            <v>0</v>
          </cell>
          <cell r="EH121">
            <v>0</v>
          </cell>
          <cell r="EI121">
            <v>0</v>
          </cell>
          <cell r="EJ121">
            <v>0</v>
          </cell>
          <cell r="EK121">
            <v>0</v>
          </cell>
          <cell r="EL121">
            <v>0</v>
          </cell>
          <cell r="EM121">
            <v>0</v>
          </cell>
          <cell r="EN121">
            <v>0</v>
          </cell>
          <cell r="EO121">
            <v>0</v>
          </cell>
          <cell r="EP121">
            <v>0</v>
          </cell>
          <cell r="EQ121">
            <v>0</v>
          </cell>
          <cell r="ER121">
            <v>0</v>
          </cell>
          <cell r="ES121">
            <v>0</v>
          </cell>
          <cell r="ET121">
            <v>0</v>
          </cell>
          <cell r="EU121">
            <v>0</v>
          </cell>
          <cell r="EV121">
            <v>0</v>
          </cell>
          <cell r="EW121">
            <v>0</v>
          </cell>
          <cell r="EX121">
            <v>0</v>
          </cell>
          <cell r="EY121">
            <v>0</v>
          </cell>
          <cell r="EZ121">
            <v>0</v>
          </cell>
          <cell r="FA121">
            <v>0</v>
          </cell>
          <cell r="FB121">
            <v>0</v>
          </cell>
          <cell r="FC121">
            <v>0</v>
          </cell>
          <cell r="FD121">
            <v>0</v>
          </cell>
          <cell r="FE121">
            <v>0</v>
          </cell>
          <cell r="FF121">
            <v>0</v>
          </cell>
          <cell r="FG121">
            <v>0</v>
          </cell>
          <cell r="FH121">
            <v>0</v>
          </cell>
          <cell r="FI121">
            <v>0</v>
          </cell>
          <cell r="FJ121">
            <v>0</v>
          </cell>
          <cell r="FK121">
            <v>0</v>
          </cell>
          <cell r="FL121">
            <v>0</v>
          </cell>
          <cell r="FM121">
            <v>0</v>
          </cell>
          <cell r="FN121">
            <v>0</v>
          </cell>
          <cell r="FO121">
            <v>0</v>
          </cell>
          <cell r="FP121">
            <v>0</v>
          </cell>
          <cell r="FQ121">
            <v>0</v>
          </cell>
          <cell r="FR121">
            <v>0</v>
          </cell>
          <cell r="FS121">
            <v>0</v>
          </cell>
          <cell r="FT121">
            <v>0</v>
          </cell>
          <cell r="FU121">
            <v>0</v>
          </cell>
          <cell r="FV121">
            <v>0</v>
          </cell>
          <cell r="FW121">
            <v>0</v>
          </cell>
          <cell r="FX121">
            <v>0</v>
          </cell>
          <cell r="FY121">
            <v>0</v>
          </cell>
          <cell r="FZ121">
            <v>0</v>
          </cell>
          <cell r="GA121">
            <v>0</v>
          </cell>
          <cell r="GB121">
            <v>0</v>
          </cell>
          <cell r="GC121">
            <v>0</v>
          </cell>
          <cell r="GD121">
            <v>0</v>
          </cell>
          <cell r="GE121">
            <v>0</v>
          </cell>
          <cell r="GF121">
            <v>0</v>
          </cell>
          <cell r="GG121">
            <v>0</v>
          </cell>
          <cell r="GH121">
            <v>0</v>
          </cell>
          <cell r="GI121">
            <v>0</v>
          </cell>
          <cell r="GJ121">
            <v>0</v>
          </cell>
          <cell r="GK121">
            <v>0</v>
          </cell>
          <cell r="GL121">
            <v>0</v>
          </cell>
          <cell r="GM121">
            <v>0</v>
          </cell>
          <cell r="GN121">
            <v>0</v>
          </cell>
          <cell r="GO121">
            <v>0</v>
          </cell>
          <cell r="GP121">
            <v>0</v>
          </cell>
          <cell r="GQ121">
            <v>0</v>
          </cell>
          <cell r="GR121">
            <v>0</v>
          </cell>
          <cell r="GS121">
            <v>0</v>
          </cell>
          <cell r="GT121">
            <v>0</v>
          </cell>
          <cell r="GU121">
            <v>0</v>
          </cell>
          <cell r="GV121">
            <v>0</v>
          </cell>
          <cell r="GW121">
            <v>0</v>
          </cell>
          <cell r="GX121">
            <v>0</v>
          </cell>
          <cell r="GY121">
            <v>0</v>
          </cell>
          <cell r="GZ121">
            <v>0</v>
          </cell>
          <cell r="HA121">
            <v>0</v>
          </cell>
          <cell r="HB121">
            <v>0</v>
          </cell>
          <cell r="HC121">
            <v>0</v>
          </cell>
          <cell r="HD121">
            <v>0</v>
          </cell>
          <cell r="HE121">
            <v>0</v>
          </cell>
        </row>
        <row r="122">
          <cell r="E122" t="str">
            <v>Total</v>
          </cell>
          <cell r="F122">
            <v>727032298.38999999</v>
          </cell>
          <cell r="G122">
            <v>727032298.38999999</v>
          </cell>
          <cell r="H122">
            <v>2149550334.0566669</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49997394185</v>
          </cell>
          <cell r="AB122">
            <v>216753082</v>
          </cell>
          <cell r="AC122">
            <v>626451926</v>
          </cell>
          <cell r="AD122">
            <v>1356730190</v>
          </cell>
          <cell r="AE122">
            <v>823499989</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56624444302.83667</v>
          </cell>
        </row>
        <row r="123">
          <cell r="A123" t="str">
            <v>HBS-29</v>
          </cell>
          <cell r="E123" t="str">
            <v>현     가</v>
          </cell>
          <cell r="F123">
            <v>727032298.38999999</v>
          </cell>
          <cell r="G123">
            <v>723811752.55191743</v>
          </cell>
          <cell r="H123">
            <v>2130233456.561986</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45007319260.902748</v>
          </cell>
          <cell r="AB123">
            <v>194125355.04439989</v>
          </cell>
          <cell r="AC123">
            <v>558286993.16074836</v>
          </cell>
          <cell r="AD123">
            <v>1202941355.364749</v>
          </cell>
          <cell r="AE123">
            <v>721451526.46648657</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0</v>
          </cell>
          <cell r="DE123">
            <v>0</v>
          </cell>
          <cell r="DF123">
            <v>0</v>
          </cell>
          <cell r="DG123">
            <v>0</v>
          </cell>
          <cell r="DH123">
            <v>0</v>
          </cell>
          <cell r="DI123">
            <v>0</v>
          </cell>
          <cell r="DJ123">
            <v>0</v>
          </cell>
          <cell r="DK123">
            <v>0</v>
          </cell>
          <cell r="DL123">
            <v>0</v>
          </cell>
          <cell r="DM123">
            <v>0</v>
          </cell>
          <cell r="DN123">
            <v>0</v>
          </cell>
          <cell r="DO123">
            <v>0</v>
          </cell>
          <cell r="DP123">
            <v>0</v>
          </cell>
          <cell r="DQ123">
            <v>0</v>
          </cell>
          <cell r="DR123">
            <v>0</v>
          </cell>
          <cell r="DS123">
            <v>0</v>
          </cell>
          <cell r="DT123">
            <v>0</v>
          </cell>
          <cell r="DU123">
            <v>0</v>
          </cell>
          <cell r="DV123">
            <v>0</v>
          </cell>
          <cell r="DW123">
            <v>0</v>
          </cell>
          <cell r="DX123">
            <v>0</v>
          </cell>
          <cell r="DY123">
            <v>0</v>
          </cell>
          <cell r="DZ123">
            <v>0</v>
          </cell>
          <cell r="EA123">
            <v>0</v>
          </cell>
          <cell r="EB123">
            <v>0</v>
          </cell>
          <cell r="EC123">
            <v>0</v>
          </cell>
          <cell r="ED123">
            <v>0</v>
          </cell>
          <cell r="EE123">
            <v>0</v>
          </cell>
          <cell r="EF123">
            <v>0</v>
          </cell>
          <cell r="EG123">
            <v>0</v>
          </cell>
          <cell r="EH123">
            <v>0</v>
          </cell>
          <cell r="EI123">
            <v>0</v>
          </cell>
          <cell r="EJ123">
            <v>0</v>
          </cell>
          <cell r="EK123">
            <v>0</v>
          </cell>
          <cell r="EL123">
            <v>0</v>
          </cell>
          <cell r="EM123">
            <v>0</v>
          </cell>
          <cell r="EN123">
            <v>0</v>
          </cell>
          <cell r="EO123">
            <v>0</v>
          </cell>
          <cell r="EP123">
            <v>0</v>
          </cell>
          <cell r="EQ123">
            <v>0</v>
          </cell>
          <cell r="ER123">
            <v>0</v>
          </cell>
          <cell r="ES123">
            <v>0</v>
          </cell>
          <cell r="ET123">
            <v>0</v>
          </cell>
          <cell r="EU123">
            <v>0</v>
          </cell>
          <cell r="EV123">
            <v>0</v>
          </cell>
          <cell r="EW123">
            <v>0</v>
          </cell>
          <cell r="EX123">
            <v>0</v>
          </cell>
          <cell r="EY123">
            <v>0</v>
          </cell>
          <cell r="EZ123">
            <v>0</v>
          </cell>
          <cell r="FA123">
            <v>0</v>
          </cell>
          <cell r="FB123">
            <v>0</v>
          </cell>
          <cell r="FC123">
            <v>0</v>
          </cell>
          <cell r="FD123">
            <v>0</v>
          </cell>
          <cell r="FE123">
            <v>0</v>
          </cell>
          <cell r="FF123">
            <v>0</v>
          </cell>
          <cell r="FG123">
            <v>0</v>
          </cell>
          <cell r="FH123">
            <v>0</v>
          </cell>
          <cell r="FI123">
            <v>0</v>
          </cell>
          <cell r="FJ123">
            <v>0</v>
          </cell>
          <cell r="FK123">
            <v>0</v>
          </cell>
          <cell r="FL123">
            <v>0</v>
          </cell>
          <cell r="FM123">
            <v>0</v>
          </cell>
          <cell r="FN123">
            <v>0</v>
          </cell>
          <cell r="FO123">
            <v>0</v>
          </cell>
          <cell r="FP123">
            <v>0</v>
          </cell>
          <cell r="FQ123">
            <v>0</v>
          </cell>
          <cell r="FR123">
            <v>0</v>
          </cell>
          <cell r="FS123">
            <v>0</v>
          </cell>
          <cell r="FT123">
            <v>0</v>
          </cell>
          <cell r="FU123">
            <v>0</v>
          </cell>
          <cell r="FV123">
            <v>0</v>
          </cell>
          <cell r="FW123">
            <v>0</v>
          </cell>
          <cell r="FX123">
            <v>0</v>
          </cell>
          <cell r="FY123">
            <v>0</v>
          </cell>
          <cell r="FZ123">
            <v>0</v>
          </cell>
          <cell r="GA123">
            <v>0</v>
          </cell>
          <cell r="GB123">
            <v>0</v>
          </cell>
          <cell r="GC123">
            <v>0</v>
          </cell>
          <cell r="GD123">
            <v>0</v>
          </cell>
          <cell r="GE123">
            <v>0</v>
          </cell>
          <cell r="GF123">
            <v>0</v>
          </cell>
          <cell r="GG123">
            <v>0</v>
          </cell>
          <cell r="GH123">
            <v>0</v>
          </cell>
          <cell r="GI123">
            <v>0</v>
          </cell>
          <cell r="GJ123">
            <v>0</v>
          </cell>
          <cell r="GK123">
            <v>0</v>
          </cell>
          <cell r="GL123">
            <v>0</v>
          </cell>
          <cell r="GM123">
            <v>0</v>
          </cell>
          <cell r="GN123">
            <v>0</v>
          </cell>
          <cell r="GO123">
            <v>0</v>
          </cell>
          <cell r="GP123">
            <v>0</v>
          </cell>
          <cell r="GQ123">
            <v>0</v>
          </cell>
          <cell r="GR123">
            <v>0</v>
          </cell>
          <cell r="GS123">
            <v>0</v>
          </cell>
          <cell r="GT123">
            <v>0</v>
          </cell>
          <cell r="GU123">
            <v>0</v>
          </cell>
          <cell r="GV123">
            <v>0</v>
          </cell>
          <cell r="GW123">
            <v>0</v>
          </cell>
          <cell r="GX123">
            <v>0</v>
          </cell>
          <cell r="GY123">
            <v>0</v>
          </cell>
          <cell r="GZ123">
            <v>0</v>
          </cell>
          <cell r="HA123">
            <v>0</v>
          </cell>
          <cell r="HB123">
            <v>0</v>
          </cell>
          <cell r="HC123">
            <v>0</v>
          </cell>
          <cell r="HD123">
            <v>0</v>
          </cell>
          <cell r="HE123">
            <v>51265201998.443039</v>
          </cell>
        </row>
        <row r="124">
          <cell r="B124" t="str">
            <v>HBS-30</v>
          </cell>
          <cell r="C124" t="str">
            <v>새한</v>
          </cell>
          <cell r="D124">
            <v>0</v>
          </cell>
          <cell r="E124" t="str">
            <v>담     보</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0</v>
          </cell>
          <cell r="DO124">
            <v>0</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cell r="EC124">
            <v>0</v>
          </cell>
          <cell r="ED124">
            <v>0</v>
          </cell>
          <cell r="EE124">
            <v>0</v>
          </cell>
          <cell r="EF124">
            <v>0</v>
          </cell>
          <cell r="EG124">
            <v>0</v>
          </cell>
          <cell r="EH124">
            <v>0</v>
          </cell>
          <cell r="EI124">
            <v>0</v>
          </cell>
          <cell r="EJ124">
            <v>0</v>
          </cell>
          <cell r="EK124">
            <v>0</v>
          </cell>
          <cell r="EL124">
            <v>0</v>
          </cell>
          <cell r="EM124">
            <v>0</v>
          </cell>
          <cell r="EN124">
            <v>0</v>
          </cell>
          <cell r="EO124">
            <v>0</v>
          </cell>
          <cell r="EP124">
            <v>0</v>
          </cell>
          <cell r="EQ124">
            <v>0</v>
          </cell>
          <cell r="ER124">
            <v>0</v>
          </cell>
          <cell r="ES124">
            <v>0</v>
          </cell>
          <cell r="ET124">
            <v>0</v>
          </cell>
          <cell r="EU124">
            <v>0</v>
          </cell>
          <cell r="EV124">
            <v>0</v>
          </cell>
          <cell r="EW124">
            <v>0</v>
          </cell>
          <cell r="EX124">
            <v>0</v>
          </cell>
          <cell r="EY124">
            <v>0</v>
          </cell>
          <cell r="EZ124">
            <v>0</v>
          </cell>
          <cell r="FA124">
            <v>0</v>
          </cell>
          <cell r="FB124">
            <v>0</v>
          </cell>
          <cell r="FC124">
            <v>0</v>
          </cell>
          <cell r="FD124">
            <v>0</v>
          </cell>
          <cell r="FE124">
            <v>0</v>
          </cell>
          <cell r="FF124">
            <v>0</v>
          </cell>
          <cell r="FG124">
            <v>0</v>
          </cell>
          <cell r="FH124">
            <v>0</v>
          </cell>
          <cell r="FI124">
            <v>0</v>
          </cell>
          <cell r="FJ124">
            <v>0</v>
          </cell>
          <cell r="FK124">
            <v>0</v>
          </cell>
          <cell r="FL124">
            <v>0</v>
          </cell>
          <cell r="FM124">
            <v>0</v>
          </cell>
          <cell r="FN124">
            <v>0</v>
          </cell>
          <cell r="FO124">
            <v>0</v>
          </cell>
          <cell r="FP124">
            <v>0</v>
          </cell>
          <cell r="FQ124">
            <v>0</v>
          </cell>
          <cell r="FR124">
            <v>0</v>
          </cell>
          <cell r="FS124">
            <v>0</v>
          </cell>
          <cell r="FT124">
            <v>0</v>
          </cell>
          <cell r="FU124">
            <v>0</v>
          </cell>
          <cell r="FV124">
            <v>0</v>
          </cell>
          <cell r="FW124">
            <v>0</v>
          </cell>
          <cell r="FX124">
            <v>0</v>
          </cell>
          <cell r="FY124">
            <v>0</v>
          </cell>
          <cell r="FZ124">
            <v>0</v>
          </cell>
          <cell r="GA124">
            <v>0</v>
          </cell>
          <cell r="GB124">
            <v>0</v>
          </cell>
          <cell r="GC124">
            <v>0</v>
          </cell>
          <cell r="GD124">
            <v>0</v>
          </cell>
          <cell r="GE124">
            <v>0</v>
          </cell>
          <cell r="GF124">
            <v>0</v>
          </cell>
          <cell r="GG124">
            <v>0</v>
          </cell>
          <cell r="GH124">
            <v>0</v>
          </cell>
          <cell r="GI124">
            <v>0</v>
          </cell>
          <cell r="GJ124">
            <v>0</v>
          </cell>
          <cell r="GK124">
            <v>0</v>
          </cell>
          <cell r="GL124">
            <v>0</v>
          </cell>
          <cell r="GM124">
            <v>0</v>
          </cell>
          <cell r="GN124">
            <v>0</v>
          </cell>
          <cell r="GO124">
            <v>0</v>
          </cell>
          <cell r="GP124">
            <v>0</v>
          </cell>
          <cell r="GQ124">
            <v>0</v>
          </cell>
          <cell r="GR124">
            <v>0</v>
          </cell>
          <cell r="GS124">
            <v>0</v>
          </cell>
          <cell r="GT124">
            <v>0</v>
          </cell>
          <cell r="GU124">
            <v>0</v>
          </cell>
          <cell r="GV124">
            <v>0</v>
          </cell>
          <cell r="GW124">
            <v>0</v>
          </cell>
          <cell r="GX124">
            <v>0</v>
          </cell>
          <cell r="GY124">
            <v>0</v>
          </cell>
          <cell r="GZ124">
            <v>0</v>
          </cell>
          <cell r="HA124">
            <v>0</v>
          </cell>
          <cell r="HB124">
            <v>0</v>
          </cell>
          <cell r="HC124">
            <v>0</v>
          </cell>
          <cell r="HD124">
            <v>0</v>
          </cell>
          <cell r="HE124">
            <v>0</v>
          </cell>
        </row>
        <row r="125">
          <cell r="C125" t="str">
            <v>DROP</v>
          </cell>
          <cell r="D125">
            <v>0</v>
          </cell>
          <cell r="E125" t="str">
            <v>무 담 보</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0</v>
          </cell>
          <cell r="EF125">
            <v>0</v>
          </cell>
          <cell r="EG125">
            <v>0</v>
          </cell>
          <cell r="EH125">
            <v>0</v>
          </cell>
          <cell r="EI125">
            <v>0</v>
          </cell>
          <cell r="EJ125">
            <v>0</v>
          </cell>
          <cell r="EK125">
            <v>0</v>
          </cell>
          <cell r="EL125">
            <v>0</v>
          </cell>
          <cell r="EM125">
            <v>0</v>
          </cell>
          <cell r="EN125">
            <v>0</v>
          </cell>
          <cell r="EO125">
            <v>0</v>
          </cell>
          <cell r="EP125">
            <v>0</v>
          </cell>
          <cell r="EQ125">
            <v>0</v>
          </cell>
          <cell r="ER125">
            <v>0</v>
          </cell>
          <cell r="ES125">
            <v>0</v>
          </cell>
          <cell r="ET125">
            <v>0</v>
          </cell>
          <cell r="EU125">
            <v>0</v>
          </cell>
          <cell r="EV125">
            <v>0</v>
          </cell>
          <cell r="EW125">
            <v>0</v>
          </cell>
          <cell r="EX125">
            <v>0</v>
          </cell>
          <cell r="EY125">
            <v>0</v>
          </cell>
          <cell r="EZ125">
            <v>0</v>
          </cell>
          <cell r="FA125">
            <v>0</v>
          </cell>
          <cell r="FB125">
            <v>0</v>
          </cell>
          <cell r="FC125">
            <v>0</v>
          </cell>
          <cell r="FD125">
            <v>0</v>
          </cell>
          <cell r="FE125">
            <v>0</v>
          </cell>
          <cell r="FF125">
            <v>0</v>
          </cell>
          <cell r="FG125">
            <v>0</v>
          </cell>
          <cell r="FH125">
            <v>0</v>
          </cell>
          <cell r="FI125">
            <v>0</v>
          </cell>
          <cell r="FJ125">
            <v>0</v>
          </cell>
          <cell r="FK125">
            <v>0</v>
          </cell>
          <cell r="FL125">
            <v>0</v>
          </cell>
          <cell r="FM125">
            <v>0</v>
          </cell>
          <cell r="FN125">
            <v>0</v>
          </cell>
          <cell r="FO125">
            <v>0</v>
          </cell>
          <cell r="FP125">
            <v>0</v>
          </cell>
          <cell r="FQ125">
            <v>0</v>
          </cell>
          <cell r="FR125">
            <v>0</v>
          </cell>
          <cell r="FS125">
            <v>0</v>
          </cell>
          <cell r="FT125">
            <v>0</v>
          </cell>
          <cell r="FU125">
            <v>0</v>
          </cell>
          <cell r="FV125">
            <v>0</v>
          </cell>
          <cell r="FW125">
            <v>0</v>
          </cell>
          <cell r="FX125">
            <v>0</v>
          </cell>
          <cell r="FY125">
            <v>0</v>
          </cell>
          <cell r="FZ125">
            <v>0</v>
          </cell>
          <cell r="GA125">
            <v>0</v>
          </cell>
          <cell r="GB125">
            <v>0</v>
          </cell>
          <cell r="GC125">
            <v>0</v>
          </cell>
          <cell r="GD125">
            <v>0</v>
          </cell>
          <cell r="GE125">
            <v>0</v>
          </cell>
          <cell r="GF125">
            <v>0</v>
          </cell>
          <cell r="GG125">
            <v>0</v>
          </cell>
          <cell r="GH125">
            <v>0</v>
          </cell>
          <cell r="GI125">
            <v>0</v>
          </cell>
          <cell r="GJ125">
            <v>0</v>
          </cell>
          <cell r="GK125">
            <v>0</v>
          </cell>
          <cell r="GL125">
            <v>0</v>
          </cell>
          <cell r="GM125">
            <v>0</v>
          </cell>
          <cell r="GN125">
            <v>0</v>
          </cell>
          <cell r="GO125">
            <v>0</v>
          </cell>
          <cell r="GP125">
            <v>0</v>
          </cell>
          <cell r="GQ125">
            <v>0</v>
          </cell>
          <cell r="GR125">
            <v>0</v>
          </cell>
          <cell r="GS125">
            <v>0</v>
          </cell>
          <cell r="GT125">
            <v>0</v>
          </cell>
          <cell r="GU125">
            <v>0</v>
          </cell>
          <cell r="GV125">
            <v>0</v>
          </cell>
          <cell r="GW125">
            <v>0</v>
          </cell>
          <cell r="GX125">
            <v>0</v>
          </cell>
          <cell r="GY125">
            <v>0</v>
          </cell>
          <cell r="GZ125">
            <v>0</v>
          </cell>
          <cell r="HA125">
            <v>0</v>
          </cell>
          <cell r="HB125">
            <v>0</v>
          </cell>
          <cell r="HC125">
            <v>0</v>
          </cell>
          <cell r="HD125">
            <v>0</v>
          </cell>
          <cell r="HE125">
            <v>0</v>
          </cell>
        </row>
        <row r="126">
          <cell r="E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0</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FI126">
            <v>0</v>
          </cell>
          <cell r="FJ126">
            <v>0</v>
          </cell>
          <cell r="FK126">
            <v>0</v>
          </cell>
          <cell r="FL126">
            <v>0</v>
          </cell>
          <cell r="FM126">
            <v>0</v>
          </cell>
          <cell r="FN126">
            <v>0</v>
          </cell>
          <cell r="FO126">
            <v>0</v>
          </cell>
          <cell r="FP126">
            <v>0</v>
          </cell>
          <cell r="FQ126">
            <v>0</v>
          </cell>
          <cell r="FR126">
            <v>0</v>
          </cell>
          <cell r="FS126">
            <v>0</v>
          </cell>
          <cell r="FT126">
            <v>0</v>
          </cell>
          <cell r="FU126">
            <v>0</v>
          </cell>
          <cell r="FV126">
            <v>0</v>
          </cell>
          <cell r="FW126">
            <v>0</v>
          </cell>
          <cell r="FX126">
            <v>0</v>
          </cell>
          <cell r="FY126">
            <v>0</v>
          </cell>
          <cell r="FZ126">
            <v>0</v>
          </cell>
          <cell r="GA126">
            <v>0</v>
          </cell>
          <cell r="GB126">
            <v>0</v>
          </cell>
          <cell r="GC126">
            <v>0</v>
          </cell>
          <cell r="GD126">
            <v>0</v>
          </cell>
          <cell r="GE126">
            <v>0</v>
          </cell>
          <cell r="GF126">
            <v>0</v>
          </cell>
          <cell r="GG126">
            <v>0</v>
          </cell>
          <cell r="GH126">
            <v>0</v>
          </cell>
          <cell r="GI126">
            <v>0</v>
          </cell>
          <cell r="GJ126">
            <v>0</v>
          </cell>
          <cell r="GK126">
            <v>0</v>
          </cell>
          <cell r="GL126">
            <v>0</v>
          </cell>
          <cell r="GM126">
            <v>0</v>
          </cell>
          <cell r="GN126">
            <v>0</v>
          </cell>
          <cell r="GO126">
            <v>0</v>
          </cell>
          <cell r="GP126">
            <v>0</v>
          </cell>
          <cell r="GQ126">
            <v>0</v>
          </cell>
          <cell r="GR126">
            <v>0</v>
          </cell>
          <cell r="GS126">
            <v>0</v>
          </cell>
          <cell r="GT126">
            <v>0</v>
          </cell>
          <cell r="GU126">
            <v>0</v>
          </cell>
          <cell r="GV126">
            <v>0</v>
          </cell>
          <cell r="GW126">
            <v>0</v>
          </cell>
          <cell r="GX126">
            <v>0</v>
          </cell>
          <cell r="GY126">
            <v>0</v>
          </cell>
          <cell r="GZ126">
            <v>0</v>
          </cell>
          <cell r="HA126">
            <v>0</v>
          </cell>
          <cell r="HB126">
            <v>0</v>
          </cell>
          <cell r="HC126">
            <v>0</v>
          </cell>
          <cell r="HD126">
            <v>0</v>
          </cell>
          <cell r="HE126">
            <v>0</v>
          </cell>
        </row>
        <row r="127">
          <cell r="A127" t="str">
            <v>HBS-30</v>
          </cell>
          <cell r="E127" t="str">
            <v>현     가</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v>0</v>
          </cell>
          <cell r="DU127">
            <v>0</v>
          </cell>
          <cell r="DV127">
            <v>0</v>
          </cell>
          <cell r="DW127">
            <v>0</v>
          </cell>
          <cell r="DX127">
            <v>0</v>
          </cell>
          <cell r="DY127">
            <v>0</v>
          </cell>
          <cell r="DZ127">
            <v>0</v>
          </cell>
          <cell r="EA127">
            <v>0</v>
          </cell>
          <cell r="EB127">
            <v>0</v>
          </cell>
          <cell r="EC127">
            <v>0</v>
          </cell>
          <cell r="ED127">
            <v>0</v>
          </cell>
          <cell r="EE127">
            <v>0</v>
          </cell>
          <cell r="EF127">
            <v>0</v>
          </cell>
          <cell r="EG127">
            <v>0</v>
          </cell>
          <cell r="EH127">
            <v>0</v>
          </cell>
          <cell r="EI127">
            <v>0</v>
          </cell>
          <cell r="EJ127">
            <v>0</v>
          </cell>
          <cell r="EK127">
            <v>0</v>
          </cell>
          <cell r="EL127">
            <v>0</v>
          </cell>
          <cell r="EM127">
            <v>0</v>
          </cell>
          <cell r="EN127">
            <v>0</v>
          </cell>
          <cell r="EO127">
            <v>0</v>
          </cell>
          <cell r="EP127">
            <v>0</v>
          </cell>
          <cell r="EQ127">
            <v>0</v>
          </cell>
          <cell r="ER127">
            <v>0</v>
          </cell>
          <cell r="ES127">
            <v>0</v>
          </cell>
          <cell r="ET127">
            <v>0</v>
          </cell>
          <cell r="EU127">
            <v>0</v>
          </cell>
          <cell r="EV127">
            <v>0</v>
          </cell>
          <cell r="EW127">
            <v>0</v>
          </cell>
          <cell r="EX127">
            <v>0</v>
          </cell>
          <cell r="EY127">
            <v>0</v>
          </cell>
          <cell r="EZ127">
            <v>0</v>
          </cell>
          <cell r="FA127">
            <v>0</v>
          </cell>
          <cell r="FB127">
            <v>0</v>
          </cell>
          <cell r="FC127">
            <v>0</v>
          </cell>
          <cell r="FD127">
            <v>0</v>
          </cell>
          <cell r="FE127">
            <v>0</v>
          </cell>
          <cell r="FF127">
            <v>0</v>
          </cell>
          <cell r="FG127">
            <v>0</v>
          </cell>
          <cell r="FH127">
            <v>0</v>
          </cell>
          <cell r="FI127">
            <v>0</v>
          </cell>
          <cell r="FJ127">
            <v>0</v>
          </cell>
          <cell r="FK127">
            <v>0</v>
          </cell>
          <cell r="FL127">
            <v>0</v>
          </cell>
          <cell r="FM127">
            <v>0</v>
          </cell>
          <cell r="FN127">
            <v>0</v>
          </cell>
          <cell r="FO127">
            <v>0</v>
          </cell>
          <cell r="FP127">
            <v>0</v>
          </cell>
          <cell r="FQ127">
            <v>0</v>
          </cell>
          <cell r="FR127">
            <v>0</v>
          </cell>
          <cell r="FS127">
            <v>0</v>
          </cell>
          <cell r="FT127">
            <v>0</v>
          </cell>
          <cell r="FU127">
            <v>0</v>
          </cell>
          <cell r="FV127">
            <v>0</v>
          </cell>
          <cell r="FW127">
            <v>0</v>
          </cell>
          <cell r="FX127">
            <v>0</v>
          </cell>
          <cell r="FY127">
            <v>0</v>
          </cell>
          <cell r="FZ127">
            <v>0</v>
          </cell>
          <cell r="GA127">
            <v>0</v>
          </cell>
          <cell r="GB127">
            <v>0</v>
          </cell>
          <cell r="GC127">
            <v>0</v>
          </cell>
          <cell r="GD127">
            <v>0</v>
          </cell>
          <cell r="GE127">
            <v>0</v>
          </cell>
          <cell r="GF127">
            <v>0</v>
          </cell>
          <cell r="GG127">
            <v>0</v>
          </cell>
          <cell r="GH127">
            <v>0</v>
          </cell>
          <cell r="GI127">
            <v>0</v>
          </cell>
          <cell r="GJ127">
            <v>0</v>
          </cell>
          <cell r="GK127">
            <v>0</v>
          </cell>
          <cell r="GL127">
            <v>0</v>
          </cell>
          <cell r="GM127">
            <v>0</v>
          </cell>
          <cell r="GN127">
            <v>0</v>
          </cell>
          <cell r="GO127">
            <v>0</v>
          </cell>
          <cell r="GP127">
            <v>0</v>
          </cell>
          <cell r="GQ127">
            <v>0</v>
          </cell>
          <cell r="GR127">
            <v>0</v>
          </cell>
          <cell r="GS127">
            <v>0</v>
          </cell>
          <cell r="GT127">
            <v>0</v>
          </cell>
          <cell r="GU127">
            <v>0</v>
          </cell>
          <cell r="GV127">
            <v>0</v>
          </cell>
          <cell r="GW127">
            <v>0</v>
          </cell>
          <cell r="GX127">
            <v>0</v>
          </cell>
          <cell r="GY127">
            <v>0</v>
          </cell>
          <cell r="GZ127">
            <v>0</v>
          </cell>
          <cell r="HA127">
            <v>0</v>
          </cell>
          <cell r="HB127">
            <v>0</v>
          </cell>
          <cell r="HC127">
            <v>0</v>
          </cell>
          <cell r="HD127">
            <v>0</v>
          </cell>
          <cell r="HE127">
            <v>0</v>
          </cell>
        </row>
        <row r="128">
          <cell r="B128" t="str">
            <v>HBS-31</v>
          </cell>
          <cell r="C128" t="str">
            <v>기아모텍주식회사</v>
          </cell>
          <cell r="D128">
            <v>0.1</v>
          </cell>
          <cell r="E128" t="str">
            <v>담     보</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v>0</v>
          </cell>
          <cell r="DU128">
            <v>0</v>
          </cell>
          <cell r="DV128">
            <v>0</v>
          </cell>
          <cell r="DW128">
            <v>0</v>
          </cell>
          <cell r="DX128">
            <v>0</v>
          </cell>
          <cell r="DY128">
            <v>0</v>
          </cell>
          <cell r="DZ128">
            <v>0</v>
          </cell>
          <cell r="EA128">
            <v>0</v>
          </cell>
          <cell r="EB128">
            <v>0</v>
          </cell>
          <cell r="EC128">
            <v>0</v>
          </cell>
          <cell r="ED128">
            <v>0</v>
          </cell>
          <cell r="EE128">
            <v>0</v>
          </cell>
          <cell r="EF128">
            <v>0</v>
          </cell>
          <cell r="EG128">
            <v>0</v>
          </cell>
          <cell r="EH128">
            <v>0</v>
          </cell>
          <cell r="EI128">
            <v>0</v>
          </cell>
          <cell r="EJ128">
            <v>0</v>
          </cell>
          <cell r="EK128">
            <v>0</v>
          </cell>
          <cell r="EL128">
            <v>0</v>
          </cell>
          <cell r="EM128">
            <v>0</v>
          </cell>
          <cell r="EN128">
            <v>0</v>
          </cell>
          <cell r="EO128">
            <v>0</v>
          </cell>
          <cell r="EP128">
            <v>0</v>
          </cell>
          <cell r="EQ128">
            <v>0</v>
          </cell>
          <cell r="ER128">
            <v>0</v>
          </cell>
          <cell r="ES128">
            <v>0</v>
          </cell>
          <cell r="ET128">
            <v>0</v>
          </cell>
          <cell r="EU128">
            <v>0</v>
          </cell>
          <cell r="EV128">
            <v>0</v>
          </cell>
          <cell r="EW128">
            <v>0</v>
          </cell>
          <cell r="EX128">
            <v>0</v>
          </cell>
          <cell r="EY128">
            <v>0</v>
          </cell>
          <cell r="EZ128">
            <v>0</v>
          </cell>
          <cell r="FA128">
            <v>0</v>
          </cell>
          <cell r="FB128">
            <v>0</v>
          </cell>
          <cell r="FC128">
            <v>0</v>
          </cell>
          <cell r="FD128">
            <v>0</v>
          </cell>
          <cell r="FE128">
            <v>0</v>
          </cell>
          <cell r="FF128">
            <v>0</v>
          </cell>
          <cell r="FG128">
            <v>0</v>
          </cell>
          <cell r="FH128">
            <v>0</v>
          </cell>
          <cell r="FI128">
            <v>0</v>
          </cell>
          <cell r="FJ128">
            <v>0</v>
          </cell>
          <cell r="FK128">
            <v>0</v>
          </cell>
          <cell r="FL128">
            <v>0</v>
          </cell>
          <cell r="FM128">
            <v>0</v>
          </cell>
          <cell r="FN128">
            <v>0</v>
          </cell>
          <cell r="FO128">
            <v>0</v>
          </cell>
          <cell r="FP128">
            <v>0</v>
          </cell>
          <cell r="FQ128">
            <v>0</v>
          </cell>
          <cell r="FR128">
            <v>0</v>
          </cell>
          <cell r="FS128">
            <v>0</v>
          </cell>
          <cell r="FT128">
            <v>0</v>
          </cell>
          <cell r="FU128">
            <v>0</v>
          </cell>
          <cell r="FV128">
            <v>0</v>
          </cell>
          <cell r="FW128">
            <v>0</v>
          </cell>
          <cell r="FX128">
            <v>0</v>
          </cell>
          <cell r="FY128">
            <v>0</v>
          </cell>
          <cell r="FZ128">
            <v>0</v>
          </cell>
          <cell r="GA128">
            <v>0</v>
          </cell>
          <cell r="GB128">
            <v>0</v>
          </cell>
          <cell r="GC128">
            <v>0</v>
          </cell>
          <cell r="GD128">
            <v>0</v>
          </cell>
          <cell r="GE128">
            <v>0</v>
          </cell>
          <cell r="GF128">
            <v>0</v>
          </cell>
          <cell r="GG128">
            <v>0</v>
          </cell>
          <cell r="GH128">
            <v>0</v>
          </cell>
          <cell r="GI128">
            <v>0</v>
          </cell>
          <cell r="GJ128">
            <v>0</v>
          </cell>
          <cell r="GK128">
            <v>0</v>
          </cell>
          <cell r="GL128">
            <v>0</v>
          </cell>
          <cell r="GM128">
            <v>0</v>
          </cell>
          <cell r="GN128">
            <v>0</v>
          </cell>
          <cell r="GO128">
            <v>0</v>
          </cell>
          <cell r="GP128">
            <v>0</v>
          </cell>
          <cell r="GQ128">
            <v>0</v>
          </cell>
          <cell r="GR128">
            <v>0</v>
          </cell>
          <cell r="GS128">
            <v>0</v>
          </cell>
          <cell r="GT128">
            <v>0</v>
          </cell>
          <cell r="GU128">
            <v>0</v>
          </cell>
          <cell r="GV128">
            <v>0</v>
          </cell>
          <cell r="GW128">
            <v>0</v>
          </cell>
          <cell r="GX128">
            <v>0</v>
          </cell>
          <cell r="GY128">
            <v>0</v>
          </cell>
          <cell r="GZ128">
            <v>0</v>
          </cell>
          <cell r="HA128">
            <v>0</v>
          </cell>
          <cell r="HB128">
            <v>0</v>
          </cell>
          <cell r="HC128">
            <v>0</v>
          </cell>
          <cell r="HD128">
            <v>0</v>
          </cell>
          <cell r="HE128">
            <v>0</v>
          </cell>
        </row>
        <row r="129">
          <cell r="D129">
            <v>0.1</v>
          </cell>
          <cell r="E129" t="str">
            <v>무 담 보</v>
          </cell>
          <cell r="F129">
            <v>2881476.2753031962</v>
          </cell>
          <cell r="G129">
            <v>2788525.4277127702</v>
          </cell>
          <cell r="H129">
            <v>2881476.2753031962</v>
          </cell>
          <cell r="I129">
            <v>2881476.2753031962</v>
          </cell>
          <cell r="J129">
            <v>2602623.7325319191</v>
          </cell>
          <cell r="K129">
            <v>2881476.2753031962</v>
          </cell>
          <cell r="L129">
            <v>2788525.4277127702</v>
          </cell>
          <cell r="M129">
            <v>2881476.2753031962</v>
          </cell>
          <cell r="N129">
            <v>2788525.4277127702</v>
          </cell>
          <cell r="O129">
            <v>2881476.2753031962</v>
          </cell>
          <cell r="P129">
            <v>2881476.2753031962</v>
          </cell>
          <cell r="Q129">
            <v>2788525.4277127702</v>
          </cell>
          <cell r="R129">
            <v>2881476.2753031962</v>
          </cell>
          <cell r="S129">
            <v>2788525.4277127702</v>
          </cell>
          <cell r="T129">
            <v>2881476.2753031962</v>
          </cell>
          <cell r="U129">
            <v>2881476.2753031962</v>
          </cell>
          <cell r="V129">
            <v>2602623.7325319191</v>
          </cell>
          <cell r="W129">
            <v>2881476.2753031962</v>
          </cell>
          <cell r="X129">
            <v>2788525.4277127702</v>
          </cell>
          <cell r="Y129">
            <v>2881476.2753031962</v>
          </cell>
          <cell r="Z129">
            <v>2788525.4277127702</v>
          </cell>
          <cell r="AA129">
            <v>2881476.2753031962</v>
          </cell>
          <cell r="AB129">
            <v>2881476.2753031962</v>
          </cell>
          <cell r="AC129">
            <v>2788525.4277127702</v>
          </cell>
          <cell r="AD129">
            <v>2881476.2753031962</v>
          </cell>
          <cell r="AE129">
            <v>2788525.4277127702</v>
          </cell>
          <cell r="AF129">
            <v>2881476.2753031962</v>
          </cell>
          <cell r="AG129">
            <v>2881476.2753031962</v>
          </cell>
          <cell r="AH129">
            <v>2695574.5801223451</v>
          </cell>
          <cell r="AI129">
            <v>22838570.022659298</v>
          </cell>
          <cell r="AJ129">
            <v>2674036.7007630612</v>
          </cell>
          <cell r="AK129">
            <v>2763171.2574551627</v>
          </cell>
          <cell r="AL129">
            <v>22631130.448119164</v>
          </cell>
          <cell r="AM129">
            <v>2647404.4557231027</v>
          </cell>
          <cell r="AN129">
            <v>2647404.4557231027</v>
          </cell>
          <cell r="AO129">
            <v>22519098.059346199</v>
          </cell>
          <cell r="AP129">
            <v>2531637.6539910417</v>
          </cell>
          <cell r="AQ129">
            <v>2449971.9232171364</v>
          </cell>
          <cell r="AR129">
            <v>22488731.401347142</v>
          </cell>
          <cell r="AS129">
            <v>2415870.8522589803</v>
          </cell>
          <cell r="AT129">
            <v>2182076.8988145632</v>
          </cell>
          <cell r="AU129">
            <v>22372964.599615082</v>
          </cell>
          <cell r="AV129">
            <v>2227869.5421785242</v>
          </cell>
          <cell r="AW129">
            <v>2302131.8602511412</v>
          </cell>
          <cell r="AX129">
            <v>22184963.289534625</v>
          </cell>
          <cell r="AY129">
            <v>2186262.9772407305</v>
          </cell>
          <cell r="AZ129">
            <v>2186262.9772407305</v>
          </cell>
          <cell r="BA129">
            <v>22072832.112427775</v>
          </cell>
          <cell r="BB129">
            <v>2070394.0942303196</v>
          </cell>
          <cell r="BC129">
            <v>2003607.1879648254</v>
          </cell>
          <cell r="BD129">
            <v>22027487.841586418</v>
          </cell>
          <cell r="BE129">
            <v>1954525.2112199087</v>
          </cell>
          <cell r="BF129">
            <v>1765377.610134111</v>
          </cell>
          <cell r="BG129">
            <v>21911618.958576009</v>
          </cell>
          <cell r="BH129">
            <v>1779344.8337511269</v>
          </cell>
          <cell r="BI129">
            <v>1838656.328209498</v>
          </cell>
          <cell r="BJ129">
            <v>21736438.581107229</v>
          </cell>
          <cell r="BK129">
            <v>1722787.4451990866</v>
          </cell>
          <cell r="BL129">
            <v>1722787.4451990866</v>
          </cell>
          <cell r="BM129">
            <v>21624307.404000379</v>
          </cell>
          <cell r="BN129">
            <v>1606918.5621886759</v>
          </cell>
          <cell r="BO129">
            <v>1555082.4795374284</v>
          </cell>
          <cell r="BP129">
            <v>21564012.309544776</v>
          </cell>
          <cell r="BQ129">
            <v>1491049.6791782649</v>
          </cell>
          <cell r="BR129">
            <v>1346754.5489352071</v>
          </cell>
          <cell r="BS129">
            <v>21448143.426534366</v>
          </cell>
          <cell r="BT129">
            <v>1330820.1253237296</v>
          </cell>
          <cell r="BU129">
            <v>1375180.796167854</v>
          </cell>
          <cell r="BV129">
            <v>21287913.87267983</v>
          </cell>
          <cell r="BW129">
            <v>1259311.9131574428</v>
          </cell>
          <cell r="BX129">
            <v>1259311.9131574428</v>
          </cell>
          <cell r="BY129">
            <v>21175782.69557298</v>
          </cell>
          <cell r="BZ129">
            <v>1143443.0301470321</v>
          </cell>
          <cell r="CA129">
            <v>1106557.7711100308</v>
          </cell>
          <cell r="CB129">
            <v>21100536.777503133</v>
          </cell>
          <cell r="CC129">
            <v>1027574.1471366211</v>
          </cell>
          <cell r="CD129">
            <v>961279.04086974228</v>
          </cell>
          <cell r="CE129">
            <v>20984667.894492719</v>
          </cell>
          <cell r="CF129">
            <v>881518.48039566842</v>
          </cell>
          <cell r="CG129">
            <v>910902.42974219052</v>
          </cell>
          <cell r="CH129">
            <v>20838612.227751769</v>
          </cell>
          <cell r="CI129">
            <v>795135.62801012979</v>
          </cell>
          <cell r="CJ129">
            <v>795135.62801012979</v>
          </cell>
          <cell r="CK129">
            <v>20726579.838978808</v>
          </cell>
          <cell r="CL129">
            <v>679368.82627806894</v>
          </cell>
          <cell r="CM129">
            <v>657453.70284974412</v>
          </cell>
          <cell r="CN129">
            <v>20636462.57363417</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v>0</v>
          </cell>
          <cell r="DU129">
            <v>0</v>
          </cell>
          <cell r="DV129">
            <v>0</v>
          </cell>
          <cell r="DW129">
            <v>0</v>
          </cell>
          <cell r="DX129">
            <v>0</v>
          </cell>
          <cell r="DY129">
            <v>0</v>
          </cell>
          <cell r="DZ129">
            <v>0</v>
          </cell>
          <cell r="EA129">
            <v>0</v>
          </cell>
          <cell r="EB129">
            <v>0</v>
          </cell>
          <cell r="EC129">
            <v>0</v>
          </cell>
          <cell r="ED129">
            <v>0</v>
          </cell>
          <cell r="EE129">
            <v>0</v>
          </cell>
          <cell r="EF129">
            <v>0</v>
          </cell>
          <cell r="EG129">
            <v>0</v>
          </cell>
          <cell r="EH129">
            <v>0</v>
          </cell>
          <cell r="EI129">
            <v>0</v>
          </cell>
          <cell r="EJ129">
            <v>0</v>
          </cell>
          <cell r="EK129">
            <v>0</v>
          </cell>
          <cell r="EL129">
            <v>0</v>
          </cell>
          <cell r="EM129">
            <v>0</v>
          </cell>
          <cell r="EN129">
            <v>0</v>
          </cell>
          <cell r="EO129">
            <v>0</v>
          </cell>
          <cell r="EP129">
            <v>0</v>
          </cell>
          <cell r="EQ129">
            <v>0</v>
          </cell>
          <cell r="ER129">
            <v>0</v>
          </cell>
          <cell r="ES129">
            <v>0</v>
          </cell>
          <cell r="ET129">
            <v>0</v>
          </cell>
          <cell r="EU129">
            <v>0</v>
          </cell>
          <cell r="EV129">
            <v>0</v>
          </cell>
          <cell r="EW129">
            <v>0</v>
          </cell>
          <cell r="EX129">
            <v>0</v>
          </cell>
          <cell r="EY129">
            <v>0</v>
          </cell>
          <cell r="EZ129">
            <v>0</v>
          </cell>
          <cell r="FA129">
            <v>0</v>
          </cell>
          <cell r="FB129">
            <v>0</v>
          </cell>
          <cell r="FC129">
            <v>0</v>
          </cell>
          <cell r="FD129">
            <v>0</v>
          </cell>
          <cell r="FE129">
            <v>0</v>
          </cell>
          <cell r="FF129">
            <v>0</v>
          </cell>
          <cell r="FG129">
            <v>0</v>
          </cell>
          <cell r="FH129">
            <v>0</v>
          </cell>
          <cell r="FI129">
            <v>0</v>
          </cell>
          <cell r="FJ129">
            <v>0</v>
          </cell>
          <cell r="FK129">
            <v>0</v>
          </cell>
          <cell r="FL129">
            <v>0</v>
          </cell>
          <cell r="FM129">
            <v>0</v>
          </cell>
          <cell r="FN129">
            <v>0</v>
          </cell>
          <cell r="FO129">
            <v>0</v>
          </cell>
          <cell r="FP129">
            <v>0</v>
          </cell>
          <cell r="FQ129">
            <v>0</v>
          </cell>
          <cell r="FR129">
            <v>0</v>
          </cell>
          <cell r="FS129">
            <v>0</v>
          </cell>
          <cell r="FT129">
            <v>0</v>
          </cell>
          <cell r="FU129">
            <v>0</v>
          </cell>
          <cell r="FV129">
            <v>0</v>
          </cell>
          <cell r="FW129">
            <v>0</v>
          </cell>
          <cell r="FX129">
            <v>0</v>
          </cell>
          <cell r="FY129">
            <v>0</v>
          </cell>
          <cell r="FZ129">
            <v>0</v>
          </cell>
          <cell r="GA129">
            <v>0</v>
          </cell>
          <cell r="GB129">
            <v>0</v>
          </cell>
          <cell r="GC129">
            <v>0</v>
          </cell>
          <cell r="GD129">
            <v>0</v>
          </cell>
          <cell r="GE129">
            <v>0</v>
          </cell>
          <cell r="GF129">
            <v>0</v>
          </cell>
          <cell r="GG129">
            <v>0</v>
          </cell>
          <cell r="GH129">
            <v>0</v>
          </cell>
          <cell r="GI129">
            <v>0</v>
          </cell>
          <cell r="GJ129">
            <v>0</v>
          </cell>
          <cell r="GK129">
            <v>0</v>
          </cell>
          <cell r="GL129">
            <v>0</v>
          </cell>
          <cell r="GM129">
            <v>0</v>
          </cell>
          <cell r="GN129">
            <v>0</v>
          </cell>
          <cell r="GO129">
            <v>0</v>
          </cell>
          <cell r="GP129">
            <v>0</v>
          </cell>
          <cell r="GQ129">
            <v>0</v>
          </cell>
          <cell r="GR129">
            <v>0</v>
          </cell>
          <cell r="GS129">
            <v>0</v>
          </cell>
          <cell r="GT129">
            <v>0</v>
          </cell>
          <cell r="GU129">
            <v>0</v>
          </cell>
          <cell r="GV129">
            <v>0</v>
          </cell>
          <cell r="GW129">
            <v>0</v>
          </cell>
          <cell r="GX129">
            <v>0</v>
          </cell>
          <cell r="GY129">
            <v>0</v>
          </cell>
          <cell r="GZ129">
            <v>0</v>
          </cell>
          <cell r="HA129">
            <v>0</v>
          </cell>
          <cell r="HB129">
            <v>0</v>
          </cell>
          <cell r="HC129">
            <v>0</v>
          </cell>
          <cell r="HD129">
            <v>0</v>
          </cell>
          <cell r="HE129">
            <v>580407882.32272816</v>
          </cell>
        </row>
        <row r="130">
          <cell r="E130" t="str">
            <v>Total</v>
          </cell>
          <cell r="F130">
            <v>2881476.2753031962</v>
          </cell>
          <cell r="G130">
            <v>2788525.4277127702</v>
          </cell>
          <cell r="H130">
            <v>2881476.2753031962</v>
          </cell>
          <cell r="I130">
            <v>2881476.2753031962</v>
          </cell>
          <cell r="J130">
            <v>2602623.7325319191</v>
          </cell>
          <cell r="K130">
            <v>2881476.2753031962</v>
          </cell>
          <cell r="L130">
            <v>2788525.4277127702</v>
          </cell>
          <cell r="M130">
            <v>2881476.2753031962</v>
          </cell>
          <cell r="N130">
            <v>2788525.4277127702</v>
          </cell>
          <cell r="O130">
            <v>2881476.2753031962</v>
          </cell>
          <cell r="P130">
            <v>2881476.2753031962</v>
          </cell>
          <cell r="Q130">
            <v>2788525.4277127702</v>
          </cell>
          <cell r="R130">
            <v>2881476.2753031962</v>
          </cell>
          <cell r="S130">
            <v>2788525.4277127702</v>
          </cell>
          <cell r="T130">
            <v>2881476.2753031962</v>
          </cell>
          <cell r="U130">
            <v>2881476.2753031962</v>
          </cell>
          <cell r="V130">
            <v>2602623.7325319191</v>
          </cell>
          <cell r="W130">
            <v>2881476.2753031962</v>
          </cell>
          <cell r="X130">
            <v>2788525.4277127702</v>
          </cell>
          <cell r="Y130">
            <v>2881476.2753031962</v>
          </cell>
          <cell r="Z130">
            <v>2788525.4277127702</v>
          </cell>
          <cell r="AA130">
            <v>2881476.2753031962</v>
          </cell>
          <cell r="AB130">
            <v>2881476.2753031962</v>
          </cell>
          <cell r="AC130">
            <v>2788525.4277127702</v>
          </cell>
          <cell r="AD130">
            <v>2881476.2753031962</v>
          </cell>
          <cell r="AE130">
            <v>2788525.4277127702</v>
          </cell>
          <cell r="AF130">
            <v>2881476.2753031962</v>
          </cell>
          <cell r="AG130">
            <v>2881476.2753031962</v>
          </cell>
          <cell r="AH130">
            <v>2695574.5801223451</v>
          </cell>
          <cell r="AI130">
            <v>22838570.022659298</v>
          </cell>
          <cell r="AJ130">
            <v>2674036.7007630612</v>
          </cell>
          <cell r="AK130">
            <v>2763171.2574551627</v>
          </cell>
          <cell r="AL130">
            <v>22631130.448119164</v>
          </cell>
          <cell r="AM130">
            <v>2647404.4557231027</v>
          </cell>
          <cell r="AN130">
            <v>2647404.4557231027</v>
          </cell>
          <cell r="AO130">
            <v>22519098.059346199</v>
          </cell>
          <cell r="AP130">
            <v>2531637.6539910417</v>
          </cell>
          <cell r="AQ130">
            <v>2449971.9232171364</v>
          </cell>
          <cell r="AR130">
            <v>22488731.401347142</v>
          </cell>
          <cell r="AS130">
            <v>2415870.8522589803</v>
          </cell>
          <cell r="AT130">
            <v>2182076.8988145632</v>
          </cell>
          <cell r="AU130">
            <v>22372964.599615082</v>
          </cell>
          <cell r="AV130">
            <v>2227869.5421785242</v>
          </cell>
          <cell r="AW130">
            <v>2302131.8602511412</v>
          </cell>
          <cell r="AX130">
            <v>22184963.289534625</v>
          </cell>
          <cell r="AY130">
            <v>2186262.9772407305</v>
          </cell>
          <cell r="AZ130">
            <v>2186262.9772407305</v>
          </cell>
          <cell r="BA130">
            <v>22072832.112427775</v>
          </cell>
          <cell r="BB130">
            <v>2070394.0942303196</v>
          </cell>
          <cell r="BC130">
            <v>2003607.1879648254</v>
          </cell>
          <cell r="BD130">
            <v>22027487.841586418</v>
          </cell>
          <cell r="BE130">
            <v>1954525.2112199087</v>
          </cell>
          <cell r="BF130">
            <v>1765377.610134111</v>
          </cell>
          <cell r="BG130">
            <v>21911618.958576009</v>
          </cell>
          <cell r="BH130">
            <v>1779344.8337511269</v>
          </cell>
          <cell r="BI130">
            <v>1838656.328209498</v>
          </cell>
          <cell r="BJ130">
            <v>21736438.581107229</v>
          </cell>
          <cell r="BK130">
            <v>1722787.4451990866</v>
          </cell>
          <cell r="BL130">
            <v>1722787.4451990866</v>
          </cell>
          <cell r="BM130">
            <v>21624307.404000379</v>
          </cell>
          <cell r="BN130">
            <v>1606918.5621886759</v>
          </cell>
          <cell r="BO130">
            <v>1555082.4795374284</v>
          </cell>
          <cell r="BP130">
            <v>21564012.309544776</v>
          </cell>
          <cell r="BQ130">
            <v>1491049.6791782649</v>
          </cell>
          <cell r="BR130">
            <v>1346754.5489352071</v>
          </cell>
          <cell r="BS130">
            <v>21448143.426534366</v>
          </cell>
          <cell r="BT130">
            <v>1330820.1253237296</v>
          </cell>
          <cell r="BU130">
            <v>1375180.796167854</v>
          </cell>
          <cell r="BV130">
            <v>21287913.87267983</v>
          </cell>
          <cell r="BW130">
            <v>1259311.9131574428</v>
          </cell>
          <cell r="BX130">
            <v>1259311.9131574428</v>
          </cell>
          <cell r="BY130">
            <v>21175782.69557298</v>
          </cell>
          <cell r="BZ130">
            <v>1143443.0301470321</v>
          </cell>
          <cell r="CA130">
            <v>1106557.7711100308</v>
          </cell>
          <cell r="CB130">
            <v>21100536.777503133</v>
          </cell>
          <cell r="CC130">
            <v>1027574.1471366211</v>
          </cell>
          <cell r="CD130">
            <v>961279.04086974228</v>
          </cell>
          <cell r="CE130">
            <v>20984667.894492719</v>
          </cell>
          <cell r="CF130">
            <v>881518.48039566842</v>
          </cell>
          <cell r="CG130">
            <v>910902.42974219052</v>
          </cell>
          <cell r="CH130">
            <v>20838612.227751769</v>
          </cell>
          <cell r="CI130">
            <v>795135.62801012979</v>
          </cell>
          <cell r="CJ130">
            <v>795135.62801012979</v>
          </cell>
          <cell r="CK130">
            <v>20726579.838978808</v>
          </cell>
          <cell r="CL130">
            <v>679368.82627806894</v>
          </cell>
          <cell r="CM130">
            <v>657453.70284974412</v>
          </cell>
          <cell r="CN130">
            <v>20636462.57363417</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cell r="EC130">
            <v>0</v>
          </cell>
          <cell r="ED130">
            <v>0</v>
          </cell>
          <cell r="EE130">
            <v>0</v>
          </cell>
          <cell r="EF130">
            <v>0</v>
          </cell>
          <cell r="EG130">
            <v>0</v>
          </cell>
          <cell r="EH130">
            <v>0</v>
          </cell>
          <cell r="EI130">
            <v>0</v>
          </cell>
          <cell r="EJ130">
            <v>0</v>
          </cell>
          <cell r="EK130">
            <v>0</v>
          </cell>
          <cell r="EL130">
            <v>0</v>
          </cell>
          <cell r="EM130">
            <v>0</v>
          </cell>
          <cell r="EN130">
            <v>0</v>
          </cell>
          <cell r="EO130">
            <v>0</v>
          </cell>
          <cell r="EP130">
            <v>0</v>
          </cell>
          <cell r="EQ130">
            <v>0</v>
          </cell>
          <cell r="ER130">
            <v>0</v>
          </cell>
          <cell r="ES130">
            <v>0</v>
          </cell>
          <cell r="ET130">
            <v>0</v>
          </cell>
          <cell r="EU130">
            <v>0</v>
          </cell>
          <cell r="EV130">
            <v>0</v>
          </cell>
          <cell r="EW130">
            <v>0</v>
          </cell>
          <cell r="EX130">
            <v>0</v>
          </cell>
          <cell r="EY130">
            <v>0</v>
          </cell>
          <cell r="EZ130">
            <v>0</v>
          </cell>
          <cell r="FA130">
            <v>0</v>
          </cell>
          <cell r="FB130">
            <v>0</v>
          </cell>
          <cell r="FC130">
            <v>0</v>
          </cell>
          <cell r="FD130">
            <v>0</v>
          </cell>
          <cell r="FE130">
            <v>0</v>
          </cell>
          <cell r="FF130">
            <v>0</v>
          </cell>
          <cell r="FG130">
            <v>0</v>
          </cell>
          <cell r="FH130">
            <v>0</v>
          </cell>
          <cell r="FI130">
            <v>0</v>
          </cell>
          <cell r="FJ130">
            <v>0</v>
          </cell>
          <cell r="FK130">
            <v>0</v>
          </cell>
          <cell r="FL130">
            <v>0</v>
          </cell>
          <cell r="FM130">
            <v>0</v>
          </cell>
          <cell r="FN130">
            <v>0</v>
          </cell>
          <cell r="FO130">
            <v>0</v>
          </cell>
          <cell r="FP130">
            <v>0</v>
          </cell>
          <cell r="FQ130">
            <v>0</v>
          </cell>
          <cell r="FR130">
            <v>0</v>
          </cell>
          <cell r="FS130">
            <v>0</v>
          </cell>
          <cell r="FT130">
            <v>0</v>
          </cell>
          <cell r="FU130">
            <v>0</v>
          </cell>
          <cell r="FV130">
            <v>0</v>
          </cell>
          <cell r="FW130">
            <v>0</v>
          </cell>
          <cell r="FX130">
            <v>0</v>
          </cell>
          <cell r="FY130">
            <v>0</v>
          </cell>
          <cell r="FZ130">
            <v>0</v>
          </cell>
          <cell r="GA130">
            <v>0</v>
          </cell>
          <cell r="GB130">
            <v>0</v>
          </cell>
          <cell r="GC130">
            <v>0</v>
          </cell>
          <cell r="GD130">
            <v>0</v>
          </cell>
          <cell r="GE130">
            <v>0</v>
          </cell>
          <cell r="GF130">
            <v>0</v>
          </cell>
          <cell r="GG130">
            <v>0</v>
          </cell>
          <cell r="GH130">
            <v>0</v>
          </cell>
          <cell r="GI130">
            <v>0</v>
          </cell>
          <cell r="GJ130">
            <v>0</v>
          </cell>
          <cell r="GK130">
            <v>0</v>
          </cell>
          <cell r="GL130">
            <v>0</v>
          </cell>
          <cell r="GM130">
            <v>0</v>
          </cell>
          <cell r="GN130">
            <v>0</v>
          </cell>
          <cell r="GO130">
            <v>0</v>
          </cell>
          <cell r="GP130">
            <v>0</v>
          </cell>
          <cell r="GQ130">
            <v>0</v>
          </cell>
          <cell r="GR130">
            <v>0</v>
          </cell>
          <cell r="GS130">
            <v>0</v>
          </cell>
          <cell r="GT130">
            <v>0</v>
          </cell>
          <cell r="GU130">
            <v>0</v>
          </cell>
          <cell r="GV130">
            <v>0</v>
          </cell>
          <cell r="GW130">
            <v>0</v>
          </cell>
          <cell r="GX130">
            <v>0</v>
          </cell>
          <cell r="GY130">
            <v>0</v>
          </cell>
          <cell r="GZ130">
            <v>0</v>
          </cell>
          <cell r="HA130">
            <v>0</v>
          </cell>
          <cell r="HB130">
            <v>0</v>
          </cell>
          <cell r="HC130">
            <v>0</v>
          </cell>
          <cell r="HD130">
            <v>0</v>
          </cell>
          <cell r="HE130">
            <v>580407882.32272816</v>
          </cell>
        </row>
        <row r="131">
          <cell r="A131" t="str">
            <v>HBS-31</v>
          </cell>
          <cell r="E131" t="str">
            <v>현     가</v>
          </cell>
          <cell r="F131">
            <v>2881476.2753031962</v>
          </cell>
          <cell r="G131">
            <v>2776173.0549495588</v>
          </cell>
          <cell r="H131">
            <v>2855581.9646038897</v>
          </cell>
          <cell r="I131">
            <v>2842511.8697584695</v>
          </cell>
          <cell r="J131">
            <v>2556813.7216006257</v>
          </cell>
          <cell r="K131">
            <v>2817801.5739678876</v>
          </cell>
          <cell r="L131">
            <v>2714825.338279414</v>
          </cell>
          <cell r="M131">
            <v>2792479.4742960306</v>
          </cell>
          <cell r="N131">
            <v>2690428.6318389424</v>
          </cell>
          <cell r="O131">
            <v>2767384.9310063245</v>
          </cell>
          <cell r="P131">
            <v>2754718.5169546949</v>
          </cell>
          <cell r="Q131">
            <v>2654047.6443574168</v>
          </cell>
          <cell r="R131">
            <v>2729963.3115141601</v>
          </cell>
          <cell r="S131">
            <v>2612780.1728168745</v>
          </cell>
          <cell r="T131">
            <v>2686114.4693864426</v>
          </cell>
          <cell r="U131">
            <v>2672426.205314443</v>
          </cell>
          <cell r="V131">
            <v>2402691.3601508923</v>
          </cell>
          <cell r="W131">
            <v>2646566.766224016</v>
          </cell>
          <cell r="X131">
            <v>2548561.9508592663</v>
          </cell>
          <cell r="Y131">
            <v>2620093.8002948556</v>
          </cell>
          <cell r="Z131">
            <v>2523069.3033453277</v>
          </cell>
          <cell r="AA131">
            <v>2593885.6370277819</v>
          </cell>
          <cell r="AB131">
            <v>2580667.3650677223</v>
          </cell>
          <cell r="AC131">
            <v>2485102.8654831722</v>
          </cell>
          <cell r="AD131">
            <v>2554853.5748766637</v>
          </cell>
          <cell r="AE131">
            <v>2442970.1922120978</v>
          </cell>
          <cell r="AF131">
            <v>2510816.5874262564</v>
          </cell>
          <cell r="AG131">
            <v>2497303.7603550665</v>
          </cell>
          <cell r="AH131">
            <v>2324423.5044355858</v>
          </cell>
          <cell r="AI131">
            <v>19587959.452435672</v>
          </cell>
          <cell r="AJ131">
            <v>2281495.5935544404</v>
          </cell>
          <cell r="AK131">
            <v>2344857.5012081284</v>
          </cell>
          <cell r="AL131">
            <v>19104993.016417976</v>
          </cell>
          <cell r="AM131">
            <v>2222886.625371844</v>
          </cell>
          <cell r="AN131">
            <v>2210923.392884878</v>
          </cell>
          <cell r="AO131">
            <v>18708388.244098041</v>
          </cell>
          <cell r="AP131">
            <v>2091911.5144943516</v>
          </cell>
          <cell r="AQ131">
            <v>1989021.0698852802</v>
          </cell>
          <cell r="AR131">
            <v>18153111.390958663</v>
          </cell>
          <cell r="AS131">
            <v>1938954.7238920403</v>
          </cell>
          <cell r="AT131">
            <v>1742260.2223877257</v>
          </cell>
          <cell r="AU131">
            <v>17761283.407012131</v>
          </cell>
          <cell r="AV131">
            <v>1758849.9712560282</v>
          </cell>
          <cell r="AW131">
            <v>1807078.729440666</v>
          </cell>
          <cell r="AX131">
            <v>17317844.043431226</v>
          </cell>
          <cell r="AY131">
            <v>1696857.4092733411</v>
          </cell>
          <cell r="AZ131">
            <v>1687148.0254070866</v>
          </cell>
          <cell r="BA131">
            <v>16939363.156290431</v>
          </cell>
          <cell r="BB131">
            <v>1579791.8819749465</v>
          </cell>
          <cell r="BC131">
            <v>1520364.3229642434</v>
          </cell>
          <cell r="BD131">
            <v>16619115.184289195</v>
          </cell>
          <cell r="BE131">
            <v>1466196.0435530508</v>
          </cell>
          <cell r="BF131">
            <v>1317459.8733162447</v>
          </cell>
          <cell r="BG131">
            <v>16258560.376628429</v>
          </cell>
          <cell r="BH131">
            <v>1312973.5401928592</v>
          </cell>
          <cell r="BI131">
            <v>1348976.0898176969</v>
          </cell>
          <cell r="BJ131">
            <v>15859164.749152454</v>
          </cell>
          <cell r="BK131">
            <v>1249773.92497292</v>
          </cell>
          <cell r="BL131">
            <v>1242622.7437851063</v>
          </cell>
          <cell r="BM131">
            <v>15510937.138106627</v>
          </cell>
          <cell r="BN131">
            <v>1146034.093258745</v>
          </cell>
          <cell r="BO131">
            <v>1080656.2752896391</v>
          </cell>
          <cell r="BP131">
            <v>14894420.611128043</v>
          </cell>
          <cell r="BQ131">
            <v>1023637.1713471104</v>
          </cell>
          <cell r="BR131">
            <v>919512.78364956554</v>
          </cell>
          <cell r="BS131">
            <v>14555224.789206572</v>
          </cell>
          <cell r="BT131">
            <v>897828.99788595212</v>
          </cell>
          <cell r="BU131">
            <v>922133.83757630258</v>
          </cell>
          <cell r="BV131">
            <v>14190977.795147313</v>
          </cell>
          <cell r="BW131">
            <v>834396.39566385001</v>
          </cell>
          <cell r="BX131">
            <v>829339.42432788818</v>
          </cell>
          <cell r="BY131">
            <v>13863839.662600081</v>
          </cell>
          <cell r="BZ131">
            <v>744078.02490253281</v>
          </cell>
          <cell r="CA131">
            <v>715851.75789180479</v>
          </cell>
          <cell r="CB131">
            <v>13567580.227243133</v>
          </cell>
          <cell r="CC131">
            <v>656722.59029143513</v>
          </cell>
          <cell r="CD131">
            <v>610869.55479740247</v>
          </cell>
          <cell r="CE131">
            <v>13254428.278033879</v>
          </cell>
          <cell r="CF131">
            <v>553522.62445211911</v>
          </cell>
          <cell r="CG131">
            <v>568506.85717791435</v>
          </cell>
          <cell r="CH131">
            <v>12929379.90174247</v>
          </cell>
          <cell r="CI131">
            <v>490354.32283000438</v>
          </cell>
          <cell r="CJ131">
            <v>487382.46464856598</v>
          </cell>
          <cell r="CK131">
            <v>12629942.875062451</v>
          </cell>
          <cell r="CL131">
            <v>411471.01602634077</v>
          </cell>
          <cell r="CM131">
            <v>395862.04710529745</v>
          </cell>
          <cell r="CN131">
            <v>12350195.607415065</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cell r="EC131">
            <v>0</v>
          </cell>
          <cell r="ED131">
            <v>0</v>
          </cell>
          <cell r="EE131">
            <v>0</v>
          </cell>
          <cell r="EF131">
            <v>0</v>
          </cell>
          <cell r="EG131">
            <v>0</v>
          </cell>
          <cell r="EH131">
            <v>0</v>
          </cell>
          <cell r="EI131">
            <v>0</v>
          </cell>
          <cell r="EJ131">
            <v>0</v>
          </cell>
          <cell r="EK131">
            <v>0</v>
          </cell>
          <cell r="EL131">
            <v>0</v>
          </cell>
          <cell r="EM131">
            <v>0</v>
          </cell>
          <cell r="EN131">
            <v>0</v>
          </cell>
          <cell r="EO131">
            <v>0</v>
          </cell>
          <cell r="EP131">
            <v>0</v>
          </cell>
          <cell r="EQ131">
            <v>0</v>
          </cell>
          <cell r="ER131">
            <v>0</v>
          </cell>
          <cell r="ES131">
            <v>0</v>
          </cell>
          <cell r="ET131">
            <v>0</v>
          </cell>
          <cell r="EU131">
            <v>0</v>
          </cell>
          <cell r="EV131">
            <v>0</v>
          </cell>
          <cell r="EW131">
            <v>0</v>
          </cell>
          <cell r="EX131">
            <v>0</v>
          </cell>
          <cell r="EY131">
            <v>0</v>
          </cell>
          <cell r="EZ131">
            <v>0</v>
          </cell>
          <cell r="FA131">
            <v>0</v>
          </cell>
          <cell r="FB131">
            <v>0</v>
          </cell>
          <cell r="FC131">
            <v>0</v>
          </cell>
          <cell r="FD131">
            <v>0</v>
          </cell>
          <cell r="FE131">
            <v>0</v>
          </cell>
          <cell r="FF131">
            <v>0</v>
          </cell>
          <cell r="FG131">
            <v>0</v>
          </cell>
          <cell r="FH131">
            <v>0</v>
          </cell>
          <cell r="FI131">
            <v>0</v>
          </cell>
          <cell r="FJ131">
            <v>0</v>
          </cell>
          <cell r="FK131">
            <v>0</v>
          </cell>
          <cell r="FL131">
            <v>0</v>
          </cell>
          <cell r="FM131">
            <v>0</v>
          </cell>
          <cell r="FN131">
            <v>0</v>
          </cell>
          <cell r="FO131">
            <v>0</v>
          </cell>
          <cell r="FP131">
            <v>0</v>
          </cell>
          <cell r="FQ131">
            <v>0</v>
          </cell>
          <cell r="FR131">
            <v>0</v>
          </cell>
          <cell r="FS131">
            <v>0</v>
          </cell>
          <cell r="FT131">
            <v>0</v>
          </cell>
          <cell r="FU131">
            <v>0</v>
          </cell>
          <cell r="FV131">
            <v>0</v>
          </cell>
          <cell r="FW131">
            <v>0</v>
          </cell>
          <cell r="FX131">
            <v>0</v>
          </cell>
          <cell r="FY131">
            <v>0</v>
          </cell>
          <cell r="FZ131">
            <v>0</v>
          </cell>
          <cell r="GA131">
            <v>0</v>
          </cell>
          <cell r="GB131">
            <v>0</v>
          </cell>
          <cell r="GC131">
            <v>0</v>
          </cell>
          <cell r="GD131">
            <v>0</v>
          </cell>
          <cell r="GE131">
            <v>0</v>
          </cell>
          <cell r="GF131">
            <v>0</v>
          </cell>
          <cell r="GG131">
            <v>0</v>
          </cell>
          <cell r="GH131">
            <v>0</v>
          </cell>
          <cell r="GI131">
            <v>0</v>
          </cell>
          <cell r="GJ131">
            <v>0</v>
          </cell>
          <cell r="GK131">
            <v>0</v>
          </cell>
          <cell r="GL131">
            <v>0</v>
          </cell>
          <cell r="GM131">
            <v>0</v>
          </cell>
          <cell r="GN131">
            <v>0</v>
          </cell>
          <cell r="GO131">
            <v>0</v>
          </cell>
          <cell r="GP131">
            <v>0</v>
          </cell>
          <cell r="GQ131">
            <v>0</v>
          </cell>
          <cell r="GR131">
            <v>0</v>
          </cell>
          <cell r="GS131">
            <v>0</v>
          </cell>
          <cell r="GT131">
            <v>0</v>
          </cell>
          <cell r="GU131">
            <v>0</v>
          </cell>
          <cell r="GV131">
            <v>0</v>
          </cell>
          <cell r="GW131">
            <v>0</v>
          </cell>
          <cell r="GX131">
            <v>0</v>
          </cell>
          <cell r="GY131">
            <v>0</v>
          </cell>
          <cell r="GZ131">
            <v>0</v>
          </cell>
          <cell r="HA131">
            <v>0</v>
          </cell>
          <cell r="HB131">
            <v>0</v>
          </cell>
          <cell r="HC131">
            <v>0</v>
          </cell>
          <cell r="HD131">
            <v>0</v>
          </cell>
          <cell r="HE131">
            <v>438691807.16886228</v>
          </cell>
        </row>
        <row r="132">
          <cell r="B132" t="str">
            <v>HBS-32</v>
          </cell>
          <cell r="C132" t="str">
            <v>㈜대일</v>
          </cell>
          <cell r="D132">
            <v>0.58048135926581723</v>
          </cell>
          <cell r="E132" t="str">
            <v>담     보</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v>0</v>
          </cell>
          <cell r="DU132">
            <v>0</v>
          </cell>
          <cell r="DV132">
            <v>0</v>
          </cell>
          <cell r="DW132">
            <v>0</v>
          </cell>
          <cell r="DX132">
            <v>0</v>
          </cell>
          <cell r="DY132">
            <v>0</v>
          </cell>
          <cell r="DZ132">
            <v>0</v>
          </cell>
          <cell r="EA132">
            <v>0</v>
          </cell>
          <cell r="EB132">
            <v>0</v>
          </cell>
          <cell r="EC132">
            <v>0</v>
          </cell>
          <cell r="ED132">
            <v>0</v>
          </cell>
          <cell r="EE132">
            <v>0</v>
          </cell>
          <cell r="EF132">
            <v>0</v>
          </cell>
          <cell r="EG132">
            <v>0</v>
          </cell>
          <cell r="EH132">
            <v>0</v>
          </cell>
          <cell r="EI132">
            <v>0</v>
          </cell>
          <cell r="EJ132">
            <v>0</v>
          </cell>
          <cell r="EK132">
            <v>0</v>
          </cell>
          <cell r="EL132">
            <v>0</v>
          </cell>
          <cell r="EM132">
            <v>0</v>
          </cell>
          <cell r="EN132">
            <v>0</v>
          </cell>
          <cell r="EO132">
            <v>0</v>
          </cell>
          <cell r="EP132">
            <v>0</v>
          </cell>
          <cell r="EQ132">
            <v>0</v>
          </cell>
          <cell r="ER132">
            <v>0</v>
          </cell>
          <cell r="ES132">
            <v>0</v>
          </cell>
          <cell r="ET132">
            <v>0</v>
          </cell>
          <cell r="EU132">
            <v>0</v>
          </cell>
          <cell r="EV132">
            <v>0</v>
          </cell>
          <cell r="EW132">
            <v>0</v>
          </cell>
          <cell r="EX132">
            <v>0</v>
          </cell>
          <cell r="EY132">
            <v>0</v>
          </cell>
          <cell r="EZ132">
            <v>0</v>
          </cell>
          <cell r="FA132">
            <v>0</v>
          </cell>
          <cell r="FB132">
            <v>0</v>
          </cell>
          <cell r="FC132">
            <v>0</v>
          </cell>
          <cell r="FD132">
            <v>0</v>
          </cell>
          <cell r="FE132">
            <v>0</v>
          </cell>
          <cell r="FF132">
            <v>0</v>
          </cell>
          <cell r="FG132">
            <v>0</v>
          </cell>
          <cell r="FH132">
            <v>0</v>
          </cell>
          <cell r="FI132">
            <v>0</v>
          </cell>
          <cell r="FJ132">
            <v>0</v>
          </cell>
          <cell r="FK132">
            <v>0</v>
          </cell>
          <cell r="FL132">
            <v>0</v>
          </cell>
          <cell r="FM132">
            <v>0</v>
          </cell>
          <cell r="FN132">
            <v>0</v>
          </cell>
          <cell r="FO132">
            <v>0</v>
          </cell>
          <cell r="FP132">
            <v>0</v>
          </cell>
          <cell r="FQ132">
            <v>0</v>
          </cell>
          <cell r="FR132">
            <v>0</v>
          </cell>
          <cell r="FS132">
            <v>0</v>
          </cell>
          <cell r="FT132">
            <v>0</v>
          </cell>
          <cell r="FU132">
            <v>0</v>
          </cell>
          <cell r="FV132">
            <v>0</v>
          </cell>
          <cell r="FW132">
            <v>0</v>
          </cell>
          <cell r="FX132">
            <v>0</v>
          </cell>
          <cell r="FY132">
            <v>0</v>
          </cell>
          <cell r="FZ132">
            <v>0</v>
          </cell>
          <cell r="GA132">
            <v>0</v>
          </cell>
          <cell r="GB132">
            <v>0</v>
          </cell>
          <cell r="GC132">
            <v>0</v>
          </cell>
          <cell r="GD132">
            <v>0</v>
          </cell>
          <cell r="GE132">
            <v>0</v>
          </cell>
          <cell r="GF132">
            <v>0</v>
          </cell>
          <cell r="GG132">
            <v>0</v>
          </cell>
          <cell r="GH132">
            <v>0</v>
          </cell>
          <cell r="GI132">
            <v>0</v>
          </cell>
          <cell r="GJ132">
            <v>0</v>
          </cell>
          <cell r="GK132">
            <v>0</v>
          </cell>
          <cell r="GL132">
            <v>0</v>
          </cell>
          <cell r="GM132">
            <v>0</v>
          </cell>
          <cell r="GN132">
            <v>0</v>
          </cell>
          <cell r="GO132">
            <v>0</v>
          </cell>
          <cell r="GP132">
            <v>0</v>
          </cell>
          <cell r="GQ132">
            <v>0</v>
          </cell>
          <cell r="GR132">
            <v>0</v>
          </cell>
          <cell r="GS132">
            <v>0</v>
          </cell>
          <cell r="GT132">
            <v>0</v>
          </cell>
          <cell r="GU132">
            <v>0</v>
          </cell>
          <cell r="GV132">
            <v>0</v>
          </cell>
          <cell r="GW132">
            <v>0</v>
          </cell>
          <cell r="GX132">
            <v>0</v>
          </cell>
          <cell r="GY132">
            <v>0</v>
          </cell>
          <cell r="GZ132">
            <v>0</v>
          </cell>
          <cell r="HA132">
            <v>0</v>
          </cell>
          <cell r="HB132">
            <v>0</v>
          </cell>
          <cell r="HC132">
            <v>0</v>
          </cell>
          <cell r="HD132">
            <v>0</v>
          </cell>
          <cell r="HE132">
            <v>0</v>
          </cell>
        </row>
        <row r="133">
          <cell r="D133">
            <v>0.58048135926581723</v>
          </cell>
          <cell r="E133" t="str">
            <v>무 담 보</v>
          </cell>
          <cell r="F133">
            <v>0</v>
          </cell>
          <cell r="G133">
            <v>0</v>
          </cell>
          <cell r="H133">
            <v>0</v>
          </cell>
          <cell r="I133">
            <v>0</v>
          </cell>
          <cell r="J133">
            <v>0</v>
          </cell>
          <cell r="K133">
            <v>31845112.087453902</v>
          </cell>
          <cell r="L133">
            <v>0</v>
          </cell>
          <cell r="M133">
            <v>0</v>
          </cell>
          <cell r="N133">
            <v>0</v>
          </cell>
          <cell r="O133">
            <v>0</v>
          </cell>
          <cell r="P133">
            <v>0</v>
          </cell>
          <cell r="Q133">
            <v>0</v>
          </cell>
          <cell r="R133">
            <v>0</v>
          </cell>
          <cell r="S133">
            <v>0</v>
          </cell>
          <cell r="T133">
            <v>0</v>
          </cell>
          <cell r="U133">
            <v>0</v>
          </cell>
          <cell r="V133">
            <v>0</v>
          </cell>
          <cell r="W133">
            <v>31845112.087453902</v>
          </cell>
          <cell r="X133">
            <v>0</v>
          </cell>
          <cell r="Y133">
            <v>0</v>
          </cell>
          <cell r="Z133">
            <v>0</v>
          </cell>
          <cell r="AA133">
            <v>0</v>
          </cell>
          <cell r="AB133">
            <v>0</v>
          </cell>
          <cell r="AC133">
            <v>0</v>
          </cell>
          <cell r="AD133">
            <v>0</v>
          </cell>
          <cell r="AE133">
            <v>0</v>
          </cell>
          <cell r="AF133">
            <v>0</v>
          </cell>
          <cell r="AG133">
            <v>0</v>
          </cell>
          <cell r="AH133">
            <v>0</v>
          </cell>
          <cell r="AI133">
            <v>31845112.087453902</v>
          </cell>
          <cell r="AJ133">
            <v>0</v>
          </cell>
          <cell r="AK133">
            <v>0</v>
          </cell>
          <cell r="AL133">
            <v>0</v>
          </cell>
          <cell r="AM133">
            <v>0</v>
          </cell>
          <cell r="AN133">
            <v>0</v>
          </cell>
          <cell r="AO133">
            <v>0</v>
          </cell>
          <cell r="AP133">
            <v>0</v>
          </cell>
          <cell r="AQ133">
            <v>0</v>
          </cell>
          <cell r="AR133">
            <v>0</v>
          </cell>
          <cell r="AS133">
            <v>0</v>
          </cell>
          <cell r="AT133">
            <v>0</v>
          </cell>
          <cell r="AU133">
            <v>31845112.087453902</v>
          </cell>
          <cell r="AV133">
            <v>0</v>
          </cell>
          <cell r="AW133">
            <v>0</v>
          </cell>
          <cell r="AX133">
            <v>0</v>
          </cell>
          <cell r="AY133">
            <v>0</v>
          </cell>
          <cell r="AZ133">
            <v>0</v>
          </cell>
          <cell r="BA133">
            <v>0</v>
          </cell>
          <cell r="BB133">
            <v>0</v>
          </cell>
          <cell r="BC133">
            <v>0</v>
          </cell>
          <cell r="BD133">
            <v>0</v>
          </cell>
          <cell r="BE133">
            <v>0</v>
          </cell>
          <cell r="BF133">
            <v>0</v>
          </cell>
          <cell r="BG133">
            <v>31845112.087453902</v>
          </cell>
          <cell r="BH133">
            <v>0</v>
          </cell>
          <cell r="BI133">
            <v>0</v>
          </cell>
          <cell r="BJ133">
            <v>0</v>
          </cell>
          <cell r="BK133">
            <v>0</v>
          </cell>
          <cell r="BL133">
            <v>0</v>
          </cell>
          <cell r="BM133">
            <v>0</v>
          </cell>
          <cell r="BN133">
            <v>0</v>
          </cell>
          <cell r="BO133">
            <v>0</v>
          </cell>
          <cell r="BP133">
            <v>0</v>
          </cell>
          <cell r="BQ133">
            <v>0</v>
          </cell>
          <cell r="BR133">
            <v>0</v>
          </cell>
          <cell r="BS133">
            <v>31845112.087453902</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0</v>
          </cell>
          <cell r="DM133">
            <v>0</v>
          </cell>
          <cell r="DN133">
            <v>0</v>
          </cell>
          <cell r="DO133">
            <v>0</v>
          </cell>
          <cell r="DP133">
            <v>0</v>
          </cell>
          <cell r="DQ133">
            <v>0</v>
          </cell>
          <cell r="DR133">
            <v>0</v>
          </cell>
          <cell r="DS133">
            <v>0</v>
          </cell>
          <cell r="DT133">
            <v>0</v>
          </cell>
          <cell r="DU133">
            <v>0</v>
          </cell>
          <cell r="DV133">
            <v>0</v>
          </cell>
          <cell r="DW133">
            <v>0</v>
          </cell>
          <cell r="DX133">
            <v>0</v>
          </cell>
          <cell r="DY133">
            <v>0</v>
          </cell>
          <cell r="DZ133">
            <v>0</v>
          </cell>
          <cell r="EA133">
            <v>0</v>
          </cell>
          <cell r="EB133">
            <v>0</v>
          </cell>
          <cell r="EC133">
            <v>0</v>
          </cell>
          <cell r="ED133">
            <v>0</v>
          </cell>
          <cell r="EE133">
            <v>0</v>
          </cell>
          <cell r="EF133">
            <v>0</v>
          </cell>
          <cell r="EG133">
            <v>0</v>
          </cell>
          <cell r="EH133">
            <v>0</v>
          </cell>
          <cell r="EI133">
            <v>0</v>
          </cell>
          <cell r="EJ133">
            <v>0</v>
          </cell>
          <cell r="EK133">
            <v>0</v>
          </cell>
          <cell r="EL133">
            <v>0</v>
          </cell>
          <cell r="EM133">
            <v>0</v>
          </cell>
          <cell r="EN133">
            <v>0</v>
          </cell>
          <cell r="EO133">
            <v>0</v>
          </cell>
          <cell r="EP133">
            <v>0</v>
          </cell>
          <cell r="EQ133">
            <v>0</v>
          </cell>
          <cell r="ER133">
            <v>0</v>
          </cell>
          <cell r="ES133">
            <v>0</v>
          </cell>
          <cell r="ET133">
            <v>0</v>
          </cell>
          <cell r="EU133">
            <v>0</v>
          </cell>
          <cell r="EV133">
            <v>0</v>
          </cell>
          <cell r="EW133">
            <v>0</v>
          </cell>
          <cell r="EX133">
            <v>0</v>
          </cell>
          <cell r="EY133">
            <v>0</v>
          </cell>
          <cell r="EZ133">
            <v>0</v>
          </cell>
          <cell r="FA133">
            <v>0</v>
          </cell>
          <cell r="FB133">
            <v>0</v>
          </cell>
          <cell r="FC133">
            <v>0</v>
          </cell>
          <cell r="FD133">
            <v>0</v>
          </cell>
          <cell r="FE133">
            <v>0</v>
          </cell>
          <cell r="FF133">
            <v>0</v>
          </cell>
          <cell r="FG133">
            <v>0</v>
          </cell>
          <cell r="FH133">
            <v>0</v>
          </cell>
          <cell r="FI133">
            <v>0</v>
          </cell>
          <cell r="FJ133">
            <v>0</v>
          </cell>
          <cell r="FK133">
            <v>0</v>
          </cell>
          <cell r="FL133">
            <v>0</v>
          </cell>
          <cell r="FM133">
            <v>0</v>
          </cell>
          <cell r="FN133">
            <v>0</v>
          </cell>
          <cell r="FO133">
            <v>0</v>
          </cell>
          <cell r="FP133">
            <v>0</v>
          </cell>
          <cell r="FQ133">
            <v>0</v>
          </cell>
          <cell r="FR133">
            <v>0</v>
          </cell>
          <cell r="FS133">
            <v>0</v>
          </cell>
          <cell r="FT133">
            <v>0</v>
          </cell>
          <cell r="FU133">
            <v>0</v>
          </cell>
          <cell r="FV133">
            <v>0</v>
          </cell>
          <cell r="FW133">
            <v>0</v>
          </cell>
          <cell r="FX133">
            <v>0</v>
          </cell>
          <cell r="FY133">
            <v>0</v>
          </cell>
          <cell r="FZ133">
            <v>0</v>
          </cell>
          <cell r="GA133">
            <v>0</v>
          </cell>
          <cell r="GB133">
            <v>0</v>
          </cell>
          <cell r="GC133">
            <v>0</v>
          </cell>
          <cell r="GD133">
            <v>0</v>
          </cell>
          <cell r="GE133">
            <v>0</v>
          </cell>
          <cell r="GF133">
            <v>0</v>
          </cell>
          <cell r="GG133">
            <v>0</v>
          </cell>
          <cell r="GH133">
            <v>0</v>
          </cell>
          <cell r="GI133">
            <v>0</v>
          </cell>
          <cell r="GJ133">
            <v>0</v>
          </cell>
          <cell r="GK133">
            <v>0</v>
          </cell>
          <cell r="GL133">
            <v>0</v>
          </cell>
          <cell r="GM133">
            <v>0</v>
          </cell>
          <cell r="GN133">
            <v>0</v>
          </cell>
          <cell r="GO133">
            <v>0</v>
          </cell>
          <cell r="GP133">
            <v>0</v>
          </cell>
          <cell r="GQ133">
            <v>0</v>
          </cell>
          <cell r="GR133">
            <v>0</v>
          </cell>
          <cell r="GS133">
            <v>0</v>
          </cell>
          <cell r="GT133">
            <v>0</v>
          </cell>
          <cell r="GU133">
            <v>0</v>
          </cell>
          <cell r="GV133">
            <v>0</v>
          </cell>
          <cell r="GW133">
            <v>0</v>
          </cell>
          <cell r="GX133">
            <v>0</v>
          </cell>
          <cell r="GY133">
            <v>0</v>
          </cell>
          <cell r="GZ133">
            <v>0</v>
          </cell>
          <cell r="HA133">
            <v>0</v>
          </cell>
          <cell r="HB133">
            <v>0</v>
          </cell>
          <cell r="HC133">
            <v>0</v>
          </cell>
          <cell r="HD133">
            <v>0</v>
          </cell>
          <cell r="HE133">
            <v>191070672.52472341</v>
          </cell>
        </row>
        <row r="134">
          <cell r="E134" t="str">
            <v>Total</v>
          </cell>
          <cell r="F134">
            <v>0</v>
          </cell>
          <cell r="G134">
            <v>0</v>
          </cell>
          <cell r="H134">
            <v>0</v>
          </cell>
          <cell r="I134">
            <v>0</v>
          </cell>
          <cell r="J134">
            <v>0</v>
          </cell>
          <cell r="K134">
            <v>31845112.087453902</v>
          </cell>
          <cell r="L134">
            <v>0</v>
          </cell>
          <cell r="M134">
            <v>0</v>
          </cell>
          <cell r="N134">
            <v>0</v>
          </cell>
          <cell r="O134">
            <v>0</v>
          </cell>
          <cell r="P134">
            <v>0</v>
          </cell>
          <cell r="Q134">
            <v>0</v>
          </cell>
          <cell r="R134">
            <v>0</v>
          </cell>
          <cell r="S134">
            <v>0</v>
          </cell>
          <cell r="T134">
            <v>0</v>
          </cell>
          <cell r="U134">
            <v>0</v>
          </cell>
          <cell r="V134">
            <v>0</v>
          </cell>
          <cell r="W134">
            <v>31845112.087453902</v>
          </cell>
          <cell r="X134">
            <v>0</v>
          </cell>
          <cell r="Y134">
            <v>0</v>
          </cell>
          <cell r="Z134">
            <v>0</v>
          </cell>
          <cell r="AA134">
            <v>0</v>
          </cell>
          <cell r="AB134">
            <v>0</v>
          </cell>
          <cell r="AC134">
            <v>0</v>
          </cell>
          <cell r="AD134">
            <v>0</v>
          </cell>
          <cell r="AE134">
            <v>0</v>
          </cell>
          <cell r="AF134">
            <v>0</v>
          </cell>
          <cell r="AG134">
            <v>0</v>
          </cell>
          <cell r="AH134">
            <v>0</v>
          </cell>
          <cell r="AI134">
            <v>31845112.087453902</v>
          </cell>
          <cell r="AJ134">
            <v>0</v>
          </cell>
          <cell r="AK134">
            <v>0</v>
          </cell>
          <cell r="AL134">
            <v>0</v>
          </cell>
          <cell r="AM134">
            <v>0</v>
          </cell>
          <cell r="AN134">
            <v>0</v>
          </cell>
          <cell r="AO134">
            <v>0</v>
          </cell>
          <cell r="AP134">
            <v>0</v>
          </cell>
          <cell r="AQ134">
            <v>0</v>
          </cell>
          <cell r="AR134">
            <v>0</v>
          </cell>
          <cell r="AS134">
            <v>0</v>
          </cell>
          <cell r="AT134">
            <v>0</v>
          </cell>
          <cell r="AU134">
            <v>31845112.087453902</v>
          </cell>
          <cell r="AV134">
            <v>0</v>
          </cell>
          <cell r="AW134">
            <v>0</v>
          </cell>
          <cell r="AX134">
            <v>0</v>
          </cell>
          <cell r="AY134">
            <v>0</v>
          </cell>
          <cell r="AZ134">
            <v>0</v>
          </cell>
          <cell r="BA134">
            <v>0</v>
          </cell>
          <cell r="BB134">
            <v>0</v>
          </cell>
          <cell r="BC134">
            <v>0</v>
          </cell>
          <cell r="BD134">
            <v>0</v>
          </cell>
          <cell r="BE134">
            <v>0</v>
          </cell>
          <cell r="BF134">
            <v>0</v>
          </cell>
          <cell r="BG134">
            <v>31845112.087453902</v>
          </cell>
          <cell r="BH134">
            <v>0</v>
          </cell>
          <cell r="BI134">
            <v>0</v>
          </cell>
          <cell r="BJ134">
            <v>0</v>
          </cell>
          <cell r="BK134">
            <v>0</v>
          </cell>
          <cell r="BL134">
            <v>0</v>
          </cell>
          <cell r="BM134">
            <v>0</v>
          </cell>
          <cell r="BN134">
            <v>0</v>
          </cell>
          <cell r="BO134">
            <v>0</v>
          </cell>
          <cell r="BP134">
            <v>0</v>
          </cell>
          <cell r="BQ134">
            <v>0</v>
          </cell>
          <cell r="BR134">
            <v>0</v>
          </cell>
          <cell r="BS134">
            <v>31845112.087453902</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0</v>
          </cell>
          <cell r="EI134">
            <v>0</v>
          </cell>
          <cell r="EJ134">
            <v>0</v>
          </cell>
          <cell r="EK134">
            <v>0</v>
          </cell>
          <cell r="EL134">
            <v>0</v>
          </cell>
          <cell r="EM134">
            <v>0</v>
          </cell>
          <cell r="EN134">
            <v>0</v>
          </cell>
          <cell r="EO134">
            <v>0</v>
          </cell>
          <cell r="EP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cell r="FD134">
            <v>0</v>
          </cell>
          <cell r="FE134">
            <v>0</v>
          </cell>
          <cell r="FF134">
            <v>0</v>
          </cell>
          <cell r="FG134">
            <v>0</v>
          </cell>
          <cell r="FH134">
            <v>0</v>
          </cell>
          <cell r="FI134">
            <v>0</v>
          </cell>
          <cell r="FJ134">
            <v>0</v>
          </cell>
          <cell r="FK134">
            <v>0</v>
          </cell>
          <cell r="FL134">
            <v>0</v>
          </cell>
          <cell r="FM134">
            <v>0</v>
          </cell>
          <cell r="FN134">
            <v>0</v>
          </cell>
          <cell r="FO134">
            <v>0</v>
          </cell>
          <cell r="FP134">
            <v>0</v>
          </cell>
          <cell r="FQ134">
            <v>0</v>
          </cell>
          <cell r="FR134">
            <v>0</v>
          </cell>
          <cell r="FS134">
            <v>0</v>
          </cell>
          <cell r="FT134">
            <v>0</v>
          </cell>
          <cell r="FU134">
            <v>0</v>
          </cell>
          <cell r="FV134">
            <v>0</v>
          </cell>
          <cell r="FW134">
            <v>0</v>
          </cell>
          <cell r="FX134">
            <v>0</v>
          </cell>
          <cell r="FY134">
            <v>0</v>
          </cell>
          <cell r="FZ134">
            <v>0</v>
          </cell>
          <cell r="GA134">
            <v>0</v>
          </cell>
          <cell r="GB134">
            <v>0</v>
          </cell>
          <cell r="GC134">
            <v>0</v>
          </cell>
          <cell r="GD134">
            <v>0</v>
          </cell>
          <cell r="GE134">
            <v>0</v>
          </cell>
          <cell r="GF134">
            <v>0</v>
          </cell>
          <cell r="GG134">
            <v>0</v>
          </cell>
          <cell r="GH134">
            <v>0</v>
          </cell>
          <cell r="GI134">
            <v>0</v>
          </cell>
          <cell r="GJ134">
            <v>0</v>
          </cell>
          <cell r="GK134">
            <v>0</v>
          </cell>
          <cell r="GL134">
            <v>0</v>
          </cell>
          <cell r="GM134">
            <v>0</v>
          </cell>
          <cell r="GN134">
            <v>0</v>
          </cell>
          <cell r="GO134">
            <v>0</v>
          </cell>
          <cell r="GP134">
            <v>0</v>
          </cell>
          <cell r="GQ134">
            <v>0</v>
          </cell>
          <cell r="GR134">
            <v>0</v>
          </cell>
          <cell r="GS134">
            <v>0</v>
          </cell>
          <cell r="GT134">
            <v>0</v>
          </cell>
          <cell r="GU134">
            <v>0</v>
          </cell>
          <cell r="GV134">
            <v>0</v>
          </cell>
          <cell r="GW134">
            <v>0</v>
          </cell>
          <cell r="GX134">
            <v>0</v>
          </cell>
          <cell r="GY134">
            <v>0</v>
          </cell>
          <cell r="GZ134">
            <v>0</v>
          </cell>
          <cell r="HA134">
            <v>0</v>
          </cell>
          <cell r="HB134">
            <v>0</v>
          </cell>
          <cell r="HC134">
            <v>0</v>
          </cell>
          <cell r="HD134">
            <v>0</v>
          </cell>
          <cell r="HE134">
            <v>191070672.52472341</v>
          </cell>
        </row>
        <row r="135">
          <cell r="A135" t="str">
            <v>HBS-32</v>
          </cell>
          <cell r="E135" t="str">
            <v>현     가</v>
          </cell>
          <cell r="F135">
            <v>0</v>
          </cell>
          <cell r="G135">
            <v>0</v>
          </cell>
          <cell r="H135">
            <v>0</v>
          </cell>
          <cell r="I135">
            <v>0</v>
          </cell>
          <cell r="J135">
            <v>0</v>
          </cell>
          <cell r="K135">
            <v>31141400.584243733</v>
          </cell>
          <cell r="L135">
            <v>0</v>
          </cell>
          <cell r="M135">
            <v>0</v>
          </cell>
          <cell r="N135">
            <v>0</v>
          </cell>
          <cell r="O135">
            <v>0</v>
          </cell>
          <cell r="P135">
            <v>0</v>
          </cell>
          <cell r="Q135">
            <v>0</v>
          </cell>
          <cell r="R135">
            <v>0</v>
          </cell>
          <cell r="S135">
            <v>0</v>
          </cell>
          <cell r="T135">
            <v>0</v>
          </cell>
          <cell r="U135">
            <v>0</v>
          </cell>
          <cell r="V135">
            <v>0</v>
          </cell>
          <cell r="W135">
            <v>29248970.758388776</v>
          </cell>
          <cell r="X135">
            <v>0</v>
          </cell>
          <cell r="Y135">
            <v>0</v>
          </cell>
          <cell r="Z135">
            <v>0</v>
          </cell>
          <cell r="AA135">
            <v>0</v>
          </cell>
          <cell r="AB135">
            <v>0</v>
          </cell>
          <cell r="AC135">
            <v>0</v>
          </cell>
          <cell r="AD135">
            <v>0</v>
          </cell>
          <cell r="AE135">
            <v>0</v>
          </cell>
          <cell r="AF135">
            <v>0</v>
          </cell>
          <cell r="AG135">
            <v>0</v>
          </cell>
          <cell r="AH135">
            <v>0</v>
          </cell>
          <cell r="AI135">
            <v>27312601.608088061</v>
          </cell>
          <cell r="AJ135">
            <v>0</v>
          </cell>
          <cell r="AK135">
            <v>0</v>
          </cell>
          <cell r="AL135">
            <v>0</v>
          </cell>
          <cell r="AM135">
            <v>0</v>
          </cell>
          <cell r="AN135">
            <v>0</v>
          </cell>
          <cell r="AO135">
            <v>0</v>
          </cell>
          <cell r="AP135">
            <v>0</v>
          </cell>
          <cell r="AQ135">
            <v>0</v>
          </cell>
          <cell r="AR135">
            <v>0</v>
          </cell>
          <cell r="AS135">
            <v>0</v>
          </cell>
          <cell r="AT135">
            <v>0</v>
          </cell>
          <cell r="AU135">
            <v>25280961.689049806</v>
          </cell>
          <cell r="AV135">
            <v>0</v>
          </cell>
          <cell r="AW135">
            <v>0</v>
          </cell>
          <cell r="AX135">
            <v>0</v>
          </cell>
          <cell r="AY135">
            <v>0</v>
          </cell>
          <cell r="AZ135">
            <v>0</v>
          </cell>
          <cell r="BA135">
            <v>0</v>
          </cell>
          <cell r="BB135">
            <v>0</v>
          </cell>
          <cell r="BC135">
            <v>0</v>
          </cell>
          <cell r="BD135">
            <v>0</v>
          </cell>
          <cell r="BE135">
            <v>0</v>
          </cell>
          <cell r="BF135">
            <v>0</v>
          </cell>
          <cell r="BG135">
            <v>23629275.342601929</v>
          </cell>
          <cell r="BH135">
            <v>0</v>
          </cell>
          <cell r="BI135">
            <v>0</v>
          </cell>
          <cell r="BJ135">
            <v>0</v>
          </cell>
          <cell r="BK135">
            <v>0</v>
          </cell>
          <cell r="BL135">
            <v>0</v>
          </cell>
          <cell r="BM135">
            <v>0</v>
          </cell>
          <cell r="BN135">
            <v>0</v>
          </cell>
          <cell r="BO135">
            <v>0</v>
          </cell>
          <cell r="BP135">
            <v>0</v>
          </cell>
          <cell r="BQ135">
            <v>0</v>
          </cell>
          <cell r="BR135">
            <v>0</v>
          </cell>
          <cell r="BS135">
            <v>21610857.203469671</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v>0</v>
          </cell>
          <cell r="DU135">
            <v>0</v>
          </cell>
          <cell r="DV135">
            <v>0</v>
          </cell>
          <cell r="DW135">
            <v>0</v>
          </cell>
          <cell r="DX135">
            <v>0</v>
          </cell>
          <cell r="DY135">
            <v>0</v>
          </cell>
          <cell r="DZ135">
            <v>0</v>
          </cell>
          <cell r="EA135">
            <v>0</v>
          </cell>
          <cell r="EB135">
            <v>0</v>
          </cell>
          <cell r="EC135">
            <v>0</v>
          </cell>
          <cell r="ED135">
            <v>0</v>
          </cell>
          <cell r="EE135">
            <v>0</v>
          </cell>
          <cell r="EF135">
            <v>0</v>
          </cell>
          <cell r="EG135">
            <v>0</v>
          </cell>
          <cell r="EH135">
            <v>0</v>
          </cell>
          <cell r="EI135">
            <v>0</v>
          </cell>
          <cell r="EJ135">
            <v>0</v>
          </cell>
          <cell r="EK135">
            <v>0</v>
          </cell>
          <cell r="EL135">
            <v>0</v>
          </cell>
          <cell r="EM135">
            <v>0</v>
          </cell>
          <cell r="EN135">
            <v>0</v>
          </cell>
          <cell r="EO135">
            <v>0</v>
          </cell>
          <cell r="EP135">
            <v>0</v>
          </cell>
          <cell r="EQ135">
            <v>0</v>
          </cell>
          <cell r="ER135">
            <v>0</v>
          </cell>
          <cell r="ES135">
            <v>0</v>
          </cell>
          <cell r="ET135">
            <v>0</v>
          </cell>
          <cell r="EU135">
            <v>0</v>
          </cell>
          <cell r="EV135">
            <v>0</v>
          </cell>
          <cell r="EW135">
            <v>0</v>
          </cell>
          <cell r="EX135">
            <v>0</v>
          </cell>
          <cell r="EY135">
            <v>0</v>
          </cell>
          <cell r="EZ135">
            <v>0</v>
          </cell>
          <cell r="FA135">
            <v>0</v>
          </cell>
          <cell r="FB135">
            <v>0</v>
          </cell>
          <cell r="FC135">
            <v>0</v>
          </cell>
          <cell r="FD135">
            <v>0</v>
          </cell>
          <cell r="FE135">
            <v>0</v>
          </cell>
          <cell r="FF135">
            <v>0</v>
          </cell>
          <cell r="FG135">
            <v>0</v>
          </cell>
          <cell r="FH135">
            <v>0</v>
          </cell>
          <cell r="FI135">
            <v>0</v>
          </cell>
          <cell r="FJ135">
            <v>0</v>
          </cell>
          <cell r="FK135">
            <v>0</v>
          </cell>
          <cell r="FL135">
            <v>0</v>
          </cell>
          <cell r="FM135">
            <v>0</v>
          </cell>
          <cell r="FN135">
            <v>0</v>
          </cell>
          <cell r="FO135">
            <v>0</v>
          </cell>
          <cell r="FP135">
            <v>0</v>
          </cell>
          <cell r="FQ135">
            <v>0</v>
          </cell>
          <cell r="FR135">
            <v>0</v>
          </cell>
          <cell r="FS135">
            <v>0</v>
          </cell>
          <cell r="FT135">
            <v>0</v>
          </cell>
          <cell r="FU135">
            <v>0</v>
          </cell>
          <cell r="FV135">
            <v>0</v>
          </cell>
          <cell r="FW135">
            <v>0</v>
          </cell>
          <cell r="FX135">
            <v>0</v>
          </cell>
          <cell r="FY135">
            <v>0</v>
          </cell>
          <cell r="FZ135">
            <v>0</v>
          </cell>
          <cell r="GA135">
            <v>0</v>
          </cell>
          <cell r="GB135">
            <v>0</v>
          </cell>
          <cell r="GC135">
            <v>0</v>
          </cell>
          <cell r="GD135">
            <v>0</v>
          </cell>
          <cell r="GE135">
            <v>0</v>
          </cell>
          <cell r="GF135">
            <v>0</v>
          </cell>
          <cell r="GG135">
            <v>0</v>
          </cell>
          <cell r="GH135">
            <v>0</v>
          </cell>
          <cell r="GI135">
            <v>0</v>
          </cell>
          <cell r="GJ135">
            <v>0</v>
          </cell>
          <cell r="GK135">
            <v>0</v>
          </cell>
          <cell r="GL135">
            <v>0</v>
          </cell>
          <cell r="GM135">
            <v>0</v>
          </cell>
          <cell r="GN135">
            <v>0</v>
          </cell>
          <cell r="GO135">
            <v>0</v>
          </cell>
          <cell r="GP135">
            <v>0</v>
          </cell>
          <cell r="GQ135">
            <v>0</v>
          </cell>
          <cell r="GR135">
            <v>0</v>
          </cell>
          <cell r="GS135">
            <v>0</v>
          </cell>
          <cell r="GT135">
            <v>0</v>
          </cell>
          <cell r="GU135">
            <v>0</v>
          </cell>
          <cell r="GV135">
            <v>0</v>
          </cell>
          <cell r="GW135">
            <v>0</v>
          </cell>
          <cell r="GX135">
            <v>0</v>
          </cell>
          <cell r="GY135">
            <v>0</v>
          </cell>
          <cell r="GZ135">
            <v>0</v>
          </cell>
          <cell r="HA135">
            <v>0</v>
          </cell>
          <cell r="HB135">
            <v>0</v>
          </cell>
          <cell r="HC135">
            <v>0</v>
          </cell>
          <cell r="HD135">
            <v>0</v>
          </cell>
          <cell r="HE135">
            <v>158224067.18584198</v>
          </cell>
        </row>
        <row r="136">
          <cell r="B136" t="str">
            <v>HBS-33</v>
          </cell>
          <cell r="C136" t="str">
            <v>태일정밀</v>
          </cell>
          <cell r="D136">
            <v>0.13555279574083451</v>
          </cell>
          <cell r="E136" t="str">
            <v>담     보</v>
          </cell>
          <cell r="F136">
            <v>0</v>
          </cell>
          <cell r="G136">
            <v>0</v>
          </cell>
          <cell r="H136">
            <v>0</v>
          </cell>
          <cell r="I136">
            <v>0</v>
          </cell>
          <cell r="J136">
            <v>0</v>
          </cell>
          <cell r="K136">
            <v>322790219.67981863</v>
          </cell>
          <cell r="L136">
            <v>0</v>
          </cell>
          <cell r="M136">
            <v>0</v>
          </cell>
          <cell r="N136">
            <v>0</v>
          </cell>
          <cell r="O136">
            <v>0</v>
          </cell>
          <cell r="P136">
            <v>0</v>
          </cell>
          <cell r="Q136">
            <v>0</v>
          </cell>
          <cell r="R136">
            <v>0</v>
          </cell>
          <cell r="S136">
            <v>0</v>
          </cell>
          <cell r="T136">
            <v>0</v>
          </cell>
          <cell r="U136">
            <v>0</v>
          </cell>
          <cell r="V136">
            <v>0</v>
          </cell>
          <cell r="W136">
            <v>322790219.67981863</v>
          </cell>
          <cell r="X136">
            <v>0</v>
          </cell>
          <cell r="Y136">
            <v>0</v>
          </cell>
          <cell r="Z136">
            <v>0</v>
          </cell>
          <cell r="AA136">
            <v>0</v>
          </cell>
          <cell r="AB136">
            <v>0</v>
          </cell>
          <cell r="AC136">
            <v>0</v>
          </cell>
          <cell r="AD136">
            <v>0</v>
          </cell>
          <cell r="AE136">
            <v>0</v>
          </cell>
          <cell r="AF136">
            <v>0</v>
          </cell>
          <cell r="AG136">
            <v>0</v>
          </cell>
          <cell r="AH136">
            <v>0</v>
          </cell>
          <cell r="AI136">
            <v>476237535.52438897</v>
          </cell>
          <cell r="AJ136">
            <v>0</v>
          </cell>
          <cell r="AK136">
            <v>0</v>
          </cell>
          <cell r="AL136">
            <v>0</v>
          </cell>
          <cell r="AM136">
            <v>0</v>
          </cell>
          <cell r="AN136">
            <v>0</v>
          </cell>
          <cell r="AO136">
            <v>0</v>
          </cell>
          <cell r="AP136">
            <v>0</v>
          </cell>
          <cell r="AQ136">
            <v>0</v>
          </cell>
          <cell r="AR136">
            <v>0</v>
          </cell>
          <cell r="AS136">
            <v>0</v>
          </cell>
          <cell r="AT136">
            <v>0</v>
          </cell>
          <cell r="AU136">
            <v>443626275.70023543</v>
          </cell>
          <cell r="AV136">
            <v>0</v>
          </cell>
          <cell r="AW136">
            <v>0</v>
          </cell>
          <cell r="AX136">
            <v>0</v>
          </cell>
          <cell r="AY136">
            <v>0</v>
          </cell>
          <cell r="AZ136">
            <v>0</v>
          </cell>
          <cell r="BA136">
            <v>0</v>
          </cell>
          <cell r="BB136">
            <v>0</v>
          </cell>
          <cell r="BC136">
            <v>0</v>
          </cell>
          <cell r="BD136">
            <v>0</v>
          </cell>
          <cell r="BE136">
            <v>0</v>
          </cell>
          <cell r="BF136">
            <v>0</v>
          </cell>
          <cell r="BG136">
            <v>411480148.87472224</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v>0</v>
          </cell>
          <cell r="DU136">
            <v>0</v>
          </cell>
          <cell r="DV136">
            <v>0</v>
          </cell>
          <cell r="DW136">
            <v>0</v>
          </cell>
          <cell r="DX136">
            <v>0</v>
          </cell>
          <cell r="DY136">
            <v>0</v>
          </cell>
          <cell r="DZ136">
            <v>0</v>
          </cell>
          <cell r="EA136">
            <v>0</v>
          </cell>
          <cell r="EB136">
            <v>0</v>
          </cell>
          <cell r="EC136">
            <v>0</v>
          </cell>
          <cell r="ED136">
            <v>0</v>
          </cell>
          <cell r="EE136">
            <v>0</v>
          </cell>
          <cell r="EF136">
            <v>0</v>
          </cell>
          <cell r="EG136">
            <v>0</v>
          </cell>
          <cell r="EH136">
            <v>0</v>
          </cell>
          <cell r="EI136">
            <v>0</v>
          </cell>
          <cell r="EJ136">
            <v>0</v>
          </cell>
          <cell r="EK136">
            <v>0</v>
          </cell>
          <cell r="EL136">
            <v>0</v>
          </cell>
          <cell r="EM136">
            <v>0</v>
          </cell>
          <cell r="EN136">
            <v>0</v>
          </cell>
          <cell r="EO136">
            <v>1.0562477977472058E-8</v>
          </cell>
          <cell r="EP136">
            <v>1.0565653198315821E-8</v>
          </cell>
          <cell r="EQ136">
            <v>1.0568934259854378E-8</v>
          </cell>
          <cell r="ER136">
            <v>1.0610847174992048E-8</v>
          </cell>
          <cell r="ES136">
            <v>9.4132597134194765E-9</v>
          </cell>
          <cell r="ET136">
            <v>8.2123911903083483E-9</v>
          </cell>
          <cell r="EU136">
            <v>7.127735750078944E-9</v>
          </cell>
          <cell r="EV136">
            <v>5.9268672269678174E-9</v>
          </cell>
          <cell r="EW136">
            <v>4.7647363981505982E-9</v>
          </cell>
          <cell r="EX136">
            <v>3.563867875039472E-9</v>
          </cell>
          <cell r="EY136">
            <v>2.4017370462222532E-9</v>
          </cell>
          <cell r="EZ136">
            <v>1.2008685231111266E-9</v>
          </cell>
          <cell r="FA136">
            <v>0</v>
          </cell>
          <cell r="FB136">
            <v>0</v>
          </cell>
          <cell r="FC136">
            <v>0</v>
          </cell>
          <cell r="FD136">
            <v>0</v>
          </cell>
          <cell r="FE136">
            <v>0</v>
          </cell>
          <cell r="FF136">
            <v>0</v>
          </cell>
          <cell r="FG136">
            <v>0</v>
          </cell>
          <cell r="FH136">
            <v>0</v>
          </cell>
          <cell r="FI136">
            <v>0</v>
          </cell>
          <cell r="FJ136">
            <v>0</v>
          </cell>
          <cell r="FK136">
            <v>0</v>
          </cell>
          <cell r="FL136">
            <v>0</v>
          </cell>
          <cell r="FM136">
            <v>0</v>
          </cell>
          <cell r="FN136">
            <v>0</v>
          </cell>
          <cell r="FO136">
            <v>0</v>
          </cell>
          <cell r="FP136">
            <v>0</v>
          </cell>
          <cell r="FQ136">
            <v>0</v>
          </cell>
          <cell r="FR136">
            <v>0</v>
          </cell>
          <cell r="FS136">
            <v>0</v>
          </cell>
          <cell r="FT136">
            <v>0</v>
          </cell>
          <cell r="FU136">
            <v>0</v>
          </cell>
          <cell r="FV136">
            <v>0</v>
          </cell>
          <cell r="FW136">
            <v>0</v>
          </cell>
          <cell r="FX136">
            <v>0</v>
          </cell>
          <cell r="FY136">
            <v>0</v>
          </cell>
          <cell r="FZ136">
            <v>0</v>
          </cell>
          <cell r="GA136">
            <v>0</v>
          </cell>
          <cell r="GB136">
            <v>0</v>
          </cell>
          <cell r="GC136">
            <v>0</v>
          </cell>
          <cell r="GD136">
            <v>0</v>
          </cell>
          <cell r="GE136">
            <v>0</v>
          </cell>
          <cell r="GF136">
            <v>0</v>
          </cell>
          <cell r="GG136">
            <v>0</v>
          </cell>
          <cell r="GH136">
            <v>0</v>
          </cell>
          <cell r="GI136">
            <v>0</v>
          </cell>
          <cell r="GJ136">
            <v>0</v>
          </cell>
          <cell r="GK136">
            <v>0</v>
          </cell>
          <cell r="GL136">
            <v>0</v>
          </cell>
          <cell r="GM136">
            <v>0</v>
          </cell>
          <cell r="GN136">
            <v>0</v>
          </cell>
          <cell r="GO136">
            <v>0</v>
          </cell>
          <cell r="GP136">
            <v>0</v>
          </cell>
          <cell r="GQ136">
            <v>0</v>
          </cell>
          <cell r="GR136">
            <v>0</v>
          </cell>
          <cell r="GS136">
            <v>0</v>
          </cell>
          <cell r="GT136">
            <v>0</v>
          </cell>
          <cell r="GU136">
            <v>0</v>
          </cell>
          <cell r="GV136">
            <v>0</v>
          </cell>
          <cell r="GW136">
            <v>0</v>
          </cell>
          <cell r="GX136">
            <v>0</v>
          </cell>
          <cell r="GY136">
            <v>0</v>
          </cell>
          <cell r="GZ136">
            <v>0</v>
          </cell>
          <cell r="HA136">
            <v>0</v>
          </cell>
          <cell r="HB136">
            <v>0</v>
          </cell>
          <cell r="HC136">
            <v>0</v>
          </cell>
          <cell r="HD136">
            <v>0</v>
          </cell>
          <cell r="HE136">
            <v>1976924399.4589839</v>
          </cell>
        </row>
        <row r="137">
          <cell r="D137">
            <v>0.13555279574083451</v>
          </cell>
          <cell r="E137" t="str">
            <v>무 담 보</v>
          </cell>
          <cell r="F137">
            <v>0</v>
          </cell>
          <cell r="G137">
            <v>0</v>
          </cell>
          <cell r="H137">
            <v>0</v>
          </cell>
          <cell r="I137">
            <v>0</v>
          </cell>
          <cell r="J137">
            <v>0</v>
          </cell>
          <cell r="K137">
            <v>87965886.887112319</v>
          </cell>
          <cell r="L137">
            <v>0</v>
          </cell>
          <cell r="M137">
            <v>0</v>
          </cell>
          <cell r="N137">
            <v>0</v>
          </cell>
          <cell r="O137">
            <v>0</v>
          </cell>
          <cell r="P137">
            <v>0</v>
          </cell>
          <cell r="Q137">
            <v>0</v>
          </cell>
          <cell r="R137">
            <v>0</v>
          </cell>
          <cell r="S137">
            <v>0</v>
          </cell>
          <cell r="T137">
            <v>0</v>
          </cell>
          <cell r="U137">
            <v>0</v>
          </cell>
          <cell r="V137">
            <v>0</v>
          </cell>
          <cell r="W137">
            <v>81886069.532529488</v>
          </cell>
          <cell r="X137">
            <v>0</v>
          </cell>
          <cell r="Y137">
            <v>0</v>
          </cell>
          <cell r="Z137">
            <v>0</v>
          </cell>
          <cell r="AA137">
            <v>0</v>
          </cell>
          <cell r="AB137">
            <v>0</v>
          </cell>
          <cell r="AC137">
            <v>0</v>
          </cell>
          <cell r="AD137">
            <v>0</v>
          </cell>
          <cell r="AE137">
            <v>0</v>
          </cell>
          <cell r="AF137">
            <v>0</v>
          </cell>
          <cell r="AG137">
            <v>0</v>
          </cell>
          <cell r="AH137">
            <v>0</v>
          </cell>
          <cell r="AI137">
            <v>77635379.103158146</v>
          </cell>
          <cell r="AJ137">
            <v>0</v>
          </cell>
          <cell r="AK137">
            <v>0</v>
          </cell>
          <cell r="AL137">
            <v>0</v>
          </cell>
          <cell r="AM137">
            <v>0</v>
          </cell>
          <cell r="AN137">
            <v>0</v>
          </cell>
          <cell r="AO137">
            <v>0</v>
          </cell>
          <cell r="AP137">
            <v>0</v>
          </cell>
          <cell r="AQ137">
            <v>0</v>
          </cell>
          <cell r="AR137">
            <v>0</v>
          </cell>
          <cell r="AS137">
            <v>0</v>
          </cell>
          <cell r="AT137">
            <v>0</v>
          </cell>
          <cell r="AU137">
            <v>73290814.928984523</v>
          </cell>
          <cell r="AV137">
            <v>0</v>
          </cell>
          <cell r="AW137">
            <v>0</v>
          </cell>
          <cell r="AX137">
            <v>0</v>
          </cell>
          <cell r="AY137">
            <v>0</v>
          </cell>
          <cell r="AZ137">
            <v>0</v>
          </cell>
          <cell r="BA137">
            <v>0</v>
          </cell>
          <cell r="BB137">
            <v>0</v>
          </cell>
          <cell r="BC137">
            <v>0</v>
          </cell>
          <cell r="BD137">
            <v>0</v>
          </cell>
          <cell r="BE137">
            <v>0</v>
          </cell>
          <cell r="BF137">
            <v>0</v>
          </cell>
          <cell r="BG137">
            <v>69028318.095618919</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0</v>
          </cell>
          <cell r="DM137">
            <v>0</v>
          </cell>
          <cell r="DN137">
            <v>0</v>
          </cell>
          <cell r="DO137">
            <v>0</v>
          </cell>
          <cell r="DP137">
            <v>0</v>
          </cell>
          <cell r="DQ137">
            <v>0</v>
          </cell>
          <cell r="DR137">
            <v>0</v>
          </cell>
          <cell r="DS137">
            <v>0</v>
          </cell>
          <cell r="DT137">
            <v>0</v>
          </cell>
          <cell r="DU137">
            <v>0</v>
          </cell>
          <cell r="DV137">
            <v>0</v>
          </cell>
          <cell r="DW137">
            <v>0</v>
          </cell>
          <cell r="DX137">
            <v>0</v>
          </cell>
          <cell r="DY137">
            <v>0</v>
          </cell>
          <cell r="DZ137">
            <v>0</v>
          </cell>
          <cell r="EA137">
            <v>0</v>
          </cell>
          <cell r="EB137">
            <v>0</v>
          </cell>
          <cell r="EC137">
            <v>0</v>
          </cell>
          <cell r="ED137">
            <v>0</v>
          </cell>
          <cell r="EE137">
            <v>0</v>
          </cell>
          <cell r="EF137">
            <v>0</v>
          </cell>
          <cell r="EG137">
            <v>0</v>
          </cell>
          <cell r="EH137">
            <v>0</v>
          </cell>
          <cell r="EI137">
            <v>0</v>
          </cell>
          <cell r="EJ137">
            <v>0</v>
          </cell>
          <cell r="EK137">
            <v>0</v>
          </cell>
          <cell r="EL137">
            <v>0</v>
          </cell>
          <cell r="EM137">
            <v>0</v>
          </cell>
          <cell r="EN137">
            <v>0</v>
          </cell>
          <cell r="EO137">
            <v>0</v>
          </cell>
          <cell r="EP137">
            <v>0</v>
          </cell>
          <cell r="EQ137">
            <v>0</v>
          </cell>
          <cell r="ER137">
            <v>0</v>
          </cell>
          <cell r="ES137">
            <v>0</v>
          </cell>
          <cell r="ET137">
            <v>0</v>
          </cell>
          <cell r="EU137">
            <v>0</v>
          </cell>
          <cell r="EV137">
            <v>0</v>
          </cell>
          <cell r="EW137">
            <v>0</v>
          </cell>
          <cell r="EX137">
            <v>0</v>
          </cell>
          <cell r="EY137">
            <v>0</v>
          </cell>
          <cell r="EZ137">
            <v>0</v>
          </cell>
          <cell r="FA137">
            <v>0</v>
          </cell>
          <cell r="FB137">
            <v>0</v>
          </cell>
          <cell r="FC137">
            <v>0</v>
          </cell>
          <cell r="FD137">
            <v>0</v>
          </cell>
          <cell r="FE137">
            <v>0</v>
          </cell>
          <cell r="FF137">
            <v>0</v>
          </cell>
          <cell r="FG137">
            <v>0</v>
          </cell>
          <cell r="FH137">
            <v>0</v>
          </cell>
          <cell r="FI137">
            <v>0</v>
          </cell>
          <cell r="FJ137">
            <v>0</v>
          </cell>
          <cell r="FK137">
            <v>0</v>
          </cell>
          <cell r="FL137">
            <v>0</v>
          </cell>
          <cell r="FM137">
            <v>0</v>
          </cell>
          <cell r="FN137">
            <v>0</v>
          </cell>
          <cell r="FO137">
            <v>0</v>
          </cell>
          <cell r="FP137">
            <v>0</v>
          </cell>
          <cell r="FQ137">
            <v>0</v>
          </cell>
          <cell r="FR137">
            <v>0</v>
          </cell>
          <cell r="FS137">
            <v>0</v>
          </cell>
          <cell r="FT137">
            <v>0</v>
          </cell>
          <cell r="FU137">
            <v>0</v>
          </cell>
          <cell r="FV137">
            <v>0</v>
          </cell>
          <cell r="FW137">
            <v>0</v>
          </cell>
          <cell r="FX137">
            <v>0</v>
          </cell>
          <cell r="FY137">
            <v>0</v>
          </cell>
          <cell r="FZ137">
            <v>0</v>
          </cell>
          <cell r="GA137">
            <v>0</v>
          </cell>
          <cell r="GB137">
            <v>0</v>
          </cell>
          <cell r="GC137">
            <v>0</v>
          </cell>
          <cell r="GD137">
            <v>0</v>
          </cell>
          <cell r="GE137">
            <v>0</v>
          </cell>
          <cell r="GF137">
            <v>0</v>
          </cell>
          <cell r="GG137">
            <v>0</v>
          </cell>
          <cell r="GH137">
            <v>0</v>
          </cell>
          <cell r="GI137">
            <v>0</v>
          </cell>
          <cell r="GJ137">
            <v>0</v>
          </cell>
          <cell r="GK137">
            <v>0</v>
          </cell>
          <cell r="GL137">
            <v>0</v>
          </cell>
          <cell r="GM137">
            <v>0</v>
          </cell>
          <cell r="GN137">
            <v>0</v>
          </cell>
          <cell r="GO137">
            <v>0</v>
          </cell>
          <cell r="GP137">
            <v>0</v>
          </cell>
          <cell r="GQ137">
            <v>0</v>
          </cell>
          <cell r="GR137">
            <v>0</v>
          </cell>
          <cell r="GS137">
            <v>0</v>
          </cell>
          <cell r="GT137">
            <v>0</v>
          </cell>
          <cell r="GU137">
            <v>0</v>
          </cell>
          <cell r="GV137">
            <v>0</v>
          </cell>
          <cell r="GW137">
            <v>0</v>
          </cell>
          <cell r="GX137">
            <v>0</v>
          </cell>
          <cell r="GY137">
            <v>0</v>
          </cell>
          <cell r="GZ137">
            <v>0</v>
          </cell>
          <cell r="HA137">
            <v>0</v>
          </cell>
          <cell r="HB137">
            <v>0</v>
          </cell>
          <cell r="HC137">
            <v>0</v>
          </cell>
          <cell r="HD137">
            <v>0</v>
          </cell>
          <cell r="HE137">
            <v>389806468.5474034</v>
          </cell>
        </row>
        <row r="138">
          <cell r="E138" t="str">
            <v>Total</v>
          </cell>
          <cell r="F138">
            <v>0</v>
          </cell>
          <cell r="G138">
            <v>0</v>
          </cell>
          <cell r="H138">
            <v>0</v>
          </cell>
          <cell r="I138">
            <v>0</v>
          </cell>
          <cell r="J138">
            <v>0</v>
          </cell>
          <cell r="K138">
            <v>410756106.56693095</v>
          </cell>
          <cell r="L138">
            <v>0</v>
          </cell>
          <cell r="M138">
            <v>0</v>
          </cell>
          <cell r="N138">
            <v>0</v>
          </cell>
          <cell r="O138">
            <v>0</v>
          </cell>
          <cell r="P138">
            <v>0</v>
          </cell>
          <cell r="Q138">
            <v>0</v>
          </cell>
          <cell r="R138">
            <v>0</v>
          </cell>
          <cell r="S138">
            <v>0</v>
          </cell>
          <cell r="T138">
            <v>0</v>
          </cell>
          <cell r="U138">
            <v>0</v>
          </cell>
          <cell r="V138">
            <v>0</v>
          </cell>
          <cell r="W138">
            <v>404676289.2123481</v>
          </cell>
          <cell r="X138">
            <v>0</v>
          </cell>
          <cell r="Y138">
            <v>0</v>
          </cell>
          <cell r="Z138">
            <v>0</v>
          </cell>
          <cell r="AA138">
            <v>0</v>
          </cell>
          <cell r="AB138">
            <v>0</v>
          </cell>
          <cell r="AC138">
            <v>0</v>
          </cell>
          <cell r="AD138">
            <v>0</v>
          </cell>
          <cell r="AE138">
            <v>0</v>
          </cell>
          <cell r="AF138">
            <v>0</v>
          </cell>
          <cell r="AG138">
            <v>0</v>
          </cell>
          <cell r="AH138">
            <v>0</v>
          </cell>
          <cell r="AI138">
            <v>553872914.62754714</v>
          </cell>
          <cell r="AJ138">
            <v>0</v>
          </cell>
          <cell r="AK138">
            <v>0</v>
          </cell>
          <cell r="AL138">
            <v>0</v>
          </cell>
          <cell r="AM138">
            <v>0</v>
          </cell>
          <cell r="AN138">
            <v>0</v>
          </cell>
          <cell r="AO138">
            <v>0</v>
          </cell>
          <cell r="AP138">
            <v>0</v>
          </cell>
          <cell r="AQ138">
            <v>0</v>
          </cell>
          <cell r="AR138">
            <v>0</v>
          </cell>
          <cell r="AS138">
            <v>0</v>
          </cell>
          <cell r="AT138">
            <v>0</v>
          </cell>
          <cell r="AU138">
            <v>516917090.62921995</v>
          </cell>
          <cell r="AV138">
            <v>0</v>
          </cell>
          <cell r="AW138">
            <v>0</v>
          </cell>
          <cell r="AX138">
            <v>0</v>
          </cell>
          <cell r="AY138">
            <v>0</v>
          </cell>
          <cell r="AZ138">
            <v>0</v>
          </cell>
          <cell r="BA138">
            <v>0</v>
          </cell>
          <cell r="BB138">
            <v>0</v>
          </cell>
          <cell r="BC138">
            <v>0</v>
          </cell>
          <cell r="BD138">
            <v>0</v>
          </cell>
          <cell r="BE138">
            <v>0</v>
          </cell>
          <cell r="BF138">
            <v>0</v>
          </cell>
          <cell r="BG138">
            <v>480508466.97034115</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0</v>
          </cell>
          <cell r="DM138">
            <v>0</v>
          </cell>
          <cell r="DN138">
            <v>0</v>
          </cell>
          <cell r="DO138">
            <v>0</v>
          </cell>
          <cell r="DP138">
            <v>0</v>
          </cell>
          <cell r="DQ138">
            <v>0</v>
          </cell>
          <cell r="DR138">
            <v>0</v>
          </cell>
          <cell r="DS138">
            <v>0</v>
          </cell>
          <cell r="DT138">
            <v>0</v>
          </cell>
          <cell r="DU138">
            <v>0</v>
          </cell>
          <cell r="DV138">
            <v>0</v>
          </cell>
          <cell r="DW138">
            <v>0</v>
          </cell>
          <cell r="DX138">
            <v>0</v>
          </cell>
          <cell r="DY138">
            <v>0</v>
          </cell>
          <cell r="DZ138">
            <v>0</v>
          </cell>
          <cell r="EA138">
            <v>0</v>
          </cell>
          <cell r="EB138">
            <v>0</v>
          </cell>
          <cell r="EC138">
            <v>0</v>
          </cell>
          <cell r="ED138">
            <v>0</v>
          </cell>
          <cell r="EE138">
            <v>0</v>
          </cell>
          <cell r="EF138">
            <v>0</v>
          </cell>
          <cell r="EG138">
            <v>0</v>
          </cell>
          <cell r="EH138">
            <v>0</v>
          </cell>
          <cell r="EI138">
            <v>0</v>
          </cell>
          <cell r="EJ138">
            <v>0</v>
          </cell>
          <cell r="EK138">
            <v>0</v>
          </cell>
          <cell r="EL138">
            <v>0</v>
          </cell>
          <cell r="EM138">
            <v>0</v>
          </cell>
          <cell r="EN138">
            <v>0</v>
          </cell>
          <cell r="EO138">
            <v>1.0562477977472058E-8</v>
          </cell>
          <cell r="EP138">
            <v>1.0565653198315821E-8</v>
          </cell>
          <cell r="EQ138">
            <v>1.0568934259854378E-8</v>
          </cell>
          <cell r="ER138">
            <v>1.0610847174992048E-8</v>
          </cell>
          <cell r="ES138">
            <v>9.4132597134194765E-9</v>
          </cell>
          <cell r="ET138">
            <v>8.2123911903083483E-9</v>
          </cell>
          <cell r="EU138">
            <v>7.127735750078944E-9</v>
          </cell>
          <cell r="EV138">
            <v>5.9268672269678174E-9</v>
          </cell>
          <cell r="EW138">
            <v>4.7647363981505982E-9</v>
          </cell>
          <cell r="EX138">
            <v>3.563867875039472E-9</v>
          </cell>
          <cell r="EY138">
            <v>2.4017370462222532E-9</v>
          </cell>
          <cell r="EZ138">
            <v>1.2008685231111266E-9</v>
          </cell>
          <cell r="FA138">
            <v>0</v>
          </cell>
          <cell r="FB138">
            <v>0</v>
          </cell>
          <cell r="FC138">
            <v>0</v>
          </cell>
          <cell r="FD138">
            <v>0</v>
          </cell>
          <cell r="FE138">
            <v>0</v>
          </cell>
          <cell r="FF138">
            <v>0</v>
          </cell>
          <cell r="FG138">
            <v>0</v>
          </cell>
          <cell r="FH138">
            <v>0</v>
          </cell>
          <cell r="FI138">
            <v>0</v>
          </cell>
          <cell r="FJ138">
            <v>0</v>
          </cell>
          <cell r="FK138">
            <v>0</v>
          </cell>
          <cell r="FL138">
            <v>0</v>
          </cell>
          <cell r="FM138">
            <v>0</v>
          </cell>
          <cell r="FN138">
            <v>0</v>
          </cell>
          <cell r="FO138">
            <v>0</v>
          </cell>
          <cell r="FP138">
            <v>0</v>
          </cell>
          <cell r="FQ138">
            <v>0</v>
          </cell>
          <cell r="FR138">
            <v>0</v>
          </cell>
          <cell r="FS138">
            <v>0</v>
          </cell>
          <cell r="FT138">
            <v>0</v>
          </cell>
          <cell r="FU138">
            <v>0</v>
          </cell>
          <cell r="FV138">
            <v>0</v>
          </cell>
          <cell r="FW138">
            <v>0</v>
          </cell>
          <cell r="FX138">
            <v>0</v>
          </cell>
          <cell r="FY138">
            <v>0</v>
          </cell>
          <cell r="FZ138">
            <v>0</v>
          </cell>
          <cell r="GA138">
            <v>0</v>
          </cell>
          <cell r="GB138">
            <v>0</v>
          </cell>
          <cell r="GC138">
            <v>0</v>
          </cell>
          <cell r="GD138">
            <v>0</v>
          </cell>
          <cell r="GE138">
            <v>0</v>
          </cell>
          <cell r="GF138">
            <v>0</v>
          </cell>
          <cell r="GG138">
            <v>0</v>
          </cell>
          <cell r="GH138">
            <v>0</v>
          </cell>
          <cell r="GI138">
            <v>0</v>
          </cell>
          <cell r="GJ138">
            <v>0</v>
          </cell>
          <cell r="GK138">
            <v>0</v>
          </cell>
          <cell r="GL138">
            <v>0</v>
          </cell>
          <cell r="GM138">
            <v>0</v>
          </cell>
          <cell r="GN138">
            <v>0</v>
          </cell>
          <cell r="GO138">
            <v>0</v>
          </cell>
          <cell r="GP138">
            <v>0</v>
          </cell>
          <cell r="GQ138">
            <v>0</v>
          </cell>
          <cell r="GR138">
            <v>0</v>
          </cell>
          <cell r="GS138">
            <v>0</v>
          </cell>
          <cell r="GT138">
            <v>0</v>
          </cell>
          <cell r="GU138">
            <v>0</v>
          </cell>
          <cell r="GV138">
            <v>0</v>
          </cell>
          <cell r="GW138">
            <v>0</v>
          </cell>
          <cell r="GX138">
            <v>0</v>
          </cell>
          <cell r="GY138">
            <v>0</v>
          </cell>
          <cell r="GZ138">
            <v>0</v>
          </cell>
          <cell r="HA138">
            <v>0</v>
          </cell>
          <cell r="HB138">
            <v>0</v>
          </cell>
          <cell r="HC138">
            <v>0</v>
          </cell>
          <cell r="HD138">
            <v>0</v>
          </cell>
          <cell r="HE138">
            <v>2366730868.0063872</v>
          </cell>
        </row>
        <row r="139">
          <cell r="A139" t="str">
            <v>HBS-33</v>
          </cell>
          <cell r="E139" t="str">
            <v>현     가</v>
          </cell>
          <cell r="F139">
            <v>0</v>
          </cell>
          <cell r="G139">
            <v>0</v>
          </cell>
          <cell r="H139">
            <v>0</v>
          </cell>
          <cell r="I139">
            <v>0</v>
          </cell>
          <cell r="J139">
            <v>0</v>
          </cell>
          <cell r="K139">
            <v>401679241.13115656</v>
          </cell>
          <cell r="L139">
            <v>0</v>
          </cell>
          <cell r="M139">
            <v>0</v>
          </cell>
          <cell r="N139">
            <v>0</v>
          </cell>
          <cell r="O139">
            <v>0</v>
          </cell>
          <cell r="P139">
            <v>0</v>
          </cell>
          <cell r="Q139">
            <v>0</v>
          </cell>
          <cell r="R139">
            <v>0</v>
          </cell>
          <cell r="S139">
            <v>0</v>
          </cell>
          <cell r="T139">
            <v>0</v>
          </cell>
          <cell r="U139">
            <v>0</v>
          </cell>
          <cell r="V139">
            <v>0</v>
          </cell>
          <cell r="W139">
            <v>371685454.18461418</v>
          </cell>
          <cell r="X139">
            <v>0</v>
          </cell>
          <cell r="Y139">
            <v>0</v>
          </cell>
          <cell r="Z139">
            <v>0</v>
          </cell>
          <cell r="AA139">
            <v>0</v>
          </cell>
          <cell r="AB139">
            <v>0</v>
          </cell>
          <cell r="AC139">
            <v>0</v>
          </cell>
          <cell r="AD139">
            <v>0</v>
          </cell>
          <cell r="AE139">
            <v>0</v>
          </cell>
          <cell r="AF139">
            <v>0</v>
          </cell>
          <cell r="AG139">
            <v>0</v>
          </cell>
          <cell r="AH139">
            <v>0</v>
          </cell>
          <cell r="AI139">
            <v>475040257.89542335</v>
          </cell>
          <cell r="AJ139">
            <v>0</v>
          </cell>
          <cell r="AK139">
            <v>0</v>
          </cell>
          <cell r="AL139">
            <v>0</v>
          </cell>
          <cell r="AM139">
            <v>0</v>
          </cell>
          <cell r="AN139">
            <v>0</v>
          </cell>
          <cell r="AO139">
            <v>0</v>
          </cell>
          <cell r="AP139">
            <v>0</v>
          </cell>
          <cell r="AQ139">
            <v>0</v>
          </cell>
          <cell r="AR139">
            <v>0</v>
          </cell>
          <cell r="AS139">
            <v>0</v>
          </cell>
          <cell r="AT139">
            <v>0</v>
          </cell>
          <cell r="AU139">
            <v>410366310.80852413</v>
          </cell>
          <cell r="AV139">
            <v>0</v>
          </cell>
          <cell r="AW139">
            <v>0</v>
          </cell>
          <cell r="AX139">
            <v>0</v>
          </cell>
          <cell r="AY139">
            <v>0</v>
          </cell>
          <cell r="AZ139">
            <v>0</v>
          </cell>
          <cell r="BA139">
            <v>0</v>
          </cell>
          <cell r="BB139">
            <v>0</v>
          </cell>
          <cell r="BC139">
            <v>0</v>
          </cell>
          <cell r="BD139">
            <v>0</v>
          </cell>
          <cell r="BE139">
            <v>0</v>
          </cell>
          <cell r="BF139">
            <v>0</v>
          </cell>
          <cell r="BG139">
            <v>356540333.07569754</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v>0</v>
          </cell>
          <cell r="DU139">
            <v>0</v>
          </cell>
          <cell r="DV139">
            <v>0</v>
          </cell>
          <cell r="DW139">
            <v>0</v>
          </cell>
          <cell r="DX139">
            <v>0</v>
          </cell>
          <cell r="DY139">
            <v>0</v>
          </cell>
          <cell r="DZ139">
            <v>0</v>
          </cell>
          <cell r="EA139">
            <v>0</v>
          </cell>
          <cell r="EB139">
            <v>0</v>
          </cell>
          <cell r="EC139">
            <v>0</v>
          </cell>
          <cell r="ED139">
            <v>0</v>
          </cell>
          <cell r="EE139">
            <v>0</v>
          </cell>
          <cell r="EF139">
            <v>0</v>
          </cell>
          <cell r="EG139">
            <v>0</v>
          </cell>
          <cell r="EH139">
            <v>0</v>
          </cell>
          <cell r="EI139">
            <v>0</v>
          </cell>
          <cell r="EJ139">
            <v>0</v>
          </cell>
          <cell r="EK139">
            <v>0</v>
          </cell>
          <cell r="EL139">
            <v>0</v>
          </cell>
          <cell r="EM139">
            <v>0</v>
          </cell>
          <cell r="EN139">
            <v>0</v>
          </cell>
          <cell r="EO139">
            <v>4.6080667175734939E-9</v>
          </cell>
          <cell r="EP139">
            <v>4.5824142808076849E-9</v>
          </cell>
          <cell r="EQ139">
            <v>4.5560563441354079E-9</v>
          </cell>
          <cell r="ER139">
            <v>4.5464020708739158E-9</v>
          </cell>
          <cell r="ES139">
            <v>4.0096168900509598E-9</v>
          </cell>
          <cell r="ET139">
            <v>3.4769012616506249E-9</v>
          </cell>
          <cell r="EU139">
            <v>2.999987022338608E-9</v>
          </cell>
          <cell r="EV139">
            <v>2.479435844302551E-9</v>
          </cell>
          <cell r="EW139">
            <v>1.9811914610833272E-9</v>
          </cell>
          <cell r="EX139">
            <v>1.4737524813363308E-9</v>
          </cell>
          <cell r="EY139">
            <v>9.8716171316940073E-10</v>
          </cell>
          <cell r="EZ139">
            <v>4.9068565718045003E-10</v>
          </cell>
          <cell r="FA139">
            <v>0</v>
          </cell>
          <cell r="FB139">
            <v>0</v>
          </cell>
          <cell r="FC139">
            <v>0</v>
          </cell>
          <cell r="FD139">
            <v>0</v>
          </cell>
          <cell r="FE139">
            <v>0</v>
          </cell>
          <cell r="FF139">
            <v>0</v>
          </cell>
          <cell r="FG139">
            <v>0</v>
          </cell>
          <cell r="FH139">
            <v>0</v>
          </cell>
          <cell r="FI139">
            <v>0</v>
          </cell>
          <cell r="FJ139">
            <v>0</v>
          </cell>
          <cell r="FK139">
            <v>0</v>
          </cell>
          <cell r="FL139">
            <v>0</v>
          </cell>
          <cell r="FM139">
            <v>0</v>
          </cell>
          <cell r="FN139">
            <v>0</v>
          </cell>
          <cell r="FO139">
            <v>0</v>
          </cell>
          <cell r="FP139">
            <v>0</v>
          </cell>
          <cell r="FQ139">
            <v>0</v>
          </cell>
          <cell r="FR139">
            <v>0</v>
          </cell>
          <cell r="FS139">
            <v>0</v>
          </cell>
          <cell r="FT139">
            <v>0</v>
          </cell>
          <cell r="FU139">
            <v>0</v>
          </cell>
          <cell r="FV139">
            <v>0</v>
          </cell>
          <cell r="FW139">
            <v>0</v>
          </cell>
          <cell r="FX139">
            <v>0</v>
          </cell>
          <cell r="FY139">
            <v>0</v>
          </cell>
          <cell r="FZ139">
            <v>0</v>
          </cell>
          <cell r="GA139">
            <v>0</v>
          </cell>
          <cell r="GB139">
            <v>0</v>
          </cell>
          <cell r="GC139">
            <v>0</v>
          </cell>
          <cell r="GD139">
            <v>0</v>
          </cell>
          <cell r="GE139">
            <v>0</v>
          </cell>
          <cell r="GF139">
            <v>0</v>
          </cell>
          <cell r="GG139">
            <v>0</v>
          </cell>
          <cell r="GH139">
            <v>0</v>
          </cell>
          <cell r="GI139">
            <v>0</v>
          </cell>
          <cell r="GJ139">
            <v>0</v>
          </cell>
          <cell r="GK139">
            <v>0</v>
          </cell>
          <cell r="GL139">
            <v>0</v>
          </cell>
          <cell r="GM139">
            <v>0</v>
          </cell>
          <cell r="GN139">
            <v>0</v>
          </cell>
          <cell r="GO139">
            <v>0</v>
          </cell>
          <cell r="GP139">
            <v>0</v>
          </cell>
          <cell r="GQ139">
            <v>0</v>
          </cell>
          <cell r="GR139">
            <v>0</v>
          </cell>
          <cell r="GS139">
            <v>0</v>
          </cell>
          <cell r="GT139">
            <v>0</v>
          </cell>
          <cell r="GU139">
            <v>0</v>
          </cell>
          <cell r="GV139">
            <v>0</v>
          </cell>
          <cell r="GW139">
            <v>0</v>
          </cell>
          <cell r="GX139">
            <v>0</v>
          </cell>
          <cell r="GY139">
            <v>0</v>
          </cell>
          <cell r="GZ139">
            <v>0</v>
          </cell>
          <cell r="HA139">
            <v>0</v>
          </cell>
          <cell r="HB139">
            <v>0</v>
          </cell>
          <cell r="HC139">
            <v>0</v>
          </cell>
          <cell r="HD139">
            <v>0</v>
          </cell>
          <cell r="HE139">
            <v>2015311597.0954156</v>
          </cell>
        </row>
        <row r="140">
          <cell r="B140" t="str">
            <v>HBS-34</v>
          </cell>
          <cell r="C140" t="str">
            <v>우신정밀㈜</v>
          </cell>
          <cell r="D140">
            <v>0.5733047498912941</v>
          </cell>
          <cell r="E140" t="str">
            <v>담     보</v>
          </cell>
          <cell r="F140">
            <v>0</v>
          </cell>
          <cell r="G140">
            <v>0</v>
          </cell>
          <cell r="H140">
            <v>5869671.7749822801</v>
          </cell>
          <cell r="I140">
            <v>0</v>
          </cell>
          <cell r="J140">
            <v>0</v>
          </cell>
          <cell r="K140">
            <v>1052212.8085488679</v>
          </cell>
          <cell r="L140">
            <v>0</v>
          </cell>
          <cell r="M140">
            <v>0</v>
          </cell>
          <cell r="N140">
            <v>5723374.8372219186</v>
          </cell>
          <cell r="O140">
            <v>0</v>
          </cell>
          <cell r="P140">
            <v>0</v>
          </cell>
          <cell r="Q140">
            <v>940989.63107346802</v>
          </cell>
          <cell r="R140">
            <v>0</v>
          </cell>
          <cell r="S140">
            <v>0</v>
          </cell>
          <cell r="T140">
            <v>5600460.406318197</v>
          </cell>
          <cell r="U140">
            <v>0</v>
          </cell>
          <cell r="V140">
            <v>0</v>
          </cell>
          <cell r="W140">
            <v>788853.86094269995</v>
          </cell>
          <cell r="X140">
            <v>0</v>
          </cell>
          <cell r="Y140">
            <v>0</v>
          </cell>
          <cell r="Z140">
            <v>5457089.6790867932</v>
          </cell>
          <cell r="AA140">
            <v>0</v>
          </cell>
          <cell r="AB140">
            <v>0</v>
          </cell>
          <cell r="AC140">
            <v>671778.26240938483</v>
          </cell>
          <cell r="AD140">
            <v>0</v>
          </cell>
          <cell r="AE140">
            <v>0</v>
          </cell>
          <cell r="AF140">
            <v>5331249.037654114</v>
          </cell>
          <cell r="AG140">
            <v>0</v>
          </cell>
          <cell r="AH140">
            <v>0</v>
          </cell>
          <cell r="AI140">
            <v>529882.01416129014</v>
          </cell>
          <cell r="AJ140">
            <v>0</v>
          </cell>
          <cell r="AK140">
            <v>0</v>
          </cell>
          <cell r="AL140">
            <v>5189352.7894060202</v>
          </cell>
          <cell r="AM140">
            <v>0</v>
          </cell>
          <cell r="AN140">
            <v>0</v>
          </cell>
          <cell r="AO140">
            <v>401466.98419954977</v>
          </cell>
          <cell r="AP140">
            <v>0</v>
          </cell>
          <cell r="AQ140">
            <v>0</v>
          </cell>
          <cell r="AR140">
            <v>5060937.7594442796</v>
          </cell>
          <cell r="AS140">
            <v>0</v>
          </cell>
          <cell r="AT140">
            <v>0</v>
          </cell>
          <cell r="AU140">
            <v>262135.96573036356</v>
          </cell>
          <cell r="AV140">
            <v>0</v>
          </cell>
          <cell r="AW140">
            <v>0</v>
          </cell>
          <cell r="AX140">
            <v>4924519.3628165415</v>
          </cell>
          <cell r="AY140">
            <v>0</v>
          </cell>
          <cell r="AZ140">
            <v>0</v>
          </cell>
          <cell r="BA140">
            <v>133355.52508121904</v>
          </cell>
          <cell r="BB140">
            <v>0</v>
          </cell>
          <cell r="BC140">
            <v>0</v>
          </cell>
          <cell r="BD140">
            <v>4792826.3003259487</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-4.915096885421985E-11</v>
          </cell>
          <cell r="BS140">
            <v>-5.441714408860054E-11</v>
          </cell>
          <cell r="BT140">
            <v>-5.2661752343806977E-11</v>
          </cell>
          <cell r="BU140">
            <v>-5.441714408860054E-11</v>
          </cell>
          <cell r="BV140">
            <v>-5.2661752343806977E-11</v>
          </cell>
          <cell r="BW140">
            <v>-4.9882382081217173E-11</v>
          </cell>
          <cell r="BX140">
            <v>-4.9882382081217173E-11</v>
          </cell>
          <cell r="BY140">
            <v>-4.8273272981823069E-11</v>
          </cell>
          <cell r="BZ140">
            <v>-4.9882382081217173E-11</v>
          </cell>
          <cell r="CA140">
            <v>-4.8273272981823069E-11</v>
          </cell>
          <cell r="CB140">
            <v>-4.9882382081217173E-11</v>
          </cell>
          <cell r="CC140">
            <v>-4.9746091419793077E-11</v>
          </cell>
          <cell r="CD140">
            <v>-4.6536666166903208E-11</v>
          </cell>
          <cell r="CE140">
            <v>0</v>
          </cell>
          <cell r="CF140">
            <v>0</v>
          </cell>
          <cell r="CG140">
            <v>0</v>
          </cell>
          <cell r="CH140">
            <v>0</v>
          </cell>
          <cell r="CI140">
            <v>0</v>
          </cell>
          <cell r="CJ140">
            <v>0</v>
          </cell>
          <cell r="CK140">
            <v>0</v>
          </cell>
          <cell r="CL140">
            <v>-3984.819676251585</v>
          </cell>
          <cell r="CM140">
            <v>-3999.3628137561527</v>
          </cell>
          <cell r="CN140">
            <v>-3999.3628137561523</v>
          </cell>
          <cell r="CO140">
            <v>-4015.1411218433004</v>
          </cell>
          <cell r="CP140">
            <v>-3972.6273472751527</v>
          </cell>
          <cell r="CQ140">
            <v>-3988.4056553623004</v>
          </cell>
          <cell r="CR140">
            <v>-3577.3401610395408</v>
          </cell>
          <cell r="CS140">
            <v>-3167.6003923274088</v>
          </cell>
          <cell r="CT140">
            <v>-2771.0780355092174</v>
          </cell>
          <cell r="CU140">
            <v>-2361.3382667970859</v>
          </cell>
          <cell r="CV140">
            <v>-1966.1416355895224</v>
          </cell>
          <cell r="CW140">
            <v>-1555.0761412667621</v>
          </cell>
          <cell r="CX140">
            <v>-1144.1012019720511</v>
          </cell>
          <cell r="CY140">
            <v>-775.54948221743905</v>
          </cell>
          <cell r="CZ140">
            <v>-364.5745429227278</v>
          </cell>
          <cell r="DA140">
            <v>-365.90026853335593</v>
          </cell>
          <cell r="DB140">
            <v>-361.92309170147161</v>
          </cell>
          <cell r="DC140">
            <v>-363.24881731209973</v>
          </cell>
          <cell r="DD140">
            <v>-361.92309170147161</v>
          </cell>
          <cell r="DE140">
            <v>-361.92309170147161</v>
          </cell>
          <cell r="DF140">
            <v>-361.92309170147161</v>
          </cell>
          <cell r="DG140">
            <v>-361.92309170147161</v>
          </cell>
          <cell r="DH140">
            <v>-363.24881731209973</v>
          </cell>
          <cell r="DI140">
            <v>-361.92309170147161</v>
          </cell>
          <cell r="DJ140">
            <v>-361.92309170147155</v>
          </cell>
          <cell r="DK140">
            <v>-364.5745429227278</v>
          </cell>
          <cell r="DL140">
            <v>-364.5745429227278</v>
          </cell>
          <cell r="DM140">
            <v>-365.90026853335593</v>
          </cell>
          <cell r="DN140">
            <v>-361.92309170147161</v>
          </cell>
          <cell r="DO140">
            <v>-363.24881731209973</v>
          </cell>
          <cell r="DP140">
            <v>-361.92309170147161</v>
          </cell>
          <cell r="DQ140">
            <v>-361.92309170147161</v>
          </cell>
          <cell r="DR140">
            <v>-361.92309170147161</v>
          </cell>
          <cell r="DS140">
            <v>-361.92309170147161</v>
          </cell>
          <cell r="DT140">
            <v>-363.24881731209973</v>
          </cell>
          <cell r="DU140">
            <v>-361.92309170147161</v>
          </cell>
          <cell r="DV140">
            <v>-361.92309170147155</v>
          </cell>
          <cell r="DW140">
            <v>-364.5745429227278</v>
          </cell>
          <cell r="DX140">
            <v>-364.5745429227278</v>
          </cell>
          <cell r="DY140">
            <v>-365.78798029857592</v>
          </cell>
          <cell r="DZ140">
            <v>-363.03148524478365</v>
          </cell>
          <cell r="EA140">
            <v>-364.24492262063177</v>
          </cell>
          <cell r="EB140">
            <v>-362.8105309763456</v>
          </cell>
          <cell r="EC140">
            <v>-362.69824274156559</v>
          </cell>
          <cell r="ED140">
            <v>-362.58957670790755</v>
          </cell>
          <cell r="EE140">
            <v>-362.47728847312754</v>
          </cell>
          <cell r="EF140">
            <v>-363.69072584897572</v>
          </cell>
          <cell r="EG140">
            <v>-362.25633420468955</v>
          </cell>
          <cell r="EH140">
            <v>-362.25633420468955</v>
          </cell>
          <cell r="EI140">
            <v>-363.57843761419571</v>
          </cell>
          <cell r="EJ140">
            <v>-363.57843761419571</v>
          </cell>
          <cell r="EK140">
            <v>-365.01282925848187</v>
          </cell>
          <cell r="EL140">
            <v>-361.1479406613775</v>
          </cell>
          <cell r="EM140">
            <v>-362.58233230566373</v>
          </cell>
          <cell r="EN140">
            <v>-361.36889492981561</v>
          </cell>
          <cell r="EO140">
            <v>-361.48118316459556</v>
          </cell>
          <cell r="EP140">
            <v>-361.5898491982536</v>
          </cell>
          <cell r="EQ140">
            <v>-361.70213743303356</v>
          </cell>
          <cell r="ER140">
            <v>-363.13652907731972</v>
          </cell>
          <cell r="ES140">
            <v>-361.92309170147161</v>
          </cell>
          <cell r="ET140">
            <v>-361.92309170147155</v>
          </cell>
          <cell r="EU140">
            <v>-364.5745429227278</v>
          </cell>
          <cell r="EV140">
            <v>-364.5745429227278</v>
          </cell>
          <cell r="EW140">
            <v>-365.90026853335593</v>
          </cell>
          <cell r="EX140">
            <v>-361.92309170147161</v>
          </cell>
          <cell r="EY140">
            <v>-363.24881731209973</v>
          </cell>
          <cell r="EZ140">
            <v>-361.92309170147161</v>
          </cell>
          <cell r="FA140">
            <v>-361.92309170147161</v>
          </cell>
          <cell r="FB140">
            <v>-361.92309170147161</v>
          </cell>
          <cell r="FC140">
            <v>-361.92309170147161</v>
          </cell>
          <cell r="FD140">
            <v>-363.24881731209973</v>
          </cell>
          <cell r="FE140">
            <v>-361.92309170147161</v>
          </cell>
          <cell r="FF140">
            <v>-361.92309170147155</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52667468.586046316</v>
          </cell>
        </row>
        <row r="141">
          <cell r="D141">
            <v>0.5733047498912941</v>
          </cell>
          <cell r="E141" t="str">
            <v>무 담 보</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0</v>
          </cell>
          <cell r="DL141">
            <v>0</v>
          </cell>
          <cell r="DM141">
            <v>0</v>
          </cell>
          <cell r="DN141">
            <v>0</v>
          </cell>
          <cell r="DO141">
            <v>0</v>
          </cell>
          <cell r="DP141">
            <v>0</v>
          </cell>
          <cell r="DQ141">
            <v>0</v>
          </cell>
          <cell r="DR141">
            <v>0</v>
          </cell>
          <cell r="DS141">
            <v>0</v>
          </cell>
          <cell r="DT141">
            <v>0</v>
          </cell>
          <cell r="DU141">
            <v>0</v>
          </cell>
          <cell r="DV141">
            <v>0</v>
          </cell>
          <cell r="DW141">
            <v>0</v>
          </cell>
          <cell r="DX141">
            <v>0</v>
          </cell>
          <cell r="DY141">
            <v>0</v>
          </cell>
          <cell r="DZ141">
            <v>0</v>
          </cell>
          <cell r="EA141">
            <v>0</v>
          </cell>
          <cell r="EB141">
            <v>0</v>
          </cell>
          <cell r="EC141">
            <v>0</v>
          </cell>
          <cell r="ED141">
            <v>0</v>
          </cell>
          <cell r="EE141">
            <v>0</v>
          </cell>
          <cell r="EF141">
            <v>0</v>
          </cell>
          <cell r="EG141">
            <v>0</v>
          </cell>
          <cell r="EH141">
            <v>0</v>
          </cell>
          <cell r="EI141">
            <v>0</v>
          </cell>
          <cell r="EJ141">
            <v>0</v>
          </cell>
          <cell r="EK141">
            <v>0</v>
          </cell>
          <cell r="EL141">
            <v>0</v>
          </cell>
          <cell r="EM141">
            <v>0</v>
          </cell>
          <cell r="EN141">
            <v>0</v>
          </cell>
          <cell r="EO141">
            <v>0</v>
          </cell>
          <cell r="EP141">
            <v>0</v>
          </cell>
          <cell r="EQ141">
            <v>0</v>
          </cell>
          <cell r="ER141">
            <v>0</v>
          </cell>
          <cell r="ES141">
            <v>0</v>
          </cell>
          <cell r="ET141">
            <v>0</v>
          </cell>
          <cell r="EU141">
            <v>0</v>
          </cell>
          <cell r="EV141">
            <v>0</v>
          </cell>
          <cell r="EW141">
            <v>0</v>
          </cell>
          <cell r="EX141">
            <v>0</v>
          </cell>
          <cell r="EY141">
            <v>0</v>
          </cell>
          <cell r="EZ141">
            <v>0</v>
          </cell>
          <cell r="FA141">
            <v>0</v>
          </cell>
          <cell r="FB141">
            <v>0</v>
          </cell>
          <cell r="FC141">
            <v>0</v>
          </cell>
          <cell r="FD141">
            <v>0</v>
          </cell>
          <cell r="FE141">
            <v>0</v>
          </cell>
          <cell r="FF141">
            <v>0</v>
          </cell>
          <cell r="FG141">
            <v>0</v>
          </cell>
          <cell r="FH141">
            <v>0</v>
          </cell>
          <cell r="FI141">
            <v>0</v>
          </cell>
          <cell r="FJ141">
            <v>0</v>
          </cell>
          <cell r="FK141">
            <v>0</v>
          </cell>
          <cell r="FL141">
            <v>0</v>
          </cell>
          <cell r="FM141">
            <v>0</v>
          </cell>
          <cell r="FN141">
            <v>0</v>
          </cell>
          <cell r="FO141">
            <v>0</v>
          </cell>
          <cell r="FP141">
            <v>0</v>
          </cell>
          <cell r="FQ141">
            <v>0</v>
          </cell>
          <cell r="FR141">
            <v>0</v>
          </cell>
          <cell r="FS141">
            <v>0</v>
          </cell>
          <cell r="FT141">
            <v>0</v>
          </cell>
          <cell r="FU141">
            <v>0</v>
          </cell>
          <cell r="FV141">
            <v>0</v>
          </cell>
          <cell r="FW141">
            <v>0</v>
          </cell>
          <cell r="FX141">
            <v>0</v>
          </cell>
          <cell r="FY141">
            <v>0</v>
          </cell>
          <cell r="FZ141">
            <v>0</v>
          </cell>
          <cell r="GA141">
            <v>0</v>
          </cell>
          <cell r="GB141">
            <v>0</v>
          </cell>
          <cell r="GC141">
            <v>0</v>
          </cell>
          <cell r="GD141">
            <v>0</v>
          </cell>
          <cell r="GE141">
            <v>0</v>
          </cell>
          <cell r="GF141">
            <v>0</v>
          </cell>
          <cell r="GG141">
            <v>0</v>
          </cell>
          <cell r="GH141">
            <v>0</v>
          </cell>
          <cell r="GI141">
            <v>0</v>
          </cell>
          <cell r="GJ141">
            <v>0</v>
          </cell>
          <cell r="GK141">
            <v>0</v>
          </cell>
          <cell r="GL141">
            <v>0</v>
          </cell>
          <cell r="GM141">
            <v>0</v>
          </cell>
          <cell r="GN141">
            <v>0</v>
          </cell>
          <cell r="GO141">
            <v>0</v>
          </cell>
          <cell r="GP141">
            <v>0</v>
          </cell>
          <cell r="GQ141">
            <v>0</v>
          </cell>
          <cell r="GR141">
            <v>0</v>
          </cell>
          <cell r="GS141">
            <v>0</v>
          </cell>
          <cell r="GT141">
            <v>0</v>
          </cell>
          <cell r="GU141">
            <v>0</v>
          </cell>
          <cell r="GV141">
            <v>0</v>
          </cell>
          <cell r="GW141">
            <v>0</v>
          </cell>
          <cell r="GX141">
            <v>0</v>
          </cell>
          <cell r="GY141">
            <v>0</v>
          </cell>
          <cell r="GZ141">
            <v>0</v>
          </cell>
          <cell r="HA141">
            <v>0</v>
          </cell>
          <cell r="HB141">
            <v>0</v>
          </cell>
          <cell r="HC141">
            <v>0</v>
          </cell>
          <cell r="HD141">
            <v>0</v>
          </cell>
          <cell r="HE141">
            <v>0</v>
          </cell>
        </row>
        <row r="142">
          <cell r="E142" t="str">
            <v>Total</v>
          </cell>
          <cell r="F142">
            <v>0</v>
          </cell>
          <cell r="G142">
            <v>0</v>
          </cell>
          <cell r="H142">
            <v>5869671.7749822801</v>
          </cell>
          <cell r="I142">
            <v>0</v>
          </cell>
          <cell r="J142">
            <v>0</v>
          </cell>
          <cell r="K142">
            <v>1052212.8085488679</v>
          </cell>
          <cell r="L142">
            <v>0</v>
          </cell>
          <cell r="M142">
            <v>0</v>
          </cell>
          <cell r="N142">
            <v>5723374.8372219186</v>
          </cell>
          <cell r="O142">
            <v>0</v>
          </cell>
          <cell r="P142">
            <v>0</v>
          </cell>
          <cell r="Q142">
            <v>940989.63107346802</v>
          </cell>
          <cell r="R142">
            <v>0</v>
          </cell>
          <cell r="S142">
            <v>0</v>
          </cell>
          <cell r="T142">
            <v>5600460.406318197</v>
          </cell>
          <cell r="U142">
            <v>0</v>
          </cell>
          <cell r="V142">
            <v>0</v>
          </cell>
          <cell r="W142">
            <v>788853.86094269995</v>
          </cell>
          <cell r="X142">
            <v>0</v>
          </cell>
          <cell r="Y142">
            <v>0</v>
          </cell>
          <cell r="Z142">
            <v>5457089.6790867932</v>
          </cell>
          <cell r="AA142">
            <v>0</v>
          </cell>
          <cell r="AB142">
            <v>0</v>
          </cell>
          <cell r="AC142">
            <v>671778.26240938483</v>
          </cell>
          <cell r="AD142">
            <v>0</v>
          </cell>
          <cell r="AE142">
            <v>0</v>
          </cell>
          <cell r="AF142">
            <v>5331249.037654114</v>
          </cell>
          <cell r="AG142">
            <v>0</v>
          </cell>
          <cell r="AH142">
            <v>0</v>
          </cell>
          <cell r="AI142">
            <v>529882.01416129014</v>
          </cell>
          <cell r="AJ142">
            <v>0</v>
          </cell>
          <cell r="AK142">
            <v>0</v>
          </cell>
          <cell r="AL142">
            <v>5189352.7894060202</v>
          </cell>
          <cell r="AM142">
            <v>0</v>
          </cell>
          <cell r="AN142">
            <v>0</v>
          </cell>
          <cell r="AO142">
            <v>401466.98419954977</v>
          </cell>
          <cell r="AP142">
            <v>0</v>
          </cell>
          <cell r="AQ142">
            <v>0</v>
          </cell>
          <cell r="AR142">
            <v>5060937.7594442796</v>
          </cell>
          <cell r="AS142">
            <v>0</v>
          </cell>
          <cell r="AT142">
            <v>0</v>
          </cell>
          <cell r="AU142">
            <v>262135.96573036356</v>
          </cell>
          <cell r="AV142">
            <v>0</v>
          </cell>
          <cell r="AW142">
            <v>0</v>
          </cell>
          <cell r="AX142">
            <v>4924519.3628165415</v>
          </cell>
          <cell r="AY142">
            <v>0</v>
          </cell>
          <cell r="AZ142">
            <v>0</v>
          </cell>
          <cell r="BA142">
            <v>133355.52508121904</v>
          </cell>
          <cell r="BB142">
            <v>0</v>
          </cell>
          <cell r="BC142">
            <v>0</v>
          </cell>
          <cell r="BD142">
            <v>4792826.3003259487</v>
          </cell>
          <cell r="BE142">
            <v>0</v>
          </cell>
          <cell r="BF142">
            <v>0</v>
          </cell>
          <cell r="BG142">
            <v>0</v>
          </cell>
          <cell r="BH142">
            <v>0</v>
          </cell>
          <cell r="BI142">
            <v>0</v>
          </cell>
          <cell r="BJ142">
            <v>0</v>
          </cell>
          <cell r="BK142">
            <v>0</v>
          </cell>
          <cell r="BL142">
            <v>0</v>
          </cell>
          <cell r="BM142">
            <v>0</v>
          </cell>
          <cell r="BN142">
            <v>0</v>
          </cell>
          <cell r="BO142">
            <v>0</v>
          </cell>
          <cell r="BP142">
            <v>0</v>
          </cell>
          <cell r="BQ142">
            <v>0</v>
          </cell>
          <cell r="BR142">
            <v>-4.915096885421985E-11</v>
          </cell>
          <cell r="BS142">
            <v>-5.441714408860054E-11</v>
          </cell>
          <cell r="BT142">
            <v>-5.2661752343806977E-11</v>
          </cell>
          <cell r="BU142">
            <v>-5.441714408860054E-11</v>
          </cell>
          <cell r="BV142">
            <v>-5.2661752343806977E-11</v>
          </cell>
          <cell r="BW142">
            <v>-4.9882382081217173E-11</v>
          </cell>
          <cell r="BX142">
            <v>-4.9882382081217173E-11</v>
          </cell>
          <cell r="BY142">
            <v>-4.8273272981823069E-11</v>
          </cell>
          <cell r="BZ142">
            <v>-4.9882382081217173E-11</v>
          </cell>
          <cell r="CA142">
            <v>-4.8273272981823069E-11</v>
          </cell>
          <cell r="CB142">
            <v>-4.9882382081217173E-11</v>
          </cell>
          <cell r="CC142">
            <v>-4.9746091419793077E-11</v>
          </cell>
          <cell r="CD142">
            <v>-4.6536666166903208E-11</v>
          </cell>
          <cell r="CE142">
            <v>0</v>
          </cell>
          <cell r="CF142">
            <v>0</v>
          </cell>
          <cell r="CG142">
            <v>0</v>
          </cell>
          <cell r="CH142">
            <v>0</v>
          </cell>
          <cell r="CI142">
            <v>0</v>
          </cell>
          <cell r="CJ142">
            <v>0</v>
          </cell>
          <cell r="CK142">
            <v>0</v>
          </cell>
          <cell r="CL142">
            <v>-3984.819676251585</v>
          </cell>
          <cell r="CM142">
            <v>-3999.3628137561527</v>
          </cell>
          <cell r="CN142">
            <v>-3999.3628137561523</v>
          </cell>
          <cell r="CO142">
            <v>-4015.1411218433004</v>
          </cell>
          <cell r="CP142">
            <v>-3972.6273472751527</v>
          </cell>
          <cell r="CQ142">
            <v>-3988.4056553623004</v>
          </cell>
          <cell r="CR142">
            <v>-3577.3401610395408</v>
          </cell>
          <cell r="CS142">
            <v>-3167.6003923274088</v>
          </cell>
          <cell r="CT142">
            <v>-2771.0780355092174</v>
          </cell>
          <cell r="CU142">
            <v>-2361.3382667970859</v>
          </cell>
          <cell r="CV142">
            <v>-1966.1416355895224</v>
          </cell>
          <cell r="CW142">
            <v>-1555.0761412667621</v>
          </cell>
          <cell r="CX142">
            <v>-1144.1012019720511</v>
          </cell>
          <cell r="CY142">
            <v>-775.54948221743905</v>
          </cell>
          <cell r="CZ142">
            <v>-364.5745429227278</v>
          </cell>
          <cell r="DA142">
            <v>-365.90026853335593</v>
          </cell>
          <cell r="DB142">
            <v>-361.92309170147161</v>
          </cell>
          <cell r="DC142">
            <v>-363.24881731209973</v>
          </cell>
          <cell r="DD142">
            <v>-361.92309170147161</v>
          </cell>
          <cell r="DE142">
            <v>-361.92309170147161</v>
          </cell>
          <cell r="DF142">
            <v>-361.92309170147161</v>
          </cell>
          <cell r="DG142">
            <v>-361.92309170147161</v>
          </cell>
          <cell r="DH142">
            <v>-363.24881731209973</v>
          </cell>
          <cell r="DI142">
            <v>-361.92309170147161</v>
          </cell>
          <cell r="DJ142">
            <v>-361.92309170147155</v>
          </cell>
          <cell r="DK142">
            <v>-364.5745429227278</v>
          </cell>
          <cell r="DL142">
            <v>-364.5745429227278</v>
          </cell>
          <cell r="DM142">
            <v>-365.90026853335593</v>
          </cell>
          <cell r="DN142">
            <v>-361.92309170147161</v>
          </cell>
          <cell r="DO142">
            <v>-363.24881731209973</v>
          </cell>
          <cell r="DP142">
            <v>-361.92309170147161</v>
          </cell>
          <cell r="DQ142">
            <v>-361.92309170147161</v>
          </cell>
          <cell r="DR142">
            <v>-361.92309170147161</v>
          </cell>
          <cell r="DS142">
            <v>-361.92309170147161</v>
          </cell>
          <cell r="DT142">
            <v>-363.24881731209973</v>
          </cell>
          <cell r="DU142">
            <v>-361.92309170147161</v>
          </cell>
          <cell r="DV142">
            <v>-361.92309170147155</v>
          </cell>
          <cell r="DW142">
            <v>-364.5745429227278</v>
          </cell>
          <cell r="DX142">
            <v>-364.5745429227278</v>
          </cell>
          <cell r="DY142">
            <v>-365.78798029857592</v>
          </cell>
          <cell r="DZ142">
            <v>-363.03148524478365</v>
          </cell>
          <cell r="EA142">
            <v>-364.24492262063177</v>
          </cell>
          <cell r="EB142">
            <v>-362.8105309763456</v>
          </cell>
          <cell r="EC142">
            <v>-362.69824274156559</v>
          </cell>
          <cell r="ED142">
            <v>-362.58957670790755</v>
          </cell>
          <cell r="EE142">
            <v>-362.47728847312754</v>
          </cell>
          <cell r="EF142">
            <v>-363.69072584897572</v>
          </cell>
          <cell r="EG142">
            <v>-362.25633420468955</v>
          </cell>
          <cell r="EH142">
            <v>-362.25633420468955</v>
          </cell>
          <cell r="EI142">
            <v>-363.57843761419571</v>
          </cell>
          <cell r="EJ142">
            <v>-363.57843761419571</v>
          </cell>
          <cell r="EK142">
            <v>-365.01282925848187</v>
          </cell>
          <cell r="EL142">
            <v>-361.1479406613775</v>
          </cell>
          <cell r="EM142">
            <v>-362.58233230566373</v>
          </cell>
          <cell r="EN142">
            <v>-361.36889492981561</v>
          </cell>
          <cell r="EO142">
            <v>-361.48118316459556</v>
          </cell>
          <cell r="EP142">
            <v>-361.5898491982536</v>
          </cell>
          <cell r="EQ142">
            <v>-361.70213743303356</v>
          </cell>
          <cell r="ER142">
            <v>-363.13652907731972</v>
          </cell>
          <cell r="ES142">
            <v>-361.92309170147161</v>
          </cell>
          <cell r="ET142">
            <v>-361.92309170147155</v>
          </cell>
          <cell r="EU142">
            <v>-364.5745429227278</v>
          </cell>
          <cell r="EV142">
            <v>-364.5745429227278</v>
          </cell>
          <cell r="EW142">
            <v>-365.90026853335593</v>
          </cell>
          <cell r="EX142">
            <v>-361.92309170147161</v>
          </cell>
          <cell r="EY142">
            <v>-363.24881731209973</v>
          </cell>
          <cell r="EZ142">
            <v>-361.92309170147161</v>
          </cell>
          <cell r="FA142">
            <v>-361.92309170147161</v>
          </cell>
          <cell r="FB142">
            <v>-361.92309170147161</v>
          </cell>
          <cell r="FC142">
            <v>-361.92309170147161</v>
          </cell>
          <cell r="FD142">
            <v>-363.24881731209973</v>
          </cell>
          <cell r="FE142">
            <v>-361.92309170147161</v>
          </cell>
          <cell r="FF142">
            <v>-361.92309170147155</v>
          </cell>
          <cell r="FG142">
            <v>0</v>
          </cell>
          <cell r="FH142">
            <v>0</v>
          </cell>
          <cell r="FI142">
            <v>0</v>
          </cell>
          <cell r="FJ142">
            <v>0</v>
          </cell>
          <cell r="FK142">
            <v>0</v>
          </cell>
          <cell r="FL142">
            <v>0</v>
          </cell>
          <cell r="FM142">
            <v>0</v>
          </cell>
          <cell r="FN142">
            <v>0</v>
          </cell>
          <cell r="FO142">
            <v>0</v>
          </cell>
          <cell r="FP142">
            <v>0</v>
          </cell>
          <cell r="FQ142">
            <v>0</v>
          </cell>
          <cell r="FR142">
            <v>0</v>
          </cell>
          <cell r="FS142">
            <v>0</v>
          </cell>
          <cell r="FT142">
            <v>0</v>
          </cell>
          <cell r="FU142">
            <v>0</v>
          </cell>
          <cell r="FV142">
            <v>0</v>
          </cell>
          <cell r="FW142">
            <v>0</v>
          </cell>
          <cell r="FX142">
            <v>0</v>
          </cell>
          <cell r="FY142">
            <v>0</v>
          </cell>
          <cell r="FZ142">
            <v>0</v>
          </cell>
          <cell r="GA142">
            <v>0</v>
          </cell>
          <cell r="GB142">
            <v>0</v>
          </cell>
          <cell r="GC142">
            <v>0</v>
          </cell>
          <cell r="GD142">
            <v>0</v>
          </cell>
          <cell r="GE142">
            <v>0</v>
          </cell>
          <cell r="GF142">
            <v>0</v>
          </cell>
          <cell r="GG142">
            <v>0</v>
          </cell>
          <cell r="GH142">
            <v>0</v>
          </cell>
          <cell r="GI142">
            <v>0</v>
          </cell>
          <cell r="GJ142">
            <v>0</v>
          </cell>
          <cell r="GK142">
            <v>0</v>
          </cell>
          <cell r="GL142">
            <v>0</v>
          </cell>
          <cell r="GM142">
            <v>0</v>
          </cell>
          <cell r="GN142">
            <v>0</v>
          </cell>
          <cell r="GO142">
            <v>0</v>
          </cell>
          <cell r="GP142">
            <v>0</v>
          </cell>
          <cell r="GQ142">
            <v>0</v>
          </cell>
          <cell r="GR142">
            <v>0</v>
          </cell>
          <cell r="GS142">
            <v>0</v>
          </cell>
          <cell r="GT142">
            <v>0</v>
          </cell>
          <cell r="GU142">
            <v>0</v>
          </cell>
          <cell r="GV142">
            <v>0</v>
          </cell>
          <cell r="GW142">
            <v>0</v>
          </cell>
          <cell r="GX142">
            <v>0</v>
          </cell>
          <cell r="GY142">
            <v>0</v>
          </cell>
          <cell r="GZ142">
            <v>0</v>
          </cell>
          <cell r="HA142">
            <v>0</v>
          </cell>
          <cell r="HB142">
            <v>0</v>
          </cell>
          <cell r="HC142">
            <v>0</v>
          </cell>
          <cell r="HD142">
            <v>0</v>
          </cell>
          <cell r="HE142">
            <v>52667468.586046316</v>
          </cell>
        </row>
        <row r="143">
          <cell r="A143" t="str">
            <v>HBS-34</v>
          </cell>
          <cell r="E143" t="str">
            <v>현     가</v>
          </cell>
          <cell r="F143">
            <v>0</v>
          </cell>
          <cell r="G143">
            <v>0</v>
          </cell>
          <cell r="H143">
            <v>5816924.1240829695</v>
          </cell>
          <cell r="I143">
            <v>0</v>
          </cell>
          <cell r="J143">
            <v>0</v>
          </cell>
          <cell r="K143">
            <v>1028961.0688417675</v>
          </cell>
          <cell r="L143">
            <v>0</v>
          </cell>
          <cell r="M143">
            <v>0</v>
          </cell>
          <cell r="N143">
            <v>5522033.7529568654</v>
          </cell>
          <cell r="O143">
            <v>0</v>
          </cell>
          <cell r="P143">
            <v>0</v>
          </cell>
          <cell r="Q143">
            <v>895610.01986765407</v>
          </cell>
          <cell r="R143">
            <v>0</v>
          </cell>
          <cell r="S143">
            <v>0</v>
          </cell>
          <cell r="T143">
            <v>5220753.6329808133</v>
          </cell>
          <cell r="U143">
            <v>0</v>
          </cell>
          <cell r="V143">
            <v>0</v>
          </cell>
          <cell r="W143">
            <v>724543.32859595458</v>
          </cell>
          <cell r="X143">
            <v>0</v>
          </cell>
          <cell r="Y143">
            <v>0</v>
          </cell>
          <cell r="Z143">
            <v>4937597.2397712413</v>
          </cell>
          <cell r="AA143">
            <v>0</v>
          </cell>
          <cell r="AB143">
            <v>0</v>
          </cell>
          <cell r="AC143">
            <v>598681.32034649956</v>
          </cell>
          <cell r="AD143">
            <v>0</v>
          </cell>
          <cell r="AE143">
            <v>0</v>
          </cell>
          <cell r="AF143">
            <v>4645461.9911919041</v>
          </cell>
          <cell r="AG143">
            <v>0</v>
          </cell>
          <cell r="AH143">
            <v>0</v>
          </cell>
          <cell r="AI143">
            <v>454463.97903495975</v>
          </cell>
          <cell r="AJ143">
            <v>0</v>
          </cell>
          <cell r="AK143">
            <v>0</v>
          </cell>
          <cell r="AL143">
            <v>4380804.0888019688</v>
          </cell>
          <cell r="AM143">
            <v>0</v>
          </cell>
          <cell r="AN143">
            <v>0</v>
          </cell>
          <cell r="AO143">
            <v>333530.24121119769</v>
          </cell>
          <cell r="AP143">
            <v>0</v>
          </cell>
          <cell r="AQ143">
            <v>0</v>
          </cell>
          <cell r="AR143">
            <v>4085235.6342517999</v>
          </cell>
          <cell r="AS143">
            <v>0</v>
          </cell>
          <cell r="AT143">
            <v>0</v>
          </cell>
          <cell r="AU143">
            <v>208102.5586831666</v>
          </cell>
          <cell r="AV143">
            <v>0</v>
          </cell>
          <cell r="AW143">
            <v>0</v>
          </cell>
          <cell r="AX143">
            <v>3844137.9055310194</v>
          </cell>
          <cell r="AY143">
            <v>0</v>
          </cell>
          <cell r="AZ143">
            <v>0</v>
          </cell>
          <cell r="BA143">
            <v>102341.08866241474</v>
          </cell>
          <cell r="BB143">
            <v>0</v>
          </cell>
          <cell r="BC143">
            <v>0</v>
          </cell>
          <cell r="BD143">
            <v>3616051.5859202496</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-3.3558412129329397E-11</v>
          </cell>
          <cell r="BS143">
            <v>-3.6928779747730646E-11</v>
          </cell>
          <cell r="BT143">
            <v>-3.5527903008122135E-11</v>
          </cell>
          <cell r="BU143">
            <v>-3.6489667430055423E-11</v>
          </cell>
          <cell r="BV143">
            <v>-3.510544821978064E-11</v>
          </cell>
          <cell r="BW143">
            <v>-3.3051128462159609E-11</v>
          </cell>
          <cell r="BX143">
            <v>-3.2850817662493032E-11</v>
          </cell>
          <cell r="BY143">
            <v>-3.1604636590308132E-11</v>
          </cell>
          <cell r="BZ143">
            <v>-3.2460195530382373E-11</v>
          </cell>
          <cell r="CA143">
            <v>-3.1228832534033939E-11</v>
          </cell>
          <cell r="CB143">
            <v>-3.2074218203514081E-11</v>
          </cell>
          <cell r="CC143">
            <v>-3.1792724744112786E-11</v>
          </cell>
          <cell r="CD143">
            <v>-2.9572924545832894E-11</v>
          </cell>
          <cell r="CE143">
            <v>0</v>
          </cell>
          <cell r="CF143">
            <v>0</v>
          </cell>
          <cell r="CG143">
            <v>0</v>
          </cell>
          <cell r="CH143">
            <v>0</v>
          </cell>
          <cell r="CI143">
            <v>0</v>
          </cell>
          <cell r="CJ143">
            <v>0</v>
          </cell>
          <cell r="CK143">
            <v>0</v>
          </cell>
          <cell r="CL143">
            <v>-2413.4722369464189</v>
          </cell>
          <cell r="CM143">
            <v>-2408.0721482104727</v>
          </cell>
          <cell r="CN143">
            <v>-2393.4777037812873</v>
          </cell>
          <cell r="CO143">
            <v>-2388.357243170678</v>
          </cell>
          <cell r="CP143">
            <v>-2350.1289229508711</v>
          </cell>
          <cell r="CQ143">
            <v>-2345.16321999704</v>
          </cell>
          <cell r="CR143">
            <v>-2091.1204320891925</v>
          </cell>
          <cell r="CS143">
            <v>-1840.3867036419197</v>
          </cell>
          <cell r="CT143">
            <v>-1600.5620344811093</v>
          </cell>
          <cell r="CU143">
            <v>-1355.6321247265489</v>
          </cell>
          <cell r="CV143">
            <v>-1121.9108246232352</v>
          </cell>
          <cell r="CW143">
            <v>-882.14556051713203</v>
          </cell>
          <cell r="CX143">
            <v>-645.07903555155053</v>
          </cell>
          <cell r="CY143">
            <v>-434.71342720493243</v>
          </cell>
          <cell r="CZ143">
            <v>-203.11396023614466</v>
          </cell>
          <cell r="DA143">
            <v>-202.61708067878729</v>
          </cell>
          <cell r="DB143">
            <v>-199.31730418391342</v>
          </cell>
          <cell r="DC143">
            <v>-198.83499005875825</v>
          </cell>
          <cell r="DD143">
            <v>-196.94726423158184</v>
          </cell>
          <cell r="DE143">
            <v>-195.75363890542874</v>
          </cell>
          <cell r="DF143">
            <v>-194.60540592358183</v>
          </cell>
          <cell r="DG143">
            <v>-193.42597374399313</v>
          </cell>
          <cell r="DH143">
            <v>-192.95791564090672</v>
          </cell>
          <cell r="DI143">
            <v>-191.12598635720354</v>
          </cell>
          <cell r="DJ143">
            <v>-189.96764166685182</v>
          </cell>
          <cell r="DK143">
            <v>-190.23688864280064</v>
          </cell>
          <cell r="DL143">
            <v>-189.08393244846832</v>
          </cell>
          <cell r="DM143">
            <v>-188.62137467770182</v>
          </cell>
          <cell r="DN143">
            <v>-185.54952912298774</v>
          </cell>
          <cell r="DO143">
            <v>-185.10053068214324</v>
          </cell>
          <cell r="DP143">
            <v>-183.34319887505291</v>
          </cell>
          <cell r="DQ143">
            <v>-182.23202281272458</v>
          </cell>
          <cell r="DR143">
            <v>-181.16310363394322</v>
          </cell>
          <cell r="DS143">
            <v>-180.065140331403</v>
          </cell>
          <cell r="DT143">
            <v>-179.6294131827469</v>
          </cell>
          <cell r="DU143">
            <v>-177.92402379184836</v>
          </cell>
          <cell r="DV143">
            <v>-176.84569136739134</v>
          </cell>
          <cell r="DW143">
            <v>-177.09634019996335</v>
          </cell>
          <cell r="DX143">
            <v>-176.02302406299412</v>
          </cell>
          <cell r="DY143">
            <v>-175.53853114715056</v>
          </cell>
          <cell r="DZ143">
            <v>-173.22778130809067</v>
          </cell>
          <cell r="EA143">
            <v>-172.75341795823982</v>
          </cell>
          <cell r="EB143">
            <v>-171.06378726178693</v>
          </cell>
          <cell r="EC143">
            <v>-169.9744096163551</v>
          </cell>
          <cell r="ED143">
            <v>-168.92676358312653</v>
          </cell>
          <cell r="EE143">
            <v>-167.85096338077778</v>
          </cell>
          <cell r="EF143">
            <v>-167.39217638672972</v>
          </cell>
          <cell r="EG143">
            <v>-165.75398321895261</v>
          </cell>
          <cell r="EH143">
            <v>-164.74940895866612</v>
          </cell>
          <cell r="EI143">
            <v>-164.38078593746363</v>
          </cell>
          <cell r="EJ143">
            <v>-163.38453412359132</v>
          </cell>
          <cell r="EK143">
            <v>-163.03499918953239</v>
          </cell>
          <cell r="EL143">
            <v>-160.42544227593629</v>
          </cell>
          <cell r="EM143">
            <v>-160.0864714710585</v>
          </cell>
          <cell r="EN143">
            <v>-158.61484019897105</v>
          </cell>
          <cell r="EO143">
            <v>-157.70252138963735</v>
          </cell>
          <cell r="EP143">
            <v>-156.82461440484298</v>
          </cell>
          <cell r="EQ143">
            <v>-155.92256299660392</v>
          </cell>
          <cell r="ER143">
            <v>-155.5921634323538</v>
          </cell>
          <cell r="ES143">
            <v>-154.16263712738117</v>
          </cell>
          <cell r="ET143">
            <v>-153.22831377569747</v>
          </cell>
          <cell r="EU143">
            <v>-153.44548897328295</v>
          </cell>
          <cell r="EV143">
            <v>-152.51551199423193</v>
          </cell>
          <cell r="EW143">
            <v>-152.14241188825338</v>
          </cell>
          <cell r="EX143">
            <v>-149.66465456917439</v>
          </cell>
          <cell r="EY143">
            <v>-149.30249144826158</v>
          </cell>
          <cell r="EZ143">
            <v>-147.88502378280998</v>
          </cell>
          <cell r="FA143">
            <v>-146.98874674928723</v>
          </cell>
          <cell r="FB143">
            <v>-146.12655421012619</v>
          </cell>
          <cell r="FC143">
            <v>-145.24093461744383</v>
          </cell>
          <cell r="FD143">
            <v>-144.88947614973301</v>
          </cell>
          <cell r="FE143">
            <v>-143.51390535038277</v>
          </cell>
          <cell r="FF143">
            <v>-142.64412006674499</v>
          </cell>
          <cell r="FG143">
            <v>0</v>
          </cell>
          <cell r="FH143">
            <v>0</v>
          </cell>
          <cell r="FI143">
            <v>0</v>
          </cell>
          <cell r="FJ143">
            <v>0</v>
          </cell>
          <cell r="FK143">
            <v>0</v>
          </cell>
          <cell r="FL143">
            <v>0</v>
          </cell>
          <cell r="FM143">
            <v>0</v>
          </cell>
          <cell r="FN143">
            <v>0</v>
          </cell>
          <cell r="FO143">
            <v>0</v>
          </cell>
          <cell r="FP143">
            <v>0</v>
          </cell>
          <cell r="FQ143">
            <v>0</v>
          </cell>
          <cell r="FR143">
            <v>0</v>
          </cell>
          <cell r="FS143">
            <v>0</v>
          </cell>
          <cell r="FT143">
            <v>0</v>
          </cell>
          <cell r="FU143">
            <v>0</v>
          </cell>
          <cell r="FV143">
            <v>0</v>
          </cell>
          <cell r="FW143">
            <v>0</v>
          </cell>
          <cell r="FX143">
            <v>0</v>
          </cell>
          <cell r="FY143">
            <v>0</v>
          </cell>
          <cell r="FZ143">
            <v>0</v>
          </cell>
          <cell r="GA143">
            <v>0</v>
          </cell>
          <cell r="GB143">
            <v>0</v>
          </cell>
          <cell r="GC143">
            <v>0</v>
          </cell>
          <cell r="GD143">
            <v>0</v>
          </cell>
          <cell r="GE143">
            <v>0</v>
          </cell>
          <cell r="GF143">
            <v>0</v>
          </cell>
          <cell r="GG143">
            <v>0</v>
          </cell>
          <cell r="GH143">
            <v>0</v>
          </cell>
          <cell r="GI143">
            <v>0</v>
          </cell>
          <cell r="GJ143">
            <v>0</v>
          </cell>
          <cell r="GK143">
            <v>0</v>
          </cell>
          <cell r="GL143">
            <v>0</v>
          </cell>
          <cell r="GM143">
            <v>0</v>
          </cell>
          <cell r="GN143">
            <v>0</v>
          </cell>
          <cell r="GO143">
            <v>0</v>
          </cell>
          <cell r="GP143">
            <v>0</v>
          </cell>
          <cell r="GQ143">
            <v>0</v>
          </cell>
          <cell r="GR143">
            <v>0</v>
          </cell>
          <cell r="GS143">
            <v>0</v>
          </cell>
          <cell r="GT143">
            <v>0</v>
          </cell>
          <cell r="GU143">
            <v>0</v>
          </cell>
          <cell r="GV143">
            <v>0</v>
          </cell>
          <cell r="GW143">
            <v>0</v>
          </cell>
          <cell r="GX143">
            <v>0</v>
          </cell>
          <cell r="GY143">
            <v>0</v>
          </cell>
          <cell r="GZ143">
            <v>0</v>
          </cell>
          <cell r="HA143">
            <v>0</v>
          </cell>
          <cell r="HB143">
            <v>0</v>
          </cell>
          <cell r="HC143">
            <v>0</v>
          </cell>
          <cell r="HD143">
            <v>0</v>
          </cell>
          <cell r="HE143">
            <v>46380876.807310119</v>
          </cell>
        </row>
        <row r="144">
          <cell r="B144" t="str">
            <v>HBS-35</v>
          </cell>
          <cell r="C144" t="str">
            <v>우신산업</v>
          </cell>
          <cell r="D144">
            <v>1</v>
          </cell>
          <cell r="E144" t="str">
            <v>담     보</v>
          </cell>
          <cell r="F144">
            <v>0</v>
          </cell>
          <cell r="G144">
            <v>0</v>
          </cell>
          <cell r="H144">
            <v>27988994.551956162</v>
          </cell>
          <cell r="I144">
            <v>0</v>
          </cell>
          <cell r="J144">
            <v>0</v>
          </cell>
          <cell r="K144">
            <v>4876667.0886575319</v>
          </cell>
          <cell r="L144">
            <v>0</v>
          </cell>
          <cell r="M144">
            <v>0</v>
          </cell>
          <cell r="N144">
            <v>27311679.678531505</v>
          </cell>
          <cell r="O144">
            <v>0</v>
          </cell>
          <cell r="P144">
            <v>0</v>
          </cell>
          <cell r="Q144">
            <v>4361907.7848547921</v>
          </cell>
          <cell r="R144">
            <v>0</v>
          </cell>
          <cell r="S144">
            <v>0</v>
          </cell>
          <cell r="T144">
            <v>26742735.184854791</v>
          </cell>
          <cell r="U144">
            <v>0</v>
          </cell>
          <cell r="V144">
            <v>0</v>
          </cell>
          <cell r="W144">
            <v>3657500.3164931494</v>
          </cell>
          <cell r="X144">
            <v>0</v>
          </cell>
          <cell r="Y144">
            <v>0</v>
          </cell>
          <cell r="Z144">
            <v>26078966.608898625</v>
          </cell>
          <cell r="AA144">
            <v>0</v>
          </cell>
          <cell r="AB144">
            <v>0</v>
          </cell>
          <cell r="AC144">
            <v>3115648.4177534226</v>
          </cell>
          <cell r="AD144">
            <v>0</v>
          </cell>
          <cell r="AE144">
            <v>0</v>
          </cell>
          <cell r="AF144">
            <v>25496475.817753423</v>
          </cell>
          <cell r="AG144">
            <v>0</v>
          </cell>
          <cell r="AH144">
            <v>0</v>
          </cell>
          <cell r="AI144">
            <v>2458690.0022732229</v>
          </cell>
          <cell r="AJ144">
            <v>0</v>
          </cell>
          <cell r="AK144">
            <v>0</v>
          </cell>
          <cell r="AL144">
            <v>24839517.402273223</v>
          </cell>
          <cell r="AM144">
            <v>0</v>
          </cell>
          <cell r="AN144">
            <v>0</v>
          </cell>
          <cell r="AO144">
            <v>1864281.4302950813</v>
          </cell>
          <cell r="AP144">
            <v>0</v>
          </cell>
          <cell r="AQ144">
            <v>0</v>
          </cell>
          <cell r="AR144">
            <v>24245108.830295078</v>
          </cell>
          <cell r="AS144">
            <v>0</v>
          </cell>
          <cell r="AT144">
            <v>0</v>
          </cell>
          <cell r="AU144">
            <v>1219166.772164383</v>
          </cell>
          <cell r="AV144">
            <v>0</v>
          </cell>
          <cell r="AW144">
            <v>0</v>
          </cell>
          <cell r="AX144">
            <v>23613540.469632875</v>
          </cell>
          <cell r="AY144">
            <v>0</v>
          </cell>
          <cell r="AZ144">
            <v>0</v>
          </cell>
          <cell r="BA144">
            <v>623129.68355068448</v>
          </cell>
          <cell r="BB144">
            <v>0</v>
          </cell>
          <cell r="BC144">
            <v>0</v>
          </cell>
          <cell r="BD144">
            <v>23003957.083550684</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-9.4305979062433118E-11</v>
          </cell>
          <cell r="BS144">
            <v>-1.0441019110483667E-10</v>
          </cell>
          <cell r="BT144">
            <v>-1.0104212042403548E-10</v>
          </cell>
          <cell r="BU144">
            <v>-1.0441019110483667E-10</v>
          </cell>
          <cell r="BV144">
            <v>-1.0104212042403548E-10</v>
          </cell>
          <cell r="BW144">
            <v>-1.0441019110483667E-10</v>
          </cell>
          <cell r="BX144">
            <v>-1.0441019110483667E-10</v>
          </cell>
          <cell r="BY144">
            <v>-1.0104212042403548E-10</v>
          </cell>
          <cell r="BZ144">
            <v>-1.0441019110483667E-10</v>
          </cell>
          <cell r="CA144">
            <v>-1.0104212042403548E-10</v>
          </cell>
          <cell r="CB144">
            <v>-1.0441019110483667E-10</v>
          </cell>
          <cell r="CC144">
            <v>-1.0412491735864858E-10</v>
          </cell>
          <cell r="CD144">
            <v>-9.7407180754864803E-11</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v>0</v>
          </cell>
          <cell r="DU144">
            <v>0</v>
          </cell>
          <cell r="DV144">
            <v>0</v>
          </cell>
          <cell r="DW144">
            <v>0</v>
          </cell>
          <cell r="DX144">
            <v>0</v>
          </cell>
          <cell r="DY144">
            <v>0</v>
          </cell>
          <cell r="DZ144">
            <v>0</v>
          </cell>
          <cell r="EA144">
            <v>0</v>
          </cell>
          <cell r="EB144">
            <v>0</v>
          </cell>
          <cell r="EC144">
            <v>0</v>
          </cell>
          <cell r="ED144">
            <v>0</v>
          </cell>
          <cell r="EE144">
            <v>0</v>
          </cell>
          <cell r="EF144">
            <v>0</v>
          </cell>
          <cell r="EG144">
            <v>0</v>
          </cell>
          <cell r="EH144">
            <v>0</v>
          </cell>
          <cell r="EI144">
            <v>0</v>
          </cell>
          <cell r="EJ144">
            <v>0</v>
          </cell>
          <cell r="EK144">
            <v>0</v>
          </cell>
          <cell r="EL144">
            <v>0</v>
          </cell>
          <cell r="EM144">
            <v>0</v>
          </cell>
          <cell r="EN144">
            <v>0</v>
          </cell>
          <cell r="EO144">
            <v>0</v>
          </cell>
          <cell r="EP144">
            <v>0</v>
          </cell>
          <cell r="EQ144">
            <v>0</v>
          </cell>
          <cell r="ER144">
            <v>0</v>
          </cell>
          <cell r="ES144">
            <v>0</v>
          </cell>
          <cell r="ET144">
            <v>0</v>
          </cell>
          <cell r="EU144">
            <v>0</v>
          </cell>
          <cell r="EV144">
            <v>0</v>
          </cell>
          <cell r="EW144">
            <v>0</v>
          </cell>
          <cell r="EX144">
            <v>0</v>
          </cell>
          <cell r="EY144">
            <v>0</v>
          </cell>
          <cell r="EZ144">
            <v>0</v>
          </cell>
          <cell r="FA144">
            <v>0</v>
          </cell>
          <cell r="FB144">
            <v>0</v>
          </cell>
          <cell r="FC144">
            <v>0</v>
          </cell>
          <cell r="FD144">
            <v>0</v>
          </cell>
          <cell r="FE144">
            <v>0</v>
          </cell>
          <cell r="FF144">
            <v>0</v>
          </cell>
          <cell r="FG144">
            <v>0</v>
          </cell>
          <cell r="FH144">
            <v>0</v>
          </cell>
          <cell r="FI144">
            <v>0</v>
          </cell>
          <cell r="FJ144">
            <v>0</v>
          </cell>
          <cell r="FK144">
            <v>0</v>
          </cell>
          <cell r="FL144">
            <v>0</v>
          </cell>
          <cell r="FM144">
            <v>0</v>
          </cell>
          <cell r="FN144">
            <v>0</v>
          </cell>
          <cell r="FO144">
            <v>0</v>
          </cell>
          <cell r="FP144">
            <v>0</v>
          </cell>
          <cell r="FQ144">
            <v>0</v>
          </cell>
          <cell r="FR144">
            <v>0</v>
          </cell>
          <cell r="FS144">
            <v>0</v>
          </cell>
          <cell r="FT144">
            <v>0</v>
          </cell>
          <cell r="FU144">
            <v>0</v>
          </cell>
          <cell r="FV144">
            <v>0</v>
          </cell>
          <cell r="FW144">
            <v>0</v>
          </cell>
          <cell r="FX144">
            <v>0</v>
          </cell>
          <cell r="FY144">
            <v>0</v>
          </cell>
          <cell r="FZ144">
            <v>0</v>
          </cell>
          <cell r="GA144">
            <v>0</v>
          </cell>
          <cell r="GB144">
            <v>0</v>
          </cell>
          <cell r="GC144">
            <v>0</v>
          </cell>
          <cell r="GD144">
            <v>0</v>
          </cell>
          <cell r="GE144">
            <v>0</v>
          </cell>
          <cell r="GF144">
            <v>0</v>
          </cell>
          <cell r="GG144">
            <v>0</v>
          </cell>
          <cell r="GH144">
            <v>0</v>
          </cell>
          <cell r="GI144">
            <v>0</v>
          </cell>
          <cell r="GJ144">
            <v>0</v>
          </cell>
          <cell r="GK144">
            <v>0</v>
          </cell>
          <cell r="GL144">
            <v>0</v>
          </cell>
          <cell r="GM144">
            <v>0</v>
          </cell>
          <cell r="GN144">
            <v>0</v>
          </cell>
          <cell r="GO144">
            <v>0</v>
          </cell>
          <cell r="GP144">
            <v>0</v>
          </cell>
          <cell r="GQ144">
            <v>0</v>
          </cell>
          <cell r="GR144">
            <v>0</v>
          </cell>
          <cell r="GS144">
            <v>0</v>
          </cell>
          <cell r="GT144">
            <v>0</v>
          </cell>
          <cell r="GU144">
            <v>0</v>
          </cell>
          <cell r="GV144">
            <v>0</v>
          </cell>
          <cell r="GW144">
            <v>0</v>
          </cell>
          <cell r="GX144">
            <v>0</v>
          </cell>
          <cell r="GY144">
            <v>0</v>
          </cell>
          <cell r="GZ144">
            <v>0</v>
          </cell>
          <cell r="HA144">
            <v>0</v>
          </cell>
          <cell r="HB144">
            <v>0</v>
          </cell>
          <cell r="HC144">
            <v>0</v>
          </cell>
          <cell r="HD144">
            <v>0</v>
          </cell>
          <cell r="HE144">
            <v>251497967.12378863</v>
          </cell>
        </row>
        <row r="145">
          <cell r="D145">
            <v>1</v>
          </cell>
          <cell r="E145" t="str">
            <v>무 담 보</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0</v>
          </cell>
          <cell r="CW145">
            <v>0</v>
          </cell>
          <cell r="CX145">
            <v>0</v>
          </cell>
          <cell r="CY145">
            <v>0</v>
          </cell>
          <cell r="CZ145">
            <v>0</v>
          </cell>
          <cell r="DA145">
            <v>0</v>
          </cell>
          <cell r="DB145">
            <v>0</v>
          </cell>
          <cell r="DC145">
            <v>0</v>
          </cell>
          <cell r="DD145">
            <v>0</v>
          </cell>
          <cell r="DE145">
            <v>0</v>
          </cell>
          <cell r="DF145">
            <v>0</v>
          </cell>
          <cell r="DG145">
            <v>0</v>
          </cell>
          <cell r="DH145">
            <v>0</v>
          </cell>
          <cell r="DI145">
            <v>0</v>
          </cell>
          <cell r="DJ145">
            <v>0</v>
          </cell>
          <cell r="DK145">
            <v>0</v>
          </cell>
          <cell r="DL145">
            <v>0</v>
          </cell>
          <cell r="DM145">
            <v>0</v>
          </cell>
          <cell r="DN145">
            <v>0</v>
          </cell>
          <cell r="DO145">
            <v>0</v>
          </cell>
          <cell r="DP145">
            <v>0</v>
          </cell>
          <cell r="DQ145">
            <v>0</v>
          </cell>
          <cell r="DR145">
            <v>0</v>
          </cell>
          <cell r="DS145">
            <v>0</v>
          </cell>
          <cell r="DT145">
            <v>0</v>
          </cell>
          <cell r="DU145">
            <v>0</v>
          </cell>
          <cell r="DV145">
            <v>0</v>
          </cell>
          <cell r="DW145">
            <v>0</v>
          </cell>
          <cell r="DX145">
            <v>0</v>
          </cell>
          <cell r="DY145">
            <v>0</v>
          </cell>
          <cell r="DZ145">
            <v>0</v>
          </cell>
          <cell r="EA145">
            <v>0</v>
          </cell>
          <cell r="EB145">
            <v>0</v>
          </cell>
          <cell r="EC145">
            <v>0</v>
          </cell>
          <cell r="ED145">
            <v>0</v>
          </cell>
          <cell r="EE145">
            <v>0</v>
          </cell>
          <cell r="EF145">
            <v>0</v>
          </cell>
          <cell r="EG145">
            <v>0</v>
          </cell>
          <cell r="EH145">
            <v>0</v>
          </cell>
          <cell r="EI145">
            <v>0</v>
          </cell>
          <cell r="EJ145">
            <v>0</v>
          </cell>
          <cell r="EK145">
            <v>0</v>
          </cell>
          <cell r="EL145">
            <v>0</v>
          </cell>
          <cell r="EM145">
            <v>0</v>
          </cell>
          <cell r="EN145">
            <v>0</v>
          </cell>
          <cell r="EO145">
            <v>0</v>
          </cell>
          <cell r="EP145">
            <v>0</v>
          </cell>
          <cell r="EQ145">
            <v>0</v>
          </cell>
          <cell r="ER145">
            <v>0</v>
          </cell>
          <cell r="ES145">
            <v>0</v>
          </cell>
          <cell r="ET145">
            <v>0</v>
          </cell>
          <cell r="EU145">
            <v>0</v>
          </cell>
          <cell r="EV145">
            <v>0</v>
          </cell>
          <cell r="EW145">
            <v>0</v>
          </cell>
          <cell r="EX145">
            <v>0</v>
          </cell>
          <cell r="EY145">
            <v>0</v>
          </cell>
          <cell r="EZ145">
            <v>0</v>
          </cell>
          <cell r="FA145">
            <v>0</v>
          </cell>
          <cell r="FB145">
            <v>0</v>
          </cell>
          <cell r="FC145">
            <v>0</v>
          </cell>
          <cell r="FD145">
            <v>0</v>
          </cell>
          <cell r="FE145">
            <v>0</v>
          </cell>
          <cell r="FF145">
            <v>0</v>
          </cell>
          <cell r="FG145">
            <v>0</v>
          </cell>
          <cell r="FH145">
            <v>0</v>
          </cell>
          <cell r="FI145">
            <v>0</v>
          </cell>
          <cell r="FJ145">
            <v>0</v>
          </cell>
          <cell r="FK145">
            <v>0</v>
          </cell>
          <cell r="FL145">
            <v>0</v>
          </cell>
          <cell r="FM145">
            <v>0</v>
          </cell>
          <cell r="FN145">
            <v>0</v>
          </cell>
          <cell r="FO145">
            <v>0</v>
          </cell>
          <cell r="FP145">
            <v>0</v>
          </cell>
          <cell r="FQ145">
            <v>0</v>
          </cell>
          <cell r="FR145">
            <v>0</v>
          </cell>
          <cell r="FS145">
            <v>0</v>
          </cell>
          <cell r="FT145">
            <v>0</v>
          </cell>
          <cell r="FU145">
            <v>0</v>
          </cell>
          <cell r="FV145">
            <v>0</v>
          </cell>
          <cell r="FW145">
            <v>0</v>
          </cell>
          <cell r="FX145">
            <v>0</v>
          </cell>
          <cell r="FY145">
            <v>0</v>
          </cell>
          <cell r="FZ145">
            <v>0</v>
          </cell>
          <cell r="GA145">
            <v>0</v>
          </cell>
          <cell r="GB145">
            <v>0</v>
          </cell>
          <cell r="GC145">
            <v>0</v>
          </cell>
          <cell r="GD145">
            <v>0</v>
          </cell>
          <cell r="GE145">
            <v>0</v>
          </cell>
          <cell r="GF145">
            <v>0</v>
          </cell>
          <cell r="GG145">
            <v>0</v>
          </cell>
          <cell r="GH145">
            <v>0</v>
          </cell>
          <cell r="GI145">
            <v>0</v>
          </cell>
          <cell r="GJ145">
            <v>0</v>
          </cell>
          <cell r="GK145">
            <v>0</v>
          </cell>
          <cell r="GL145">
            <v>0</v>
          </cell>
          <cell r="GM145">
            <v>0</v>
          </cell>
          <cell r="GN145">
            <v>0</v>
          </cell>
          <cell r="GO145">
            <v>0</v>
          </cell>
          <cell r="GP145">
            <v>0</v>
          </cell>
          <cell r="GQ145">
            <v>0</v>
          </cell>
          <cell r="GR145">
            <v>0</v>
          </cell>
          <cell r="GS145">
            <v>0</v>
          </cell>
          <cell r="GT145">
            <v>0</v>
          </cell>
          <cell r="GU145">
            <v>0</v>
          </cell>
          <cell r="GV145">
            <v>0</v>
          </cell>
          <cell r="GW145">
            <v>0</v>
          </cell>
          <cell r="GX145">
            <v>0</v>
          </cell>
          <cell r="GY145">
            <v>0</v>
          </cell>
          <cell r="GZ145">
            <v>0</v>
          </cell>
          <cell r="HA145">
            <v>0</v>
          </cell>
          <cell r="HB145">
            <v>0</v>
          </cell>
          <cell r="HC145">
            <v>0</v>
          </cell>
          <cell r="HD145">
            <v>0</v>
          </cell>
          <cell r="HE145">
            <v>0</v>
          </cell>
        </row>
        <row r="146">
          <cell r="E146" t="str">
            <v>Total</v>
          </cell>
          <cell r="F146">
            <v>0</v>
          </cell>
          <cell r="G146">
            <v>0</v>
          </cell>
          <cell r="H146">
            <v>27988994.551956162</v>
          </cell>
          <cell r="I146">
            <v>0</v>
          </cell>
          <cell r="J146">
            <v>0</v>
          </cell>
          <cell r="K146">
            <v>4876667.0886575319</v>
          </cell>
          <cell r="L146">
            <v>0</v>
          </cell>
          <cell r="M146">
            <v>0</v>
          </cell>
          <cell r="N146">
            <v>27311679.678531505</v>
          </cell>
          <cell r="O146">
            <v>0</v>
          </cell>
          <cell r="P146">
            <v>0</v>
          </cell>
          <cell r="Q146">
            <v>4361907.7848547921</v>
          </cell>
          <cell r="R146">
            <v>0</v>
          </cell>
          <cell r="S146">
            <v>0</v>
          </cell>
          <cell r="T146">
            <v>26742735.184854791</v>
          </cell>
          <cell r="U146">
            <v>0</v>
          </cell>
          <cell r="V146">
            <v>0</v>
          </cell>
          <cell r="W146">
            <v>3657500.3164931494</v>
          </cell>
          <cell r="X146">
            <v>0</v>
          </cell>
          <cell r="Y146">
            <v>0</v>
          </cell>
          <cell r="Z146">
            <v>26078966.608898625</v>
          </cell>
          <cell r="AA146">
            <v>0</v>
          </cell>
          <cell r="AB146">
            <v>0</v>
          </cell>
          <cell r="AC146">
            <v>3115648.4177534226</v>
          </cell>
          <cell r="AD146">
            <v>0</v>
          </cell>
          <cell r="AE146">
            <v>0</v>
          </cell>
          <cell r="AF146">
            <v>25496475.817753423</v>
          </cell>
          <cell r="AG146">
            <v>0</v>
          </cell>
          <cell r="AH146">
            <v>0</v>
          </cell>
          <cell r="AI146">
            <v>2458690.0022732229</v>
          </cell>
          <cell r="AJ146">
            <v>0</v>
          </cell>
          <cell r="AK146">
            <v>0</v>
          </cell>
          <cell r="AL146">
            <v>24839517.402273223</v>
          </cell>
          <cell r="AM146">
            <v>0</v>
          </cell>
          <cell r="AN146">
            <v>0</v>
          </cell>
          <cell r="AO146">
            <v>1864281.4302950813</v>
          </cell>
          <cell r="AP146">
            <v>0</v>
          </cell>
          <cell r="AQ146">
            <v>0</v>
          </cell>
          <cell r="AR146">
            <v>24245108.830295078</v>
          </cell>
          <cell r="AS146">
            <v>0</v>
          </cell>
          <cell r="AT146">
            <v>0</v>
          </cell>
          <cell r="AU146">
            <v>1219166.772164383</v>
          </cell>
          <cell r="AV146">
            <v>0</v>
          </cell>
          <cell r="AW146">
            <v>0</v>
          </cell>
          <cell r="AX146">
            <v>23613540.469632875</v>
          </cell>
          <cell r="AY146">
            <v>0</v>
          </cell>
          <cell r="AZ146">
            <v>0</v>
          </cell>
          <cell r="BA146">
            <v>623129.68355068448</v>
          </cell>
          <cell r="BB146">
            <v>0</v>
          </cell>
          <cell r="BC146">
            <v>0</v>
          </cell>
          <cell r="BD146">
            <v>23003957.083550684</v>
          </cell>
          <cell r="BE146">
            <v>0</v>
          </cell>
          <cell r="BF146">
            <v>0</v>
          </cell>
          <cell r="BG146">
            <v>0</v>
          </cell>
          <cell r="BH146">
            <v>0</v>
          </cell>
          <cell r="BI146">
            <v>0</v>
          </cell>
          <cell r="BJ146">
            <v>0</v>
          </cell>
          <cell r="BK146">
            <v>0</v>
          </cell>
          <cell r="BL146">
            <v>0</v>
          </cell>
          <cell r="BM146">
            <v>0</v>
          </cell>
          <cell r="BN146">
            <v>0</v>
          </cell>
          <cell r="BO146">
            <v>0</v>
          </cell>
          <cell r="BP146">
            <v>0</v>
          </cell>
          <cell r="BQ146">
            <v>0</v>
          </cell>
          <cell r="BR146">
            <v>-9.4305979062433118E-11</v>
          </cell>
          <cell r="BS146">
            <v>-1.0441019110483667E-10</v>
          </cell>
          <cell r="BT146">
            <v>-1.0104212042403548E-10</v>
          </cell>
          <cell r="BU146">
            <v>-1.0441019110483667E-10</v>
          </cell>
          <cell r="BV146">
            <v>-1.0104212042403548E-10</v>
          </cell>
          <cell r="BW146">
            <v>-1.0441019110483667E-10</v>
          </cell>
          <cell r="BX146">
            <v>-1.0441019110483667E-10</v>
          </cell>
          <cell r="BY146">
            <v>-1.0104212042403548E-10</v>
          </cell>
          <cell r="BZ146">
            <v>-1.0441019110483667E-10</v>
          </cell>
          <cell r="CA146">
            <v>-1.0104212042403548E-10</v>
          </cell>
          <cell r="CB146">
            <v>-1.0441019110483667E-10</v>
          </cell>
          <cell r="CC146">
            <v>-1.0412491735864858E-10</v>
          </cell>
          <cell r="CD146">
            <v>-9.7407180754864803E-11</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v>0</v>
          </cell>
          <cell r="DU146">
            <v>0</v>
          </cell>
          <cell r="DV146">
            <v>0</v>
          </cell>
          <cell r="DW146">
            <v>0</v>
          </cell>
          <cell r="DX146">
            <v>0</v>
          </cell>
          <cell r="DY146">
            <v>0</v>
          </cell>
          <cell r="DZ146">
            <v>0</v>
          </cell>
          <cell r="EA146">
            <v>0</v>
          </cell>
          <cell r="EB146">
            <v>0</v>
          </cell>
          <cell r="EC146">
            <v>0</v>
          </cell>
          <cell r="ED146">
            <v>0</v>
          </cell>
          <cell r="EE146">
            <v>0</v>
          </cell>
          <cell r="EF146">
            <v>0</v>
          </cell>
          <cell r="EG146">
            <v>0</v>
          </cell>
          <cell r="EH146">
            <v>0</v>
          </cell>
          <cell r="EI146">
            <v>0</v>
          </cell>
          <cell r="EJ146">
            <v>0</v>
          </cell>
          <cell r="EK146">
            <v>0</v>
          </cell>
          <cell r="EL146">
            <v>0</v>
          </cell>
          <cell r="EM146">
            <v>0</v>
          </cell>
          <cell r="EN146">
            <v>0</v>
          </cell>
          <cell r="EO146">
            <v>0</v>
          </cell>
          <cell r="EP146">
            <v>0</v>
          </cell>
          <cell r="EQ146">
            <v>0</v>
          </cell>
          <cell r="ER146">
            <v>0</v>
          </cell>
          <cell r="ES146">
            <v>0</v>
          </cell>
          <cell r="ET146">
            <v>0</v>
          </cell>
          <cell r="EU146">
            <v>0</v>
          </cell>
          <cell r="EV146">
            <v>0</v>
          </cell>
          <cell r="EW146">
            <v>0</v>
          </cell>
          <cell r="EX146">
            <v>0</v>
          </cell>
          <cell r="EY146">
            <v>0</v>
          </cell>
          <cell r="EZ146">
            <v>0</v>
          </cell>
          <cell r="FA146">
            <v>0</v>
          </cell>
          <cell r="FB146">
            <v>0</v>
          </cell>
          <cell r="FC146">
            <v>0</v>
          </cell>
          <cell r="FD146">
            <v>0</v>
          </cell>
          <cell r="FE146">
            <v>0</v>
          </cell>
          <cell r="FF146">
            <v>0</v>
          </cell>
          <cell r="FG146">
            <v>0</v>
          </cell>
          <cell r="FH146">
            <v>0</v>
          </cell>
          <cell r="FI146">
            <v>0</v>
          </cell>
          <cell r="FJ146">
            <v>0</v>
          </cell>
          <cell r="FK146">
            <v>0</v>
          </cell>
          <cell r="FL146">
            <v>0</v>
          </cell>
          <cell r="FM146">
            <v>0</v>
          </cell>
          <cell r="FN146">
            <v>0</v>
          </cell>
          <cell r="FO146">
            <v>0</v>
          </cell>
          <cell r="FP146">
            <v>0</v>
          </cell>
          <cell r="FQ146">
            <v>0</v>
          </cell>
          <cell r="FR146">
            <v>0</v>
          </cell>
          <cell r="FS146">
            <v>0</v>
          </cell>
          <cell r="FT146">
            <v>0</v>
          </cell>
          <cell r="FU146">
            <v>0</v>
          </cell>
          <cell r="FV146">
            <v>0</v>
          </cell>
          <cell r="FW146">
            <v>0</v>
          </cell>
          <cell r="FX146">
            <v>0</v>
          </cell>
          <cell r="FY146">
            <v>0</v>
          </cell>
          <cell r="FZ146">
            <v>0</v>
          </cell>
          <cell r="GA146">
            <v>0</v>
          </cell>
          <cell r="GB146">
            <v>0</v>
          </cell>
          <cell r="GC146">
            <v>0</v>
          </cell>
          <cell r="GD146">
            <v>0</v>
          </cell>
          <cell r="GE146">
            <v>0</v>
          </cell>
          <cell r="GF146">
            <v>0</v>
          </cell>
          <cell r="GG146">
            <v>0</v>
          </cell>
          <cell r="GH146">
            <v>0</v>
          </cell>
          <cell r="GI146">
            <v>0</v>
          </cell>
          <cell r="GJ146">
            <v>0</v>
          </cell>
          <cell r="GK146">
            <v>0</v>
          </cell>
          <cell r="GL146">
            <v>0</v>
          </cell>
          <cell r="GM146">
            <v>0</v>
          </cell>
          <cell r="GN146">
            <v>0</v>
          </cell>
          <cell r="GO146">
            <v>0</v>
          </cell>
          <cell r="GP146">
            <v>0</v>
          </cell>
          <cell r="GQ146">
            <v>0</v>
          </cell>
          <cell r="GR146">
            <v>0</v>
          </cell>
          <cell r="GS146">
            <v>0</v>
          </cell>
          <cell r="GT146">
            <v>0</v>
          </cell>
          <cell r="GU146">
            <v>0</v>
          </cell>
          <cell r="GV146">
            <v>0</v>
          </cell>
          <cell r="GW146">
            <v>0</v>
          </cell>
          <cell r="GX146">
            <v>0</v>
          </cell>
          <cell r="GY146">
            <v>0</v>
          </cell>
          <cell r="GZ146">
            <v>0</v>
          </cell>
          <cell r="HA146">
            <v>0</v>
          </cell>
          <cell r="HB146">
            <v>0</v>
          </cell>
          <cell r="HC146">
            <v>0</v>
          </cell>
          <cell r="HD146">
            <v>0</v>
          </cell>
          <cell r="HE146">
            <v>251497967.12378863</v>
          </cell>
        </row>
        <row r="147">
          <cell r="A147" t="str">
            <v>HBS-35</v>
          </cell>
          <cell r="E147" t="str">
            <v>현     가</v>
          </cell>
          <cell r="F147">
            <v>0</v>
          </cell>
          <cell r="G147">
            <v>0</v>
          </cell>
          <cell r="H147">
            <v>27737472.189165484</v>
          </cell>
          <cell r="I147">
            <v>0</v>
          </cell>
          <cell r="J147">
            <v>0</v>
          </cell>
          <cell r="K147">
            <v>4768902.7724827183</v>
          </cell>
          <cell r="L147">
            <v>0</v>
          </cell>
          <cell r="M147">
            <v>0</v>
          </cell>
          <cell r="N147">
            <v>26350889.348355521</v>
          </cell>
          <cell r="O147">
            <v>0</v>
          </cell>
          <cell r="P147">
            <v>0</v>
          </cell>
          <cell r="Q147">
            <v>4151552.9915012089</v>
          </cell>
          <cell r="R147">
            <v>0</v>
          </cell>
          <cell r="S147">
            <v>0</v>
          </cell>
          <cell r="T147">
            <v>24929598.951304853</v>
          </cell>
          <cell r="U147">
            <v>0</v>
          </cell>
          <cell r="V147">
            <v>0</v>
          </cell>
          <cell r="W147">
            <v>3359326.213458431</v>
          </cell>
          <cell r="X147">
            <v>0</v>
          </cell>
          <cell r="Y147">
            <v>0</v>
          </cell>
          <cell r="Z147">
            <v>23596356.504394587</v>
          </cell>
          <cell r="AA147">
            <v>0</v>
          </cell>
          <cell r="AB147">
            <v>0</v>
          </cell>
          <cell r="AC147">
            <v>2776631.2380905687</v>
          </cell>
          <cell r="AD147">
            <v>0</v>
          </cell>
          <cell r="AE147">
            <v>0</v>
          </cell>
          <cell r="AF147">
            <v>22216727.915759671</v>
          </cell>
          <cell r="AG147">
            <v>0</v>
          </cell>
          <cell r="AH147">
            <v>0</v>
          </cell>
          <cell r="AI147">
            <v>2108744.9880992626</v>
          </cell>
          <cell r="AJ147">
            <v>0</v>
          </cell>
          <cell r="AK147">
            <v>0</v>
          </cell>
          <cell r="AL147">
            <v>20969293.053633675</v>
          </cell>
          <cell r="AM147">
            <v>0</v>
          </cell>
          <cell r="AN147">
            <v>0</v>
          </cell>
          <cell r="AO147">
            <v>1548805.405185726</v>
          </cell>
          <cell r="AP147">
            <v>0</v>
          </cell>
          <cell r="AQ147">
            <v>0</v>
          </cell>
          <cell r="AR147">
            <v>19570875.449910764</v>
          </cell>
          <cell r="AS147">
            <v>0</v>
          </cell>
          <cell r="AT147">
            <v>0</v>
          </cell>
          <cell r="AU147">
            <v>967863.0860210784</v>
          </cell>
          <cell r="AV147">
            <v>0</v>
          </cell>
          <cell r="AW147">
            <v>0</v>
          </cell>
          <cell r="AX147">
            <v>18433008.242085405</v>
          </cell>
          <cell r="AY147">
            <v>0</v>
          </cell>
          <cell r="AZ147">
            <v>0</v>
          </cell>
          <cell r="BA147">
            <v>478208.68429413327</v>
          </cell>
          <cell r="BB147">
            <v>0</v>
          </cell>
          <cell r="BC147">
            <v>0</v>
          </cell>
          <cell r="BD147">
            <v>17355833.548309002</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-6.438853567716254E-11</v>
          </cell>
          <cell r="BS147">
            <v>-7.0855261063520064E-11</v>
          </cell>
          <cell r="BT147">
            <v>-6.816739843223791E-11</v>
          </cell>
          <cell r="BU147">
            <v>-7.0012736124498826E-11</v>
          </cell>
          <cell r="BV147">
            <v>-6.735683429987419E-11</v>
          </cell>
          <cell r="BW147">
            <v>-6.9180229471518989E-11</v>
          </cell>
          <cell r="BX147">
            <v>-6.87609534064847E-11</v>
          </cell>
          <cell r="BY147">
            <v>-6.6152537399281849E-11</v>
          </cell>
          <cell r="BZ147">
            <v>-6.794333143732839E-11</v>
          </cell>
          <cell r="CA147">
            <v>-6.5365931553761567E-11</v>
          </cell>
          <cell r="CB147">
            <v>-6.7135431638260295E-11</v>
          </cell>
          <cell r="CC147">
            <v>-6.6546229906815377E-11</v>
          </cell>
          <cell r="CD147">
            <v>-6.1899904826758114E-11</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v>0</v>
          </cell>
          <cell r="DU147">
            <v>0</v>
          </cell>
          <cell r="DV147">
            <v>0</v>
          </cell>
          <cell r="DW147">
            <v>0</v>
          </cell>
          <cell r="DX147">
            <v>0</v>
          </cell>
          <cell r="DY147">
            <v>0</v>
          </cell>
          <cell r="DZ147">
            <v>0</v>
          </cell>
          <cell r="EA147">
            <v>0</v>
          </cell>
          <cell r="EB147">
            <v>0</v>
          </cell>
          <cell r="EC147">
            <v>0</v>
          </cell>
          <cell r="ED147">
            <v>0</v>
          </cell>
          <cell r="EE147">
            <v>0</v>
          </cell>
          <cell r="EF147">
            <v>0</v>
          </cell>
          <cell r="EG147">
            <v>0</v>
          </cell>
          <cell r="EH147">
            <v>0</v>
          </cell>
          <cell r="EI147">
            <v>0</v>
          </cell>
          <cell r="EJ147">
            <v>0</v>
          </cell>
          <cell r="EK147">
            <v>0</v>
          </cell>
          <cell r="EL147">
            <v>0</v>
          </cell>
          <cell r="EM147">
            <v>0</v>
          </cell>
          <cell r="EN147">
            <v>0</v>
          </cell>
          <cell r="EO147">
            <v>0</v>
          </cell>
          <cell r="EP147">
            <v>0</v>
          </cell>
          <cell r="EQ147">
            <v>0</v>
          </cell>
          <cell r="ER147">
            <v>0</v>
          </cell>
          <cell r="ES147">
            <v>0</v>
          </cell>
          <cell r="ET147">
            <v>0</v>
          </cell>
          <cell r="EU147">
            <v>0</v>
          </cell>
          <cell r="EV147">
            <v>0</v>
          </cell>
          <cell r="EW147">
            <v>0</v>
          </cell>
          <cell r="EX147">
            <v>0</v>
          </cell>
          <cell r="EY147">
            <v>0</v>
          </cell>
          <cell r="EZ147">
            <v>0</v>
          </cell>
          <cell r="FA147">
            <v>0</v>
          </cell>
          <cell r="FB147">
            <v>0</v>
          </cell>
          <cell r="FC147">
            <v>0</v>
          </cell>
          <cell r="FD147">
            <v>0</v>
          </cell>
          <cell r="FE147">
            <v>0</v>
          </cell>
          <cell r="FF147">
            <v>0</v>
          </cell>
          <cell r="FG147">
            <v>0</v>
          </cell>
          <cell r="FH147">
            <v>0</v>
          </cell>
          <cell r="FI147">
            <v>0</v>
          </cell>
          <cell r="FJ147">
            <v>0</v>
          </cell>
          <cell r="FK147">
            <v>0</v>
          </cell>
          <cell r="FL147">
            <v>0</v>
          </cell>
          <cell r="FM147">
            <v>0</v>
          </cell>
          <cell r="FN147">
            <v>0</v>
          </cell>
          <cell r="FO147">
            <v>0</v>
          </cell>
          <cell r="FP147">
            <v>0</v>
          </cell>
          <cell r="FQ147">
            <v>0</v>
          </cell>
          <cell r="FR147">
            <v>0</v>
          </cell>
          <cell r="FS147">
            <v>0</v>
          </cell>
          <cell r="FT147">
            <v>0</v>
          </cell>
          <cell r="FU147">
            <v>0</v>
          </cell>
          <cell r="FV147">
            <v>0</v>
          </cell>
          <cell r="FW147">
            <v>0</v>
          </cell>
          <cell r="FX147">
            <v>0</v>
          </cell>
          <cell r="FY147">
            <v>0</v>
          </cell>
          <cell r="FZ147">
            <v>0</v>
          </cell>
          <cell r="GA147">
            <v>0</v>
          </cell>
          <cell r="GB147">
            <v>0</v>
          </cell>
          <cell r="GC147">
            <v>0</v>
          </cell>
          <cell r="GD147">
            <v>0</v>
          </cell>
          <cell r="GE147">
            <v>0</v>
          </cell>
          <cell r="GF147">
            <v>0</v>
          </cell>
          <cell r="GG147">
            <v>0</v>
          </cell>
          <cell r="GH147">
            <v>0</v>
          </cell>
          <cell r="GI147">
            <v>0</v>
          </cell>
          <cell r="GJ147">
            <v>0</v>
          </cell>
          <cell r="GK147">
            <v>0</v>
          </cell>
          <cell r="GL147">
            <v>0</v>
          </cell>
          <cell r="GM147">
            <v>0</v>
          </cell>
          <cell r="GN147">
            <v>0</v>
          </cell>
          <cell r="GO147">
            <v>0</v>
          </cell>
          <cell r="GP147">
            <v>0</v>
          </cell>
          <cell r="GQ147">
            <v>0</v>
          </cell>
          <cell r="GR147">
            <v>0</v>
          </cell>
          <cell r="GS147">
            <v>0</v>
          </cell>
          <cell r="GT147">
            <v>0</v>
          </cell>
          <cell r="GU147">
            <v>0</v>
          </cell>
          <cell r="GV147">
            <v>0</v>
          </cell>
          <cell r="GW147">
            <v>0</v>
          </cell>
          <cell r="GX147">
            <v>0</v>
          </cell>
          <cell r="GY147">
            <v>0</v>
          </cell>
          <cell r="GZ147">
            <v>0</v>
          </cell>
          <cell r="HA147">
            <v>0</v>
          </cell>
          <cell r="HB147">
            <v>0</v>
          </cell>
          <cell r="HC147">
            <v>0</v>
          </cell>
          <cell r="HD147">
            <v>0</v>
          </cell>
          <cell r="HE147">
            <v>221320090.58205208</v>
          </cell>
        </row>
        <row r="148">
          <cell r="B148" t="str">
            <v>HBS-36</v>
          </cell>
          <cell r="C148" t="str">
            <v>(주)국제종합토건</v>
          </cell>
          <cell r="D148">
            <v>0.63278908549104074</v>
          </cell>
          <cell r="E148" t="str">
            <v>담     보</v>
          </cell>
          <cell r="F148">
            <v>0</v>
          </cell>
          <cell r="G148">
            <v>0</v>
          </cell>
          <cell r="H148">
            <v>53444409.383476041</v>
          </cell>
          <cell r="I148">
            <v>0</v>
          </cell>
          <cell r="J148">
            <v>1069759573.6764307</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0</v>
          </cell>
          <cell r="DE148">
            <v>0</v>
          </cell>
          <cell r="DF148">
            <v>0</v>
          </cell>
          <cell r="DG148">
            <v>0</v>
          </cell>
          <cell r="DH148">
            <v>0</v>
          </cell>
          <cell r="DI148">
            <v>0</v>
          </cell>
          <cell r="DJ148">
            <v>0</v>
          </cell>
          <cell r="DK148">
            <v>0</v>
          </cell>
          <cell r="DL148">
            <v>0</v>
          </cell>
          <cell r="DM148">
            <v>0</v>
          </cell>
          <cell r="DN148">
            <v>0</v>
          </cell>
          <cell r="DO148">
            <v>0</v>
          </cell>
          <cell r="DP148">
            <v>0</v>
          </cell>
          <cell r="DQ148">
            <v>0</v>
          </cell>
          <cell r="DR148">
            <v>0</v>
          </cell>
          <cell r="DS148">
            <v>0</v>
          </cell>
          <cell r="DT148">
            <v>0</v>
          </cell>
          <cell r="DU148">
            <v>0</v>
          </cell>
          <cell r="DV148">
            <v>0</v>
          </cell>
          <cell r="DW148">
            <v>0</v>
          </cell>
          <cell r="DX148">
            <v>0</v>
          </cell>
          <cell r="DY148">
            <v>0</v>
          </cell>
          <cell r="DZ148">
            <v>0</v>
          </cell>
          <cell r="EA148">
            <v>0</v>
          </cell>
          <cell r="EB148">
            <v>0</v>
          </cell>
          <cell r="EC148">
            <v>0</v>
          </cell>
          <cell r="ED148">
            <v>0</v>
          </cell>
          <cell r="EE148">
            <v>0</v>
          </cell>
          <cell r="EF148">
            <v>0</v>
          </cell>
          <cell r="EG148">
            <v>0</v>
          </cell>
          <cell r="EH148">
            <v>0</v>
          </cell>
          <cell r="EI148">
            <v>0</v>
          </cell>
          <cell r="EJ148">
            <v>0</v>
          </cell>
          <cell r="EK148">
            <v>0</v>
          </cell>
          <cell r="EL148">
            <v>0</v>
          </cell>
          <cell r="EM148">
            <v>0</v>
          </cell>
          <cell r="EN148">
            <v>0</v>
          </cell>
          <cell r="EO148">
            <v>0</v>
          </cell>
          <cell r="EP148">
            <v>0</v>
          </cell>
          <cell r="EQ148">
            <v>0</v>
          </cell>
          <cell r="ER148">
            <v>0</v>
          </cell>
          <cell r="ES148">
            <v>0</v>
          </cell>
          <cell r="ET148">
            <v>0</v>
          </cell>
          <cell r="EU148">
            <v>0</v>
          </cell>
          <cell r="EV148">
            <v>0</v>
          </cell>
          <cell r="EW148">
            <v>0</v>
          </cell>
          <cell r="EX148">
            <v>0</v>
          </cell>
          <cell r="EY148">
            <v>0</v>
          </cell>
          <cell r="EZ148">
            <v>0</v>
          </cell>
          <cell r="FA148">
            <v>0</v>
          </cell>
          <cell r="FB148">
            <v>0</v>
          </cell>
          <cell r="FC148">
            <v>0</v>
          </cell>
          <cell r="FD148">
            <v>0</v>
          </cell>
          <cell r="FE148">
            <v>0</v>
          </cell>
          <cell r="FF148">
            <v>0</v>
          </cell>
          <cell r="FG148">
            <v>0</v>
          </cell>
          <cell r="FH148">
            <v>0</v>
          </cell>
          <cell r="FI148">
            <v>0</v>
          </cell>
          <cell r="FJ148">
            <v>0</v>
          </cell>
          <cell r="FK148">
            <v>0</v>
          </cell>
          <cell r="FL148">
            <v>0</v>
          </cell>
          <cell r="FM148">
            <v>0</v>
          </cell>
          <cell r="FN148">
            <v>0</v>
          </cell>
          <cell r="FO148">
            <v>0</v>
          </cell>
          <cell r="FP148">
            <v>0</v>
          </cell>
          <cell r="FQ148">
            <v>0</v>
          </cell>
          <cell r="FR148">
            <v>0</v>
          </cell>
          <cell r="FS148">
            <v>0</v>
          </cell>
          <cell r="FT148">
            <v>0</v>
          </cell>
          <cell r="FU148">
            <v>0</v>
          </cell>
          <cell r="FV148">
            <v>0</v>
          </cell>
          <cell r="FW148">
            <v>0</v>
          </cell>
          <cell r="FX148">
            <v>0</v>
          </cell>
          <cell r="FY148">
            <v>0</v>
          </cell>
          <cell r="FZ148">
            <v>0</v>
          </cell>
          <cell r="GA148">
            <v>0</v>
          </cell>
          <cell r="GB148">
            <v>0</v>
          </cell>
          <cell r="GC148">
            <v>0</v>
          </cell>
          <cell r="GD148">
            <v>0</v>
          </cell>
          <cell r="GE148">
            <v>0</v>
          </cell>
          <cell r="GF148">
            <v>0</v>
          </cell>
          <cell r="GG148">
            <v>0</v>
          </cell>
          <cell r="GH148">
            <v>0</v>
          </cell>
          <cell r="GI148">
            <v>0</v>
          </cell>
          <cell r="GJ148">
            <v>0</v>
          </cell>
          <cell r="GK148">
            <v>0</v>
          </cell>
          <cell r="GL148">
            <v>0</v>
          </cell>
          <cell r="GM148">
            <v>0</v>
          </cell>
          <cell r="GN148">
            <v>0</v>
          </cell>
          <cell r="GO148">
            <v>0</v>
          </cell>
          <cell r="GP148">
            <v>0</v>
          </cell>
          <cell r="GQ148">
            <v>0</v>
          </cell>
          <cell r="GR148">
            <v>0</v>
          </cell>
          <cell r="GS148">
            <v>0</v>
          </cell>
          <cell r="GT148">
            <v>0</v>
          </cell>
          <cell r="GU148">
            <v>0</v>
          </cell>
          <cell r="GV148">
            <v>0</v>
          </cell>
          <cell r="GW148">
            <v>0</v>
          </cell>
          <cell r="GX148">
            <v>0</v>
          </cell>
          <cell r="GY148">
            <v>0</v>
          </cell>
          <cell r="GZ148">
            <v>0</v>
          </cell>
          <cell r="HA148">
            <v>0</v>
          </cell>
          <cell r="HB148">
            <v>0</v>
          </cell>
          <cell r="HC148">
            <v>0</v>
          </cell>
          <cell r="HD148">
            <v>0</v>
          </cell>
          <cell r="HE148">
            <v>1123203983.0599067</v>
          </cell>
        </row>
        <row r="149">
          <cell r="D149">
            <v>0.63278908549104074</v>
          </cell>
          <cell r="E149" t="str">
            <v>무 담 보</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0</v>
          </cell>
          <cell r="CP149">
            <v>0</v>
          </cell>
          <cell r="CQ149">
            <v>0</v>
          </cell>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0</v>
          </cell>
          <cell r="DU149">
            <v>0</v>
          </cell>
          <cell r="DV149">
            <v>0</v>
          </cell>
          <cell r="DW149">
            <v>0</v>
          </cell>
          <cell r="DX149">
            <v>0</v>
          </cell>
          <cell r="DY149">
            <v>0</v>
          </cell>
          <cell r="DZ149">
            <v>0</v>
          </cell>
          <cell r="EA149">
            <v>0</v>
          </cell>
          <cell r="EB149">
            <v>0</v>
          </cell>
          <cell r="EC149">
            <v>0</v>
          </cell>
          <cell r="ED149">
            <v>0</v>
          </cell>
          <cell r="EE149">
            <v>0</v>
          </cell>
          <cell r="EF149">
            <v>0</v>
          </cell>
          <cell r="EG149">
            <v>0</v>
          </cell>
          <cell r="EH149">
            <v>0</v>
          </cell>
          <cell r="EI149">
            <v>0</v>
          </cell>
          <cell r="EJ149">
            <v>0</v>
          </cell>
          <cell r="EK149">
            <v>0</v>
          </cell>
          <cell r="EL149">
            <v>0</v>
          </cell>
          <cell r="EM149">
            <v>0</v>
          </cell>
          <cell r="EN149">
            <v>0</v>
          </cell>
          <cell r="EO149">
            <v>0</v>
          </cell>
          <cell r="EP149">
            <v>0</v>
          </cell>
          <cell r="EQ149">
            <v>0</v>
          </cell>
          <cell r="ER149">
            <v>0</v>
          </cell>
          <cell r="ES149">
            <v>0</v>
          </cell>
          <cell r="ET149">
            <v>0</v>
          </cell>
          <cell r="EU149">
            <v>0</v>
          </cell>
          <cell r="EV149">
            <v>0</v>
          </cell>
          <cell r="EW149">
            <v>0</v>
          </cell>
          <cell r="EX149">
            <v>0</v>
          </cell>
          <cell r="EY149">
            <v>0</v>
          </cell>
          <cell r="EZ149">
            <v>0</v>
          </cell>
          <cell r="FA149">
            <v>0</v>
          </cell>
          <cell r="FB149">
            <v>0</v>
          </cell>
          <cell r="FC149">
            <v>0</v>
          </cell>
          <cell r="FD149">
            <v>0</v>
          </cell>
          <cell r="FE149">
            <v>0</v>
          </cell>
          <cell r="FF149">
            <v>0</v>
          </cell>
          <cell r="FG149">
            <v>0</v>
          </cell>
          <cell r="FH149">
            <v>0</v>
          </cell>
          <cell r="FI149">
            <v>0</v>
          </cell>
          <cell r="FJ149">
            <v>0</v>
          </cell>
          <cell r="FK149">
            <v>0</v>
          </cell>
          <cell r="FL149">
            <v>0</v>
          </cell>
          <cell r="FM149">
            <v>0</v>
          </cell>
          <cell r="FN149">
            <v>0</v>
          </cell>
          <cell r="FO149">
            <v>0</v>
          </cell>
          <cell r="FP149">
            <v>0</v>
          </cell>
          <cell r="FQ149">
            <v>0</v>
          </cell>
          <cell r="FR149">
            <v>0</v>
          </cell>
          <cell r="FS149">
            <v>0</v>
          </cell>
          <cell r="FT149">
            <v>0</v>
          </cell>
          <cell r="FU149">
            <v>0</v>
          </cell>
          <cell r="FV149">
            <v>0</v>
          </cell>
          <cell r="FW149">
            <v>0</v>
          </cell>
          <cell r="FX149">
            <v>0</v>
          </cell>
          <cell r="FY149">
            <v>0</v>
          </cell>
          <cell r="FZ149">
            <v>0</v>
          </cell>
          <cell r="GA149">
            <v>0</v>
          </cell>
          <cell r="GB149">
            <v>0</v>
          </cell>
          <cell r="GC149">
            <v>0</v>
          </cell>
          <cell r="GD149">
            <v>0</v>
          </cell>
          <cell r="GE149">
            <v>0</v>
          </cell>
          <cell r="GF149">
            <v>0</v>
          </cell>
          <cell r="GG149">
            <v>0</v>
          </cell>
          <cell r="GH149">
            <v>0</v>
          </cell>
          <cell r="GI149">
            <v>0</v>
          </cell>
          <cell r="GJ149">
            <v>0</v>
          </cell>
          <cell r="GK149">
            <v>0</v>
          </cell>
          <cell r="GL149">
            <v>0</v>
          </cell>
          <cell r="GM149">
            <v>0</v>
          </cell>
          <cell r="GN149">
            <v>0</v>
          </cell>
          <cell r="GO149">
            <v>0</v>
          </cell>
          <cell r="GP149">
            <v>0</v>
          </cell>
          <cell r="GQ149">
            <v>0</v>
          </cell>
          <cell r="GR149">
            <v>0</v>
          </cell>
          <cell r="GS149">
            <v>0</v>
          </cell>
          <cell r="GT149">
            <v>0</v>
          </cell>
          <cell r="GU149">
            <v>0</v>
          </cell>
          <cell r="GV149">
            <v>0</v>
          </cell>
          <cell r="GW149">
            <v>0</v>
          </cell>
          <cell r="GX149">
            <v>0</v>
          </cell>
          <cell r="GY149">
            <v>0</v>
          </cell>
          <cell r="GZ149">
            <v>0</v>
          </cell>
          <cell r="HA149">
            <v>0</v>
          </cell>
          <cell r="HB149">
            <v>0</v>
          </cell>
          <cell r="HC149">
            <v>0</v>
          </cell>
          <cell r="HD149">
            <v>0</v>
          </cell>
          <cell r="HE149">
            <v>0</v>
          </cell>
        </row>
        <row r="150">
          <cell r="E150" t="str">
            <v>Total</v>
          </cell>
          <cell r="F150">
            <v>0</v>
          </cell>
          <cell r="G150">
            <v>0</v>
          </cell>
          <cell r="H150">
            <v>53444409.383476041</v>
          </cell>
          <cell r="I150">
            <v>0</v>
          </cell>
          <cell r="J150">
            <v>1069759573.6764307</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v>0</v>
          </cell>
          <cell r="DU150">
            <v>0</v>
          </cell>
          <cell r="DV150">
            <v>0</v>
          </cell>
          <cell r="DW150">
            <v>0</v>
          </cell>
          <cell r="DX150">
            <v>0</v>
          </cell>
          <cell r="DY150">
            <v>0</v>
          </cell>
          <cell r="DZ150">
            <v>0</v>
          </cell>
          <cell r="EA150">
            <v>0</v>
          </cell>
          <cell r="EB150">
            <v>0</v>
          </cell>
          <cell r="EC150">
            <v>0</v>
          </cell>
          <cell r="ED150">
            <v>0</v>
          </cell>
          <cell r="EE150">
            <v>0</v>
          </cell>
          <cell r="EF150">
            <v>0</v>
          </cell>
          <cell r="EG150">
            <v>0</v>
          </cell>
          <cell r="EH150">
            <v>0</v>
          </cell>
          <cell r="EI150">
            <v>0</v>
          </cell>
          <cell r="EJ150">
            <v>0</v>
          </cell>
          <cell r="EK150">
            <v>0</v>
          </cell>
          <cell r="EL150">
            <v>0</v>
          </cell>
          <cell r="EM150">
            <v>0</v>
          </cell>
          <cell r="EN150">
            <v>0</v>
          </cell>
          <cell r="EO150">
            <v>0</v>
          </cell>
          <cell r="EP150">
            <v>0</v>
          </cell>
          <cell r="EQ150">
            <v>0</v>
          </cell>
          <cell r="ER150">
            <v>0</v>
          </cell>
          <cell r="ES150">
            <v>0</v>
          </cell>
          <cell r="ET150">
            <v>0</v>
          </cell>
          <cell r="EU150">
            <v>0</v>
          </cell>
          <cell r="EV150">
            <v>0</v>
          </cell>
          <cell r="EW150">
            <v>0</v>
          </cell>
          <cell r="EX150">
            <v>0</v>
          </cell>
          <cell r="EY150">
            <v>0</v>
          </cell>
          <cell r="EZ150">
            <v>0</v>
          </cell>
          <cell r="FA150">
            <v>0</v>
          </cell>
          <cell r="FB150">
            <v>0</v>
          </cell>
          <cell r="FC150">
            <v>0</v>
          </cell>
          <cell r="FD150">
            <v>0</v>
          </cell>
          <cell r="FE150">
            <v>0</v>
          </cell>
          <cell r="FF150">
            <v>0</v>
          </cell>
          <cell r="FG150">
            <v>0</v>
          </cell>
          <cell r="FH150">
            <v>0</v>
          </cell>
          <cell r="FI150">
            <v>0</v>
          </cell>
          <cell r="FJ150">
            <v>0</v>
          </cell>
          <cell r="FK150">
            <v>0</v>
          </cell>
          <cell r="FL150">
            <v>0</v>
          </cell>
          <cell r="FM150">
            <v>0</v>
          </cell>
          <cell r="FN150">
            <v>0</v>
          </cell>
          <cell r="FO150">
            <v>0</v>
          </cell>
          <cell r="FP150">
            <v>0</v>
          </cell>
          <cell r="FQ150">
            <v>0</v>
          </cell>
          <cell r="FR150">
            <v>0</v>
          </cell>
          <cell r="FS150">
            <v>0</v>
          </cell>
          <cell r="FT150">
            <v>0</v>
          </cell>
          <cell r="FU150">
            <v>0</v>
          </cell>
          <cell r="FV150">
            <v>0</v>
          </cell>
          <cell r="FW150">
            <v>0</v>
          </cell>
          <cell r="FX150">
            <v>0</v>
          </cell>
          <cell r="FY150">
            <v>0</v>
          </cell>
          <cell r="FZ150">
            <v>0</v>
          </cell>
          <cell r="GA150">
            <v>0</v>
          </cell>
          <cell r="GB150">
            <v>0</v>
          </cell>
          <cell r="GC150">
            <v>0</v>
          </cell>
          <cell r="GD150">
            <v>0</v>
          </cell>
          <cell r="GE150">
            <v>0</v>
          </cell>
          <cell r="GF150">
            <v>0</v>
          </cell>
          <cell r="GG150">
            <v>0</v>
          </cell>
          <cell r="GH150">
            <v>0</v>
          </cell>
          <cell r="GI150">
            <v>0</v>
          </cell>
          <cell r="GJ150">
            <v>0</v>
          </cell>
          <cell r="GK150">
            <v>0</v>
          </cell>
          <cell r="GL150">
            <v>0</v>
          </cell>
          <cell r="GM150">
            <v>0</v>
          </cell>
          <cell r="GN150">
            <v>0</v>
          </cell>
          <cell r="GO150">
            <v>0</v>
          </cell>
          <cell r="GP150">
            <v>0</v>
          </cell>
          <cell r="GQ150">
            <v>0</v>
          </cell>
          <cell r="GR150">
            <v>0</v>
          </cell>
          <cell r="GS150">
            <v>0</v>
          </cell>
          <cell r="GT150">
            <v>0</v>
          </cell>
          <cell r="GU150">
            <v>0</v>
          </cell>
          <cell r="GV150">
            <v>0</v>
          </cell>
          <cell r="GW150">
            <v>0</v>
          </cell>
          <cell r="GX150">
            <v>0</v>
          </cell>
          <cell r="GY150">
            <v>0</v>
          </cell>
          <cell r="GZ150">
            <v>0</v>
          </cell>
          <cell r="HA150">
            <v>0</v>
          </cell>
          <cell r="HB150">
            <v>0</v>
          </cell>
          <cell r="HC150">
            <v>0</v>
          </cell>
          <cell r="HD150">
            <v>0</v>
          </cell>
          <cell r="HE150">
            <v>1123203983.0599067</v>
          </cell>
        </row>
        <row r="151">
          <cell r="A151" t="str">
            <v>HBS-36</v>
          </cell>
          <cell r="E151" t="str">
            <v>현     가</v>
          </cell>
          <cell r="F151">
            <v>0</v>
          </cell>
          <cell r="G151">
            <v>0</v>
          </cell>
          <cell r="H151">
            <v>52964132.605361313</v>
          </cell>
          <cell r="I151">
            <v>0</v>
          </cell>
          <cell r="J151">
            <v>1050930229.5989836</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cell r="DN151">
            <v>0</v>
          </cell>
          <cell r="DO151">
            <v>0</v>
          </cell>
          <cell r="DP151">
            <v>0</v>
          </cell>
          <cell r="DQ151">
            <v>0</v>
          </cell>
          <cell r="DR151">
            <v>0</v>
          </cell>
          <cell r="DS151">
            <v>0</v>
          </cell>
          <cell r="DT151">
            <v>0</v>
          </cell>
          <cell r="DU151">
            <v>0</v>
          </cell>
          <cell r="DV151">
            <v>0</v>
          </cell>
          <cell r="DW151">
            <v>0</v>
          </cell>
          <cell r="DX151">
            <v>0</v>
          </cell>
          <cell r="DY151">
            <v>0</v>
          </cell>
          <cell r="DZ151">
            <v>0</v>
          </cell>
          <cell r="EA151">
            <v>0</v>
          </cell>
          <cell r="EB151">
            <v>0</v>
          </cell>
          <cell r="EC151">
            <v>0</v>
          </cell>
          <cell r="ED151">
            <v>0</v>
          </cell>
          <cell r="EE151">
            <v>0</v>
          </cell>
          <cell r="EF151">
            <v>0</v>
          </cell>
          <cell r="EG151">
            <v>0</v>
          </cell>
          <cell r="EH151">
            <v>0</v>
          </cell>
          <cell r="EI151">
            <v>0</v>
          </cell>
          <cell r="EJ151">
            <v>0</v>
          </cell>
          <cell r="EK151">
            <v>0</v>
          </cell>
          <cell r="EL151">
            <v>0</v>
          </cell>
          <cell r="EM151">
            <v>0</v>
          </cell>
          <cell r="EN151">
            <v>0</v>
          </cell>
          <cell r="EO151">
            <v>0</v>
          </cell>
          <cell r="EP151">
            <v>0</v>
          </cell>
          <cell r="EQ151">
            <v>0</v>
          </cell>
          <cell r="ER151">
            <v>0</v>
          </cell>
          <cell r="ES151">
            <v>0</v>
          </cell>
          <cell r="ET151">
            <v>0</v>
          </cell>
          <cell r="EU151">
            <v>0</v>
          </cell>
          <cell r="EV151">
            <v>0</v>
          </cell>
          <cell r="EW151">
            <v>0</v>
          </cell>
          <cell r="EX151">
            <v>0</v>
          </cell>
          <cell r="EY151">
            <v>0</v>
          </cell>
          <cell r="EZ151">
            <v>0</v>
          </cell>
          <cell r="FA151">
            <v>0</v>
          </cell>
          <cell r="FB151">
            <v>0</v>
          </cell>
          <cell r="FC151">
            <v>0</v>
          </cell>
          <cell r="FD151">
            <v>0</v>
          </cell>
          <cell r="FE151">
            <v>0</v>
          </cell>
          <cell r="FF151">
            <v>0</v>
          </cell>
          <cell r="FG151">
            <v>0</v>
          </cell>
          <cell r="FH151">
            <v>0</v>
          </cell>
          <cell r="FI151">
            <v>0</v>
          </cell>
          <cell r="FJ151">
            <v>0</v>
          </cell>
          <cell r="FK151">
            <v>0</v>
          </cell>
          <cell r="FL151">
            <v>0</v>
          </cell>
          <cell r="FM151">
            <v>0</v>
          </cell>
          <cell r="FN151">
            <v>0</v>
          </cell>
          <cell r="FO151">
            <v>0</v>
          </cell>
          <cell r="FP151">
            <v>0</v>
          </cell>
          <cell r="FQ151">
            <v>0</v>
          </cell>
          <cell r="FR151">
            <v>0</v>
          </cell>
          <cell r="FS151">
            <v>0</v>
          </cell>
          <cell r="FT151">
            <v>0</v>
          </cell>
          <cell r="FU151">
            <v>0</v>
          </cell>
          <cell r="FV151">
            <v>0</v>
          </cell>
          <cell r="FW151">
            <v>0</v>
          </cell>
          <cell r="FX151">
            <v>0</v>
          </cell>
          <cell r="FY151">
            <v>0</v>
          </cell>
          <cell r="FZ151">
            <v>0</v>
          </cell>
          <cell r="GA151">
            <v>0</v>
          </cell>
          <cell r="GB151">
            <v>0</v>
          </cell>
          <cell r="GC151">
            <v>0</v>
          </cell>
          <cell r="GD151">
            <v>0</v>
          </cell>
          <cell r="GE151">
            <v>0</v>
          </cell>
          <cell r="GF151">
            <v>0</v>
          </cell>
          <cell r="GG151">
            <v>0</v>
          </cell>
          <cell r="GH151">
            <v>0</v>
          </cell>
          <cell r="GI151">
            <v>0</v>
          </cell>
          <cell r="GJ151">
            <v>0</v>
          </cell>
          <cell r="GK151">
            <v>0</v>
          </cell>
          <cell r="GL151">
            <v>0</v>
          </cell>
          <cell r="GM151">
            <v>0</v>
          </cell>
          <cell r="GN151">
            <v>0</v>
          </cell>
          <cell r="GO151">
            <v>0</v>
          </cell>
          <cell r="GP151">
            <v>0</v>
          </cell>
          <cell r="GQ151">
            <v>0</v>
          </cell>
          <cell r="GR151">
            <v>0</v>
          </cell>
          <cell r="GS151">
            <v>0</v>
          </cell>
          <cell r="GT151">
            <v>0</v>
          </cell>
          <cell r="GU151">
            <v>0</v>
          </cell>
          <cell r="GV151">
            <v>0</v>
          </cell>
          <cell r="GW151">
            <v>0</v>
          </cell>
          <cell r="GX151">
            <v>0</v>
          </cell>
          <cell r="GY151">
            <v>0</v>
          </cell>
          <cell r="GZ151">
            <v>0</v>
          </cell>
          <cell r="HA151">
            <v>0</v>
          </cell>
          <cell r="HB151">
            <v>0</v>
          </cell>
          <cell r="HC151">
            <v>0</v>
          </cell>
          <cell r="HD151">
            <v>0</v>
          </cell>
          <cell r="HE151">
            <v>1103894362.204345</v>
          </cell>
        </row>
        <row r="152">
          <cell r="B152" t="str">
            <v>HBS-37</v>
          </cell>
          <cell r="C152" t="str">
            <v>대선주조㈜</v>
          </cell>
          <cell r="D152">
            <v>0.17493752582153094</v>
          </cell>
          <cell r="E152" t="str">
            <v>담     보</v>
          </cell>
          <cell r="F152">
            <v>0</v>
          </cell>
          <cell r="G152">
            <v>0</v>
          </cell>
          <cell r="H152">
            <v>185355137.25000268</v>
          </cell>
          <cell r="I152">
            <v>0</v>
          </cell>
          <cell r="J152">
            <v>0</v>
          </cell>
          <cell r="K152">
            <v>0</v>
          </cell>
          <cell r="L152">
            <v>0</v>
          </cell>
          <cell r="M152">
            <v>0</v>
          </cell>
          <cell r="N152">
            <v>178214673.77228957</v>
          </cell>
          <cell r="O152">
            <v>0</v>
          </cell>
          <cell r="P152">
            <v>0</v>
          </cell>
          <cell r="Q152">
            <v>0</v>
          </cell>
          <cell r="R152">
            <v>0</v>
          </cell>
          <cell r="S152">
            <v>0</v>
          </cell>
          <cell r="T152">
            <v>172719131.93056145</v>
          </cell>
          <cell r="U152">
            <v>0</v>
          </cell>
          <cell r="V152">
            <v>0</v>
          </cell>
          <cell r="W152">
            <v>0</v>
          </cell>
          <cell r="X152">
            <v>0</v>
          </cell>
          <cell r="Y152">
            <v>0</v>
          </cell>
          <cell r="Z152">
            <v>165784690.97750816</v>
          </cell>
          <cell r="AA152">
            <v>0</v>
          </cell>
          <cell r="AB152">
            <v>0</v>
          </cell>
          <cell r="AC152">
            <v>0</v>
          </cell>
          <cell r="AD152">
            <v>0</v>
          </cell>
          <cell r="AE152">
            <v>0</v>
          </cell>
          <cell r="AF152">
            <v>160083128.18555799</v>
          </cell>
          <cell r="AG152">
            <v>0</v>
          </cell>
          <cell r="AH152">
            <v>0</v>
          </cell>
          <cell r="AI152">
            <v>0</v>
          </cell>
          <cell r="AJ152">
            <v>0</v>
          </cell>
          <cell r="AK152">
            <v>0</v>
          </cell>
          <cell r="AL152">
            <v>153423890.55112588</v>
          </cell>
          <cell r="AM152">
            <v>0</v>
          </cell>
          <cell r="AN152">
            <v>0</v>
          </cell>
          <cell r="AO152">
            <v>0</v>
          </cell>
          <cell r="AP152">
            <v>0</v>
          </cell>
          <cell r="AQ152">
            <v>0</v>
          </cell>
          <cell r="AR152">
            <v>147395474.31099322</v>
          </cell>
          <cell r="AS152">
            <v>0</v>
          </cell>
          <cell r="AT152">
            <v>0</v>
          </cell>
          <cell r="AU152">
            <v>0</v>
          </cell>
          <cell r="AV152">
            <v>0</v>
          </cell>
          <cell r="AW152">
            <v>0</v>
          </cell>
          <cell r="AX152">
            <v>140924725.56288287</v>
          </cell>
          <cell r="AY152">
            <v>0</v>
          </cell>
          <cell r="AZ152">
            <v>0</v>
          </cell>
          <cell r="BA152">
            <v>0</v>
          </cell>
          <cell r="BB152">
            <v>0</v>
          </cell>
          <cell r="BC152">
            <v>0</v>
          </cell>
          <cell r="BD152">
            <v>134861526.66942865</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cell r="DN152">
            <v>0</v>
          </cell>
          <cell r="DO152">
            <v>0</v>
          </cell>
          <cell r="DP152">
            <v>0</v>
          </cell>
          <cell r="DQ152">
            <v>0</v>
          </cell>
          <cell r="DR152">
            <v>0</v>
          </cell>
          <cell r="DS152">
            <v>0</v>
          </cell>
          <cell r="DT152">
            <v>0</v>
          </cell>
          <cell r="DU152">
            <v>0</v>
          </cell>
          <cell r="DV152">
            <v>0</v>
          </cell>
          <cell r="DW152">
            <v>0</v>
          </cell>
          <cell r="DX152">
            <v>0</v>
          </cell>
          <cell r="DY152">
            <v>0</v>
          </cell>
          <cell r="DZ152">
            <v>0</v>
          </cell>
          <cell r="EA152">
            <v>0</v>
          </cell>
          <cell r="EB152">
            <v>0</v>
          </cell>
          <cell r="EC152">
            <v>0</v>
          </cell>
          <cell r="ED152">
            <v>0</v>
          </cell>
          <cell r="EE152">
            <v>0</v>
          </cell>
          <cell r="EF152">
            <v>0</v>
          </cell>
          <cell r="EG152">
            <v>0</v>
          </cell>
          <cell r="EH152">
            <v>0</v>
          </cell>
          <cell r="EI152">
            <v>0</v>
          </cell>
          <cell r="EJ152">
            <v>0</v>
          </cell>
          <cell r="EK152">
            <v>0</v>
          </cell>
          <cell r="EL152">
            <v>0</v>
          </cell>
          <cell r="EM152">
            <v>0</v>
          </cell>
          <cell r="EN152">
            <v>0</v>
          </cell>
          <cell r="EO152">
            <v>0</v>
          </cell>
          <cell r="EP152">
            <v>0</v>
          </cell>
          <cell r="EQ152">
            <v>0</v>
          </cell>
          <cell r="ER152">
            <v>0</v>
          </cell>
          <cell r="ES152">
            <v>0</v>
          </cell>
          <cell r="ET152">
            <v>0</v>
          </cell>
          <cell r="EU152">
            <v>0</v>
          </cell>
          <cell r="EV152">
            <v>0</v>
          </cell>
          <cell r="EW152">
            <v>0</v>
          </cell>
          <cell r="EX152">
            <v>0</v>
          </cell>
          <cell r="EY152">
            <v>0</v>
          </cell>
          <cell r="EZ152">
            <v>0</v>
          </cell>
          <cell r="FA152">
            <v>0</v>
          </cell>
          <cell r="FB152">
            <v>0</v>
          </cell>
          <cell r="FC152">
            <v>0</v>
          </cell>
          <cell r="FD152">
            <v>0</v>
          </cell>
          <cell r="FE152">
            <v>0</v>
          </cell>
          <cell r="FF152">
            <v>0</v>
          </cell>
          <cell r="FG152">
            <v>0</v>
          </cell>
          <cell r="FH152">
            <v>0</v>
          </cell>
          <cell r="FI152">
            <v>0</v>
          </cell>
          <cell r="FJ152">
            <v>0</v>
          </cell>
          <cell r="FK152">
            <v>0</v>
          </cell>
          <cell r="FL152">
            <v>0</v>
          </cell>
          <cell r="FM152">
            <v>0</v>
          </cell>
          <cell r="FN152">
            <v>0</v>
          </cell>
          <cell r="FO152">
            <v>0</v>
          </cell>
          <cell r="FP152">
            <v>0</v>
          </cell>
          <cell r="FQ152">
            <v>0</v>
          </cell>
          <cell r="FR152">
            <v>0</v>
          </cell>
          <cell r="FS152">
            <v>0</v>
          </cell>
          <cell r="FT152">
            <v>0</v>
          </cell>
          <cell r="FU152">
            <v>0</v>
          </cell>
          <cell r="FV152">
            <v>0</v>
          </cell>
          <cell r="FW152">
            <v>0</v>
          </cell>
          <cell r="FX152">
            <v>0</v>
          </cell>
          <cell r="FY152">
            <v>0</v>
          </cell>
          <cell r="FZ152">
            <v>0</v>
          </cell>
          <cell r="GA152">
            <v>0</v>
          </cell>
          <cell r="GB152">
            <v>0</v>
          </cell>
          <cell r="GC152">
            <v>0</v>
          </cell>
          <cell r="GD152">
            <v>0</v>
          </cell>
          <cell r="GE152">
            <v>0</v>
          </cell>
          <cell r="GF152">
            <v>0</v>
          </cell>
          <cell r="GG152">
            <v>0</v>
          </cell>
          <cell r="GH152">
            <v>0</v>
          </cell>
          <cell r="GI152">
            <v>0</v>
          </cell>
          <cell r="GJ152">
            <v>0</v>
          </cell>
          <cell r="GK152">
            <v>0</v>
          </cell>
          <cell r="GL152">
            <v>0</v>
          </cell>
          <cell r="GM152">
            <v>0</v>
          </cell>
          <cell r="GN152">
            <v>0</v>
          </cell>
          <cell r="GO152">
            <v>0</v>
          </cell>
          <cell r="GP152">
            <v>0</v>
          </cell>
          <cell r="GQ152">
            <v>0</v>
          </cell>
          <cell r="GR152">
            <v>0</v>
          </cell>
          <cell r="GS152">
            <v>0</v>
          </cell>
          <cell r="GT152">
            <v>0</v>
          </cell>
          <cell r="GU152">
            <v>0</v>
          </cell>
          <cell r="GV152">
            <v>0</v>
          </cell>
          <cell r="GW152">
            <v>0</v>
          </cell>
          <cell r="GX152">
            <v>0</v>
          </cell>
          <cell r="GY152">
            <v>0</v>
          </cell>
          <cell r="GZ152">
            <v>0</v>
          </cell>
          <cell r="HA152">
            <v>0</v>
          </cell>
          <cell r="HB152">
            <v>0</v>
          </cell>
          <cell r="HC152">
            <v>0</v>
          </cell>
          <cell r="HD152">
            <v>0</v>
          </cell>
          <cell r="HE152">
            <v>1438762379.2103505</v>
          </cell>
        </row>
        <row r="153">
          <cell r="D153">
            <v>0.17493752582153094</v>
          </cell>
          <cell r="E153" t="str">
            <v>무 담 보</v>
          </cell>
          <cell r="F153">
            <v>0</v>
          </cell>
          <cell r="G153">
            <v>0</v>
          </cell>
          <cell r="H153">
            <v>38083864.558779649</v>
          </cell>
          <cell r="I153">
            <v>0</v>
          </cell>
          <cell r="J153">
            <v>0</v>
          </cell>
          <cell r="K153">
            <v>0</v>
          </cell>
          <cell r="L153">
            <v>0</v>
          </cell>
          <cell r="M153">
            <v>0</v>
          </cell>
          <cell r="N153">
            <v>36962389.588057622</v>
          </cell>
          <cell r="O153">
            <v>0</v>
          </cell>
          <cell r="P153">
            <v>0</v>
          </cell>
          <cell r="Q153">
            <v>0</v>
          </cell>
          <cell r="R153">
            <v>0</v>
          </cell>
          <cell r="S153">
            <v>0</v>
          </cell>
          <cell r="T153">
            <v>36099714.743910603</v>
          </cell>
          <cell r="U153">
            <v>0</v>
          </cell>
          <cell r="V153">
            <v>0</v>
          </cell>
          <cell r="W153">
            <v>0</v>
          </cell>
          <cell r="X153">
            <v>377380.53130923893</v>
          </cell>
          <cell r="Y153">
            <v>0</v>
          </cell>
          <cell r="Z153">
            <v>35010589.220463492</v>
          </cell>
          <cell r="AA153">
            <v>0</v>
          </cell>
          <cell r="AB153">
            <v>0</v>
          </cell>
          <cell r="AC153">
            <v>0</v>
          </cell>
          <cell r="AD153">
            <v>0</v>
          </cell>
          <cell r="AE153">
            <v>0</v>
          </cell>
          <cell r="AF153">
            <v>34115564.579166509</v>
          </cell>
          <cell r="AG153">
            <v>0</v>
          </cell>
          <cell r="AH153">
            <v>0</v>
          </cell>
          <cell r="AI153">
            <v>0</v>
          </cell>
          <cell r="AJ153">
            <v>377380.53130923893</v>
          </cell>
          <cell r="AK153">
            <v>0</v>
          </cell>
          <cell r="AL153">
            <v>33076761.759334747</v>
          </cell>
          <cell r="AM153">
            <v>0</v>
          </cell>
          <cell r="AN153">
            <v>0</v>
          </cell>
          <cell r="AO153">
            <v>0</v>
          </cell>
          <cell r="AP153">
            <v>0</v>
          </cell>
          <cell r="AQ153">
            <v>0</v>
          </cell>
          <cell r="AR153">
            <v>32123281.918722022</v>
          </cell>
          <cell r="AS153">
            <v>0</v>
          </cell>
          <cell r="AT153">
            <v>0</v>
          </cell>
          <cell r="AU153">
            <v>0</v>
          </cell>
          <cell r="AV153">
            <v>377380.53130923893</v>
          </cell>
          <cell r="AW153">
            <v>0</v>
          </cell>
          <cell r="AX153">
            <v>31103453.697628491</v>
          </cell>
          <cell r="AY153">
            <v>0</v>
          </cell>
          <cell r="AZ153">
            <v>0</v>
          </cell>
          <cell r="BA153">
            <v>0</v>
          </cell>
          <cell r="BB153">
            <v>0</v>
          </cell>
          <cell r="BC153">
            <v>0</v>
          </cell>
          <cell r="BD153">
            <v>30147260.925865326</v>
          </cell>
          <cell r="BE153">
            <v>0</v>
          </cell>
          <cell r="BF153">
            <v>0</v>
          </cell>
          <cell r="BG153">
            <v>0</v>
          </cell>
          <cell r="BH153">
            <v>377380.53130923893</v>
          </cell>
          <cell r="BI153">
            <v>0</v>
          </cell>
          <cell r="BJ153">
            <v>0</v>
          </cell>
          <cell r="BK153">
            <v>0</v>
          </cell>
          <cell r="BL153">
            <v>0</v>
          </cell>
          <cell r="BM153">
            <v>0</v>
          </cell>
          <cell r="BN153">
            <v>0</v>
          </cell>
          <cell r="BO153">
            <v>0</v>
          </cell>
          <cell r="BP153">
            <v>0</v>
          </cell>
          <cell r="BQ153">
            <v>0</v>
          </cell>
          <cell r="BR153">
            <v>0</v>
          </cell>
          <cell r="BS153">
            <v>0</v>
          </cell>
          <cell r="BT153">
            <v>10570158.228032051</v>
          </cell>
          <cell r="BU153">
            <v>0</v>
          </cell>
          <cell r="BV153">
            <v>0</v>
          </cell>
          <cell r="BW153">
            <v>0</v>
          </cell>
          <cell r="BX153">
            <v>0</v>
          </cell>
          <cell r="BY153">
            <v>0</v>
          </cell>
          <cell r="BZ153">
            <v>0</v>
          </cell>
          <cell r="CA153">
            <v>0</v>
          </cell>
          <cell r="CB153">
            <v>0</v>
          </cell>
          <cell r="CC153">
            <v>0</v>
          </cell>
          <cell r="CD153">
            <v>0</v>
          </cell>
          <cell r="CE153">
            <v>0</v>
          </cell>
          <cell r="CF153">
            <v>10467951.196881352</v>
          </cell>
          <cell r="CG153">
            <v>0</v>
          </cell>
          <cell r="CH153">
            <v>0</v>
          </cell>
          <cell r="CI153">
            <v>0</v>
          </cell>
          <cell r="CJ153">
            <v>0</v>
          </cell>
          <cell r="CK153">
            <v>0</v>
          </cell>
          <cell r="CL153">
            <v>0</v>
          </cell>
          <cell r="CM153">
            <v>0</v>
          </cell>
          <cell r="CN153">
            <v>0</v>
          </cell>
          <cell r="CO153">
            <v>0</v>
          </cell>
          <cell r="CP153">
            <v>0</v>
          </cell>
          <cell r="CQ153">
            <v>0</v>
          </cell>
          <cell r="CR153">
            <v>-22853137.152847704</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0</v>
          </cell>
          <cell r="DM153">
            <v>0</v>
          </cell>
          <cell r="DN153">
            <v>0</v>
          </cell>
          <cell r="DO153">
            <v>0</v>
          </cell>
          <cell r="DP153">
            <v>0</v>
          </cell>
          <cell r="DQ153">
            <v>0</v>
          </cell>
          <cell r="DR153">
            <v>0</v>
          </cell>
          <cell r="DS153">
            <v>0</v>
          </cell>
          <cell r="DT153">
            <v>0</v>
          </cell>
          <cell r="DU153">
            <v>0</v>
          </cell>
          <cell r="DV153">
            <v>0</v>
          </cell>
          <cell r="DW153">
            <v>0</v>
          </cell>
          <cell r="DX153">
            <v>0</v>
          </cell>
          <cell r="DY153">
            <v>0</v>
          </cell>
          <cell r="DZ153">
            <v>0</v>
          </cell>
          <cell r="EA153">
            <v>0</v>
          </cell>
          <cell r="EB153">
            <v>0</v>
          </cell>
          <cell r="EC153">
            <v>0</v>
          </cell>
          <cell r="ED153">
            <v>0</v>
          </cell>
          <cell r="EE153">
            <v>0</v>
          </cell>
          <cell r="EF153">
            <v>0</v>
          </cell>
          <cell r="EG153">
            <v>0</v>
          </cell>
          <cell r="EH153">
            <v>0</v>
          </cell>
          <cell r="EI153">
            <v>0</v>
          </cell>
          <cell r="EJ153">
            <v>0</v>
          </cell>
          <cell r="EK153">
            <v>0</v>
          </cell>
          <cell r="EL153">
            <v>0</v>
          </cell>
          <cell r="EM153">
            <v>0</v>
          </cell>
          <cell r="EN153">
            <v>0</v>
          </cell>
          <cell r="EO153">
            <v>0</v>
          </cell>
          <cell r="EP153">
            <v>0</v>
          </cell>
          <cell r="EQ153">
            <v>0</v>
          </cell>
          <cell r="ER153">
            <v>0</v>
          </cell>
          <cell r="ES153">
            <v>0</v>
          </cell>
          <cell r="ET153">
            <v>0</v>
          </cell>
          <cell r="EU153">
            <v>0</v>
          </cell>
          <cell r="EV153">
            <v>0</v>
          </cell>
          <cell r="EW153">
            <v>0</v>
          </cell>
          <cell r="EX153">
            <v>0</v>
          </cell>
          <cell r="EY153">
            <v>0</v>
          </cell>
          <cell r="EZ153">
            <v>0</v>
          </cell>
          <cell r="FA153">
            <v>0</v>
          </cell>
          <cell r="FB153">
            <v>0</v>
          </cell>
          <cell r="FC153">
            <v>0</v>
          </cell>
          <cell r="FD153">
            <v>0</v>
          </cell>
          <cell r="FE153">
            <v>0</v>
          </cell>
          <cell r="FF153">
            <v>0</v>
          </cell>
          <cell r="FG153">
            <v>0</v>
          </cell>
          <cell r="FH153">
            <v>0</v>
          </cell>
          <cell r="FI153">
            <v>0</v>
          </cell>
          <cell r="FJ153">
            <v>0</v>
          </cell>
          <cell r="FK153">
            <v>0</v>
          </cell>
          <cell r="FL153">
            <v>0</v>
          </cell>
          <cell r="FM153">
            <v>0</v>
          </cell>
          <cell r="FN153">
            <v>0</v>
          </cell>
          <cell r="FO153">
            <v>0</v>
          </cell>
          <cell r="FP153">
            <v>0</v>
          </cell>
          <cell r="FQ153">
            <v>0</v>
          </cell>
          <cell r="FR153">
            <v>0</v>
          </cell>
          <cell r="FS153">
            <v>0</v>
          </cell>
          <cell r="FT153">
            <v>0</v>
          </cell>
          <cell r="FU153">
            <v>0</v>
          </cell>
          <cell r="FV153">
            <v>0</v>
          </cell>
          <cell r="FW153">
            <v>0</v>
          </cell>
          <cell r="FX153">
            <v>0</v>
          </cell>
          <cell r="FY153">
            <v>0</v>
          </cell>
          <cell r="FZ153">
            <v>0</v>
          </cell>
          <cell r="GA153">
            <v>0</v>
          </cell>
          <cell r="GB153">
            <v>0</v>
          </cell>
          <cell r="GC153">
            <v>0</v>
          </cell>
          <cell r="GD153">
            <v>0</v>
          </cell>
          <cell r="GE153">
            <v>0</v>
          </cell>
          <cell r="GF153">
            <v>0</v>
          </cell>
          <cell r="GG153">
            <v>0</v>
          </cell>
          <cell r="GH153">
            <v>0</v>
          </cell>
          <cell r="GI153">
            <v>0</v>
          </cell>
          <cell r="GJ153">
            <v>0</v>
          </cell>
          <cell r="GK153">
            <v>0</v>
          </cell>
          <cell r="GL153">
            <v>0</v>
          </cell>
          <cell r="GM153">
            <v>0</v>
          </cell>
          <cell r="GN153">
            <v>0</v>
          </cell>
          <cell r="GO153">
            <v>0</v>
          </cell>
          <cell r="GP153">
            <v>0</v>
          </cell>
          <cell r="GQ153">
            <v>0</v>
          </cell>
          <cell r="GR153">
            <v>0</v>
          </cell>
          <cell r="GS153">
            <v>0</v>
          </cell>
          <cell r="GT153">
            <v>0</v>
          </cell>
          <cell r="GU153">
            <v>0</v>
          </cell>
          <cell r="GV153">
            <v>0</v>
          </cell>
          <cell r="GW153">
            <v>0</v>
          </cell>
          <cell r="GX153">
            <v>0</v>
          </cell>
          <cell r="GY153">
            <v>0</v>
          </cell>
          <cell r="GZ153">
            <v>0</v>
          </cell>
          <cell r="HA153">
            <v>0</v>
          </cell>
          <cell r="HB153">
            <v>0</v>
          </cell>
          <cell r="HC153">
            <v>0</v>
          </cell>
          <cell r="HD153">
            <v>0</v>
          </cell>
          <cell r="HE153">
            <v>306417375.38923115</v>
          </cell>
        </row>
        <row r="154">
          <cell r="E154" t="str">
            <v>Total</v>
          </cell>
          <cell r="F154">
            <v>0</v>
          </cell>
          <cell r="G154">
            <v>0</v>
          </cell>
          <cell r="H154">
            <v>223439001.80878234</v>
          </cell>
          <cell r="I154">
            <v>0</v>
          </cell>
          <cell r="J154">
            <v>0</v>
          </cell>
          <cell r="K154">
            <v>0</v>
          </cell>
          <cell r="L154">
            <v>0</v>
          </cell>
          <cell r="M154">
            <v>0</v>
          </cell>
          <cell r="N154">
            <v>215177063.36034721</v>
          </cell>
          <cell r="O154">
            <v>0</v>
          </cell>
          <cell r="P154">
            <v>0</v>
          </cell>
          <cell r="Q154">
            <v>0</v>
          </cell>
          <cell r="R154">
            <v>0</v>
          </cell>
          <cell r="S154">
            <v>0</v>
          </cell>
          <cell r="T154">
            <v>208818846.67447206</v>
          </cell>
          <cell r="U154">
            <v>0</v>
          </cell>
          <cell r="V154">
            <v>0</v>
          </cell>
          <cell r="W154">
            <v>0</v>
          </cell>
          <cell r="X154">
            <v>377380.53130923893</v>
          </cell>
          <cell r="Y154">
            <v>0</v>
          </cell>
          <cell r="Z154">
            <v>200795280.19797164</v>
          </cell>
          <cell r="AA154">
            <v>0</v>
          </cell>
          <cell r="AB154">
            <v>0</v>
          </cell>
          <cell r="AC154">
            <v>0</v>
          </cell>
          <cell r="AD154">
            <v>0</v>
          </cell>
          <cell r="AE154">
            <v>0</v>
          </cell>
          <cell r="AF154">
            <v>194198692.76472449</v>
          </cell>
          <cell r="AG154">
            <v>0</v>
          </cell>
          <cell r="AH154">
            <v>0</v>
          </cell>
          <cell r="AI154">
            <v>0</v>
          </cell>
          <cell r="AJ154">
            <v>377380.53130923893</v>
          </cell>
          <cell r="AK154">
            <v>0</v>
          </cell>
          <cell r="AL154">
            <v>186500652.31046063</v>
          </cell>
          <cell r="AM154">
            <v>0</v>
          </cell>
          <cell r="AN154">
            <v>0</v>
          </cell>
          <cell r="AO154">
            <v>0</v>
          </cell>
          <cell r="AP154">
            <v>0</v>
          </cell>
          <cell r="AQ154">
            <v>0</v>
          </cell>
          <cell r="AR154">
            <v>179518756.22971526</v>
          </cell>
          <cell r="AS154">
            <v>0</v>
          </cell>
          <cell r="AT154">
            <v>0</v>
          </cell>
          <cell r="AU154">
            <v>0</v>
          </cell>
          <cell r="AV154">
            <v>377380.53130923893</v>
          </cell>
          <cell r="AW154">
            <v>0</v>
          </cell>
          <cell r="AX154">
            <v>172028179.26051137</v>
          </cell>
          <cell r="AY154">
            <v>0</v>
          </cell>
          <cell r="AZ154">
            <v>0</v>
          </cell>
          <cell r="BA154">
            <v>0</v>
          </cell>
          <cell r="BB154">
            <v>0</v>
          </cell>
          <cell r="BC154">
            <v>0</v>
          </cell>
          <cell r="BD154">
            <v>165008787.59529397</v>
          </cell>
          <cell r="BE154">
            <v>0</v>
          </cell>
          <cell r="BF154">
            <v>0</v>
          </cell>
          <cell r="BG154">
            <v>0</v>
          </cell>
          <cell r="BH154">
            <v>377380.53130923893</v>
          </cell>
          <cell r="BI154">
            <v>0</v>
          </cell>
          <cell r="BJ154">
            <v>0</v>
          </cell>
          <cell r="BK154">
            <v>0</v>
          </cell>
          <cell r="BL154">
            <v>0</v>
          </cell>
          <cell r="BM154">
            <v>0</v>
          </cell>
          <cell r="BN154">
            <v>0</v>
          </cell>
          <cell r="BO154">
            <v>0</v>
          </cell>
          <cell r="BP154">
            <v>0</v>
          </cell>
          <cell r="BQ154">
            <v>0</v>
          </cell>
          <cell r="BR154">
            <v>0</v>
          </cell>
          <cell r="BS154">
            <v>0</v>
          </cell>
          <cell r="BT154">
            <v>10570158.228032051</v>
          </cell>
          <cell r="BU154">
            <v>0</v>
          </cell>
          <cell r="BV154">
            <v>0</v>
          </cell>
          <cell r="BW154">
            <v>0</v>
          </cell>
          <cell r="BX154">
            <v>0</v>
          </cell>
          <cell r="BY154">
            <v>0</v>
          </cell>
          <cell r="BZ154">
            <v>0</v>
          </cell>
          <cell r="CA154">
            <v>0</v>
          </cell>
          <cell r="CB154">
            <v>0</v>
          </cell>
          <cell r="CC154">
            <v>0</v>
          </cell>
          <cell r="CD154">
            <v>0</v>
          </cell>
          <cell r="CE154">
            <v>0</v>
          </cell>
          <cell r="CF154">
            <v>10467951.196881352</v>
          </cell>
          <cell r="CG154">
            <v>0</v>
          </cell>
          <cell r="CH154">
            <v>0</v>
          </cell>
          <cell r="CI154">
            <v>0</v>
          </cell>
          <cell r="CJ154">
            <v>0</v>
          </cell>
          <cell r="CK154">
            <v>0</v>
          </cell>
          <cell r="CL154">
            <v>0</v>
          </cell>
          <cell r="CM154">
            <v>0</v>
          </cell>
          <cell r="CN154">
            <v>0</v>
          </cell>
          <cell r="CO154">
            <v>0</v>
          </cell>
          <cell r="CP154">
            <v>0</v>
          </cell>
          <cell r="CQ154">
            <v>0</v>
          </cell>
          <cell r="CR154">
            <v>-22853137.152847704</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v>0</v>
          </cell>
          <cell r="DU154">
            <v>0</v>
          </cell>
          <cell r="DV154">
            <v>0</v>
          </cell>
          <cell r="DW154">
            <v>0</v>
          </cell>
          <cell r="DX154">
            <v>0</v>
          </cell>
          <cell r="DY154">
            <v>0</v>
          </cell>
          <cell r="DZ154">
            <v>0</v>
          </cell>
          <cell r="EA154">
            <v>0</v>
          </cell>
          <cell r="EB154">
            <v>0</v>
          </cell>
          <cell r="EC154">
            <v>0</v>
          </cell>
          <cell r="ED154">
            <v>0</v>
          </cell>
          <cell r="EE154">
            <v>0</v>
          </cell>
          <cell r="EF154">
            <v>0</v>
          </cell>
          <cell r="EG154">
            <v>0</v>
          </cell>
          <cell r="EH154">
            <v>0</v>
          </cell>
          <cell r="EI154">
            <v>0</v>
          </cell>
          <cell r="EJ154">
            <v>0</v>
          </cell>
          <cell r="EK154">
            <v>0</v>
          </cell>
          <cell r="EL154">
            <v>0</v>
          </cell>
          <cell r="EM154">
            <v>0</v>
          </cell>
          <cell r="EN154">
            <v>0</v>
          </cell>
          <cell r="EO154">
            <v>0</v>
          </cell>
          <cell r="EP154">
            <v>0</v>
          </cell>
          <cell r="EQ154">
            <v>0</v>
          </cell>
          <cell r="ER154">
            <v>0</v>
          </cell>
          <cell r="ES154">
            <v>0</v>
          </cell>
          <cell r="ET154">
            <v>0</v>
          </cell>
          <cell r="EU154">
            <v>0</v>
          </cell>
          <cell r="EV154">
            <v>0</v>
          </cell>
          <cell r="EW154">
            <v>0</v>
          </cell>
          <cell r="EX154">
            <v>0</v>
          </cell>
          <cell r="EY154">
            <v>0</v>
          </cell>
          <cell r="EZ154">
            <v>0</v>
          </cell>
          <cell r="FA154">
            <v>0</v>
          </cell>
          <cell r="FB154">
            <v>0</v>
          </cell>
          <cell r="FC154">
            <v>0</v>
          </cell>
          <cell r="FD154">
            <v>0</v>
          </cell>
          <cell r="FE154">
            <v>0</v>
          </cell>
          <cell r="FF154">
            <v>0</v>
          </cell>
          <cell r="FG154">
            <v>0</v>
          </cell>
          <cell r="FH154">
            <v>0</v>
          </cell>
          <cell r="FI154">
            <v>0</v>
          </cell>
          <cell r="FJ154">
            <v>0</v>
          </cell>
          <cell r="FK154">
            <v>0</v>
          </cell>
          <cell r="FL154">
            <v>0</v>
          </cell>
          <cell r="FM154">
            <v>0</v>
          </cell>
          <cell r="FN154">
            <v>0</v>
          </cell>
          <cell r="FO154">
            <v>0</v>
          </cell>
          <cell r="FP154">
            <v>0</v>
          </cell>
          <cell r="FQ154">
            <v>0</v>
          </cell>
          <cell r="FR154">
            <v>0</v>
          </cell>
          <cell r="FS154">
            <v>0</v>
          </cell>
          <cell r="FT154">
            <v>0</v>
          </cell>
          <cell r="FU154">
            <v>0</v>
          </cell>
          <cell r="FV154">
            <v>0</v>
          </cell>
          <cell r="FW154">
            <v>0</v>
          </cell>
          <cell r="FX154">
            <v>0</v>
          </cell>
          <cell r="FY154">
            <v>0</v>
          </cell>
          <cell r="FZ154">
            <v>0</v>
          </cell>
          <cell r="GA154">
            <v>0</v>
          </cell>
          <cell r="GB154">
            <v>0</v>
          </cell>
          <cell r="GC154">
            <v>0</v>
          </cell>
          <cell r="GD154">
            <v>0</v>
          </cell>
          <cell r="GE154">
            <v>0</v>
          </cell>
          <cell r="GF154">
            <v>0</v>
          </cell>
          <cell r="GG154">
            <v>0</v>
          </cell>
          <cell r="GH154">
            <v>0</v>
          </cell>
          <cell r="GI154">
            <v>0</v>
          </cell>
          <cell r="GJ154">
            <v>0</v>
          </cell>
          <cell r="GK154">
            <v>0</v>
          </cell>
          <cell r="GL154">
            <v>0</v>
          </cell>
          <cell r="GM154">
            <v>0</v>
          </cell>
          <cell r="GN154">
            <v>0</v>
          </cell>
          <cell r="GO154">
            <v>0</v>
          </cell>
          <cell r="GP154">
            <v>0</v>
          </cell>
          <cell r="GQ154">
            <v>0</v>
          </cell>
          <cell r="GR154">
            <v>0</v>
          </cell>
          <cell r="GS154">
            <v>0</v>
          </cell>
          <cell r="GT154">
            <v>0</v>
          </cell>
          <cell r="GU154">
            <v>0</v>
          </cell>
          <cell r="GV154">
            <v>0</v>
          </cell>
          <cell r="GW154">
            <v>0</v>
          </cell>
          <cell r="GX154">
            <v>0</v>
          </cell>
          <cell r="GY154">
            <v>0</v>
          </cell>
          <cell r="GZ154">
            <v>0</v>
          </cell>
          <cell r="HA154">
            <v>0</v>
          </cell>
          <cell r="HB154">
            <v>0</v>
          </cell>
          <cell r="HC154">
            <v>0</v>
          </cell>
          <cell r="HD154">
            <v>0</v>
          </cell>
          <cell r="HE154">
            <v>1745179754.5995815</v>
          </cell>
        </row>
        <row r="155">
          <cell r="A155" t="str">
            <v>HBS-37</v>
          </cell>
          <cell r="E155" t="str">
            <v>현     가</v>
          </cell>
          <cell r="F155">
            <v>0</v>
          </cell>
          <cell r="G155">
            <v>0</v>
          </cell>
          <cell r="H155">
            <v>221431073.100582</v>
          </cell>
          <cell r="I155">
            <v>0</v>
          </cell>
          <cell r="J155">
            <v>0</v>
          </cell>
          <cell r="K155">
            <v>0</v>
          </cell>
          <cell r="L155">
            <v>0</v>
          </cell>
          <cell r="M155">
            <v>0</v>
          </cell>
          <cell r="N155">
            <v>207607406.56202164</v>
          </cell>
          <cell r="O155">
            <v>0</v>
          </cell>
          <cell r="P155">
            <v>0</v>
          </cell>
          <cell r="Q155">
            <v>0</v>
          </cell>
          <cell r="R155">
            <v>0</v>
          </cell>
          <cell r="S155">
            <v>0</v>
          </cell>
          <cell r="T155">
            <v>194661094.50228527</v>
          </cell>
          <cell r="U155">
            <v>0</v>
          </cell>
          <cell r="V155">
            <v>0</v>
          </cell>
          <cell r="W155">
            <v>0</v>
          </cell>
          <cell r="X155">
            <v>344905.46635562094</v>
          </cell>
          <cell r="Y155">
            <v>0</v>
          </cell>
          <cell r="Z155">
            <v>181680397.3488135</v>
          </cell>
          <cell r="AA155">
            <v>0</v>
          </cell>
          <cell r="AB155">
            <v>0</v>
          </cell>
          <cell r="AC155">
            <v>0</v>
          </cell>
          <cell r="AD155">
            <v>0</v>
          </cell>
          <cell r="AE155">
            <v>0</v>
          </cell>
          <cell r="AF155">
            <v>169217877.38781899</v>
          </cell>
          <cell r="AG155">
            <v>0</v>
          </cell>
          <cell r="AH155">
            <v>0</v>
          </cell>
          <cell r="AI155">
            <v>0</v>
          </cell>
          <cell r="AJ155">
            <v>321982.12501330668</v>
          </cell>
          <cell r="AK155">
            <v>0</v>
          </cell>
          <cell r="AL155">
            <v>157442142.27906016</v>
          </cell>
          <cell r="AM155">
            <v>0</v>
          </cell>
          <cell r="AN155">
            <v>0</v>
          </cell>
          <cell r="AO155">
            <v>0</v>
          </cell>
          <cell r="AP155">
            <v>0</v>
          </cell>
          <cell r="AQ155">
            <v>0</v>
          </cell>
          <cell r="AR155">
            <v>144909195.6520572</v>
          </cell>
          <cell r="AS155">
            <v>0</v>
          </cell>
          <cell r="AT155">
            <v>0</v>
          </cell>
          <cell r="AU155">
            <v>0</v>
          </cell>
          <cell r="AV155">
            <v>297932.94628768315</v>
          </cell>
          <cell r="AW155">
            <v>0</v>
          </cell>
          <cell r="AX155">
            <v>134287226.02008235</v>
          </cell>
          <cell r="AY155">
            <v>0</v>
          </cell>
          <cell r="AZ155">
            <v>0</v>
          </cell>
          <cell r="BA155">
            <v>0</v>
          </cell>
          <cell r="BB155">
            <v>0</v>
          </cell>
          <cell r="BC155">
            <v>0</v>
          </cell>
          <cell r="BD155">
            <v>124494452.89393474</v>
          </cell>
          <cell r="BE155">
            <v>0</v>
          </cell>
          <cell r="BF155">
            <v>0</v>
          </cell>
          <cell r="BG155">
            <v>0</v>
          </cell>
          <cell r="BH155">
            <v>278468.03092595865</v>
          </cell>
          <cell r="BI155">
            <v>0</v>
          </cell>
          <cell r="BJ155">
            <v>0</v>
          </cell>
          <cell r="BK155">
            <v>0</v>
          </cell>
          <cell r="BL155">
            <v>0</v>
          </cell>
          <cell r="BM155">
            <v>0</v>
          </cell>
          <cell r="BN155">
            <v>0</v>
          </cell>
          <cell r="BO155">
            <v>0</v>
          </cell>
          <cell r="BP155">
            <v>0</v>
          </cell>
          <cell r="BQ155">
            <v>0</v>
          </cell>
          <cell r="BR155">
            <v>0</v>
          </cell>
          <cell r="BS155">
            <v>0</v>
          </cell>
          <cell r="BT155">
            <v>7131087.356423486</v>
          </cell>
          <cell r="BU155">
            <v>0</v>
          </cell>
          <cell r="BV155">
            <v>0</v>
          </cell>
          <cell r="BW155">
            <v>0</v>
          </cell>
          <cell r="BX155">
            <v>0</v>
          </cell>
          <cell r="BY155">
            <v>0</v>
          </cell>
          <cell r="BZ155">
            <v>0</v>
          </cell>
          <cell r="CA155">
            <v>0</v>
          </cell>
          <cell r="CB155">
            <v>0</v>
          </cell>
          <cell r="CC155">
            <v>0</v>
          </cell>
          <cell r="CD155">
            <v>0</v>
          </cell>
          <cell r="CE155">
            <v>0</v>
          </cell>
          <cell r="CF155">
            <v>6573030.4559624502</v>
          </cell>
          <cell r="CG155">
            <v>0</v>
          </cell>
          <cell r="CH155">
            <v>0</v>
          </cell>
          <cell r="CI155">
            <v>0</v>
          </cell>
          <cell r="CJ155">
            <v>0</v>
          </cell>
          <cell r="CK155">
            <v>0</v>
          </cell>
          <cell r="CL155">
            <v>0</v>
          </cell>
          <cell r="CM155">
            <v>0</v>
          </cell>
          <cell r="CN155">
            <v>0</v>
          </cell>
          <cell r="CO155">
            <v>0</v>
          </cell>
          <cell r="CP155">
            <v>0</v>
          </cell>
          <cell r="CQ155">
            <v>0</v>
          </cell>
          <cell r="CR155">
            <v>-13358713.425722854</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v>0</v>
          </cell>
          <cell r="DU155">
            <v>0</v>
          </cell>
          <cell r="DV155">
            <v>0</v>
          </cell>
          <cell r="DW155">
            <v>0</v>
          </cell>
          <cell r="DX155">
            <v>0</v>
          </cell>
          <cell r="DY155">
            <v>0</v>
          </cell>
          <cell r="DZ155">
            <v>0</v>
          </cell>
          <cell r="EA155">
            <v>0</v>
          </cell>
          <cell r="EB155">
            <v>0</v>
          </cell>
          <cell r="EC155">
            <v>0</v>
          </cell>
          <cell r="ED155">
            <v>0</v>
          </cell>
          <cell r="EE155">
            <v>0</v>
          </cell>
          <cell r="EF155">
            <v>0</v>
          </cell>
          <cell r="EG155">
            <v>0</v>
          </cell>
          <cell r="EH155">
            <v>0</v>
          </cell>
          <cell r="EI155">
            <v>0</v>
          </cell>
          <cell r="EJ155">
            <v>0</v>
          </cell>
          <cell r="EK155">
            <v>0</v>
          </cell>
          <cell r="EL155">
            <v>0</v>
          </cell>
          <cell r="EM155">
            <v>0</v>
          </cell>
          <cell r="EN155">
            <v>0</v>
          </cell>
          <cell r="EO155">
            <v>0</v>
          </cell>
          <cell r="EP155">
            <v>0</v>
          </cell>
          <cell r="EQ155">
            <v>0</v>
          </cell>
          <cell r="ER155">
            <v>0</v>
          </cell>
          <cell r="ES155">
            <v>0</v>
          </cell>
          <cell r="ET155">
            <v>0</v>
          </cell>
          <cell r="EU155">
            <v>0</v>
          </cell>
          <cell r="EV155">
            <v>0</v>
          </cell>
          <cell r="EW155">
            <v>0</v>
          </cell>
          <cell r="EX155">
            <v>0</v>
          </cell>
          <cell r="EY155">
            <v>0</v>
          </cell>
          <cell r="EZ155">
            <v>0</v>
          </cell>
          <cell r="FA155">
            <v>0</v>
          </cell>
          <cell r="FB155">
            <v>0</v>
          </cell>
          <cell r="FC155">
            <v>0</v>
          </cell>
          <cell r="FD155">
            <v>0</v>
          </cell>
          <cell r="FE155">
            <v>0</v>
          </cell>
          <cell r="FF155">
            <v>0</v>
          </cell>
          <cell r="FG155">
            <v>0</v>
          </cell>
          <cell r="FH155">
            <v>0</v>
          </cell>
          <cell r="FI155">
            <v>0</v>
          </cell>
          <cell r="FJ155">
            <v>0</v>
          </cell>
          <cell r="FK155">
            <v>0</v>
          </cell>
          <cell r="FL155">
            <v>0</v>
          </cell>
          <cell r="FM155">
            <v>0</v>
          </cell>
          <cell r="FN155">
            <v>0</v>
          </cell>
          <cell r="FO155">
            <v>0</v>
          </cell>
          <cell r="FP155">
            <v>0</v>
          </cell>
          <cell r="FQ155">
            <v>0</v>
          </cell>
          <cell r="FR155">
            <v>0</v>
          </cell>
          <cell r="FS155">
            <v>0</v>
          </cell>
          <cell r="FT155">
            <v>0</v>
          </cell>
          <cell r="FU155">
            <v>0</v>
          </cell>
          <cell r="FV155">
            <v>0</v>
          </cell>
          <cell r="FW155">
            <v>0</v>
          </cell>
          <cell r="FX155">
            <v>0</v>
          </cell>
          <cell r="FY155">
            <v>0</v>
          </cell>
          <cell r="FZ155">
            <v>0</v>
          </cell>
          <cell r="GA155">
            <v>0</v>
          </cell>
          <cell r="GB155">
            <v>0</v>
          </cell>
          <cell r="GC155">
            <v>0</v>
          </cell>
          <cell r="GD155">
            <v>0</v>
          </cell>
          <cell r="GE155">
            <v>0</v>
          </cell>
          <cell r="GF155">
            <v>0</v>
          </cell>
          <cell r="GG155">
            <v>0</v>
          </cell>
          <cell r="GH155">
            <v>0</v>
          </cell>
          <cell r="GI155">
            <v>0</v>
          </cell>
          <cell r="GJ155">
            <v>0</v>
          </cell>
          <cell r="GK155">
            <v>0</v>
          </cell>
          <cell r="GL155">
            <v>0</v>
          </cell>
          <cell r="GM155">
            <v>0</v>
          </cell>
          <cell r="GN155">
            <v>0</v>
          </cell>
          <cell r="GO155">
            <v>0</v>
          </cell>
          <cell r="GP155">
            <v>0</v>
          </cell>
          <cell r="GQ155">
            <v>0</v>
          </cell>
          <cell r="GR155">
            <v>0</v>
          </cell>
          <cell r="GS155">
            <v>0</v>
          </cell>
          <cell r="GT155">
            <v>0</v>
          </cell>
          <cell r="GU155">
            <v>0</v>
          </cell>
          <cell r="GV155">
            <v>0</v>
          </cell>
          <cell r="GW155">
            <v>0</v>
          </cell>
          <cell r="GX155">
            <v>0</v>
          </cell>
          <cell r="GY155">
            <v>0</v>
          </cell>
          <cell r="GZ155">
            <v>0</v>
          </cell>
          <cell r="HA155">
            <v>0</v>
          </cell>
          <cell r="HB155">
            <v>0</v>
          </cell>
          <cell r="HC155">
            <v>0</v>
          </cell>
          <cell r="HD155">
            <v>0</v>
          </cell>
          <cell r="HE155">
            <v>1537319558.7019012</v>
          </cell>
        </row>
        <row r="156">
          <cell r="B156" t="str">
            <v>HBS-38</v>
          </cell>
          <cell r="C156" t="str">
            <v>㈜ 에덴</v>
          </cell>
          <cell r="D156">
            <v>0.3956950421729295</v>
          </cell>
          <cell r="E156" t="str">
            <v>담     보</v>
          </cell>
          <cell r="F156">
            <v>0</v>
          </cell>
          <cell r="G156">
            <v>0</v>
          </cell>
          <cell r="H156">
            <v>0</v>
          </cell>
          <cell r="I156">
            <v>0</v>
          </cell>
          <cell r="J156">
            <v>0</v>
          </cell>
          <cell r="K156">
            <v>90367375.199528188</v>
          </cell>
          <cell r="L156">
            <v>0</v>
          </cell>
          <cell r="M156">
            <v>0</v>
          </cell>
          <cell r="N156">
            <v>0</v>
          </cell>
          <cell r="O156">
            <v>0</v>
          </cell>
          <cell r="P156">
            <v>0</v>
          </cell>
          <cell r="Q156">
            <v>0</v>
          </cell>
          <cell r="R156">
            <v>0</v>
          </cell>
          <cell r="S156">
            <v>0</v>
          </cell>
          <cell r="T156">
            <v>0</v>
          </cell>
          <cell r="U156">
            <v>0</v>
          </cell>
          <cell r="V156">
            <v>0</v>
          </cell>
          <cell r="W156">
            <v>90367375.199528188</v>
          </cell>
          <cell r="X156">
            <v>0</v>
          </cell>
          <cell r="Y156">
            <v>0</v>
          </cell>
          <cell r="Z156">
            <v>0</v>
          </cell>
          <cell r="AA156">
            <v>0</v>
          </cell>
          <cell r="AB156">
            <v>0</v>
          </cell>
          <cell r="AC156">
            <v>0</v>
          </cell>
          <cell r="AD156">
            <v>0</v>
          </cell>
          <cell r="AE156">
            <v>0</v>
          </cell>
          <cell r="AF156">
            <v>0</v>
          </cell>
          <cell r="AG156">
            <v>0</v>
          </cell>
          <cell r="AH156">
            <v>0</v>
          </cell>
          <cell r="AI156">
            <v>241743567.78869966</v>
          </cell>
          <cell r="AJ156">
            <v>0</v>
          </cell>
          <cell r="AK156">
            <v>0</v>
          </cell>
          <cell r="AL156">
            <v>0</v>
          </cell>
          <cell r="AM156">
            <v>0</v>
          </cell>
          <cell r="AN156">
            <v>0</v>
          </cell>
          <cell r="AO156">
            <v>0</v>
          </cell>
          <cell r="AP156">
            <v>0</v>
          </cell>
          <cell r="AQ156">
            <v>0</v>
          </cell>
          <cell r="AR156">
            <v>0</v>
          </cell>
          <cell r="AS156">
            <v>0</v>
          </cell>
          <cell r="AT156">
            <v>0</v>
          </cell>
          <cell r="AU156">
            <v>241732686.17503992</v>
          </cell>
          <cell r="AV156">
            <v>0</v>
          </cell>
          <cell r="AW156">
            <v>0</v>
          </cell>
          <cell r="AX156">
            <v>0</v>
          </cell>
          <cell r="AY156">
            <v>0</v>
          </cell>
          <cell r="AZ156">
            <v>0</v>
          </cell>
          <cell r="BA156">
            <v>0</v>
          </cell>
          <cell r="BB156">
            <v>0</v>
          </cell>
          <cell r="BC156">
            <v>0</v>
          </cell>
          <cell r="BD156">
            <v>0</v>
          </cell>
          <cell r="BE156">
            <v>0</v>
          </cell>
          <cell r="BF156">
            <v>0</v>
          </cell>
          <cell r="BG156">
            <v>241732686.17503992</v>
          </cell>
          <cell r="BH156">
            <v>0</v>
          </cell>
          <cell r="BI156">
            <v>0</v>
          </cell>
          <cell r="BJ156">
            <v>0</v>
          </cell>
          <cell r="BK156">
            <v>0</v>
          </cell>
          <cell r="BL156">
            <v>0</v>
          </cell>
          <cell r="BM156">
            <v>0</v>
          </cell>
          <cell r="BN156">
            <v>0</v>
          </cell>
          <cell r="BO156">
            <v>0</v>
          </cell>
          <cell r="BP156">
            <v>0</v>
          </cell>
          <cell r="BQ156">
            <v>0</v>
          </cell>
          <cell r="BR156">
            <v>0</v>
          </cell>
          <cell r="BS156">
            <v>241732686.17503992</v>
          </cell>
          <cell r="BT156">
            <v>0</v>
          </cell>
          <cell r="BU156">
            <v>0</v>
          </cell>
          <cell r="BV156">
            <v>0</v>
          </cell>
          <cell r="BW156">
            <v>0</v>
          </cell>
          <cell r="BX156">
            <v>0</v>
          </cell>
          <cell r="BY156">
            <v>0</v>
          </cell>
          <cell r="BZ156">
            <v>0</v>
          </cell>
          <cell r="CA156">
            <v>0</v>
          </cell>
          <cell r="CB156">
            <v>0</v>
          </cell>
          <cell r="CC156">
            <v>0</v>
          </cell>
          <cell r="CD156">
            <v>0</v>
          </cell>
          <cell r="CE156">
            <v>241732686.17503992</v>
          </cell>
          <cell r="CF156">
            <v>0</v>
          </cell>
          <cell r="CG156">
            <v>0</v>
          </cell>
          <cell r="CH156">
            <v>0</v>
          </cell>
          <cell r="CI156">
            <v>0</v>
          </cell>
          <cell r="CJ156">
            <v>0</v>
          </cell>
          <cell r="CK156">
            <v>0</v>
          </cell>
          <cell r="CL156">
            <v>0</v>
          </cell>
          <cell r="CM156">
            <v>0</v>
          </cell>
          <cell r="CN156">
            <v>0</v>
          </cell>
          <cell r="CO156">
            <v>0</v>
          </cell>
          <cell r="CP156">
            <v>0</v>
          </cell>
          <cell r="CQ156">
            <v>241732686.17503992</v>
          </cell>
          <cell r="CR156">
            <v>0</v>
          </cell>
          <cell r="CS156">
            <v>0</v>
          </cell>
          <cell r="CT156">
            <v>0</v>
          </cell>
          <cell r="CU156">
            <v>0</v>
          </cell>
          <cell r="CV156">
            <v>0</v>
          </cell>
          <cell r="CW156">
            <v>0</v>
          </cell>
          <cell r="CX156">
            <v>0</v>
          </cell>
          <cell r="CY156">
            <v>0</v>
          </cell>
          <cell r="CZ156">
            <v>0</v>
          </cell>
          <cell r="DA156">
            <v>5789887.438778826</v>
          </cell>
          <cell r="DB156">
            <v>5229575.7511550691</v>
          </cell>
          <cell r="DC156">
            <v>247522572.42673358</v>
          </cell>
          <cell r="DD156">
            <v>4667110.295416764</v>
          </cell>
          <cell r="DE156">
            <v>4822680.6385973226</v>
          </cell>
          <cell r="DF156">
            <v>4667110.295416764</v>
          </cell>
          <cell r="DG156">
            <v>4822680.6385973226</v>
          </cell>
          <cell r="DH156">
            <v>4822680.6385973226</v>
          </cell>
          <cell r="DI156">
            <v>4667110.295416764</v>
          </cell>
          <cell r="DJ156">
            <v>4822680.6385973226</v>
          </cell>
          <cell r="DK156">
            <v>4667110.295416764</v>
          </cell>
          <cell r="DL156">
            <v>4822680.6385973226</v>
          </cell>
          <cell r="DM156">
            <v>4822680.6385973226</v>
          </cell>
          <cell r="DN156">
            <v>4355969.6090556467</v>
          </cell>
          <cell r="DO156">
            <v>156247746.08223584</v>
          </cell>
          <cell r="DP156">
            <v>3111373.3216807521</v>
          </cell>
          <cell r="DQ156">
            <v>3215085.7657367769</v>
          </cell>
          <cell r="DR156">
            <v>3111373.3216807521</v>
          </cell>
          <cell r="DS156">
            <v>3215085.7657367769</v>
          </cell>
          <cell r="DT156">
            <v>3215085.7657367769</v>
          </cell>
          <cell r="DU156">
            <v>3111373.3216807521</v>
          </cell>
          <cell r="DV156">
            <v>3215085.7657367769</v>
          </cell>
          <cell r="DW156">
            <v>3111373.3216807521</v>
          </cell>
          <cell r="DX156">
            <v>3215085.7657367769</v>
          </cell>
          <cell r="DY156">
            <v>3206301.3783986988</v>
          </cell>
          <cell r="DZ156">
            <v>2999443.2249536212</v>
          </cell>
          <cell r="EA156">
            <v>154631366.82203725</v>
          </cell>
          <cell r="EB156">
            <v>1551385.9754093715</v>
          </cell>
          <cell r="EC156">
            <v>1603098.8412563505</v>
          </cell>
          <cell r="ED156">
            <v>1551385.9754093715</v>
          </cell>
          <cell r="EE156">
            <v>1603098.8412563505</v>
          </cell>
          <cell r="EF156">
            <v>1603098.8412563505</v>
          </cell>
          <cell r="EG156">
            <v>1551385.9754093715</v>
          </cell>
          <cell r="EH156">
            <v>1603098.8412563505</v>
          </cell>
          <cell r="EI156">
            <v>1551385.9754093715</v>
          </cell>
          <cell r="EJ156">
            <v>1603098.8412563505</v>
          </cell>
          <cell r="EK156">
            <v>1607490.8928762311</v>
          </cell>
          <cell r="EL156">
            <v>1451927.258081757</v>
          </cell>
          <cell r="EM156">
            <v>153032555.54512468</v>
          </cell>
          <cell r="EN156">
            <v>0</v>
          </cell>
          <cell r="EO156">
            <v>0</v>
          </cell>
          <cell r="EP156">
            <v>0</v>
          </cell>
          <cell r="EQ156">
            <v>0</v>
          </cell>
          <cell r="ER156">
            <v>0</v>
          </cell>
          <cell r="ES156">
            <v>0</v>
          </cell>
          <cell r="ET156">
            <v>0</v>
          </cell>
          <cell r="EU156">
            <v>0</v>
          </cell>
          <cell r="EV156">
            <v>0</v>
          </cell>
          <cell r="EW156">
            <v>0</v>
          </cell>
          <cell r="EX156">
            <v>0</v>
          </cell>
          <cell r="EY156">
            <v>-918.97463304647999</v>
          </cell>
          <cell r="EZ156">
            <v>-915.62071102806215</v>
          </cell>
          <cell r="FA156">
            <v>-915.62071102806215</v>
          </cell>
          <cell r="FB156">
            <v>-815.00305047552786</v>
          </cell>
          <cell r="FC156">
            <v>-711.03146790457561</v>
          </cell>
          <cell r="FD156">
            <v>-610.41380735204132</v>
          </cell>
          <cell r="FE156">
            <v>-506.44222478108929</v>
          </cell>
          <cell r="FF156">
            <v>-402.47064221013721</v>
          </cell>
          <cell r="FG156">
            <v>0</v>
          </cell>
          <cell r="FH156">
            <v>0</v>
          </cell>
          <cell r="FI156">
            <v>0</v>
          </cell>
          <cell r="FJ156">
            <v>0</v>
          </cell>
          <cell r="FK156">
            <v>0</v>
          </cell>
          <cell r="FL156">
            <v>0</v>
          </cell>
          <cell r="FM156">
            <v>0</v>
          </cell>
          <cell r="FN156">
            <v>0</v>
          </cell>
          <cell r="FO156">
            <v>0</v>
          </cell>
          <cell r="FP156">
            <v>0</v>
          </cell>
          <cell r="FQ156">
            <v>0</v>
          </cell>
          <cell r="FR156">
            <v>0</v>
          </cell>
          <cell r="FS156">
            <v>0</v>
          </cell>
          <cell r="FT156">
            <v>0</v>
          </cell>
          <cell r="FU156">
            <v>0</v>
          </cell>
          <cell r="FV156">
            <v>0</v>
          </cell>
          <cell r="FW156">
            <v>0</v>
          </cell>
          <cell r="FX156">
            <v>0</v>
          </cell>
          <cell r="FY156">
            <v>0</v>
          </cell>
          <cell r="FZ156">
            <v>0</v>
          </cell>
          <cell r="GA156">
            <v>0</v>
          </cell>
          <cell r="GB156">
            <v>0</v>
          </cell>
          <cell r="GC156">
            <v>0</v>
          </cell>
          <cell r="GD156">
            <v>0</v>
          </cell>
          <cell r="GE156">
            <v>0</v>
          </cell>
          <cell r="GF156">
            <v>0</v>
          </cell>
          <cell r="GG156">
            <v>0</v>
          </cell>
          <cell r="GH156">
            <v>0</v>
          </cell>
          <cell r="GI156">
            <v>0</v>
          </cell>
          <cell r="GJ156">
            <v>0</v>
          </cell>
          <cell r="GK156">
            <v>0</v>
          </cell>
          <cell r="GL156">
            <v>0</v>
          </cell>
          <cell r="GM156">
            <v>0</v>
          </cell>
          <cell r="GN156">
            <v>0</v>
          </cell>
          <cell r="GO156">
            <v>0</v>
          </cell>
          <cell r="GP156">
            <v>0</v>
          </cell>
          <cell r="GQ156">
            <v>0</v>
          </cell>
          <cell r="GR156">
            <v>0</v>
          </cell>
          <cell r="GS156">
            <v>0</v>
          </cell>
          <cell r="GT156">
            <v>0</v>
          </cell>
          <cell r="GU156">
            <v>0</v>
          </cell>
          <cell r="GV156">
            <v>0</v>
          </cell>
          <cell r="GW156">
            <v>0</v>
          </cell>
          <cell r="GX156">
            <v>0</v>
          </cell>
          <cell r="GY156">
            <v>0</v>
          </cell>
          <cell r="GZ156">
            <v>0</v>
          </cell>
          <cell r="HA156">
            <v>0</v>
          </cell>
          <cell r="HB156">
            <v>0</v>
          </cell>
          <cell r="HC156">
            <v>0</v>
          </cell>
          <cell r="HD156">
            <v>0</v>
          </cell>
          <cell r="HE156">
            <v>2457557275.1517162</v>
          </cell>
        </row>
        <row r="157">
          <cell r="D157">
            <v>0.3956950421729295</v>
          </cell>
          <cell r="E157" t="str">
            <v>무 담 보</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0</v>
          </cell>
          <cell r="DM157">
            <v>0</v>
          </cell>
          <cell r="DN157">
            <v>0</v>
          </cell>
          <cell r="DO157">
            <v>0</v>
          </cell>
          <cell r="DP157">
            <v>0</v>
          </cell>
          <cell r="DQ157">
            <v>0</v>
          </cell>
          <cell r="DR157">
            <v>0</v>
          </cell>
          <cell r="DS157">
            <v>0</v>
          </cell>
          <cell r="DT157">
            <v>0</v>
          </cell>
          <cell r="DU157">
            <v>0</v>
          </cell>
          <cell r="DV157">
            <v>0</v>
          </cell>
          <cell r="DW157">
            <v>0</v>
          </cell>
          <cell r="DX157">
            <v>0</v>
          </cell>
          <cell r="DY157">
            <v>0</v>
          </cell>
          <cell r="DZ157">
            <v>0</v>
          </cell>
          <cell r="EA157">
            <v>0</v>
          </cell>
          <cell r="EB157">
            <v>0</v>
          </cell>
          <cell r="EC157">
            <v>0</v>
          </cell>
          <cell r="ED157">
            <v>0</v>
          </cell>
          <cell r="EE157">
            <v>0</v>
          </cell>
          <cell r="EF157">
            <v>0</v>
          </cell>
          <cell r="EG157">
            <v>0</v>
          </cell>
          <cell r="EH157">
            <v>0</v>
          </cell>
          <cell r="EI157">
            <v>0</v>
          </cell>
          <cell r="EJ157">
            <v>0</v>
          </cell>
          <cell r="EK157">
            <v>0</v>
          </cell>
          <cell r="EL157">
            <v>0</v>
          </cell>
          <cell r="EM157">
            <v>0</v>
          </cell>
          <cell r="EN157">
            <v>0</v>
          </cell>
          <cell r="EO157">
            <v>0</v>
          </cell>
          <cell r="EP157">
            <v>0</v>
          </cell>
          <cell r="EQ157">
            <v>0</v>
          </cell>
          <cell r="ER157">
            <v>0</v>
          </cell>
          <cell r="ES157">
            <v>0</v>
          </cell>
          <cell r="ET157">
            <v>0</v>
          </cell>
          <cell r="EU157">
            <v>0</v>
          </cell>
          <cell r="EV157">
            <v>0</v>
          </cell>
          <cell r="EW157">
            <v>0</v>
          </cell>
          <cell r="EX157">
            <v>0</v>
          </cell>
          <cell r="EY157">
            <v>0</v>
          </cell>
          <cell r="EZ157">
            <v>0</v>
          </cell>
          <cell r="FA157">
            <v>0</v>
          </cell>
          <cell r="FB157">
            <v>0</v>
          </cell>
          <cell r="FC157">
            <v>0</v>
          </cell>
          <cell r="FD157">
            <v>0</v>
          </cell>
          <cell r="FE157">
            <v>0</v>
          </cell>
          <cell r="FF157">
            <v>0</v>
          </cell>
          <cell r="FG157">
            <v>0</v>
          </cell>
          <cell r="FH157">
            <v>0</v>
          </cell>
          <cell r="FI157">
            <v>0</v>
          </cell>
          <cell r="FJ157">
            <v>0</v>
          </cell>
          <cell r="FK157">
            <v>0</v>
          </cell>
          <cell r="FL157">
            <v>0</v>
          </cell>
          <cell r="FM157">
            <v>0</v>
          </cell>
          <cell r="FN157">
            <v>0</v>
          </cell>
          <cell r="FO157">
            <v>0</v>
          </cell>
          <cell r="FP157">
            <v>0</v>
          </cell>
          <cell r="FQ157">
            <v>0</v>
          </cell>
          <cell r="FR157">
            <v>0</v>
          </cell>
          <cell r="FS157">
            <v>0</v>
          </cell>
          <cell r="FT157">
            <v>0</v>
          </cell>
          <cell r="FU157">
            <v>0</v>
          </cell>
          <cell r="FV157">
            <v>0</v>
          </cell>
          <cell r="FW157">
            <v>0</v>
          </cell>
          <cell r="FX157">
            <v>0</v>
          </cell>
          <cell r="FY157">
            <v>0</v>
          </cell>
          <cell r="FZ157">
            <v>0</v>
          </cell>
          <cell r="GA157">
            <v>0</v>
          </cell>
          <cell r="GB157">
            <v>0</v>
          </cell>
          <cell r="GC157">
            <v>0</v>
          </cell>
          <cell r="GD157">
            <v>0</v>
          </cell>
          <cell r="GE157">
            <v>0</v>
          </cell>
          <cell r="GF157">
            <v>0</v>
          </cell>
          <cell r="GG157">
            <v>0</v>
          </cell>
          <cell r="GH157">
            <v>0</v>
          </cell>
          <cell r="GI157">
            <v>0</v>
          </cell>
          <cell r="GJ157">
            <v>0</v>
          </cell>
          <cell r="GK157">
            <v>0</v>
          </cell>
          <cell r="GL157">
            <v>0</v>
          </cell>
          <cell r="GM157">
            <v>0</v>
          </cell>
          <cell r="GN157">
            <v>0</v>
          </cell>
          <cell r="GO157">
            <v>0</v>
          </cell>
          <cell r="GP157">
            <v>0</v>
          </cell>
          <cell r="GQ157">
            <v>0</v>
          </cell>
          <cell r="GR157">
            <v>0</v>
          </cell>
          <cell r="GS157">
            <v>0</v>
          </cell>
          <cell r="GT157">
            <v>0</v>
          </cell>
          <cell r="GU157">
            <v>0</v>
          </cell>
          <cell r="GV157">
            <v>0</v>
          </cell>
          <cell r="GW157">
            <v>0</v>
          </cell>
          <cell r="GX157">
            <v>0</v>
          </cell>
          <cell r="GY157">
            <v>0</v>
          </cell>
          <cell r="GZ157">
            <v>0</v>
          </cell>
          <cell r="HA157">
            <v>0</v>
          </cell>
          <cell r="HB157">
            <v>0</v>
          </cell>
          <cell r="HC157">
            <v>0</v>
          </cell>
          <cell r="HD157">
            <v>0</v>
          </cell>
          <cell r="HE157">
            <v>0</v>
          </cell>
        </row>
        <row r="158">
          <cell r="E158" t="str">
            <v>Total</v>
          </cell>
          <cell r="F158">
            <v>0</v>
          </cell>
          <cell r="G158">
            <v>0</v>
          </cell>
          <cell r="H158">
            <v>0</v>
          </cell>
          <cell r="I158">
            <v>0</v>
          </cell>
          <cell r="J158">
            <v>0</v>
          </cell>
          <cell r="K158">
            <v>90367375.199528188</v>
          </cell>
          <cell r="L158">
            <v>0</v>
          </cell>
          <cell r="M158">
            <v>0</v>
          </cell>
          <cell r="N158">
            <v>0</v>
          </cell>
          <cell r="O158">
            <v>0</v>
          </cell>
          <cell r="P158">
            <v>0</v>
          </cell>
          <cell r="Q158">
            <v>0</v>
          </cell>
          <cell r="R158">
            <v>0</v>
          </cell>
          <cell r="S158">
            <v>0</v>
          </cell>
          <cell r="T158">
            <v>0</v>
          </cell>
          <cell r="U158">
            <v>0</v>
          </cell>
          <cell r="V158">
            <v>0</v>
          </cell>
          <cell r="W158">
            <v>90367375.199528188</v>
          </cell>
          <cell r="X158">
            <v>0</v>
          </cell>
          <cell r="Y158">
            <v>0</v>
          </cell>
          <cell r="Z158">
            <v>0</v>
          </cell>
          <cell r="AA158">
            <v>0</v>
          </cell>
          <cell r="AB158">
            <v>0</v>
          </cell>
          <cell r="AC158">
            <v>0</v>
          </cell>
          <cell r="AD158">
            <v>0</v>
          </cell>
          <cell r="AE158">
            <v>0</v>
          </cell>
          <cell r="AF158">
            <v>0</v>
          </cell>
          <cell r="AG158">
            <v>0</v>
          </cell>
          <cell r="AH158">
            <v>0</v>
          </cell>
          <cell r="AI158">
            <v>241743567.78869966</v>
          </cell>
          <cell r="AJ158">
            <v>0</v>
          </cell>
          <cell r="AK158">
            <v>0</v>
          </cell>
          <cell r="AL158">
            <v>0</v>
          </cell>
          <cell r="AM158">
            <v>0</v>
          </cell>
          <cell r="AN158">
            <v>0</v>
          </cell>
          <cell r="AO158">
            <v>0</v>
          </cell>
          <cell r="AP158">
            <v>0</v>
          </cell>
          <cell r="AQ158">
            <v>0</v>
          </cell>
          <cell r="AR158">
            <v>0</v>
          </cell>
          <cell r="AS158">
            <v>0</v>
          </cell>
          <cell r="AT158">
            <v>0</v>
          </cell>
          <cell r="AU158">
            <v>241732686.17503992</v>
          </cell>
          <cell r="AV158">
            <v>0</v>
          </cell>
          <cell r="AW158">
            <v>0</v>
          </cell>
          <cell r="AX158">
            <v>0</v>
          </cell>
          <cell r="AY158">
            <v>0</v>
          </cell>
          <cell r="AZ158">
            <v>0</v>
          </cell>
          <cell r="BA158">
            <v>0</v>
          </cell>
          <cell r="BB158">
            <v>0</v>
          </cell>
          <cell r="BC158">
            <v>0</v>
          </cell>
          <cell r="BD158">
            <v>0</v>
          </cell>
          <cell r="BE158">
            <v>0</v>
          </cell>
          <cell r="BF158">
            <v>0</v>
          </cell>
          <cell r="BG158">
            <v>241732686.17503992</v>
          </cell>
          <cell r="BH158">
            <v>0</v>
          </cell>
          <cell r="BI158">
            <v>0</v>
          </cell>
          <cell r="BJ158">
            <v>0</v>
          </cell>
          <cell r="BK158">
            <v>0</v>
          </cell>
          <cell r="BL158">
            <v>0</v>
          </cell>
          <cell r="BM158">
            <v>0</v>
          </cell>
          <cell r="BN158">
            <v>0</v>
          </cell>
          <cell r="BO158">
            <v>0</v>
          </cell>
          <cell r="BP158">
            <v>0</v>
          </cell>
          <cell r="BQ158">
            <v>0</v>
          </cell>
          <cell r="BR158">
            <v>0</v>
          </cell>
          <cell r="BS158">
            <v>241732686.17503992</v>
          </cell>
          <cell r="BT158">
            <v>0</v>
          </cell>
          <cell r="BU158">
            <v>0</v>
          </cell>
          <cell r="BV158">
            <v>0</v>
          </cell>
          <cell r="BW158">
            <v>0</v>
          </cell>
          <cell r="BX158">
            <v>0</v>
          </cell>
          <cell r="BY158">
            <v>0</v>
          </cell>
          <cell r="BZ158">
            <v>0</v>
          </cell>
          <cell r="CA158">
            <v>0</v>
          </cell>
          <cell r="CB158">
            <v>0</v>
          </cell>
          <cell r="CC158">
            <v>0</v>
          </cell>
          <cell r="CD158">
            <v>0</v>
          </cell>
          <cell r="CE158">
            <v>241732686.17503992</v>
          </cell>
          <cell r="CF158">
            <v>0</v>
          </cell>
          <cell r="CG158">
            <v>0</v>
          </cell>
          <cell r="CH158">
            <v>0</v>
          </cell>
          <cell r="CI158">
            <v>0</v>
          </cell>
          <cell r="CJ158">
            <v>0</v>
          </cell>
          <cell r="CK158">
            <v>0</v>
          </cell>
          <cell r="CL158">
            <v>0</v>
          </cell>
          <cell r="CM158">
            <v>0</v>
          </cell>
          <cell r="CN158">
            <v>0</v>
          </cell>
          <cell r="CO158">
            <v>0</v>
          </cell>
          <cell r="CP158">
            <v>0</v>
          </cell>
          <cell r="CQ158">
            <v>241732686.17503992</v>
          </cell>
          <cell r="CR158">
            <v>0</v>
          </cell>
          <cell r="CS158">
            <v>0</v>
          </cell>
          <cell r="CT158">
            <v>0</v>
          </cell>
          <cell r="CU158">
            <v>0</v>
          </cell>
          <cell r="CV158">
            <v>0</v>
          </cell>
          <cell r="CW158">
            <v>0</v>
          </cell>
          <cell r="CX158">
            <v>0</v>
          </cell>
          <cell r="CY158">
            <v>0</v>
          </cell>
          <cell r="CZ158">
            <v>0</v>
          </cell>
          <cell r="DA158">
            <v>5789887.438778826</v>
          </cell>
          <cell r="DB158">
            <v>5229575.7511550691</v>
          </cell>
          <cell r="DC158">
            <v>247522572.42673358</v>
          </cell>
          <cell r="DD158">
            <v>4667110.295416764</v>
          </cell>
          <cell r="DE158">
            <v>4822680.6385973226</v>
          </cell>
          <cell r="DF158">
            <v>4667110.295416764</v>
          </cell>
          <cell r="DG158">
            <v>4822680.6385973226</v>
          </cell>
          <cell r="DH158">
            <v>4822680.6385973226</v>
          </cell>
          <cell r="DI158">
            <v>4667110.295416764</v>
          </cell>
          <cell r="DJ158">
            <v>4822680.6385973226</v>
          </cell>
          <cell r="DK158">
            <v>4667110.295416764</v>
          </cell>
          <cell r="DL158">
            <v>4822680.6385973226</v>
          </cell>
          <cell r="DM158">
            <v>4822680.6385973226</v>
          </cell>
          <cell r="DN158">
            <v>4355969.6090556467</v>
          </cell>
          <cell r="DO158">
            <v>156247746.08223584</v>
          </cell>
          <cell r="DP158">
            <v>3111373.3216807521</v>
          </cell>
          <cell r="DQ158">
            <v>3215085.7657367769</v>
          </cell>
          <cell r="DR158">
            <v>3111373.3216807521</v>
          </cell>
          <cell r="DS158">
            <v>3215085.7657367769</v>
          </cell>
          <cell r="DT158">
            <v>3215085.7657367769</v>
          </cell>
          <cell r="DU158">
            <v>3111373.3216807521</v>
          </cell>
          <cell r="DV158">
            <v>3215085.7657367769</v>
          </cell>
          <cell r="DW158">
            <v>3111373.3216807521</v>
          </cell>
          <cell r="DX158">
            <v>3215085.7657367769</v>
          </cell>
          <cell r="DY158">
            <v>3206301.3783986988</v>
          </cell>
          <cell r="DZ158">
            <v>2999443.2249536212</v>
          </cell>
          <cell r="EA158">
            <v>154631366.82203725</v>
          </cell>
          <cell r="EB158">
            <v>1551385.9754093715</v>
          </cell>
          <cell r="EC158">
            <v>1603098.8412563505</v>
          </cell>
          <cell r="ED158">
            <v>1551385.9754093715</v>
          </cell>
          <cell r="EE158">
            <v>1603098.8412563505</v>
          </cell>
          <cell r="EF158">
            <v>1603098.8412563505</v>
          </cell>
          <cell r="EG158">
            <v>1551385.9754093715</v>
          </cell>
          <cell r="EH158">
            <v>1603098.8412563505</v>
          </cell>
          <cell r="EI158">
            <v>1551385.9754093715</v>
          </cell>
          <cell r="EJ158">
            <v>1603098.8412563505</v>
          </cell>
          <cell r="EK158">
            <v>1607490.8928762311</v>
          </cell>
          <cell r="EL158">
            <v>1451927.258081757</v>
          </cell>
          <cell r="EM158">
            <v>153032555.54512468</v>
          </cell>
          <cell r="EN158">
            <v>0</v>
          </cell>
          <cell r="EO158">
            <v>0</v>
          </cell>
          <cell r="EP158">
            <v>0</v>
          </cell>
          <cell r="EQ158">
            <v>0</v>
          </cell>
          <cell r="ER158">
            <v>0</v>
          </cell>
          <cell r="ES158">
            <v>0</v>
          </cell>
          <cell r="ET158">
            <v>0</v>
          </cell>
          <cell r="EU158">
            <v>0</v>
          </cell>
          <cell r="EV158">
            <v>0</v>
          </cell>
          <cell r="EW158">
            <v>0</v>
          </cell>
          <cell r="EX158">
            <v>0</v>
          </cell>
          <cell r="EY158">
            <v>-918.97463304647999</v>
          </cell>
          <cell r="EZ158">
            <v>-915.62071102806215</v>
          </cell>
          <cell r="FA158">
            <v>-915.62071102806215</v>
          </cell>
          <cell r="FB158">
            <v>-815.00305047552786</v>
          </cell>
          <cell r="FC158">
            <v>-711.03146790457561</v>
          </cell>
          <cell r="FD158">
            <v>-610.41380735204132</v>
          </cell>
          <cell r="FE158">
            <v>-506.44222478108929</v>
          </cell>
          <cell r="FF158">
            <v>-402.47064221013721</v>
          </cell>
          <cell r="FG158">
            <v>0</v>
          </cell>
          <cell r="FH158">
            <v>0</v>
          </cell>
          <cell r="FI158">
            <v>0</v>
          </cell>
          <cell r="FJ158">
            <v>0</v>
          </cell>
          <cell r="FK158">
            <v>0</v>
          </cell>
          <cell r="FL158">
            <v>0</v>
          </cell>
          <cell r="FM158">
            <v>0</v>
          </cell>
          <cell r="FN158">
            <v>0</v>
          </cell>
          <cell r="FO158">
            <v>0</v>
          </cell>
          <cell r="FP158">
            <v>0</v>
          </cell>
          <cell r="FQ158">
            <v>0</v>
          </cell>
          <cell r="FR158">
            <v>0</v>
          </cell>
          <cell r="FS158">
            <v>0</v>
          </cell>
          <cell r="FT158">
            <v>0</v>
          </cell>
          <cell r="FU158">
            <v>0</v>
          </cell>
          <cell r="FV158">
            <v>0</v>
          </cell>
          <cell r="FW158">
            <v>0</v>
          </cell>
          <cell r="FX158">
            <v>0</v>
          </cell>
          <cell r="FY158">
            <v>0</v>
          </cell>
          <cell r="FZ158">
            <v>0</v>
          </cell>
          <cell r="GA158">
            <v>0</v>
          </cell>
          <cell r="GB158">
            <v>0</v>
          </cell>
          <cell r="GC158">
            <v>0</v>
          </cell>
          <cell r="GD158">
            <v>0</v>
          </cell>
          <cell r="GE158">
            <v>0</v>
          </cell>
          <cell r="GF158">
            <v>0</v>
          </cell>
          <cell r="GG158">
            <v>0</v>
          </cell>
          <cell r="GH158">
            <v>0</v>
          </cell>
          <cell r="GI158">
            <v>0</v>
          </cell>
          <cell r="GJ158">
            <v>0</v>
          </cell>
          <cell r="GK158">
            <v>0</v>
          </cell>
          <cell r="GL158">
            <v>0</v>
          </cell>
          <cell r="GM158">
            <v>0</v>
          </cell>
          <cell r="GN158">
            <v>0</v>
          </cell>
          <cell r="GO158">
            <v>0</v>
          </cell>
          <cell r="GP158">
            <v>0</v>
          </cell>
          <cell r="GQ158">
            <v>0</v>
          </cell>
          <cell r="GR158">
            <v>0</v>
          </cell>
          <cell r="GS158">
            <v>0</v>
          </cell>
          <cell r="GT158">
            <v>0</v>
          </cell>
          <cell r="GU158">
            <v>0</v>
          </cell>
          <cell r="GV158">
            <v>0</v>
          </cell>
          <cell r="GW158">
            <v>0</v>
          </cell>
          <cell r="GX158">
            <v>0</v>
          </cell>
          <cell r="GY158">
            <v>0</v>
          </cell>
          <cell r="GZ158">
            <v>0</v>
          </cell>
          <cell r="HA158">
            <v>0</v>
          </cell>
          <cell r="HB158">
            <v>0</v>
          </cell>
          <cell r="HC158">
            <v>0</v>
          </cell>
          <cell r="HD158">
            <v>0</v>
          </cell>
          <cell r="HE158">
            <v>2457557275.1517162</v>
          </cell>
        </row>
        <row r="159">
          <cell r="A159" t="str">
            <v>HBS-38</v>
          </cell>
          <cell r="E159" t="str">
            <v>현     가</v>
          </cell>
          <cell r="F159">
            <v>0</v>
          </cell>
          <cell r="G159">
            <v>0</v>
          </cell>
          <cell r="H159">
            <v>0</v>
          </cell>
          <cell r="I159">
            <v>0</v>
          </cell>
          <cell r="J159">
            <v>0</v>
          </cell>
          <cell r="K159">
            <v>88370442.003997967</v>
          </cell>
          <cell r="L159">
            <v>0</v>
          </cell>
          <cell r="M159">
            <v>0</v>
          </cell>
          <cell r="N159">
            <v>0</v>
          </cell>
          <cell r="O159">
            <v>0</v>
          </cell>
          <cell r="P159">
            <v>0</v>
          </cell>
          <cell r="Q159">
            <v>0</v>
          </cell>
          <cell r="R159">
            <v>0</v>
          </cell>
          <cell r="S159">
            <v>0</v>
          </cell>
          <cell r="T159">
            <v>0</v>
          </cell>
          <cell r="U159">
            <v>0</v>
          </cell>
          <cell r="V159">
            <v>0</v>
          </cell>
          <cell r="W159">
            <v>83000264.136758268</v>
          </cell>
          <cell r="X159">
            <v>0</v>
          </cell>
          <cell r="Y159">
            <v>0</v>
          </cell>
          <cell r="Z159">
            <v>0</v>
          </cell>
          <cell r="AA159">
            <v>0</v>
          </cell>
          <cell r="AB159">
            <v>0</v>
          </cell>
          <cell r="AC159">
            <v>0</v>
          </cell>
          <cell r="AD159">
            <v>0</v>
          </cell>
          <cell r="AE159">
            <v>0</v>
          </cell>
          <cell r="AF159">
            <v>0</v>
          </cell>
          <cell r="AG159">
            <v>0</v>
          </cell>
          <cell r="AH159">
            <v>0</v>
          </cell>
          <cell r="AI159">
            <v>207336238.61012706</v>
          </cell>
          <cell r="AJ159">
            <v>0</v>
          </cell>
          <cell r="AK159">
            <v>0</v>
          </cell>
          <cell r="AL159">
            <v>0</v>
          </cell>
          <cell r="AM159">
            <v>0</v>
          </cell>
          <cell r="AN159">
            <v>0</v>
          </cell>
          <cell r="AO159">
            <v>0</v>
          </cell>
          <cell r="AP159">
            <v>0</v>
          </cell>
          <cell r="AQ159">
            <v>0</v>
          </cell>
          <cell r="AR159">
            <v>0</v>
          </cell>
          <cell r="AS159">
            <v>0</v>
          </cell>
          <cell r="AT159">
            <v>0</v>
          </cell>
          <cell r="AU159">
            <v>191904954.24853417</v>
          </cell>
          <cell r="AV159">
            <v>0</v>
          </cell>
          <cell r="AW159">
            <v>0</v>
          </cell>
          <cell r="AX159">
            <v>0</v>
          </cell>
          <cell r="AY159">
            <v>0</v>
          </cell>
          <cell r="AZ159">
            <v>0</v>
          </cell>
          <cell r="BA159">
            <v>0</v>
          </cell>
          <cell r="BB159">
            <v>0</v>
          </cell>
          <cell r="BC159">
            <v>0</v>
          </cell>
          <cell r="BD159">
            <v>0</v>
          </cell>
          <cell r="BE159">
            <v>0</v>
          </cell>
          <cell r="BF159">
            <v>0</v>
          </cell>
          <cell r="BG159">
            <v>179367187.81992164</v>
          </cell>
          <cell r="BH159">
            <v>0</v>
          </cell>
          <cell r="BI159">
            <v>0</v>
          </cell>
          <cell r="BJ159">
            <v>0</v>
          </cell>
          <cell r="BK159">
            <v>0</v>
          </cell>
          <cell r="BL159">
            <v>0</v>
          </cell>
          <cell r="BM159">
            <v>0</v>
          </cell>
          <cell r="BN159">
            <v>0</v>
          </cell>
          <cell r="BO159">
            <v>0</v>
          </cell>
          <cell r="BP159">
            <v>0</v>
          </cell>
          <cell r="BQ159">
            <v>0</v>
          </cell>
          <cell r="BR159">
            <v>0</v>
          </cell>
          <cell r="BS159">
            <v>164045601.34671554</v>
          </cell>
          <cell r="BT159">
            <v>0</v>
          </cell>
          <cell r="BU159">
            <v>0</v>
          </cell>
          <cell r="BV159">
            <v>0</v>
          </cell>
          <cell r="BW159">
            <v>0</v>
          </cell>
          <cell r="BX159">
            <v>0</v>
          </cell>
          <cell r="BY159">
            <v>0</v>
          </cell>
          <cell r="BZ159">
            <v>0</v>
          </cell>
          <cell r="CA159">
            <v>0</v>
          </cell>
          <cell r="CB159">
            <v>0</v>
          </cell>
          <cell r="CC159">
            <v>0</v>
          </cell>
          <cell r="CD159">
            <v>0</v>
          </cell>
          <cell r="CE159">
            <v>152684262.98061231</v>
          </cell>
          <cell r="CF159">
            <v>0</v>
          </cell>
          <cell r="CG159">
            <v>0</v>
          </cell>
          <cell r="CH159">
            <v>0</v>
          </cell>
          <cell r="CI159">
            <v>0</v>
          </cell>
          <cell r="CJ159">
            <v>0</v>
          </cell>
          <cell r="CK159">
            <v>0</v>
          </cell>
          <cell r="CL159">
            <v>0</v>
          </cell>
          <cell r="CM159">
            <v>0</v>
          </cell>
          <cell r="CN159">
            <v>0</v>
          </cell>
          <cell r="CO159">
            <v>0</v>
          </cell>
          <cell r="CP159">
            <v>0</v>
          </cell>
          <cell r="CQ159">
            <v>142137649.39546853</v>
          </cell>
          <cell r="CR159">
            <v>0</v>
          </cell>
          <cell r="CS159">
            <v>0</v>
          </cell>
          <cell r="CT159">
            <v>0</v>
          </cell>
          <cell r="CU159">
            <v>0</v>
          </cell>
          <cell r="CV159">
            <v>0</v>
          </cell>
          <cell r="CW159">
            <v>0</v>
          </cell>
          <cell r="CX159">
            <v>0</v>
          </cell>
          <cell r="CY159">
            <v>0</v>
          </cell>
          <cell r="CZ159">
            <v>0</v>
          </cell>
          <cell r="DA159">
            <v>3206147.1149130967</v>
          </cell>
          <cell r="DB159">
            <v>2880017.7845672239</v>
          </cell>
          <cell r="DC159">
            <v>135488805.14455143</v>
          </cell>
          <cell r="DD159">
            <v>2539695.9343714733</v>
          </cell>
          <cell r="DE159">
            <v>2608447.2251990996</v>
          </cell>
          <cell r="DF159">
            <v>2509496.9466023003</v>
          </cell>
          <cell r="DG159">
            <v>2577430.7303564539</v>
          </cell>
          <cell r="DH159">
            <v>2561809.8655114304</v>
          </cell>
          <cell r="DI159">
            <v>2464628.7542911195</v>
          </cell>
          <cell r="DJ159">
            <v>2531347.9256592989</v>
          </cell>
          <cell r="DK159">
            <v>2435322.3745001033</v>
          </cell>
          <cell r="DL159">
            <v>2501248.2022979567</v>
          </cell>
          <cell r="DM159">
            <v>2486089.0518882964</v>
          </cell>
          <cell r="DN159">
            <v>2233204.0380031765</v>
          </cell>
          <cell r="DO159">
            <v>79619091.210588932</v>
          </cell>
          <cell r="DP159">
            <v>1576161.2087519879</v>
          </cell>
          <cell r="DQ159">
            <v>1618828.9612918007</v>
          </cell>
          <cell r="DR159">
            <v>1557419.4088297361</v>
          </cell>
          <cell r="DS159">
            <v>1599579.8081389319</v>
          </cell>
          <cell r="DT159">
            <v>1589885.3400403417</v>
          </cell>
          <cell r="DU159">
            <v>1529573.7509024972</v>
          </cell>
          <cell r="DV159">
            <v>1570980.3493725718</v>
          </cell>
          <cell r="DW159">
            <v>1511385.9125985454</v>
          </cell>
          <cell r="DX159">
            <v>1552300.15395459</v>
          </cell>
          <cell r="DY159">
            <v>1538676.6780028692</v>
          </cell>
          <cell r="DZ159">
            <v>1431244.7160552887</v>
          </cell>
          <cell r="EA159">
            <v>73338282.795731694</v>
          </cell>
          <cell r="EB159">
            <v>731472.59464651835</v>
          </cell>
          <cell r="EC159">
            <v>751274.05371347826</v>
          </cell>
          <cell r="ED159">
            <v>722774.80856895703</v>
          </cell>
          <cell r="EE159">
            <v>742340.8126697999</v>
          </cell>
          <cell r="EF159">
            <v>737841.75654887909</v>
          </cell>
          <cell r="EG159">
            <v>709852.05958834698</v>
          </cell>
          <cell r="EH159">
            <v>729068.23611281184</v>
          </cell>
          <cell r="EI159">
            <v>701411.35872518003</v>
          </cell>
          <cell r="EJ159">
            <v>720399.03975458234</v>
          </cell>
          <cell r="EK159">
            <v>717994.69884295063</v>
          </cell>
          <cell r="EL159">
            <v>644960.2678162615</v>
          </cell>
          <cell r="EM159">
            <v>67566562.555963516</v>
          </cell>
          <cell r="EN159">
            <v>0</v>
          </cell>
          <cell r="EO159">
            <v>0</v>
          </cell>
          <cell r="EP159">
            <v>0</v>
          </cell>
          <cell r="EQ159">
            <v>0</v>
          </cell>
          <cell r="ER159">
            <v>0</v>
          </cell>
          <cell r="ES159">
            <v>0</v>
          </cell>
          <cell r="ET159">
            <v>0</v>
          </cell>
          <cell r="EU159">
            <v>0</v>
          </cell>
          <cell r="EV159">
            <v>0</v>
          </cell>
          <cell r="EW159">
            <v>0</v>
          </cell>
          <cell r="EX159">
            <v>0</v>
          </cell>
          <cell r="EY159">
            <v>-377.71685894769502</v>
          </cell>
          <cell r="EZ159">
            <v>-374.13084086413323</v>
          </cell>
          <cell r="FA159">
            <v>-371.86337069290374</v>
          </cell>
          <cell r="FB159">
            <v>-329.05772018261689</v>
          </cell>
          <cell r="FC159">
            <v>-285.33928149037655</v>
          </cell>
          <cell r="FD159">
            <v>-243.47646177141539</v>
          </cell>
          <cell r="FE159">
            <v>-200.82029353523836</v>
          </cell>
          <cell r="FF159">
            <v>-158.62505578427383</v>
          </cell>
          <cell r="FG159">
            <v>0</v>
          </cell>
          <cell r="FH159">
            <v>0</v>
          </cell>
          <cell r="FI159">
            <v>0</v>
          </cell>
          <cell r="FJ159">
            <v>0</v>
          </cell>
          <cell r="FK159">
            <v>0</v>
          </cell>
          <cell r="FL159">
            <v>0</v>
          </cell>
          <cell r="FM159">
            <v>0</v>
          </cell>
          <cell r="FN159">
            <v>0</v>
          </cell>
          <cell r="FO159">
            <v>0</v>
          </cell>
          <cell r="FP159">
            <v>0</v>
          </cell>
          <cell r="FQ159">
            <v>0</v>
          </cell>
          <cell r="FR159">
            <v>0</v>
          </cell>
          <cell r="FS159">
            <v>0</v>
          </cell>
          <cell r="FT159">
            <v>0</v>
          </cell>
          <cell r="FU159">
            <v>0</v>
          </cell>
          <cell r="FV159">
            <v>0</v>
          </cell>
          <cell r="FW159">
            <v>0</v>
          </cell>
          <cell r="FX159">
            <v>0</v>
          </cell>
          <cell r="FY159">
            <v>0</v>
          </cell>
          <cell r="FZ159">
            <v>0</v>
          </cell>
          <cell r="GA159">
            <v>0</v>
          </cell>
          <cell r="GB159">
            <v>0</v>
          </cell>
          <cell r="GC159">
            <v>0</v>
          </cell>
          <cell r="GD159">
            <v>0</v>
          </cell>
          <cell r="GE159">
            <v>0</v>
          </cell>
          <cell r="GF159">
            <v>0</v>
          </cell>
          <cell r="GG159">
            <v>0</v>
          </cell>
          <cell r="GH159">
            <v>0</v>
          </cell>
          <cell r="GI159">
            <v>0</v>
          </cell>
          <cell r="GJ159">
            <v>0</v>
          </cell>
          <cell r="GK159">
            <v>0</v>
          </cell>
          <cell r="GL159">
            <v>0</v>
          </cell>
          <cell r="GM159">
            <v>0</v>
          </cell>
          <cell r="GN159">
            <v>0</v>
          </cell>
          <cell r="GO159">
            <v>0</v>
          </cell>
          <cell r="GP159">
            <v>0</v>
          </cell>
          <cell r="GQ159">
            <v>0</v>
          </cell>
          <cell r="GR159">
            <v>0</v>
          </cell>
          <cell r="GS159">
            <v>0</v>
          </cell>
          <cell r="GT159">
            <v>0</v>
          </cell>
          <cell r="GU159">
            <v>0</v>
          </cell>
          <cell r="GV159">
            <v>0</v>
          </cell>
          <cell r="GW159">
            <v>0</v>
          </cell>
          <cell r="GX159">
            <v>0</v>
          </cell>
          <cell r="GY159">
            <v>0</v>
          </cell>
          <cell r="GZ159">
            <v>0</v>
          </cell>
          <cell r="HA159">
            <v>0</v>
          </cell>
          <cell r="HB159">
            <v>0</v>
          </cell>
          <cell r="HC159">
            <v>0</v>
          </cell>
          <cell r="HD159">
            <v>0</v>
          </cell>
          <cell r="HE159">
            <v>1623377313.1421757</v>
          </cell>
        </row>
        <row r="160">
          <cell r="B160" t="str">
            <v>HBS-39</v>
          </cell>
          <cell r="C160" t="str">
            <v>㈜삼경정밀</v>
          </cell>
          <cell r="D160">
            <v>0.1</v>
          </cell>
          <cell r="E160" t="str">
            <v>담     보</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cell r="EC160">
            <v>0</v>
          </cell>
          <cell r="ED160">
            <v>0</v>
          </cell>
          <cell r="EE160">
            <v>0</v>
          </cell>
          <cell r="EF160">
            <v>0</v>
          </cell>
          <cell r="EG160">
            <v>0</v>
          </cell>
          <cell r="EH160">
            <v>0</v>
          </cell>
          <cell r="EI160">
            <v>0</v>
          </cell>
          <cell r="EJ160">
            <v>0</v>
          </cell>
          <cell r="EK160">
            <v>0</v>
          </cell>
          <cell r="EL160">
            <v>0</v>
          </cell>
          <cell r="EM160">
            <v>0</v>
          </cell>
          <cell r="EN160">
            <v>0</v>
          </cell>
          <cell r="EO160">
            <v>0</v>
          </cell>
          <cell r="EP160">
            <v>0</v>
          </cell>
          <cell r="EQ160">
            <v>0</v>
          </cell>
          <cell r="ER160">
            <v>0</v>
          </cell>
          <cell r="ES160">
            <v>0</v>
          </cell>
          <cell r="ET160">
            <v>0</v>
          </cell>
          <cell r="EU160">
            <v>0</v>
          </cell>
          <cell r="EV160">
            <v>0</v>
          </cell>
          <cell r="EW160">
            <v>0</v>
          </cell>
          <cell r="EX160">
            <v>0</v>
          </cell>
          <cell r="EY160">
            <v>0</v>
          </cell>
          <cell r="EZ160">
            <v>0</v>
          </cell>
          <cell r="FA160">
            <v>0</v>
          </cell>
          <cell r="FB160">
            <v>0</v>
          </cell>
          <cell r="FC160">
            <v>0</v>
          </cell>
          <cell r="FD160">
            <v>0</v>
          </cell>
          <cell r="FE160">
            <v>0</v>
          </cell>
          <cell r="FF160">
            <v>0</v>
          </cell>
          <cell r="FG160">
            <v>0</v>
          </cell>
          <cell r="FH160">
            <v>0</v>
          </cell>
          <cell r="FI160">
            <v>0</v>
          </cell>
          <cell r="FJ160">
            <v>0</v>
          </cell>
          <cell r="FK160">
            <v>0</v>
          </cell>
          <cell r="FL160">
            <v>0</v>
          </cell>
          <cell r="FM160">
            <v>0</v>
          </cell>
          <cell r="FN160">
            <v>0</v>
          </cell>
          <cell r="FO160">
            <v>0</v>
          </cell>
          <cell r="FP160">
            <v>0</v>
          </cell>
          <cell r="FQ160">
            <v>0</v>
          </cell>
          <cell r="FR160">
            <v>0</v>
          </cell>
          <cell r="FS160">
            <v>0</v>
          </cell>
          <cell r="FT160">
            <v>0</v>
          </cell>
          <cell r="FU160">
            <v>0</v>
          </cell>
          <cell r="FV160">
            <v>0</v>
          </cell>
          <cell r="FW160">
            <v>0</v>
          </cell>
          <cell r="FX160">
            <v>0</v>
          </cell>
          <cell r="FY160">
            <v>0</v>
          </cell>
          <cell r="FZ160">
            <v>0</v>
          </cell>
          <cell r="GA160">
            <v>0</v>
          </cell>
          <cell r="GB160">
            <v>0</v>
          </cell>
          <cell r="GC160">
            <v>0</v>
          </cell>
          <cell r="GD160">
            <v>0</v>
          </cell>
          <cell r="GE160">
            <v>0</v>
          </cell>
          <cell r="GF160">
            <v>0</v>
          </cell>
          <cell r="GG160">
            <v>0</v>
          </cell>
          <cell r="GH160">
            <v>0</v>
          </cell>
          <cell r="GI160">
            <v>0</v>
          </cell>
          <cell r="GJ160">
            <v>0</v>
          </cell>
          <cell r="GK160">
            <v>0</v>
          </cell>
          <cell r="GL160">
            <v>0</v>
          </cell>
          <cell r="GM160">
            <v>0</v>
          </cell>
          <cell r="GN160">
            <v>0</v>
          </cell>
          <cell r="GO160">
            <v>0</v>
          </cell>
          <cell r="GP160">
            <v>0</v>
          </cell>
          <cell r="GQ160">
            <v>0</v>
          </cell>
          <cell r="GR160">
            <v>0</v>
          </cell>
          <cell r="GS160">
            <v>0</v>
          </cell>
          <cell r="GT160">
            <v>0</v>
          </cell>
          <cell r="GU160">
            <v>0</v>
          </cell>
          <cell r="GV160">
            <v>0</v>
          </cell>
          <cell r="GW160">
            <v>0</v>
          </cell>
          <cell r="GX160">
            <v>0</v>
          </cell>
          <cell r="GY160">
            <v>0</v>
          </cell>
          <cell r="GZ160">
            <v>0</v>
          </cell>
          <cell r="HA160">
            <v>0</v>
          </cell>
          <cell r="HB160">
            <v>0</v>
          </cell>
          <cell r="HC160">
            <v>0</v>
          </cell>
          <cell r="HD160">
            <v>0</v>
          </cell>
          <cell r="HE160">
            <v>0</v>
          </cell>
        </row>
        <row r="161">
          <cell r="D161">
            <v>0.1</v>
          </cell>
          <cell r="E161" t="str">
            <v>무 담 보</v>
          </cell>
          <cell r="F161">
            <v>0</v>
          </cell>
          <cell r="G161">
            <v>0</v>
          </cell>
          <cell r="H161">
            <v>0</v>
          </cell>
          <cell r="I161">
            <v>0</v>
          </cell>
          <cell r="J161">
            <v>0</v>
          </cell>
          <cell r="K161">
            <v>13743580.266022382</v>
          </cell>
          <cell r="L161">
            <v>0</v>
          </cell>
          <cell r="M161">
            <v>0</v>
          </cell>
          <cell r="N161">
            <v>0</v>
          </cell>
          <cell r="O161">
            <v>0</v>
          </cell>
          <cell r="P161">
            <v>0</v>
          </cell>
          <cell r="Q161">
            <v>0</v>
          </cell>
          <cell r="R161">
            <v>0</v>
          </cell>
          <cell r="S161">
            <v>0</v>
          </cell>
          <cell r="T161">
            <v>0</v>
          </cell>
          <cell r="U161">
            <v>0</v>
          </cell>
          <cell r="V161">
            <v>0</v>
          </cell>
          <cell r="W161">
            <v>6358772.2159086764</v>
          </cell>
          <cell r="X161">
            <v>0</v>
          </cell>
          <cell r="Y161">
            <v>0</v>
          </cell>
          <cell r="Z161">
            <v>0</v>
          </cell>
          <cell r="AA161">
            <v>0</v>
          </cell>
          <cell r="AB161">
            <v>0</v>
          </cell>
          <cell r="AC161">
            <v>0</v>
          </cell>
          <cell r="AD161">
            <v>0</v>
          </cell>
          <cell r="AE161">
            <v>0</v>
          </cell>
          <cell r="AF161">
            <v>0</v>
          </cell>
          <cell r="AG161">
            <v>0</v>
          </cell>
          <cell r="AH161">
            <v>0</v>
          </cell>
          <cell r="AI161">
            <v>5933796.4723127857</v>
          </cell>
          <cell r="AJ161">
            <v>0</v>
          </cell>
          <cell r="AK161">
            <v>0</v>
          </cell>
          <cell r="AL161">
            <v>0</v>
          </cell>
          <cell r="AM161">
            <v>0</v>
          </cell>
          <cell r="AN161">
            <v>0</v>
          </cell>
          <cell r="AO161">
            <v>0</v>
          </cell>
          <cell r="AP161">
            <v>0</v>
          </cell>
          <cell r="AQ161">
            <v>0</v>
          </cell>
          <cell r="AR161">
            <v>0</v>
          </cell>
          <cell r="AS161">
            <v>0</v>
          </cell>
          <cell r="AT161">
            <v>0</v>
          </cell>
          <cell r="AU161">
            <v>5594280.3318006592</v>
          </cell>
          <cell r="AV161">
            <v>0</v>
          </cell>
          <cell r="AW161">
            <v>0</v>
          </cell>
          <cell r="AX161">
            <v>0</v>
          </cell>
          <cell r="AY161">
            <v>0</v>
          </cell>
          <cell r="AZ161">
            <v>0</v>
          </cell>
          <cell r="BA161">
            <v>0</v>
          </cell>
          <cell r="BB161">
            <v>0</v>
          </cell>
          <cell r="BC161">
            <v>0</v>
          </cell>
          <cell r="BD161">
            <v>0</v>
          </cell>
          <cell r="BE161">
            <v>0</v>
          </cell>
          <cell r="BF161">
            <v>0</v>
          </cell>
          <cell r="BG161">
            <v>5251507.9068423165</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v>0</v>
          </cell>
          <cell r="DU161">
            <v>0</v>
          </cell>
          <cell r="DV161">
            <v>0</v>
          </cell>
          <cell r="DW161">
            <v>0</v>
          </cell>
          <cell r="DX161">
            <v>0</v>
          </cell>
          <cell r="DY161">
            <v>0</v>
          </cell>
          <cell r="DZ161">
            <v>0</v>
          </cell>
          <cell r="EA161">
            <v>0</v>
          </cell>
          <cell r="EB161">
            <v>0</v>
          </cell>
          <cell r="EC161">
            <v>0</v>
          </cell>
          <cell r="ED161">
            <v>0</v>
          </cell>
          <cell r="EE161">
            <v>0</v>
          </cell>
          <cell r="EF161">
            <v>0</v>
          </cell>
          <cell r="EG161">
            <v>0</v>
          </cell>
          <cell r="EH161">
            <v>0</v>
          </cell>
          <cell r="EI161">
            <v>0</v>
          </cell>
          <cell r="EJ161">
            <v>0</v>
          </cell>
          <cell r="EK161">
            <v>0</v>
          </cell>
          <cell r="EL161">
            <v>0</v>
          </cell>
          <cell r="EM161">
            <v>0</v>
          </cell>
          <cell r="EN161">
            <v>0</v>
          </cell>
          <cell r="EO161">
            <v>0</v>
          </cell>
          <cell r="EP161">
            <v>0</v>
          </cell>
          <cell r="EQ161">
            <v>0</v>
          </cell>
          <cell r="ER161">
            <v>0</v>
          </cell>
          <cell r="ES161">
            <v>0</v>
          </cell>
          <cell r="ET161">
            <v>0</v>
          </cell>
          <cell r="EU161">
            <v>0</v>
          </cell>
          <cell r="EV161">
            <v>0</v>
          </cell>
          <cell r="EW161">
            <v>0</v>
          </cell>
          <cell r="EX161">
            <v>0</v>
          </cell>
          <cell r="EY161">
            <v>0</v>
          </cell>
          <cell r="EZ161">
            <v>0</v>
          </cell>
          <cell r="FA161">
            <v>0</v>
          </cell>
          <cell r="FB161">
            <v>0</v>
          </cell>
          <cell r="FC161">
            <v>0</v>
          </cell>
          <cell r="FD161">
            <v>0</v>
          </cell>
          <cell r="FE161">
            <v>0</v>
          </cell>
          <cell r="FF161">
            <v>0</v>
          </cell>
          <cell r="FG161">
            <v>0</v>
          </cell>
          <cell r="FH161">
            <v>0</v>
          </cell>
          <cell r="FI161">
            <v>0</v>
          </cell>
          <cell r="FJ161">
            <v>0</v>
          </cell>
          <cell r="FK161">
            <v>0</v>
          </cell>
          <cell r="FL161">
            <v>0</v>
          </cell>
          <cell r="FM161">
            <v>0</v>
          </cell>
          <cell r="FN161">
            <v>0</v>
          </cell>
          <cell r="FO161">
            <v>0</v>
          </cell>
          <cell r="FP161">
            <v>0</v>
          </cell>
          <cell r="FQ161">
            <v>0</v>
          </cell>
          <cell r="FR161">
            <v>0</v>
          </cell>
          <cell r="FS161">
            <v>0</v>
          </cell>
          <cell r="FT161">
            <v>0</v>
          </cell>
          <cell r="FU161">
            <v>0</v>
          </cell>
          <cell r="FV161">
            <v>0</v>
          </cell>
          <cell r="FW161">
            <v>0</v>
          </cell>
          <cell r="FX161">
            <v>0</v>
          </cell>
          <cell r="FY161">
            <v>0</v>
          </cell>
          <cell r="FZ161">
            <v>0</v>
          </cell>
          <cell r="GA161">
            <v>0</v>
          </cell>
          <cell r="GB161">
            <v>0</v>
          </cell>
          <cell r="GC161">
            <v>0</v>
          </cell>
          <cell r="GD161">
            <v>0</v>
          </cell>
          <cell r="GE161">
            <v>0</v>
          </cell>
          <cell r="GF161">
            <v>0</v>
          </cell>
          <cell r="GG161">
            <v>0</v>
          </cell>
          <cell r="GH161">
            <v>0</v>
          </cell>
          <cell r="GI161">
            <v>0</v>
          </cell>
          <cell r="GJ161">
            <v>0</v>
          </cell>
          <cell r="GK161">
            <v>0</v>
          </cell>
          <cell r="GL161">
            <v>0</v>
          </cell>
          <cell r="GM161">
            <v>0</v>
          </cell>
          <cell r="GN161">
            <v>0</v>
          </cell>
          <cell r="GO161">
            <v>0</v>
          </cell>
          <cell r="GP161">
            <v>0</v>
          </cell>
          <cell r="GQ161">
            <v>0</v>
          </cell>
          <cell r="GR161">
            <v>0</v>
          </cell>
          <cell r="GS161">
            <v>0</v>
          </cell>
          <cell r="GT161">
            <v>0</v>
          </cell>
          <cell r="GU161">
            <v>0</v>
          </cell>
          <cell r="GV161">
            <v>0</v>
          </cell>
          <cell r="GW161">
            <v>0</v>
          </cell>
          <cell r="GX161">
            <v>0</v>
          </cell>
          <cell r="GY161">
            <v>0</v>
          </cell>
          <cell r="GZ161">
            <v>0</v>
          </cell>
          <cell r="HA161">
            <v>0</v>
          </cell>
          <cell r="HB161">
            <v>0</v>
          </cell>
          <cell r="HC161">
            <v>0</v>
          </cell>
          <cell r="HD161">
            <v>0</v>
          </cell>
          <cell r="HE161">
            <v>36881937.192886822</v>
          </cell>
        </row>
        <row r="162">
          <cell r="E162" t="str">
            <v>Total</v>
          </cell>
          <cell r="F162">
            <v>0</v>
          </cell>
          <cell r="G162">
            <v>0</v>
          </cell>
          <cell r="H162">
            <v>0</v>
          </cell>
          <cell r="I162">
            <v>0</v>
          </cell>
          <cell r="J162">
            <v>0</v>
          </cell>
          <cell r="K162">
            <v>13743580.266022382</v>
          </cell>
          <cell r="L162">
            <v>0</v>
          </cell>
          <cell r="M162">
            <v>0</v>
          </cell>
          <cell r="N162">
            <v>0</v>
          </cell>
          <cell r="O162">
            <v>0</v>
          </cell>
          <cell r="P162">
            <v>0</v>
          </cell>
          <cell r="Q162">
            <v>0</v>
          </cell>
          <cell r="R162">
            <v>0</v>
          </cell>
          <cell r="S162">
            <v>0</v>
          </cell>
          <cell r="T162">
            <v>0</v>
          </cell>
          <cell r="U162">
            <v>0</v>
          </cell>
          <cell r="V162">
            <v>0</v>
          </cell>
          <cell r="W162">
            <v>6358772.2159086764</v>
          </cell>
          <cell r="X162">
            <v>0</v>
          </cell>
          <cell r="Y162">
            <v>0</v>
          </cell>
          <cell r="Z162">
            <v>0</v>
          </cell>
          <cell r="AA162">
            <v>0</v>
          </cell>
          <cell r="AB162">
            <v>0</v>
          </cell>
          <cell r="AC162">
            <v>0</v>
          </cell>
          <cell r="AD162">
            <v>0</v>
          </cell>
          <cell r="AE162">
            <v>0</v>
          </cell>
          <cell r="AF162">
            <v>0</v>
          </cell>
          <cell r="AG162">
            <v>0</v>
          </cell>
          <cell r="AH162">
            <v>0</v>
          </cell>
          <cell r="AI162">
            <v>5933796.4723127857</v>
          </cell>
          <cell r="AJ162">
            <v>0</v>
          </cell>
          <cell r="AK162">
            <v>0</v>
          </cell>
          <cell r="AL162">
            <v>0</v>
          </cell>
          <cell r="AM162">
            <v>0</v>
          </cell>
          <cell r="AN162">
            <v>0</v>
          </cell>
          <cell r="AO162">
            <v>0</v>
          </cell>
          <cell r="AP162">
            <v>0</v>
          </cell>
          <cell r="AQ162">
            <v>0</v>
          </cell>
          <cell r="AR162">
            <v>0</v>
          </cell>
          <cell r="AS162">
            <v>0</v>
          </cell>
          <cell r="AT162">
            <v>0</v>
          </cell>
          <cell r="AU162">
            <v>5594280.3318006592</v>
          </cell>
          <cell r="AV162">
            <v>0</v>
          </cell>
          <cell r="AW162">
            <v>0</v>
          </cell>
          <cell r="AX162">
            <v>0</v>
          </cell>
          <cell r="AY162">
            <v>0</v>
          </cell>
          <cell r="AZ162">
            <v>0</v>
          </cell>
          <cell r="BA162">
            <v>0</v>
          </cell>
          <cell r="BB162">
            <v>0</v>
          </cell>
          <cell r="BC162">
            <v>0</v>
          </cell>
          <cell r="BD162">
            <v>0</v>
          </cell>
          <cell r="BE162">
            <v>0</v>
          </cell>
          <cell r="BF162">
            <v>0</v>
          </cell>
          <cell r="BG162">
            <v>5251507.9068423165</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O162">
            <v>0</v>
          </cell>
          <cell r="EP162">
            <v>0</v>
          </cell>
          <cell r="EQ162">
            <v>0</v>
          </cell>
          <cell r="ER162">
            <v>0</v>
          </cell>
          <cell r="ES162">
            <v>0</v>
          </cell>
          <cell r="ET162">
            <v>0</v>
          </cell>
          <cell r="EU162">
            <v>0</v>
          </cell>
          <cell r="EV162">
            <v>0</v>
          </cell>
          <cell r="EW162">
            <v>0</v>
          </cell>
          <cell r="EX162">
            <v>0</v>
          </cell>
          <cell r="EY162">
            <v>0</v>
          </cell>
          <cell r="EZ162">
            <v>0</v>
          </cell>
          <cell r="FA162">
            <v>0</v>
          </cell>
          <cell r="FB162">
            <v>0</v>
          </cell>
          <cell r="FC162">
            <v>0</v>
          </cell>
          <cell r="FD162">
            <v>0</v>
          </cell>
          <cell r="FE162">
            <v>0</v>
          </cell>
          <cell r="FF162">
            <v>0</v>
          </cell>
          <cell r="FG162">
            <v>0</v>
          </cell>
          <cell r="FH162">
            <v>0</v>
          </cell>
          <cell r="FI162">
            <v>0</v>
          </cell>
          <cell r="FJ162">
            <v>0</v>
          </cell>
          <cell r="FK162">
            <v>0</v>
          </cell>
          <cell r="FL162">
            <v>0</v>
          </cell>
          <cell r="FM162">
            <v>0</v>
          </cell>
          <cell r="FN162">
            <v>0</v>
          </cell>
          <cell r="FO162">
            <v>0</v>
          </cell>
          <cell r="FP162">
            <v>0</v>
          </cell>
          <cell r="FQ162">
            <v>0</v>
          </cell>
          <cell r="FR162">
            <v>0</v>
          </cell>
          <cell r="FS162">
            <v>0</v>
          </cell>
          <cell r="FT162">
            <v>0</v>
          </cell>
          <cell r="FU162">
            <v>0</v>
          </cell>
          <cell r="FV162">
            <v>0</v>
          </cell>
          <cell r="FW162">
            <v>0</v>
          </cell>
          <cell r="FX162">
            <v>0</v>
          </cell>
          <cell r="FY162">
            <v>0</v>
          </cell>
          <cell r="FZ162">
            <v>0</v>
          </cell>
          <cell r="GA162">
            <v>0</v>
          </cell>
          <cell r="GB162">
            <v>0</v>
          </cell>
          <cell r="GC162">
            <v>0</v>
          </cell>
          <cell r="GD162">
            <v>0</v>
          </cell>
          <cell r="GE162">
            <v>0</v>
          </cell>
          <cell r="GF162">
            <v>0</v>
          </cell>
          <cell r="GG162">
            <v>0</v>
          </cell>
          <cell r="GH162">
            <v>0</v>
          </cell>
          <cell r="GI162">
            <v>0</v>
          </cell>
          <cell r="GJ162">
            <v>0</v>
          </cell>
          <cell r="GK162">
            <v>0</v>
          </cell>
          <cell r="GL162">
            <v>0</v>
          </cell>
          <cell r="GM162">
            <v>0</v>
          </cell>
          <cell r="GN162">
            <v>0</v>
          </cell>
          <cell r="GO162">
            <v>0</v>
          </cell>
          <cell r="GP162">
            <v>0</v>
          </cell>
          <cell r="GQ162">
            <v>0</v>
          </cell>
          <cell r="GR162">
            <v>0</v>
          </cell>
          <cell r="GS162">
            <v>0</v>
          </cell>
          <cell r="GT162">
            <v>0</v>
          </cell>
          <cell r="GU162">
            <v>0</v>
          </cell>
          <cell r="GV162">
            <v>0</v>
          </cell>
          <cell r="GW162">
            <v>0</v>
          </cell>
          <cell r="GX162">
            <v>0</v>
          </cell>
          <cell r="GY162">
            <v>0</v>
          </cell>
          <cell r="GZ162">
            <v>0</v>
          </cell>
          <cell r="HA162">
            <v>0</v>
          </cell>
          <cell r="HB162">
            <v>0</v>
          </cell>
          <cell r="HC162">
            <v>0</v>
          </cell>
          <cell r="HD162">
            <v>0</v>
          </cell>
          <cell r="HE162">
            <v>36881937.192886822</v>
          </cell>
        </row>
        <row r="163">
          <cell r="A163" t="str">
            <v>HBS-39</v>
          </cell>
          <cell r="E163" t="str">
            <v>현     가</v>
          </cell>
          <cell r="F163">
            <v>0</v>
          </cell>
          <cell r="G163">
            <v>0</v>
          </cell>
          <cell r="H163">
            <v>0</v>
          </cell>
          <cell r="I163">
            <v>0</v>
          </cell>
          <cell r="J163">
            <v>0</v>
          </cell>
          <cell r="K163">
            <v>13439875.399104908</v>
          </cell>
          <cell r="L163">
            <v>0</v>
          </cell>
          <cell r="M163">
            <v>0</v>
          </cell>
          <cell r="N163">
            <v>0</v>
          </cell>
          <cell r="O163">
            <v>0</v>
          </cell>
          <cell r="P163">
            <v>0</v>
          </cell>
          <cell r="Q163">
            <v>0</v>
          </cell>
          <cell r="R163">
            <v>0</v>
          </cell>
          <cell r="S163">
            <v>0</v>
          </cell>
          <cell r="T163">
            <v>0</v>
          </cell>
          <cell r="U163">
            <v>0</v>
          </cell>
          <cell r="V163">
            <v>0</v>
          </cell>
          <cell r="W163">
            <v>5840379.5876618018</v>
          </cell>
          <cell r="X163">
            <v>0</v>
          </cell>
          <cell r="Y163">
            <v>0</v>
          </cell>
          <cell r="Z163">
            <v>0</v>
          </cell>
          <cell r="AA163">
            <v>0</v>
          </cell>
          <cell r="AB163">
            <v>0</v>
          </cell>
          <cell r="AC163">
            <v>0</v>
          </cell>
          <cell r="AD163">
            <v>0</v>
          </cell>
          <cell r="AE163">
            <v>0</v>
          </cell>
          <cell r="AF163">
            <v>0</v>
          </cell>
          <cell r="AG163">
            <v>0</v>
          </cell>
          <cell r="AH163">
            <v>0</v>
          </cell>
          <cell r="AI163">
            <v>5089240.0261202902</v>
          </cell>
          <cell r="AJ163">
            <v>0</v>
          </cell>
          <cell r="AK163">
            <v>0</v>
          </cell>
          <cell r="AL163">
            <v>0</v>
          </cell>
          <cell r="AM163">
            <v>0</v>
          </cell>
          <cell r="AN163">
            <v>0</v>
          </cell>
          <cell r="AO163">
            <v>0</v>
          </cell>
          <cell r="AP163">
            <v>0</v>
          </cell>
          <cell r="AQ163">
            <v>0</v>
          </cell>
          <cell r="AR163">
            <v>0</v>
          </cell>
          <cell r="AS163">
            <v>0</v>
          </cell>
          <cell r="AT163">
            <v>0</v>
          </cell>
          <cell r="AU163">
            <v>4441145.8297795206</v>
          </cell>
          <cell r="AV163">
            <v>0</v>
          </cell>
          <cell r="AW163">
            <v>0</v>
          </cell>
          <cell r="AX163">
            <v>0</v>
          </cell>
          <cell r="AY163">
            <v>0</v>
          </cell>
          <cell r="AZ163">
            <v>0</v>
          </cell>
          <cell r="BA163">
            <v>0</v>
          </cell>
          <cell r="BB163">
            <v>0</v>
          </cell>
          <cell r="BC163">
            <v>0</v>
          </cell>
          <cell r="BD163">
            <v>0</v>
          </cell>
          <cell r="BE163">
            <v>0</v>
          </cell>
          <cell r="BF163">
            <v>0</v>
          </cell>
          <cell r="BG163">
            <v>3896652.2069022958</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cell r="DX163">
            <v>0</v>
          </cell>
          <cell r="DY163">
            <v>0</v>
          </cell>
          <cell r="DZ163">
            <v>0</v>
          </cell>
          <cell r="EA163">
            <v>0</v>
          </cell>
          <cell r="EB163">
            <v>0</v>
          </cell>
          <cell r="EC163">
            <v>0</v>
          </cell>
          <cell r="ED163">
            <v>0</v>
          </cell>
          <cell r="EE163">
            <v>0</v>
          </cell>
          <cell r="EF163">
            <v>0</v>
          </cell>
          <cell r="EG163">
            <v>0</v>
          </cell>
          <cell r="EH163">
            <v>0</v>
          </cell>
          <cell r="EI163">
            <v>0</v>
          </cell>
          <cell r="EJ163">
            <v>0</v>
          </cell>
          <cell r="EK163">
            <v>0</v>
          </cell>
          <cell r="EL163">
            <v>0</v>
          </cell>
          <cell r="EM163">
            <v>0</v>
          </cell>
          <cell r="EN163">
            <v>0</v>
          </cell>
          <cell r="EO163">
            <v>0</v>
          </cell>
          <cell r="EP163">
            <v>0</v>
          </cell>
          <cell r="EQ163">
            <v>0</v>
          </cell>
          <cell r="ER163">
            <v>0</v>
          </cell>
          <cell r="ES163">
            <v>0</v>
          </cell>
          <cell r="ET163">
            <v>0</v>
          </cell>
          <cell r="EU163">
            <v>0</v>
          </cell>
          <cell r="EV163">
            <v>0</v>
          </cell>
          <cell r="EW163">
            <v>0</v>
          </cell>
          <cell r="EX163">
            <v>0</v>
          </cell>
          <cell r="EY163">
            <v>0</v>
          </cell>
          <cell r="EZ163">
            <v>0</v>
          </cell>
          <cell r="FA163">
            <v>0</v>
          </cell>
          <cell r="FB163">
            <v>0</v>
          </cell>
          <cell r="FC163">
            <v>0</v>
          </cell>
          <cell r="FD163">
            <v>0</v>
          </cell>
          <cell r="FE163">
            <v>0</v>
          </cell>
          <cell r="FF163">
            <v>0</v>
          </cell>
          <cell r="FG163">
            <v>0</v>
          </cell>
          <cell r="FH163">
            <v>0</v>
          </cell>
          <cell r="FI163">
            <v>0</v>
          </cell>
          <cell r="FJ163">
            <v>0</v>
          </cell>
          <cell r="FK163">
            <v>0</v>
          </cell>
          <cell r="FL163">
            <v>0</v>
          </cell>
          <cell r="FM163">
            <v>0</v>
          </cell>
          <cell r="FN163">
            <v>0</v>
          </cell>
          <cell r="FO163">
            <v>0</v>
          </cell>
          <cell r="FP163">
            <v>0</v>
          </cell>
          <cell r="FQ163">
            <v>0</v>
          </cell>
          <cell r="FR163">
            <v>0</v>
          </cell>
          <cell r="FS163">
            <v>0</v>
          </cell>
          <cell r="FT163">
            <v>0</v>
          </cell>
          <cell r="FU163">
            <v>0</v>
          </cell>
          <cell r="FV163">
            <v>0</v>
          </cell>
          <cell r="FW163">
            <v>0</v>
          </cell>
          <cell r="FX163">
            <v>0</v>
          </cell>
          <cell r="FY163">
            <v>0</v>
          </cell>
          <cell r="FZ163">
            <v>0</v>
          </cell>
          <cell r="GA163">
            <v>0</v>
          </cell>
          <cell r="GB163">
            <v>0</v>
          </cell>
          <cell r="GC163">
            <v>0</v>
          </cell>
          <cell r="GD163">
            <v>0</v>
          </cell>
          <cell r="GE163">
            <v>0</v>
          </cell>
          <cell r="GF163">
            <v>0</v>
          </cell>
          <cell r="GG163">
            <v>0</v>
          </cell>
          <cell r="GH163">
            <v>0</v>
          </cell>
          <cell r="GI163">
            <v>0</v>
          </cell>
          <cell r="GJ163">
            <v>0</v>
          </cell>
          <cell r="GK163">
            <v>0</v>
          </cell>
          <cell r="GL163">
            <v>0</v>
          </cell>
          <cell r="GM163">
            <v>0</v>
          </cell>
          <cell r="GN163">
            <v>0</v>
          </cell>
          <cell r="GO163">
            <v>0</v>
          </cell>
          <cell r="GP163">
            <v>0</v>
          </cell>
          <cell r="GQ163">
            <v>0</v>
          </cell>
          <cell r="GR163">
            <v>0</v>
          </cell>
          <cell r="GS163">
            <v>0</v>
          </cell>
          <cell r="GT163">
            <v>0</v>
          </cell>
          <cell r="GU163">
            <v>0</v>
          </cell>
          <cell r="GV163">
            <v>0</v>
          </cell>
          <cell r="GW163">
            <v>0</v>
          </cell>
          <cell r="GX163">
            <v>0</v>
          </cell>
          <cell r="GY163">
            <v>0</v>
          </cell>
          <cell r="GZ163">
            <v>0</v>
          </cell>
          <cell r="HA163">
            <v>0</v>
          </cell>
          <cell r="HB163">
            <v>0</v>
          </cell>
          <cell r="HC163">
            <v>0</v>
          </cell>
          <cell r="HD163">
            <v>0</v>
          </cell>
          <cell r="HE163">
            <v>32707293.049568817</v>
          </cell>
        </row>
        <row r="164">
          <cell r="B164" t="str">
            <v>HBS-40</v>
          </cell>
          <cell r="C164" t="str">
            <v>㈜한일합섬 70회</v>
          </cell>
          <cell r="D164">
            <v>0.3</v>
          </cell>
          <cell r="E164" t="str">
            <v>담     보</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cell r="DX164">
            <v>0</v>
          </cell>
          <cell r="DY164">
            <v>0</v>
          </cell>
          <cell r="DZ164">
            <v>0</v>
          </cell>
          <cell r="EA164">
            <v>0</v>
          </cell>
          <cell r="EB164">
            <v>0</v>
          </cell>
          <cell r="EC164">
            <v>0</v>
          </cell>
          <cell r="ED164">
            <v>0</v>
          </cell>
          <cell r="EE164">
            <v>0</v>
          </cell>
          <cell r="EF164">
            <v>0</v>
          </cell>
          <cell r="EG164">
            <v>0</v>
          </cell>
          <cell r="EH164">
            <v>0</v>
          </cell>
          <cell r="EI164">
            <v>0</v>
          </cell>
          <cell r="EJ164">
            <v>0</v>
          </cell>
          <cell r="EK164">
            <v>0</v>
          </cell>
          <cell r="EL164">
            <v>0</v>
          </cell>
          <cell r="EM164">
            <v>0</v>
          </cell>
          <cell r="EN164">
            <v>0</v>
          </cell>
          <cell r="EO164">
            <v>0</v>
          </cell>
          <cell r="EP164">
            <v>0</v>
          </cell>
          <cell r="EQ164">
            <v>0</v>
          </cell>
          <cell r="ER164">
            <v>0</v>
          </cell>
          <cell r="ES164">
            <v>0</v>
          </cell>
          <cell r="ET164">
            <v>0</v>
          </cell>
          <cell r="EU164">
            <v>0</v>
          </cell>
          <cell r="EV164">
            <v>0</v>
          </cell>
          <cell r="EW164">
            <v>0</v>
          </cell>
          <cell r="EX164">
            <v>0</v>
          </cell>
          <cell r="EY164">
            <v>0</v>
          </cell>
          <cell r="EZ164">
            <v>0</v>
          </cell>
          <cell r="FA164">
            <v>0</v>
          </cell>
          <cell r="FB164">
            <v>0</v>
          </cell>
          <cell r="FC164">
            <v>0</v>
          </cell>
          <cell r="FD164">
            <v>0</v>
          </cell>
          <cell r="FE164">
            <v>0</v>
          </cell>
          <cell r="FF164">
            <v>0</v>
          </cell>
          <cell r="FG164">
            <v>0</v>
          </cell>
          <cell r="FH164">
            <v>0</v>
          </cell>
          <cell r="FI164">
            <v>0</v>
          </cell>
          <cell r="FJ164">
            <v>0</v>
          </cell>
          <cell r="FK164">
            <v>0</v>
          </cell>
          <cell r="FL164">
            <v>0</v>
          </cell>
          <cell r="FM164">
            <v>0</v>
          </cell>
          <cell r="FN164">
            <v>0</v>
          </cell>
          <cell r="FO164">
            <v>0</v>
          </cell>
          <cell r="FP164">
            <v>0</v>
          </cell>
          <cell r="FQ164">
            <v>0</v>
          </cell>
          <cell r="FR164">
            <v>0</v>
          </cell>
          <cell r="FS164">
            <v>0</v>
          </cell>
          <cell r="FT164">
            <v>0</v>
          </cell>
          <cell r="FU164">
            <v>0</v>
          </cell>
          <cell r="FV164">
            <v>0</v>
          </cell>
          <cell r="FW164">
            <v>0</v>
          </cell>
          <cell r="FX164">
            <v>0</v>
          </cell>
          <cell r="FY164">
            <v>0</v>
          </cell>
          <cell r="FZ164">
            <v>0</v>
          </cell>
          <cell r="GA164">
            <v>0</v>
          </cell>
          <cell r="GB164">
            <v>0</v>
          </cell>
          <cell r="GC164">
            <v>0</v>
          </cell>
          <cell r="GD164">
            <v>0</v>
          </cell>
          <cell r="GE164">
            <v>0</v>
          </cell>
          <cell r="GF164">
            <v>0</v>
          </cell>
          <cell r="GG164">
            <v>0</v>
          </cell>
          <cell r="GH164">
            <v>0</v>
          </cell>
          <cell r="GI164">
            <v>0</v>
          </cell>
          <cell r="GJ164">
            <v>0</v>
          </cell>
          <cell r="GK164">
            <v>0</v>
          </cell>
          <cell r="GL164">
            <v>0</v>
          </cell>
          <cell r="GM164">
            <v>0</v>
          </cell>
          <cell r="GN164">
            <v>0</v>
          </cell>
          <cell r="GO164">
            <v>0</v>
          </cell>
          <cell r="GP164">
            <v>0</v>
          </cell>
          <cell r="GQ164">
            <v>0</v>
          </cell>
          <cell r="GR164">
            <v>0</v>
          </cell>
          <cell r="GS164">
            <v>0</v>
          </cell>
          <cell r="GT164">
            <v>0</v>
          </cell>
          <cell r="GU164">
            <v>0</v>
          </cell>
          <cell r="GV164">
            <v>0</v>
          </cell>
          <cell r="GW164">
            <v>0</v>
          </cell>
          <cell r="GX164">
            <v>0</v>
          </cell>
          <cell r="GY164">
            <v>0</v>
          </cell>
          <cell r="GZ164">
            <v>0</v>
          </cell>
          <cell r="HA164">
            <v>0</v>
          </cell>
          <cell r="HB164">
            <v>0</v>
          </cell>
          <cell r="HC164">
            <v>0</v>
          </cell>
          <cell r="HD164">
            <v>0</v>
          </cell>
          <cell r="HE164">
            <v>0</v>
          </cell>
        </row>
        <row r="165">
          <cell r="D165">
            <v>0.3</v>
          </cell>
          <cell r="E165" t="str">
            <v>무 담 보</v>
          </cell>
          <cell r="F165">
            <v>0</v>
          </cell>
          <cell r="G165">
            <v>0</v>
          </cell>
          <cell r="H165">
            <v>446531.4328571753</v>
          </cell>
          <cell r="I165">
            <v>0</v>
          </cell>
          <cell r="J165">
            <v>0</v>
          </cell>
          <cell r="K165">
            <v>0</v>
          </cell>
          <cell r="L165">
            <v>0</v>
          </cell>
          <cell r="M165">
            <v>0</v>
          </cell>
          <cell r="N165">
            <v>0</v>
          </cell>
          <cell r="O165">
            <v>0</v>
          </cell>
          <cell r="P165">
            <v>0</v>
          </cell>
          <cell r="Q165">
            <v>0</v>
          </cell>
          <cell r="R165">
            <v>0</v>
          </cell>
          <cell r="S165">
            <v>0</v>
          </cell>
          <cell r="T165">
            <v>3860583.634897152</v>
          </cell>
          <cell r="U165">
            <v>0</v>
          </cell>
          <cell r="V165">
            <v>0</v>
          </cell>
          <cell r="W165">
            <v>0</v>
          </cell>
          <cell r="X165">
            <v>0</v>
          </cell>
          <cell r="Y165">
            <v>0</v>
          </cell>
          <cell r="Z165">
            <v>0</v>
          </cell>
          <cell r="AA165">
            <v>0</v>
          </cell>
          <cell r="AB165">
            <v>0</v>
          </cell>
          <cell r="AC165">
            <v>0</v>
          </cell>
          <cell r="AD165">
            <v>0</v>
          </cell>
          <cell r="AE165">
            <v>0</v>
          </cell>
          <cell r="AF165">
            <v>3860583.634897152</v>
          </cell>
          <cell r="AG165">
            <v>0</v>
          </cell>
          <cell r="AH165">
            <v>0</v>
          </cell>
          <cell r="AI165">
            <v>0</v>
          </cell>
          <cell r="AJ165">
            <v>0</v>
          </cell>
          <cell r="AK165">
            <v>0</v>
          </cell>
          <cell r="AL165">
            <v>0</v>
          </cell>
          <cell r="AM165">
            <v>0</v>
          </cell>
          <cell r="AN165">
            <v>0</v>
          </cell>
          <cell r="AO165">
            <v>0</v>
          </cell>
          <cell r="AP165">
            <v>0</v>
          </cell>
          <cell r="AQ165">
            <v>0</v>
          </cell>
          <cell r="AR165">
            <v>3862101.7587334188</v>
          </cell>
          <cell r="AS165">
            <v>0</v>
          </cell>
          <cell r="AT165">
            <v>0</v>
          </cell>
          <cell r="AU165">
            <v>0</v>
          </cell>
          <cell r="AV165">
            <v>0</v>
          </cell>
          <cell r="AW165">
            <v>0</v>
          </cell>
          <cell r="AX165">
            <v>0</v>
          </cell>
          <cell r="AY165">
            <v>0</v>
          </cell>
          <cell r="AZ165">
            <v>0</v>
          </cell>
          <cell r="BA165">
            <v>0</v>
          </cell>
          <cell r="BB165">
            <v>0</v>
          </cell>
          <cell r="BC165">
            <v>0</v>
          </cell>
          <cell r="BD165">
            <v>3859082.1937404033</v>
          </cell>
          <cell r="BE165">
            <v>0</v>
          </cell>
          <cell r="BF165">
            <v>0</v>
          </cell>
          <cell r="BG165">
            <v>0</v>
          </cell>
          <cell r="BH165">
            <v>0</v>
          </cell>
          <cell r="BI165">
            <v>0</v>
          </cell>
          <cell r="BJ165">
            <v>0</v>
          </cell>
          <cell r="BK165">
            <v>0</v>
          </cell>
          <cell r="BL165">
            <v>0</v>
          </cell>
          <cell r="BM165">
            <v>0</v>
          </cell>
          <cell r="BN165">
            <v>0</v>
          </cell>
          <cell r="BO165">
            <v>0</v>
          </cell>
          <cell r="BP165">
            <v>46801422.296999998</v>
          </cell>
          <cell r="BQ165">
            <v>0</v>
          </cell>
          <cell r="BR165">
            <v>0</v>
          </cell>
          <cell r="BS165">
            <v>0</v>
          </cell>
          <cell r="BT165">
            <v>0</v>
          </cell>
          <cell r="BU165">
            <v>0</v>
          </cell>
          <cell r="BV165">
            <v>0</v>
          </cell>
          <cell r="BW165">
            <v>0</v>
          </cell>
          <cell r="BX165">
            <v>0</v>
          </cell>
          <cell r="BY165">
            <v>0</v>
          </cell>
          <cell r="BZ165">
            <v>0</v>
          </cell>
          <cell r="CA165">
            <v>0</v>
          </cell>
          <cell r="CB165">
            <v>46355694.465600006</v>
          </cell>
          <cell r="CC165">
            <v>0</v>
          </cell>
          <cell r="CD165">
            <v>0</v>
          </cell>
          <cell r="CE165">
            <v>0</v>
          </cell>
          <cell r="CF165">
            <v>0</v>
          </cell>
          <cell r="CG165">
            <v>0</v>
          </cell>
          <cell r="CH165">
            <v>0</v>
          </cell>
          <cell r="CI165">
            <v>0</v>
          </cell>
          <cell r="CJ165">
            <v>0</v>
          </cell>
          <cell r="CK165">
            <v>0</v>
          </cell>
          <cell r="CL165">
            <v>0</v>
          </cell>
          <cell r="CM165">
            <v>0</v>
          </cell>
          <cell r="CN165">
            <v>45910877.508501761</v>
          </cell>
          <cell r="CO165">
            <v>0</v>
          </cell>
          <cell r="CP165">
            <v>0</v>
          </cell>
          <cell r="CQ165">
            <v>0</v>
          </cell>
          <cell r="CR165">
            <v>0</v>
          </cell>
          <cell r="CS165">
            <v>0</v>
          </cell>
          <cell r="CT165">
            <v>0</v>
          </cell>
          <cell r="CU165">
            <v>0</v>
          </cell>
          <cell r="CV165">
            <v>0</v>
          </cell>
          <cell r="CW165">
            <v>0</v>
          </cell>
          <cell r="CX165">
            <v>0</v>
          </cell>
          <cell r="CY165">
            <v>0</v>
          </cell>
          <cell r="CZ165">
            <v>45461803.131590165</v>
          </cell>
          <cell r="DA165">
            <v>0</v>
          </cell>
          <cell r="DB165">
            <v>0</v>
          </cell>
          <cell r="DC165">
            <v>0</v>
          </cell>
          <cell r="DD165">
            <v>0</v>
          </cell>
          <cell r="DE165">
            <v>0</v>
          </cell>
          <cell r="DF165">
            <v>0</v>
          </cell>
          <cell r="DG165">
            <v>0</v>
          </cell>
          <cell r="DH165">
            <v>0</v>
          </cell>
          <cell r="DI165">
            <v>0</v>
          </cell>
          <cell r="DJ165">
            <v>0</v>
          </cell>
          <cell r="DK165">
            <v>0</v>
          </cell>
          <cell r="DL165">
            <v>45017293.135795087</v>
          </cell>
          <cell r="DM165">
            <v>0</v>
          </cell>
          <cell r="DN165">
            <v>0</v>
          </cell>
          <cell r="DO165">
            <v>0</v>
          </cell>
          <cell r="DP165">
            <v>0</v>
          </cell>
          <cell r="DQ165">
            <v>0</v>
          </cell>
          <cell r="DR165">
            <v>0</v>
          </cell>
          <cell r="DS165">
            <v>0</v>
          </cell>
          <cell r="DT165">
            <v>0</v>
          </cell>
          <cell r="DU165">
            <v>0</v>
          </cell>
          <cell r="DV165">
            <v>0</v>
          </cell>
          <cell r="DW165">
            <v>0</v>
          </cell>
          <cell r="DX165">
            <v>0</v>
          </cell>
          <cell r="DY165">
            <v>0</v>
          </cell>
          <cell r="DZ165">
            <v>0</v>
          </cell>
          <cell r="EA165">
            <v>0</v>
          </cell>
          <cell r="EB165">
            <v>0</v>
          </cell>
          <cell r="EC165">
            <v>0</v>
          </cell>
          <cell r="ED165">
            <v>0</v>
          </cell>
          <cell r="EE165">
            <v>0</v>
          </cell>
          <cell r="EF165">
            <v>0</v>
          </cell>
          <cell r="EG165">
            <v>0</v>
          </cell>
          <cell r="EH165">
            <v>0</v>
          </cell>
          <cell r="EI165">
            <v>0</v>
          </cell>
          <cell r="EJ165">
            <v>0</v>
          </cell>
          <cell r="EK165">
            <v>0</v>
          </cell>
          <cell r="EL165">
            <v>0</v>
          </cell>
          <cell r="EM165">
            <v>0</v>
          </cell>
          <cell r="EN165">
            <v>0</v>
          </cell>
          <cell r="EO165">
            <v>0</v>
          </cell>
          <cell r="EP165">
            <v>0</v>
          </cell>
          <cell r="EQ165">
            <v>0</v>
          </cell>
          <cell r="ER165">
            <v>0</v>
          </cell>
          <cell r="ES165">
            <v>0</v>
          </cell>
          <cell r="ET165">
            <v>0</v>
          </cell>
          <cell r="EU165">
            <v>0</v>
          </cell>
          <cell r="EV165">
            <v>0</v>
          </cell>
          <cell r="EW165">
            <v>0</v>
          </cell>
          <cell r="EX165">
            <v>0</v>
          </cell>
          <cell r="EY165">
            <v>0</v>
          </cell>
          <cell r="EZ165">
            <v>0</v>
          </cell>
          <cell r="FA165">
            <v>0</v>
          </cell>
          <cell r="FB165">
            <v>0</v>
          </cell>
          <cell r="FC165">
            <v>0</v>
          </cell>
          <cell r="FD165">
            <v>0</v>
          </cell>
          <cell r="FE165">
            <v>0</v>
          </cell>
          <cell r="FF165">
            <v>0</v>
          </cell>
          <cell r="FG165">
            <v>0</v>
          </cell>
          <cell r="FH165">
            <v>0</v>
          </cell>
          <cell r="FI165">
            <v>0</v>
          </cell>
          <cell r="FJ165">
            <v>0</v>
          </cell>
          <cell r="FK165">
            <v>0</v>
          </cell>
          <cell r="FL165">
            <v>0</v>
          </cell>
          <cell r="FM165">
            <v>0</v>
          </cell>
          <cell r="FN165">
            <v>0</v>
          </cell>
          <cell r="FO165">
            <v>0</v>
          </cell>
          <cell r="FP165">
            <v>0</v>
          </cell>
          <cell r="FQ165">
            <v>0</v>
          </cell>
          <cell r="FR165">
            <v>0</v>
          </cell>
          <cell r="FS165">
            <v>0</v>
          </cell>
          <cell r="FT165">
            <v>0</v>
          </cell>
          <cell r="FU165">
            <v>0</v>
          </cell>
          <cell r="FV165">
            <v>0</v>
          </cell>
          <cell r="FW165">
            <v>0</v>
          </cell>
          <cell r="FX165">
            <v>0</v>
          </cell>
          <cell r="FY165">
            <v>0</v>
          </cell>
          <cell r="FZ165">
            <v>0</v>
          </cell>
          <cell r="GA165">
            <v>0</v>
          </cell>
          <cell r="GB165">
            <v>0</v>
          </cell>
          <cell r="GC165">
            <v>0</v>
          </cell>
          <cell r="GD165">
            <v>0</v>
          </cell>
          <cell r="GE165">
            <v>0</v>
          </cell>
          <cell r="GF165">
            <v>0</v>
          </cell>
          <cell r="GG165">
            <v>0</v>
          </cell>
          <cell r="GH165">
            <v>0</v>
          </cell>
          <cell r="GI165">
            <v>0</v>
          </cell>
          <cell r="GJ165">
            <v>0</v>
          </cell>
          <cell r="GK165">
            <v>0</v>
          </cell>
          <cell r="GL165">
            <v>0</v>
          </cell>
          <cell r="GM165">
            <v>0</v>
          </cell>
          <cell r="GN165">
            <v>0</v>
          </cell>
          <cell r="GO165">
            <v>0</v>
          </cell>
          <cell r="GP165">
            <v>0</v>
          </cell>
          <cell r="GQ165">
            <v>0</v>
          </cell>
          <cell r="GR165">
            <v>0</v>
          </cell>
          <cell r="GS165">
            <v>0</v>
          </cell>
          <cell r="GT165">
            <v>0</v>
          </cell>
          <cell r="GU165">
            <v>0</v>
          </cell>
          <cell r="GV165">
            <v>0</v>
          </cell>
          <cell r="GW165">
            <v>0</v>
          </cell>
          <cell r="GX165">
            <v>0</v>
          </cell>
          <cell r="GY165">
            <v>0</v>
          </cell>
          <cell r="GZ165">
            <v>0</v>
          </cell>
          <cell r="HA165">
            <v>0</v>
          </cell>
          <cell r="HB165">
            <v>0</v>
          </cell>
          <cell r="HC165">
            <v>0</v>
          </cell>
          <cell r="HD165">
            <v>0</v>
          </cell>
          <cell r="HE165">
            <v>245435973.19361231</v>
          </cell>
        </row>
        <row r="166">
          <cell r="E166" t="str">
            <v>Total</v>
          </cell>
          <cell r="F166">
            <v>0</v>
          </cell>
          <cell r="G166">
            <v>0</v>
          </cell>
          <cell r="H166">
            <v>446531.4328571753</v>
          </cell>
          <cell r="I166">
            <v>0</v>
          </cell>
          <cell r="J166">
            <v>0</v>
          </cell>
          <cell r="K166">
            <v>0</v>
          </cell>
          <cell r="L166">
            <v>0</v>
          </cell>
          <cell r="M166">
            <v>0</v>
          </cell>
          <cell r="N166">
            <v>0</v>
          </cell>
          <cell r="O166">
            <v>0</v>
          </cell>
          <cell r="P166">
            <v>0</v>
          </cell>
          <cell r="Q166">
            <v>0</v>
          </cell>
          <cell r="R166">
            <v>0</v>
          </cell>
          <cell r="S166">
            <v>0</v>
          </cell>
          <cell r="T166">
            <v>3860583.634897152</v>
          </cell>
          <cell r="U166">
            <v>0</v>
          </cell>
          <cell r="V166">
            <v>0</v>
          </cell>
          <cell r="W166">
            <v>0</v>
          </cell>
          <cell r="X166">
            <v>0</v>
          </cell>
          <cell r="Y166">
            <v>0</v>
          </cell>
          <cell r="Z166">
            <v>0</v>
          </cell>
          <cell r="AA166">
            <v>0</v>
          </cell>
          <cell r="AB166">
            <v>0</v>
          </cell>
          <cell r="AC166">
            <v>0</v>
          </cell>
          <cell r="AD166">
            <v>0</v>
          </cell>
          <cell r="AE166">
            <v>0</v>
          </cell>
          <cell r="AF166">
            <v>3860583.634897152</v>
          </cell>
          <cell r="AG166">
            <v>0</v>
          </cell>
          <cell r="AH166">
            <v>0</v>
          </cell>
          <cell r="AI166">
            <v>0</v>
          </cell>
          <cell r="AJ166">
            <v>0</v>
          </cell>
          <cell r="AK166">
            <v>0</v>
          </cell>
          <cell r="AL166">
            <v>0</v>
          </cell>
          <cell r="AM166">
            <v>0</v>
          </cell>
          <cell r="AN166">
            <v>0</v>
          </cell>
          <cell r="AO166">
            <v>0</v>
          </cell>
          <cell r="AP166">
            <v>0</v>
          </cell>
          <cell r="AQ166">
            <v>0</v>
          </cell>
          <cell r="AR166">
            <v>3862101.7587334188</v>
          </cell>
          <cell r="AS166">
            <v>0</v>
          </cell>
          <cell r="AT166">
            <v>0</v>
          </cell>
          <cell r="AU166">
            <v>0</v>
          </cell>
          <cell r="AV166">
            <v>0</v>
          </cell>
          <cell r="AW166">
            <v>0</v>
          </cell>
          <cell r="AX166">
            <v>0</v>
          </cell>
          <cell r="AY166">
            <v>0</v>
          </cell>
          <cell r="AZ166">
            <v>0</v>
          </cell>
          <cell r="BA166">
            <v>0</v>
          </cell>
          <cell r="BB166">
            <v>0</v>
          </cell>
          <cell r="BC166">
            <v>0</v>
          </cell>
          <cell r="BD166">
            <v>3859082.1937404033</v>
          </cell>
          <cell r="BE166">
            <v>0</v>
          </cell>
          <cell r="BF166">
            <v>0</v>
          </cell>
          <cell r="BG166">
            <v>0</v>
          </cell>
          <cell r="BH166">
            <v>0</v>
          </cell>
          <cell r="BI166">
            <v>0</v>
          </cell>
          <cell r="BJ166">
            <v>0</v>
          </cell>
          <cell r="BK166">
            <v>0</v>
          </cell>
          <cell r="BL166">
            <v>0</v>
          </cell>
          <cell r="BM166">
            <v>0</v>
          </cell>
          <cell r="BN166">
            <v>0</v>
          </cell>
          <cell r="BO166">
            <v>0</v>
          </cell>
          <cell r="BP166">
            <v>46801422.296999998</v>
          </cell>
          <cell r="BQ166">
            <v>0</v>
          </cell>
          <cell r="BR166">
            <v>0</v>
          </cell>
          <cell r="BS166">
            <v>0</v>
          </cell>
          <cell r="BT166">
            <v>0</v>
          </cell>
          <cell r="BU166">
            <v>0</v>
          </cell>
          <cell r="BV166">
            <v>0</v>
          </cell>
          <cell r="BW166">
            <v>0</v>
          </cell>
          <cell r="BX166">
            <v>0</v>
          </cell>
          <cell r="BY166">
            <v>0</v>
          </cell>
          <cell r="BZ166">
            <v>0</v>
          </cell>
          <cell r="CA166">
            <v>0</v>
          </cell>
          <cell r="CB166">
            <v>46355694.465600006</v>
          </cell>
          <cell r="CC166">
            <v>0</v>
          </cell>
          <cell r="CD166">
            <v>0</v>
          </cell>
          <cell r="CE166">
            <v>0</v>
          </cell>
          <cell r="CF166">
            <v>0</v>
          </cell>
          <cell r="CG166">
            <v>0</v>
          </cell>
          <cell r="CH166">
            <v>0</v>
          </cell>
          <cell r="CI166">
            <v>0</v>
          </cell>
          <cell r="CJ166">
            <v>0</v>
          </cell>
          <cell r="CK166">
            <v>0</v>
          </cell>
          <cell r="CL166">
            <v>0</v>
          </cell>
          <cell r="CM166">
            <v>0</v>
          </cell>
          <cell r="CN166">
            <v>45910877.508501761</v>
          </cell>
          <cell r="CO166">
            <v>0</v>
          </cell>
          <cell r="CP166">
            <v>0</v>
          </cell>
          <cell r="CQ166">
            <v>0</v>
          </cell>
          <cell r="CR166">
            <v>0</v>
          </cell>
          <cell r="CS166">
            <v>0</v>
          </cell>
          <cell r="CT166">
            <v>0</v>
          </cell>
          <cell r="CU166">
            <v>0</v>
          </cell>
          <cell r="CV166">
            <v>0</v>
          </cell>
          <cell r="CW166">
            <v>0</v>
          </cell>
          <cell r="CX166">
            <v>0</v>
          </cell>
          <cell r="CY166">
            <v>0</v>
          </cell>
          <cell r="CZ166">
            <v>45461803.131590165</v>
          </cell>
          <cell r="DA166">
            <v>0</v>
          </cell>
          <cell r="DB166">
            <v>0</v>
          </cell>
          <cell r="DC166">
            <v>0</v>
          </cell>
          <cell r="DD166">
            <v>0</v>
          </cell>
          <cell r="DE166">
            <v>0</v>
          </cell>
          <cell r="DF166">
            <v>0</v>
          </cell>
          <cell r="DG166">
            <v>0</v>
          </cell>
          <cell r="DH166">
            <v>0</v>
          </cell>
          <cell r="DI166">
            <v>0</v>
          </cell>
          <cell r="DJ166">
            <v>0</v>
          </cell>
          <cell r="DK166">
            <v>0</v>
          </cell>
          <cell r="DL166">
            <v>45017293.135795087</v>
          </cell>
          <cell r="DM166">
            <v>0</v>
          </cell>
          <cell r="DN166">
            <v>0</v>
          </cell>
          <cell r="DO166">
            <v>0</v>
          </cell>
          <cell r="DP166">
            <v>0</v>
          </cell>
          <cell r="DQ166">
            <v>0</v>
          </cell>
          <cell r="DR166">
            <v>0</v>
          </cell>
          <cell r="DS166">
            <v>0</v>
          </cell>
          <cell r="DT166">
            <v>0</v>
          </cell>
          <cell r="DU166">
            <v>0</v>
          </cell>
          <cell r="DV166">
            <v>0</v>
          </cell>
          <cell r="DW166">
            <v>0</v>
          </cell>
          <cell r="DX166">
            <v>0</v>
          </cell>
          <cell r="DY166">
            <v>0</v>
          </cell>
          <cell r="DZ166">
            <v>0</v>
          </cell>
          <cell r="EA166">
            <v>0</v>
          </cell>
          <cell r="EB166">
            <v>0</v>
          </cell>
          <cell r="EC166">
            <v>0</v>
          </cell>
          <cell r="ED166">
            <v>0</v>
          </cell>
          <cell r="EE166">
            <v>0</v>
          </cell>
          <cell r="EF166">
            <v>0</v>
          </cell>
          <cell r="EG166">
            <v>0</v>
          </cell>
          <cell r="EH166">
            <v>0</v>
          </cell>
          <cell r="EI166">
            <v>0</v>
          </cell>
          <cell r="EJ166">
            <v>0</v>
          </cell>
          <cell r="EK166">
            <v>0</v>
          </cell>
          <cell r="EL166">
            <v>0</v>
          </cell>
          <cell r="EM166">
            <v>0</v>
          </cell>
          <cell r="EN166">
            <v>0</v>
          </cell>
          <cell r="EO166">
            <v>0</v>
          </cell>
          <cell r="EP166">
            <v>0</v>
          </cell>
          <cell r="EQ166">
            <v>0</v>
          </cell>
          <cell r="ER166">
            <v>0</v>
          </cell>
          <cell r="ES166">
            <v>0</v>
          </cell>
          <cell r="ET166">
            <v>0</v>
          </cell>
          <cell r="EU166">
            <v>0</v>
          </cell>
          <cell r="EV166">
            <v>0</v>
          </cell>
          <cell r="EW166">
            <v>0</v>
          </cell>
          <cell r="EX166">
            <v>0</v>
          </cell>
          <cell r="EY166">
            <v>0</v>
          </cell>
          <cell r="EZ166">
            <v>0</v>
          </cell>
          <cell r="FA166">
            <v>0</v>
          </cell>
          <cell r="FB166">
            <v>0</v>
          </cell>
          <cell r="FC166">
            <v>0</v>
          </cell>
          <cell r="FD166">
            <v>0</v>
          </cell>
          <cell r="FE166">
            <v>0</v>
          </cell>
          <cell r="FF166">
            <v>0</v>
          </cell>
          <cell r="FG166">
            <v>0</v>
          </cell>
          <cell r="FH166">
            <v>0</v>
          </cell>
          <cell r="FI166">
            <v>0</v>
          </cell>
          <cell r="FJ166">
            <v>0</v>
          </cell>
          <cell r="FK166">
            <v>0</v>
          </cell>
          <cell r="FL166">
            <v>0</v>
          </cell>
          <cell r="FM166">
            <v>0</v>
          </cell>
          <cell r="FN166">
            <v>0</v>
          </cell>
          <cell r="FO166">
            <v>0</v>
          </cell>
          <cell r="FP166">
            <v>0</v>
          </cell>
          <cell r="FQ166">
            <v>0</v>
          </cell>
          <cell r="FR166">
            <v>0</v>
          </cell>
          <cell r="FS166">
            <v>0</v>
          </cell>
          <cell r="FT166">
            <v>0</v>
          </cell>
          <cell r="FU166">
            <v>0</v>
          </cell>
          <cell r="FV166">
            <v>0</v>
          </cell>
          <cell r="FW166">
            <v>0</v>
          </cell>
          <cell r="FX166">
            <v>0</v>
          </cell>
          <cell r="FY166">
            <v>0</v>
          </cell>
          <cell r="FZ166">
            <v>0</v>
          </cell>
          <cell r="GA166">
            <v>0</v>
          </cell>
          <cell r="GB166">
            <v>0</v>
          </cell>
          <cell r="GC166">
            <v>0</v>
          </cell>
          <cell r="GD166">
            <v>0</v>
          </cell>
          <cell r="GE166">
            <v>0</v>
          </cell>
          <cell r="GF166">
            <v>0</v>
          </cell>
          <cell r="GG166">
            <v>0</v>
          </cell>
          <cell r="GH166">
            <v>0</v>
          </cell>
          <cell r="GI166">
            <v>0</v>
          </cell>
          <cell r="GJ166">
            <v>0</v>
          </cell>
          <cell r="GK166">
            <v>0</v>
          </cell>
          <cell r="GL166">
            <v>0</v>
          </cell>
          <cell r="GM166">
            <v>0</v>
          </cell>
          <cell r="GN166">
            <v>0</v>
          </cell>
          <cell r="GO166">
            <v>0</v>
          </cell>
          <cell r="GP166">
            <v>0</v>
          </cell>
          <cell r="GQ166">
            <v>0</v>
          </cell>
          <cell r="GR166">
            <v>0</v>
          </cell>
          <cell r="GS166">
            <v>0</v>
          </cell>
          <cell r="GT166">
            <v>0</v>
          </cell>
          <cell r="GU166">
            <v>0</v>
          </cell>
          <cell r="GV166">
            <v>0</v>
          </cell>
          <cell r="GW166">
            <v>0</v>
          </cell>
          <cell r="GX166">
            <v>0</v>
          </cell>
          <cell r="GY166">
            <v>0</v>
          </cell>
          <cell r="GZ166">
            <v>0</v>
          </cell>
          <cell r="HA166">
            <v>0</v>
          </cell>
          <cell r="HB166">
            <v>0</v>
          </cell>
          <cell r="HC166">
            <v>0</v>
          </cell>
          <cell r="HD166">
            <v>0</v>
          </cell>
          <cell r="HE166">
            <v>245435973.19361231</v>
          </cell>
        </row>
        <row r="167">
          <cell r="A167" t="str">
            <v>HBS-40</v>
          </cell>
          <cell r="E167" t="str">
            <v>현     가</v>
          </cell>
          <cell r="F167">
            <v>0</v>
          </cell>
          <cell r="G167">
            <v>0</v>
          </cell>
          <cell r="H167">
            <v>442518.68988979014</v>
          </cell>
          <cell r="I167">
            <v>0</v>
          </cell>
          <cell r="J167">
            <v>0</v>
          </cell>
          <cell r="K167">
            <v>0</v>
          </cell>
          <cell r="L167">
            <v>0</v>
          </cell>
          <cell r="M167">
            <v>0</v>
          </cell>
          <cell r="N167">
            <v>0</v>
          </cell>
          <cell r="O167">
            <v>0</v>
          </cell>
          <cell r="P167">
            <v>0</v>
          </cell>
          <cell r="Q167">
            <v>0</v>
          </cell>
          <cell r="R167">
            <v>0</v>
          </cell>
          <cell r="S167">
            <v>0</v>
          </cell>
          <cell r="T167">
            <v>3598839.1266149129</v>
          </cell>
          <cell r="U167">
            <v>0</v>
          </cell>
          <cell r="V167">
            <v>0</v>
          </cell>
          <cell r="W167">
            <v>0</v>
          </cell>
          <cell r="X167">
            <v>0</v>
          </cell>
          <cell r="Y167">
            <v>0</v>
          </cell>
          <cell r="Z167">
            <v>0</v>
          </cell>
          <cell r="AA167">
            <v>0</v>
          </cell>
          <cell r="AB167">
            <v>0</v>
          </cell>
          <cell r="AC167">
            <v>0</v>
          </cell>
          <cell r="AD167">
            <v>0</v>
          </cell>
          <cell r="AE167">
            <v>0</v>
          </cell>
          <cell r="AF167">
            <v>3363976.1363734202</v>
          </cell>
          <cell r="AG167">
            <v>0</v>
          </cell>
          <cell r="AH167">
            <v>0</v>
          </cell>
          <cell r="AI167">
            <v>0</v>
          </cell>
          <cell r="AJ167">
            <v>0</v>
          </cell>
          <cell r="AK167">
            <v>0</v>
          </cell>
          <cell r="AL167">
            <v>0</v>
          </cell>
          <cell r="AM167">
            <v>0</v>
          </cell>
          <cell r="AN167">
            <v>0</v>
          </cell>
          <cell r="AO167">
            <v>0</v>
          </cell>
          <cell r="AP167">
            <v>0</v>
          </cell>
          <cell r="AQ167">
            <v>0</v>
          </cell>
          <cell r="AR167">
            <v>3117524.158134832</v>
          </cell>
          <cell r="AS167">
            <v>0</v>
          </cell>
          <cell r="AT167">
            <v>0</v>
          </cell>
          <cell r="AU167">
            <v>0</v>
          </cell>
          <cell r="AV167">
            <v>0</v>
          </cell>
          <cell r="AW167">
            <v>0</v>
          </cell>
          <cell r="AX167">
            <v>0</v>
          </cell>
          <cell r="AY167">
            <v>0</v>
          </cell>
          <cell r="AZ167">
            <v>0</v>
          </cell>
          <cell r="BA167">
            <v>0</v>
          </cell>
          <cell r="BB167">
            <v>0</v>
          </cell>
          <cell r="BC167">
            <v>0</v>
          </cell>
          <cell r="BD167">
            <v>2911568.1254550284</v>
          </cell>
          <cell r="BE167">
            <v>0</v>
          </cell>
          <cell r="BF167">
            <v>0</v>
          </cell>
          <cell r="BG167">
            <v>0</v>
          </cell>
          <cell r="BH167">
            <v>0</v>
          </cell>
          <cell r="BI167">
            <v>0</v>
          </cell>
          <cell r="BJ167">
            <v>0</v>
          </cell>
          <cell r="BK167">
            <v>0</v>
          </cell>
          <cell r="BL167">
            <v>0</v>
          </cell>
          <cell r="BM167">
            <v>0</v>
          </cell>
          <cell r="BN167">
            <v>0</v>
          </cell>
          <cell r="BO167">
            <v>0</v>
          </cell>
          <cell r="BP167">
            <v>32326083.795732167</v>
          </cell>
          <cell r="BQ167">
            <v>0</v>
          </cell>
          <cell r="BR167">
            <v>0</v>
          </cell>
          <cell r="BS167">
            <v>0</v>
          </cell>
          <cell r="BT167">
            <v>0</v>
          </cell>
          <cell r="BU167">
            <v>0</v>
          </cell>
          <cell r="BV167">
            <v>0</v>
          </cell>
          <cell r="BW167">
            <v>0</v>
          </cell>
          <cell r="BX167">
            <v>0</v>
          </cell>
          <cell r="BY167">
            <v>0</v>
          </cell>
          <cell r="BZ167">
            <v>0</v>
          </cell>
          <cell r="CA167">
            <v>0</v>
          </cell>
          <cell r="CB167">
            <v>29806568.917343989</v>
          </cell>
          <cell r="CC167">
            <v>0</v>
          </cell>
          <cell r="CD167">
            <v>0</v>
          </cell>
          <cell r="CE167">
            <v>0</v>
          </cell>
          <cell r="CF167">
            <v>0</v>
          </cell>
          <cell r="CG167">
            <v>0</v>
          </cell>
          <cell r="CH167">
            <v>0</v>
          </cell>
          <cell r="CI167">
            <v>0</v>
          </cell>
          <cell r="CJ167">
            <v>0</v>
          </cell>
          <cell r="CK167">
            <v>0</v>
          </cell>
          <cell r="CL167">
            <v>0</v>
          </cell>
          <cell r="CM167">
            <v>0</v>
          </cell>
          <cell r="CN167">
            <v>27476042.258448802</v>
          </cell>
          <cell r="CO167">
            <v>0</v>
          </cell>
          <cell r="CP167">
            <v>0</v>
          </cell>
          <cell r="CQ167">
            <v>0</v>
          </cell>
          <cell r="CR167">
            <v>0</v>
          </cell>
          <cell r="CS167">
            <v>0</v>
          </cell>
          <cell r="CT167">
            <v>0</v>
          </cell>
          <cell r="CU167">
            <v>0</v>
          </cell>
          <cell r="CV167">
            <v>0</v>
          </cell>
          <cell r="CW167">
            <v>0</v>
          </cell>
          <cell r="CX167">
            <v>0</v>
          </cell>
          <cell r="CY167">
            <v>0</v>
          </cell>
          <cell r="CZ167">
            <v>25327952.959925644</v>
          </cell>
          <cell r="DA167">
            <v>0</v>
          </cell>
          <cell r="DB167">
            <v>0</v>
          </cell>
          <cell r="DC167">
            <v>0</v>
          </cell>
          <cell r="DD167">
            <v>0</v>
          </cell>
          <cell r="DE167">
            <v>0</v>
          </cell>
          <cell r="DF167">
            <v>0</v>
          </cell>
          <cell r="DG167">
            <v>0</v>
          </cell>
          <cell r="DH167">
            <v>0</v>
          </cell>
          <cell r="DI167">
            <v>0</v>
          </cell>
          <cell r="DJ167">
            <v>0</v>
          </cell>
          <cell r="DK167">
            <v>0</v>
          </cell>
          <cell r="DL167">
            <v>23347891.342226047</v>
          </cell>
          <cell r="DM167">
            <v>0</v>
          </cell>
          <cell r="DN167">
            <v>0</v>
          </cell>
          <cell r="DO167">
            <v>0</v>
          </cell>
          <cell r="DP167">
            <v>0</v>
          </cell>
          <cell r="DQ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0</v>
          </cell>
          <cell r="EY167">
            <v>0</v>
          </cell>
          <cell r="EZ167">
            <v>0</v>
          </cell>
          <cell r="FA167">
            <v>0</v>
          </cell>
          <cell r="FB167">
            <v>0</v>
          </cell>
          <cell r="FC167">
            <v>0</v>
          </cell>
          <cell r="FD167">
            <v>0</v>
          </cell>
          <cell r="FE167">
            <v>0</v>
          </cell>
          <cell r="FF167">
            <v>0</v>
          </cell>
          <cell r="FG167">
            <v>0</v>
          </cell>
          <cell r="FH167">
            <v>0</v>
          </cell>
          <cell r="FI167">
            <v>0</v>
          </cell>
          <cell r="FJ167">
            <v>0</v>
          </cell>
          <cell r="FK167">
            <v>0</v>
          </cell>
          <cell r="FL167">
            <v>0</v>
          </cell>
          <cell r="FM167">
            <v>0</v>
          </cell>
          <cell r="FN167">
            <v>0</v>
          </cell>
          <cell r="FO167">
            <v>0</v>
          </cell>
          <cell r="FP167">
            <v>0</v>
          </cell>
          <cell r="FQ167">
            <v>0</v>
          </cell>
          <cell r="FR167">
            <v>0</v>
          </cell>
          <cell r="FS167">
            <v>0</v>
          </cell>
          <cell r="FT167">
            <v>0</v>
          </cell>
          <cell r="FU167">
            <v>0</v>
          </cell>
          <cell r="FV167">
            <v>0</v>
          </cell>
          <cell r="FW167">
            <v>0</v>
          </cell>
          <cell r="FX167">
            <v>0</v>
          </cell>
          <cell r="FY167">
            <v>0</v>
          </cell>
          <cell r="FZ167">
            <v>0</v>
          </cell>
          <cell r="GA167">
            <v>0</v>
          </cell>
          <cell r="GB167">
            <v>0</v>
          </cell>
          <cell r="GC167">
            <v>0</v>
          </cell>
          <cell r="GD167">
            <v>0</v>
          </cell>
          <cell r="GE167">
            <v>0</v>
          </cell>
          <cell r="GF167">
            <v>0</v>
          </cell>
          <cell r="GG167">
            <v>0</v>
          </cell>
          <cell r="GH167">
            <v>0</v>
          </cell>
          <cell r="GI167">
            <v>0</v>
          </cell>
          <cell r="GJ167">
            <v>0</v>
          </cell>
          <cell r="GK167">
            <v>0</v>
          </cell>
          <cell r="GL167">
            <v>0</v>
          </cell>
          <cell r="GM167">
            <v>0</v>
          </cell>
          <cell r="GN167">
            <v>0</v>
          </cell>
          <cell r="GO167">
            <v>0</v>
          </cell>
          <cell r="GP167">
            <v>0</v>
          </cell>
          <cell r="GQ167">
            <v>0</v>
          </cell>
          <cell r="GR167">
            <v>0</v>
          </cell>
          <cell r="GS167">
            <v>0</v>
          </cell>
          <cell r="GT167">
            <v>0</v>
          </cell>
          <cell r="GU167">
            <v>0</v>
          </cell>
          <cell r="GV167">
            <v>0</v>
          </cell>
          <cell r="GW167">
            <v>0</v>
          </cell>
          <cell r="GX167">
            <v>0</v>
          </cell>
          <cell r="GY167">
            <v>0</v>
          </cell>
          <cell r="GZ167">
            <v>0</v>
          </cell>
          <cell r="HA167">
            <v>0</v>
          </cell>
          <cell r="HB167">
            <v>0</v>
          </cell>
          <cell r="HC167">
            <v>0</v>
          </cell>
          <cell r="HD167">
            <v>0</v>
          </cell>
          <cell r="HE167">
            <v>151718965.51014465</v>
          </cell>
        </row>
        <row r="168">
          <cell r="B168" t="str">
            <v>HBS-41</v>
          </cell>
          <cell r="C168" t="str">
            <v>하이닉스</v>
          </cell>
          <cell r="D168">
            <v>1</v>
          </cell>
          <cell r="E168" t="str">
            <v>담     보</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v>0</v>
          </cell>
          <cell r="CM168">
            <v>0</v>
          </cell>
          <cell r="CN168">
            <v>0</v>
          </cell>
          <cell r="CO168">
            <v>0</v>
          </cell>
          <cell r="CP168">
            <v>0</v>
          </cell>
          <cell r="CQ168">
            <v>0</v>
          </cell>
          <cell r="CR168">
            <v>0</v>
          </cell>
          <cell r="CS168">
            <v>0</v>
          </cell>
          <cell r="CT168">
            <v>0</v>
          </cell>
          <cell r="CU168">
            <v>0</v>
          </cell>
          <cell r="CV168">
            <v>0</v>
          </cell>
          <cell r="CW168">
            <v>0</v>
          </cell>
          <cell r="CX168">
            <v>0</v>
          </cell>
          <cell r="CY168">
            <v>0</v>
          </cell>
          <cell r="CZ168">
            <v>0</v>
          </cell>
          <cell r="DA168">
            <v>0</v>
          </cell>
          <cell r="DB168">
            <v>0</v>
          </cell>
          <cell r="DC168">
            <v>0</v>
          </cell>
          <cell r="DD168">
            <v>0</v>
          </cell>
          <cell r="DE168">
            <v>0</v>
          </cell>
          <cell r="DF168">
            <v>0</v>
          </cell>
          <cell r="DG168">
            <v>0</v>
          </cell>
          <cell r="DH168">
            <v>0</v>
          </cell>
          <cell r="DI168">
            <v>0</v>
          </cell>
          <cell r="DJ168">
            <v>0</v>
          </cell>
          <cell r="DK168">
            <v>0</v>
          </cell>
          <cell r="DL168">
            <v>0</v>
          </cell>
          <cell r="DM168">
            <v>0</v>
          </cell>
          <cell r="DN168">
            <v>0</v>
          </cell>
          <cell r="DO168">
            <v>0</v>
          </cell>
          <cell r="DP168">
            <v>0</v>
          </cell>
          <cell r="DQ168">
            <v>0</v>
          </cell>
          <cell r="DR168">
            <v>0</v>
          </cell>
          <cell r="DS168">
            <v>0</v>
          </cell>
          <cell r="DT168">
            <v>0</v>
          </cell>
          <cell r="DU168">
            <v>0</v>
          </cell>
          <cell r="DV168">
            <v>0</v>
          </cell>
          <cell r="DW168">
            <v>0</v>
          </cell>
          <cell r="DX168">
            <v>0</v>
          </cell>
          <cell r="DY168">
            <v>0</v>
          </cell>
          <cell r="DZ168">
            <v>0</v>
          </cell>
          <cell r="EA168">
            <v>0</v>
          </cell>
          <cell r="EB168">
            <v>0</v>
          </cell>
          <cell r="EC168">
            <v>0</v>
          </cell>
          <cell r="ED168">
            <v>0</v>
          </cell>
          <cell r="EE168">
            <v>0</v>
          </cell>
          <cell r="EF168">
            <v>0</v>
          </cell>
          <cell r="EG168">
            <v>0</v>
          </cell>
          <cell r="EH168">
            <v>0</v>
          </cell>
          <cell r="EI168">
            <v>0</v>
          </cell>
          <cell r="EJ168">
            <v>0</v>
          </cell>
          <cell r="EK168">
            <v>0</v>
          </cell>
          <cell r="EL168">
            <v>0</v>
          </cell>
          <cell r="EM168">
            <v>0</v>
          </cell>
          <cell r="EN168">
            <v>0</v>
          </cell>
          <cell r="EO168">
            <v>0</v>
          </cell>
          <cell r="EP168">
            <v>0</v>
          </cell>
          <cell r="EQ168">
            <v>0</v>
          </cell>
          <cell r="ER168">
            <v>0</v>
          </cell>
          <cell r="ES168">
            <v>0</v>
          </cell>
          <cell r="ET168">
            <v>0</v>
          </cell>
          <cell r="EU168">
            <v>0</v>
          </cell>
          <cell r="EV168">
            <v>0</v>
          </cell>
          <cell r="EW168">
            <v>0</v>
          </cell>
          <cell r="EX168">
            <v>0</v>
          </cell>
          <cell r="EY168">
            <v>0</v>
          </cell>
          <cell r="EZ168">
            <v>0</v>
          </cell>
          <cell r="FA168">
            <v>0</v>
          </cell>
          <cell r="FB168">
            <v>0</v>
          </cell>
          <cell r="FC168">
            <v>0</v>
          </cell>
          <cell r="FD168">
            <v>0</v>
          </cell>
          <cell r="FE168">
            <v>0</v>
          </cell>
          <cell r="FF168">
            <v>0</v>
          </cell>
          <cell r="FG168">
            <v>0</v>
          </cell>
          <cell r="FH168">
            <v>0</v>
          </cell>
          <cell r="FI168">
            <v>0</v>
          </cell>
          <cell r="FJ168">
            <v>0</v>
          </cell>
          <cell r="FK168">
            <v>0</v>
          </cell>
          <cell r="FL168">
            <v>0</v>
          </cell>
          <cell r="FM168">
            <v>0</v>
          </cell>
          <cell r="FN168">
            <v>0</v>
          </cell>
          <cell r="FO168">
            <v>0</v>
          </cell>
          <cell r="FP168">
            <v>0</v>
          </cell>
          <cell r="FQ168">
            <v>0</v>
          </cell>
          <cell r="FR168">
            <v>0</v>
          </cell>
          <cell r="FS168">
            <v>0</v>
          </cell>
          <cell r="FT168">
            <v>0</v>
          </cell>
          <cell r="FU168">
            <v>0</v>
          </cell>
          <cell r="FV168">
            <v>0</v>
          </cell>
          <cell r="FW168">
            <v>0</v>
          </cell>
          <cell r="FX168">
            <v>0</v>
          </cell>
          <cell r="FY168">
            <v>0</v>
          </cell>
          <cell r="FZ168">
            <v>0</v>
          </cell>
          <cell r="GA168">
            <v>0</v>
          </cell>
          <cell r="GB168">
            <v>0</v>
          </cell>
          <cell r="GC168">
            <v>0</v>
          </cell>
          <cell r="GD168">
            <v>0</v>
          </cell>
          <cell r="GE168">
            <v>0</v>
          </cell>
          <cell r="GF168">
            <v>0</v>
          </cell>
          <cell r="GG168">
            <v>0</v>
          </cell>
          <cell r="GH168">
            <v>0</v>
          </cell>
          <cell r="GI168">
            <v>0</v>
          </cell>
          <cell r="GJ168">
            <v>0</v>
          </cell>
          <cell r="GK168">
            <v>0</v>
          </cell>
          <cell r="GL168">
            <v>0</v>
          </cell>
          <cell r="GM168">
            <v>0</v>
          </cell>
          <cell r="GN168">
            <v>0</v>
          </cell>
          <cell r="GO168">
            <v>0</v>
          </cell>
          <cell r="GP168">
            <v>0</v>
          </cell>
          <cell r="GQ168">
            <v>0</v>
          </cell>
          <cell r="GR168">
            <v>0</v>
          </cell>
          <cell r="GS168">
            <v>0</v>
          </cell>
          <cell r="GT168">
            <v>0</v>
          </cell>
          <cell r="GU168">
            <v>0</v>
          </cell>
          <cell r="GV168">
            <v>0</v>
          </cell>
          <cell r="GW168">
            <v>0</v>
          </cell>
          <cell r="GX168">
            <v>0</v>
          </cell>
          <cell r="GY168">
            <v>0</v>
          </cell>
          <cell r="GZ168">
            <v>0</v>
          </cell>
          <cell r="HA168">
            <v>0</v>
          </cell>
          <cell r="HB168">
            <v>0</v>
          </cell>
          <cell r="HC168">
            <v>0</v>
          </cell>
          <cell r="HD168">
            <v>0</v>
          </cell>
          <cell r="HE168">
            <v>0</v>
          </cell>
        </row>
        <row r="169">
          <cell r="D169">
            <v>1</v>
          </cell>
          <cell r="E169" t="str">
            <v>무 담 보</v>
          </cell>
          <cell r="F169">
            <v>1509880904.1095891</v>
          </cell>
          <cell r="G169">
            <v>1461175068.4931507</v>
          </cell>
          <cell r="H169">
            <v>1509880904.1095891</v>
          </cell>
          <cell r="I169">
            <v>1509880904.1095891</v>
          </cell>
          <cell r="J169">
            <v>1363763397.2602739</v>
          </cell>
          <cell r="K169">
            <v>1509880904.1095891</v>
          </cell>
          <cell r="L169">
            <v>1461175068.4931507</v>
          </cell>
          <cell r="M169">
            <v>1509880904.1095891</v>
          </cell>
          <cell r="N169">
            <v>1461175068.4931507</v>
          </cell>
          <cell r="O169">
            <v>1509880904.1095891</v>
          </cell>
          <cell r="P169">
            <v>1509880904.1095891</v>
          </cell>
          <cell r="Q169">
            <v>1461175068.4931507</v>
          </cell>
          <cell r="R169">
            <v>1509880904.1095891</v>
          </cell>
          <cell r="S169">
            <v>1461175068.4931507</v>
          </cell>
          <cell r="T169">
            <v>1509880904.1095891</v>
          </cell>
          <cell r="U169">
            <v>1509880904.1095891</v>
          </cell>
          <cell r="V169">
            <v>1363763397.2602739</v>
          </cell>
          <cell r="W169">
            <v>1509880904.1095891</v>
          </cell>
          <cell r="X169">
            <v>1461175068.4931507</v>
          </cell>
          <cell r="Y169">
            <v>1509880904.1095891</v>
          </cell>
          <cell r="Z169">
            <v>1461175068.4931507</v>
          </cell>
          <cell r="AA169">
            <v>1509880904.1095891</v>
          </cell>
          <cell r="AB169">
            <v>1509880904.1095891</v>
          </cell>
          <cell r="AC169">
            <v>1461175068.4931507</v>
          </cell>
          <cell r="AD169">
            <v>1509880904.1095891</v>
          </cell>
          <cell r="AE169">
            <v>1461175068.4931507</v>
          </cell>
          <cell r="AF169">
            <v>67487480904.109589</v>
          </cell>
          <cell r="AG169">
            <v>1509880904.1095891</v>
          </cell>
          <cell r="AH169">
            <v>1412469232.8767123</v>
          </cell>
          <cell r="AI169">
            <v>1509880904.1095891</v>
          </cell>
          <cell r="AJ169">
            <v>1461175068.4931507</v>
          </cell>
          <cell r="AK169">
            <v>1509880904.1095891</v>
          </cell>
          <cell r="AL169">
            <v>1461175068.4931507</v>
          </cell>
          <cell r="AM169">
            <v>1509880904.1095891</v>
          </cell>
          <cell r="AN169">
            <v>1509880904.1095891</v>
          </cell>
          <cell r="AO169">
            <v>1461175068.4931507</v>
          </cell>
          <cell r="AP169">
            <v>1509880904.1095891</v>
          </cell>
          <cell r="AQ169">
            <v>1461175068.4931507</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v>0</v>
          </cell>
          <cell r="CM169">
            <v>0</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0</v>
          </cell>
          <cell r="DE169">
            <v>0</v>
          </cell>
          <cell r="DF169">
            <v>0</v>
          </cell>
          <cell r="DG169">
            <v>0</v>
          </cell>
          <cell r="DH169">
            <v>0</v>
          </cell>
          <cell r="DI169">
            <v>0</v>
          </cell>
          <cell r="DJ169">
            <v>0</v>
          </cell>
          <cell r="DK169">
            <v>0</v>
          </cell>
          <cell r="DL169">
            <v>0</v>
          </cell>
          <cell r="DM169">
            <v>0</v>
          </cell>
          <cell r="DN169">
            <v>0</v>
          </cell>
          <cell r="DO169">
            <v>0</v>
          </cell>
          <cell r="DP169">
            <v>0</v>
          </cell>
          <cell r="DQ169">
            <v>0</v>
          </cell>
          <cell r="DR169">
            <v>0</v>
          </cell>
          <cell r="DS169">
            <v>0</v>
          </cell>
          <cell r="DT169">
            <v>0</v>
          </cell>
          <cell r="DU169">
            <v>0</v>
          </cell>
          <cell r="DV169">
            <v>0</v>
          </cell>
          <cell r="DW169">
            <v>0</v>
          </cell>
          <cell r="DX169">
            <v>0</v>
          </cell>
          <cell r="DY169">
            <v>0</v>
          </cell>
          <cell r="DZ169">
            <v>0</v>
          </cell>
          <cell r="EA169">
            <v>0</v>
          </cell>
          <cell r="EB169">
            <v>0</v>
          </cell>
          <cell r="EC169">
            <v>0</v>
          </cell>
          <cell r="ED169">
            <v>0</v>
          </cell>
          <cell r="EE169">
            <v>0</v>
          </cell>
          <cell r="EF169">
            <v>0</v>
          </cell>
          <cell r="EG169">
            <v>0</v>
          </cell>
          <cell r="EH169">
            <v>0</v>
          </cell>
          <cell r="EI169">
            <v>0</v>
          </cell>
          <cell r="EJ169">
            <v>0</v>
          </cell>
          <cell r="EK169">
            <v>0</v>
          </cell>
          <cell r="EL169">
            <v>0</v>
          </cell>
          <cell r="EM169">
            <v>0</v>
          </cell>
          <cell r="EN169">
            <v>0</v>
          </cell>
          <cell r="EO169">
            <v>0</v>
          </cell>
          <cell r="EP169">
            <v>0</v>
          </cell>
          <cell r="EQ169">
            <v>0</v>
          </cell>
          <cell r="ER169">
            <v>0</v>
          </cell>
          <cell r="ES169">
            <v>0</v>
          </cell>
          <cell r="ET169">
            <v>0</v>
          </cell>
          <cell r="EU169">
            <v>0</v>
          </cell>
          <cell r="EV169">
            <v>0</v>
          </cell>
          <cell r="EW169">
            <v>0</v>
          </cell>
          <cell r="EX169">
            <v>0</v>
          </cell>
          <cell r="EY169">
            <v>0</v>
          </cell>
          <cell r="EZ169">
            <v>0</v>
          </cell>
          <cell r="FA169">
            <v>0</v>
          </cell>
          <cell r="FB169">
            <v>0</v>
          </cell>
          <cell r="FC169">
            <v>0</v>
          </cell>
          <cell r="FD169">
            <v>0</v>
          </cell>
          <cell r="FE169">
            <v>0</v>
          </cell>
          <cell r="FF169">
            <v>0</v>
          </cell>
          <cell r="FG169">
            <v>0</v>
          </cell>
          <cell r="FH169">
            <v>0</v>
          </cell>
          <cell r="FI169">
            <v>0</v>
          </cell>
          <cell r="FJ169">
            <v>0</v>
          </cell>
          <cell r="FK169">
            <v>0</v>
          </cell>
          <cell r="FL169">
            <v>0</v>
          </cell>
          <cell r="FM169">
            <v>0</v>
          </cell>
          <cell r="FN169">
            <v>0</v>
          </cell>
          <cell r="FO169">
            <v>0</v>
          </cell>
          <cell r="FP169">
            <v>0</v>
          </cell>
          <cell r="FQ169">
            <v>0</v>
          </cell>
          <cell r="FR169">
            <v>0</v>
          </cell>
          <cell r="FS169">
            <v>0</v>
          </cell>
          <cell r="FT169">
            <v>0</v>
          </cell>
          <cell r="FU169">
            <v>0</v>
          </cell>
          <cell r="FV169">
            <v>0</v>
          </cell>
          <cell r="FW169">
            <v>0</v>
          </cell>
          <cell r="FX169">
            <v>0</v>
          </cell>
          <cell r="FY169">
            <v>0</v>
          </cell>
          <cell r="FZ169">
            <v>0</v>
          </cell>
          <cell r="GA169">
            <v>0</v>
          </cell>
          <cell r="GB169">
            <v>0</v>
          </cell>
          <cell r="GC169">
            <v>0</v>
          </cell>
          <cell r="GD169">
            <v>0</v>
          </cell>
          <cell r="GE169">
            <v>0</v>
          </cell>
          <cell r="GF169">
            <v>0</v>
          </cell>
          <cell r="GG169">
            <v>0</v>
          </cell>
          <cell r="GH169">
            <v>0</v>
          </cell>
          <cell r="GI169">
            <v>0</v>
          </cell>
          <cell r="GJ169">
            <v>0</v>
          </cell>
          <cell r="GK169">
            <v>0</v>
          </cell>
          <cell r="GL169">
            <v>0</v>
          </cell>
          <cell r="GM169">
            <v>0</v>
          </cell>
          <cell r="GN169">
            <v>0</v>
          </cell>
          <cell r="GO169">
            <v>0</v>
          </cell>
          <cell r="GP169">
            <v>0</v>
          </cell>
          <cell r="GQ169">
            <v>0</v>
          </cell>
          <cell r="GR169">
            <v>0</v>
          </cell>
          <cell r="GS169">
            <v>0</v>
          </cell>
          <cell r="GT169">
            <v>0</v>
          </cell>
          <cell r="GU169">
            <v>0</v>
          </cell>
          <cell r="GV169">
            <v>0</v>
          </cell>
          <cell r="GW169">
            <v>0</v>
          </cell>
          <cell r="GX169">
            <v>0</v>
          </cell>
          <cell r="GY169">
            <v>0</v>
          </cell>
          <cell r="GZ169">
            <v>0</v>
          </cell>
          <cell r="HA169">
            <v>0</v>
          </cell>
          <cell r="HB169">
            <v>0</v>
          </cell>
          <cell r="HC169">
            <v>0</v>
          </cell>
          <cell r="HD169">
            <v>0</v>
          </cell>
          <cell r="HE169">
            <v>122330251808.21915</v>
          </cell>
        </row>
        <row r="170">
          <cell r="E170" t="str">
            <v>Total</v>
          </cell>
          <cell r="F170">
            <v>1509880904.1095891</v>
          </cell>
          <cell r="G170">
            <v>1461175068.4931507</v>
          </cell>
          <cell r="H170">
            <v>1509880904.1095891</v>
          </cell>
          <cell r="I170">
            <v>1509880904.1095891</v>
          </cell>
          <cell r="J170">
            <v>1363763397.2602739</v>
          </cell>
          <cell r="K170">
            <v>1509880904.1095891</v>
          </cell>
          <cell r="L170">
            <v>1461175068.4931507</v>
          </cell>
          <cell r="M170">
            <v>1509880904.1095891</v>
          </cell>
          <cell r="N170">
            <v>1461175068.4931507</v>
          </cell>
          <cell r="O170">
            <v>1509880904.1095891</v>
          </cell>
          <cell r="P170">
            <v>1509880904.1095891</v>
          </cell>
          <cell r="Q170">
            <v>1461175068.4931507</v>
          </cell>
          <cell r="R170">
            <v>1509880904.1095891</v>
          </cell>
          <cell r="S170">
            <v>1461175068.4931507</v>
          </cell>
          <cell r="T170">
            <v>1509880904.1095891</v>
          </cell>
          <cell r="U170">
            <v>1509880904.1095891</v>
          </cell>
          <cell r="V170">
            <v>1363763397.2602739</v>
          </cell>
          <cell r="W170">
            <v>1509880904.1095891</v>
          </cell>
          <cell r="X170">
            <v>1461175068.4931507</v>
          </cell>
          <cell r="Y170">
            <v>1509880904.1095891</v>
          </cell>
          <cell r="Z170">
            <v>1461175068.4931507</v>
          </cell>
          <cell r="AA170">
            <v>1509880904.1095891</v>
          </cell>
          <cell r="AB170">
            <v>1509880904.1095891</v>
          </cell>
          <cell r="AC170">
            <v>1461175068.4931507</v>
          </cell>
          <cell r="AD170">
            <v>1509880904.1095891</v>
          </cell>
          <cell r="AE170">
            <v>1461175068.4931507</v>
          </cell>
          <cell r="AF170">
            <v>67487480904.109589</v>
          </cell>
          <cell r="AG170">
            <v>1509880904.1095891</v>
          </cell>
          <cell r="AH170">
            <v>1412469232.8767123</v>
          </cell>
          <cell r="AI170">
            <v>1509880904.1095891</v>
          </cell>
          <cell r="AJ170">
            <v>1461175068.4931507</v>
          </cell>
          <cell r="AK170">
            <v>1509880904.1095891</v>
          </cell>
          <cell r="AL170">
            <v>1461175068.4931507</v>
          </cell>
          <cell r="AM170">
            <v>1509880904.1095891</v>
          </cell>
          <cell r="AN170">
            <v>1509880904.1095891</v>
          </cell>
          <cell r="AO170">
            <v>1461175068.4931507</v>
          </cell>
          <cell r="AP170">
            <v>1509880904.1095891</v>
          </cell>
          <cell r="AQ170">
            <v>1461175068.4931507</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0</v>
          </cell>
          <cell r="DM170">
            <v>0</v>
          </cell>
          <cell r="DN170">
            <v>0</v>
          </cell>
          <cell r="DO170">
            <v>0</v>
          </cell>
          <cell r="DP170">
            <v>0</v>
          </cell>
          <cell r="DQ170">
            <v>0</v>
          </cell>
          <cell r="DR170">
            <v>0</v>
          </cell>
          <cell r="DS170">
            <v>0</v>
          </cell>
          <cell r="DT170">
            <v>0</v>
          </cell>
          <cell r="DU170">
            <v>0</v>
          </cell>
          <cell r="DV170">
            <v>0</v>
          </cell>
          <cell r="DW170">
            <v>0</v>
          </cell>
          <cell r="DX170">
            <v>0</v>
          </cell>
          <cell r="DY170">
            <v>0</v>
          </cell>
          <cell r="DZ170">
            <v>0</v>
          </cell>
          <cell r="EA170">
            <v>0</v>
          </cell>
          <cell r="EB170">
            <v>0</v>
          </cell>
          <cell r="EC170">
            <v>0</v>
          </cell>
          <cell r="ED170">
            <v>0</v>
          </cell>
          <cell r="EE170">
            <v>0</v>
          </cell>
          <cell r="EF170">
            <v>0</v>
          </cell>
          <cell r="EG170">
            <v>0</v>
          </cell>
          <cell r="EH170">
            <v>0</v>
          </cell>
          <cell r="EI170">
            <v>0</v>
          </cell>
          <cell r="EJ170">
            <v>0</v>
          </cell>
          <cell r="EK170">
            <v>0</v>
          </cell>
          <cell r="EL170">
            <v>0</v>
          </cell>
          <cell r="EM170">
            <v>0</v>
          </cell>
          <cell r="EN170">
            <v>0</v>
          </cell>
          <cell r="EO170">
            <v>0</v>
          </cell>
          <cell r="EP170">
            <v>0</v>
          </cell>
          <cell r="EQ170">
            <v>0</v>
          </cell>
          <cell r="ER170">
            <v>0</v>
          </cell>
          <cell r="ES170">
            <v>0</v>
          </cell>
          <cell r="ET170">
            <v>0</v>
          </cell>
          <cell r="EU170">
            <v>0</v>
          </cell>
          <cell r="EV170">
            <v>0</v>
          </cell>
          <cell r="EW170">
            <v>0</v>
          </cell>
          <cell r="EX170">
            <v>0</v>
          </cell>
          <cell r="EY170">
            <v>0</v>
          </cell>
          <cell r="EZ170">
            <v>0</v>
          </cell>
          <cell r="FA170">
            <v>0</v>
          </cell>
          <cell r="FB170">
            <v>0</v>
          </cell>
          <cell r="FC170">
            <v>0</v>
          </cell>
          <cell r="FD170">
            <v>0</v>
          </cell>
          <cell r="FE170">
            <v>0</v>
          </cell>
          <cell r="FF170">
            <v>0</v>
          </cell>
          <cell r="FG170">
            <v>0</v>
          </cell>
          <cell r="FH170">
            <v>0</v>
          </cell>
          <cell r="FI170">
            <v>0</v>
          </cell>
          <cell r="FJ170">
            <v>0</v>
          </cell>
          <cell r="FK170">
            <v>0</v>
          </cell>
          <cell r="FL170">
            <v>0</v>
          </cell>
          <cell r="FM170">
            <v>0</v>
          </cell>
          <cell r="FN170">
            <v>0</v>
          </cell>
          <cell r="FO170">
            <v>0</v>
          </cell>
          <cell r="FP170">
            <v>0</v>
          </cell>
          <cell r="FQ170">
            <v>0</v>
          </cell>
          <cell r="FR170">
            <v>0</v>
          </cell>
          <cell r="FS170">
            <v>0</v>
          </cell>
          <cell r="FT170">
            <v>0</v>
          </cell>
          <cell r="FU170">
            <v>0</v>
          </cell>
          <cell r="FV170">
            <v>0</v>
          </cell>
          <cell r="FW170">
            <v>0</v>
          </cell>
          <cell r="FX170">
            <v>0</v>
          </cell>
          <cell r="FY170">
            <v>0</v>
          </cell>
          <cell r="FZ170">
            <v>0</v>
          </cell>
          <cell r="GA170">
            <v>0</v>
          </cell>
          <cell r="GB170">
            <v>0</v>
          </cell>
          <cell r="GC170">
            <v>0</v>
          </cell>
          <cell r="GD170">
            <v>0</v>
          </cell>
          <cell r="GE170">
            <v>0</v>
          </cell>
          <cell r="GF170">
            <v>0</v>
          </cell>
          <cell r="GG170">
            <v>0</v>
          </cell>
          <cell r="GH170">
            <v>0</v>
          </cell>
          <cell r="GI170">
            <v>0</v>
          </cell>
          <cell r="GJ170">
            <v>0</v>
          </cell>
          <cell r="GK170">
            <v>0</v>
          </cell>
          <cell r="GL170">
            <v>0</v>
          </cell>
          <cell r="GM170">
            <v>0</v>
          </cell>
          <cell r="GN170">
            <v>0</v>
          </cell>
          <cell r="GO170">
            <v>0</v>
          </cell>
          <cell r="GP170">
            <v>0</v>
          </cell>
          <cell r="GQ170">
            <v>0</v>
          </cell>
          <cell r="GR170">
            <v>0</v>
          </cell>
          <cell r="GS170">
            <v>0</v>
          </cell>
          <cell r="GT170">
            <v>0</v>
          </cell>
          <cell r="GU170">
            <v>0</v>
          </cell>
          <cell r="GV170">
            <v>0</v>
          </cell>
          <cell r="GW170">
            <v>0</v>
          </cell>
          <cell r="GX170">
            <v>0</v>
          </cell>
          <cell r="GY170">
            <v>0</v>
          </cell>
          <cell r="GZ170">
            <v>0</v>
          </cell>
          <cell r="HA170">
            <v>0</v>
          </cell>
          <cell r="HB170">
            <v>0</v>
          </cell>
          <cell r="HC170">
            <v>0</v>
          </cell>
          <cell r="HD170">
            <v>0</v>
          </cell>
          <cell r="HE170">
            <v>122330251808.21915</v>
          </cell>
        </row>
        <row r="171">
          <cell r="A171" t="str">
            <v>HBS-41</v>
          </cell>
          <cell r="E171" t="str">
            <v>현     가</v>
          </cell>
          <cell r="F171">
            <v>1509880904.1095891</v>
          </cell>
          <cell r="G171">
            <v>1454702479.4541678</v>
          </cell>
          <cell r="H171">
            <v>1496312399.1091969</v>
          </cell>
          <cell r="I171">
            <v>1489463726.8535404</v>
          </cell>
          <cell r="J171">
            <v>1339759152.8682449</v>
          </cell>
          <cell r="K171">
            <v>1476515640.461549</v>
          </cell>
          <cell r="L171">
            <v>1422556545.5435266</v>
          </cell>
          <cell r="M171">
            <v>1463246971.5246606</v>
          </cell>
          <cell r="N171">
            <v>1409772778.5927613</v>
          </cell>
          <cell r="O171">
            <v>1450097541.1319041</v>
          </cell>
          <cell r="P171">
            <v>1443460395.8380082</v>
          </cell>
          <cell r="Q171">
            <v>1390709301.047653</v>
          </cell>
          <cell r="R171">
            <v>1430488776.9868205</v>
          </cell>
          <cell r="S171">
            <v>1369085327.3318205</v>
          </cell>
          <cell r="T171">
            <v>1407512176.4284868</v>
          </cell>
          <cell r="U171">
            <v>1400339586.2149696</v>
          </cell>
          <cell r="V171">
            <v>1258999712.8396287</v>
          </cell>
          <cell r="W171">
            <v>1386789353.7843685</v>
          </cell>
          <cell r="X171">
            <v>1335435261.26648</v>
          </cell>
          <cell r="Y171">
            <v>1372917635.9867349</v>
          </cell>
          <cell r="Z171">
            <v>1322077226.0099022</v>
          </cell>
          <cell r="AA171">
            <v>1359184673.6202209</v>
          </cell>
          <cell r="AB171">
            <v>1352258357.2077351</v>
          </cell>
          <cell r="AC171">
            <v>1302182979.4334316</v>
          </cell>
          <cell r="AD171">
            <v>1338732044.5997753</v>
          </cell>
          <cell r="AE171">
            <v>1280105643.8133805</v>
          </cell>
          <cell r="AF171">
            <v>58806205676.575027</v>
          </cell>
          <cell r="AG171">
            <v>1308576194.7231128</v>
          </cell>
          <cell r="AH171">
            <v>1217987700.4336925</v>
          </cell>
          <cell r="AI171">
            <v>1294979760.0446179</v>
          </cell>
          <cell r="AJ171">
            <v>1246678655.9913104</v>
          </cell>
          <cell r="AK171">
            <v>1281301531.4848723</v>
          </cell>
          <cell r="AL171">
            <v>1233510608.0238132</v>
          </cell>
          <cell r="AM171">
            <v>1267767779.2654569</v>
          </cell>
          <cell r="AN171">
            <v>1260944848.8875749</v>
          </cell>
          <cell r="AO171">
            <v>1213913203.8914382</v>
          </cell>
          <cell r="AP171">
            <v>1247626114.2042439</v>
          </cell>
          <cell r="AQ171">
            <v>1186261756.913352</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v>0</v>
          </cell>
          <cell r="DU171">
            <v>0</v>
          </cell>
          <cell r="DV171">
            <v>0</v>
          </cell>
          <cell r="DW171">
            <v>0</v>
          </cell>
          <cell r="DX171">
            <v>0</v>
          </cell>
          <cell r="DY171">
            <v>0</v>
          </cell>
          <cell r="DZ171">
            <v>0</v>
          </cell>
          <cell r="EA171">
            <v>0</v>
          </cell>
          <cell r="EB171">
            <v>0</v>
          </cell>
          <cell r="EC171">
            <v>0</v>
          </cell>
          <cell r="ED171">
            <v>0</v>
          </cell>
          <cell r="EE171">
            <v>0</v>
          </cell>
          <cell r="EF171">
            <v>0</v>
          </cell>
          <cell r="EG171">
            <v>0</v>
          </cell>
          <cell r="EH171">
            <v>0</v>
          </cell>
          <cell r="EI171">
            <v>0</v>
          </cell>
          <cell r="EJ171">
            <v>0</v>
          </cell>
          <cell r="EK171">
            <v>0</v>
          </cell>
          <cell r="EL171">
            <v>0</v>
          </cell>
          <cell r="EM171">
            <v>0</v>
          </cell>
          <cell r="EN171">
            <v>0</v>
          </cell>
          <cell r="EO171">
            <v>0</v>
          </cell>
          <cell r="EP171">
            <v>0</v>
          </cell>
          <cell r="EQ171">
            <v>0</v>
          </cell>
          <cell r="ER171">
            <v>0</v>
          </cell>
          <cell r="ES171">
            <v>0</v>
          </cell>
          <cell r="ET171">
            <v>0</v>
          </cell>
          <cell r="EU171">
            <v>0</v>
          </cell>
          <cell r="EV171">
            <v>0</v>
          </cell>
          <cell r="EW171">
            <v>0</v>
          </cell>
          <cell r="EX171">
            <v>0</v>
          </cell>
          <cell r="EY171">
            <v>0</v>
          </cell>
          <cell r="EZ171">
            <v>0</v>
          </cell>
          <cell r="FA171">
            <v>0</v>
          </cell>
          <cell r="FB171">
            <v>0</v>
          </cell>
          <cell r="FC171">
            <v>0</v>
          </cell>
          <cell r="FD171">
            <v>0</v>
          </cell>
          <cell r="FE171">
            <v>0</v>
          </cell>
          <cell r="FF171">
            <v>0</v>
          </cell>
          <cell r="FG171">
            <v>0</v>
          </cell>
          <cell r="FH171">
            <v>0</v>
          </cell>
          <cell r="FI171">
            <v>0</v>
          </cell>
          <cell r="FJ171">
            <v>0</v>
          </cell>
          <cell r="FK171">
            <v>0</v>
          </cell>
          <cell r="FL171">
            <v>0</v>
          </cell>
          <cell r="FM171">
            <v>0</v>
          </cell>
          <cell r="FN171">
            <v>0</v>
          </cell>
          <cell r="FO171">
            <v>0</v>
          </cell>
          <cell r="FP171">
            <v>0</v>
          </cell>
          <cell r="FQ171">
            <v>0</v>
          </cell>
          <cell r="FR171">
            <v>0</v>
          </cell>
          <cell r="FS171">
            <v>0</v>
          </cell>
          <cell r="FT171">
            <v>0</v>
          </cell>
          <cell r="FU171">
            <v>0</v>
          </cell>
          <cell r="FV171">
            <v>0</v>
          </cell>
          <cell r="FW171">
            <v>0</v>
          </cell>
          <cell r="FX171">
            <v>0</v>
          </cell>
          <cell r="FY171">
            <v>0</v>
          </cell>
          <cell r="FZ171">
            <v>0</v>
          </cell>
          <cell r="GA171">
            <v>0</v>
          </cell>
          <cell r="GB171">
            <v>0</v>
          </cell>
          <cell r="GC171">
            <v>0</v>
          </cell>
          <cell r="GD171">
            <v>0</v>
          </cell>
          <cell r="GE171">
            <v>0</v>
          </cell>
          <cell r="GF171">
            <v>0</v>
          </cell>
          <cell r="GG171">
            <v>0</v>
          </cell>
          <cell r="GH171">
            <v>0</v>
          </cell>
          <cell r="GI171">
            <v>0</v>
          </cell>
          <cell r="GJ171">
            <v>0</v>
          </cell>
          <cell r="GK171">
            <v>0</v>
          </cell>
          <cell r="GL171">
            <v>0</v>
          </cell>
          <cell r="GM171">
            <v>0</v>
          </cell>
          <cell r="GN171">
            <v>0</v>
          </cell>
          <cell r="GO171">
            <v>0</v>
          </cell>
          <cell r="GP171">
            <v>0</v>
          </cell>
          <cell r="GQ171">
            <v>0</v>
          </cell>
          <cell r="GR171">
            <v>0</v>
          </cell>
          <cell r="GS171">
            <v>0</v>
          </cell>
          <cell r="GT171">
            <v>0</v>
          </cell>
          <cell r="GU171">
            <v>0</v>
          </cell>
          <cell r="GV171">
            <v>0</v>
          </cell>
          <cell r="GW171">
            <v>0</v>
          </cell>
          <cell r="GX171">
            <v>0</v>
          </cell>
          <cell r="GY171">
            <v>0</v>
          </cell>
          <cell r="GZ171">
            <v>0</v>
          </cell>
          <cell r="HA171">
            <v>0</v>
          </cell>
          <cell r="HB171">
            <v>0</v>
          </cell>
          <cell r="HC171">
            <v>0</v>
          </cell>
          <cell r="HD171">
            <v>0</v>
          </cell>
          <cell r="HE171">
            <v>108828340422.49706</v>
          </cell>
        </row>
        <row r="172">
          <cell r="B172" t="str">
            <v>HBS-42</v>
          </cell>
          <cell r="C172" t="str">
            <v>(주)삼광수기</v>
          </cell>
          <cell r="D172">
            <v>0.3</v>
          </cell>
          <cell r="E172" t="str">
            <v>담     보</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0</v>
          </cell>
          <cell r="DQ172">
            <v>0</v>
          </cell>
          <cell r="DR172">
            <v>0</v>
          </cell>
          <cell r="DS172">
            <v>0</v>
          </cell>
          <cell r="DT172">
            <v>0</v>
          </cell>
          <cell r="DU172">
            <v>0</v>
          </cell>
          <cell r="DV172">
            <v>0</v>
          </cell>
          <cell r="DW172">
            <v>0</v>
          </cell>
          <cell r="DX172">
            <v>0</v>
          </cell>
          <cell r="DY172">
            <v>0</v>
          </cell>
          <cell r="DZ172">
            <v>0</v>
          </cell>
          <cell r="EA172">
            <v>0</v>
          </cell>
          <cell r="EB172">
            <v>0</v>
          </cell>
          <cell r="EC172">
            <v>0</v>
          </cell>
          <cell r="ED172">
            <v>0</v>
          </cell>
          <cell r="EE172">
            <v>0</v>
          </cell>
          <cell r="EF172">
            <v>0</v>
          </cell>
          <cell r="EG172">
            <v>0</v>
          </cell>
          <cell r="EH172">
            <v>0</v>
          </cell>
          <cell r="EI172">
            <v>0</v>
          </cell>
          <cell r="EJ172">
            <v>0</v>
          </cell>
          <cell r="EK172">
            <v>0</v>
          </cell>
          <cell r="EL172">
            <v>0</v>
          </cell>
          <cell r="EM172">
            <v>0</v>
          </cell>
          <cell r="EN172">
            <v>0</v>
          </cell>
          <cell r="EO172">
            <v>0</v>
          </cell>
          <cell r="EP172">
            <v>0</v>
          </cell>
          <cell r="EQ172">
            <v>0</v>
          </cell>
          <cell r="ER172">
            <v>0</v>
          </cell>
          <cell r="ES172">
            <v>0</v>
          </cell>
          <cell r="ET172">
            <v>0</v>
          </cell>
          <cell r="EU172">
            <v>0</v>
          </cell>
          <cell r="EV172">
            <v>0</v>
          </cell>
          <cell r="EW172">
            <v>0</v>
          </cell>
          <cell r="EX172">
            <v>0</v>
          </cell>
          <cell r="EY172">
            <v>0</v>
          </cell>
          <cell r="EZ172">
            <v>0</v>
          </cell>
          <cell r="FA172">
            <v>0</v>
          </cell>
          <cell r="FB172">
            <v>0</v>
          </cell>
          <cell r="FC172">
            <v>0</v>
          </cell>
          <cell r="FD172">
            <v>0</v>
          </cell>
          <cell r="FE172">
            <v>0</v>
          </cell>
          <cell r="FF172">
            <v>0</v>
          </cell>
          <cell r="FG172">
            <v>0</v>
          </cell>
          <cell r="FH172">
            <v>0</v>
          </cell>
          <cell r="FI172">
            <v>0</v>
          </cell>
          <cell r="FJ172">
            <v>0</v>
          </cell>
          <cell r="FK172">
            <v>0</v>
          </cell>
          <cell r="FL172">
            <v>0</v>
          </cell>
          <cell r="FM172">
            <v>0</v>
          </cell>
          <cell r="FN172">
            <v>0</v>
          </cell>
          <cell r="FO172">
            <v>0</v>
          </cell>
          <cell r="FP172">
            <v>0</v>
          </cell>
          <cell r="FQ172">
            <v>0</v>
          </cell>
          <cell r="FR172">
            <v>0</v>
          </cell>
          <cell r="FS172">
            <v>0</v>
          </cell>
          <cell r="FT172">
            <v>0</v>
          </cell>
          <cell r="FU172">
            <v>0</v>
          </cell>
          <cell r="FV172">
            <v>0</v>
          </cell>
          <cell r="FW172">
            <v>0</v>
          </cell>
          <cell r="FX172">
            <v>0</v>
          </cell>
          <cell r="FY172">
            <v>0</v>
          </cell>
          <cell r="FZ172">
            <v>0</v>
          </cell>
          <cell r="GA172">
            <v>0</v>
          </cell>
          <cell r="GB172">
            <v>0</v>
          </cell>
          <cell r="GC172">
            <v>0</v>
          </cell>
          <cell r="GD172">
            <v>0</v>
          </cell>
          <cell r="GE172">
            <v>0</v>
          </cell>
          <cell r="GF172">
            <v>0</v>
          </cell>
          <cell r="GG172">
            <v>0</v>
          </cell>
          <cell r="GH172">
            <v>0</v>
          </cell>
          <cell r="GI172">
            <v>0</v>
          </cell>
          <cell r="GJ172">
            <v>0</v>
          </cell>
          <cell r="GK172">
            <v>0</v>
          </cell>
          <cell r="GL172">
            <v>0</v>
          </cell>
          <cell r="GM172">
            <v>0</v>
          </cell>
          <cell r="GN172">
            <v>0</v>
          </cell>
          <cell r="GO172">
            <v>0</v>
          </cell>
          <cell r="GP172">
            <v>0</v>
          </cell>
          <cell r="GQ172">
            <v>0</v>
          </cell>
          <cell r="GR172">
            <v>0</v>
          </cell>
          <cell r="GS172">
            <v>0</v>
          </cell>
          <cell r="GT172">
            <v>0</v>
          </cell>
          <cell r="GU172">
            <v>0</v>
          </cell>
          <cell r="GV172">
            <v>0</v>
          </cell>
          <cell r="GW172">
            <v>0</v>
          </cell>
          <cell r="GX172">
            <v>0</v>
          </cell>
          <cell r="GY172">
            <v>0</v>
          </cell>
          <cell r="GZ172">
            <v>0</v>
          </cell>
          <cell r="HA172">
            <v>0</v>
          </cell>
          <cell r="HB172">
            <v>0</v>
          </cell>
          <cell r="HC172">
            <v>0</v>
          </cell>
          <cell r="HD172">
            <v>0</v>
          </cell>
          <cell r="HE172">
            <v>0</v>
          </cell>
        </row>
        <row r="173">
          <cell r="D173">
            <v>0.3</v>
          </cell>
          <cell r="E173" t="str">
            <v>무 담 보</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3409432.0944422856</v>
          </cell>
          <cell r="AS173">
            <v>0</v>
          </cell>
          <cell r="AT173">
            <v>0</v>
          </cell>
          <cell r="AU173">
            <v>0</v>
          </cell>
          <cell r="AV173">
            <v>0</v>
          </cell>
          <cell r="AW173">
            <v>0</v>
          </cell>
          <cell r="AX173">
            <v>0</v>
          </cell>
          <cell r="AY173">
            <v>0</v>
          </cell>
          <cell r="AZ173">
            <v>0</v>
          </cell>
          <cell r="BA173">
            <v>0</v>
          </cell>
          <cell r="BB173">
            <v>0</v>
          </cell>
          <cell r="BC173">
            <v>0</v>
          </cell>
          <cell r="BD173">
            <v>3294639.9835756789</v>
          </cell>
          <cell r="BE173">
            <v>0</v>
          </cell>
          <cell r="BF173">
            <v>0</v>
          </cell>
          <cell r="BG173">
            <v>0</v>
          </cell>
          <cell r="BH173">
            <v>0</v>
          </cell>
          <cell r="BI173">
            <v>0</v>
          </cell>
          <cell r="BJ173">
            <v>0</v>
          </cell>
          <cell r="BK173">
            <v>0</v>
          </cell>
          <cell r="BL173">
            <v>0</v>
          </cell>
          <cell r="BM173">
            <v>0</v>
          </cell>
          <cell r="BN173">
            <v>0</v>
          </cell>
          <cell r="BO173">
            <v>0</v>
          </cell>
          <cell r="BP173">
            <v>3181081.2059852905</v>
          </cell>
          <cell r="BQ173">
            <v>0</v>
          </cell>
          <cell r="BR173">
            <v>0</v>
          </cell>
          <cell r="BS173">
            <v>0</v>
          </cell>
          <cell r="BT173">
            <v>0</v>
          </cell>
          <cell r="BU173">
            <v>0</v>
          </cell>
          <cell r="BV173">
            <v>0</v>
          </cell>
          <cell r="BW173">
            <v>0</v>
          </cell>
          <cell r="BX173">
            <v>0</v>
          </cell>
          <cell r="BY173">
            <v>0</v>
          </cell>
          <cell r="BZ173">
            <v>0</v>
          </cell>
          <cell r="CA173">
            <v>0</v>
          </cell>
          <cell r="CB173">
            <v>3067138.6109852907</v>
          </cell>
          <cell r="CC173">
            <v>0</v>
          </cell>
          <cell r="CD173">
            <v>0</v>
          </cell>
          <cell r="CE173">
            <v>0</v>
          </cell>
          <cell r="CF173">
            <v>0</v>
          </cell>
          <cell r="CG173">
            <v>0</v>
          </cell>
          <cell r="CH173">
            <v>0</v>
          </cell>
          <cell r="CI173">
            <v>0</v>
          </cell>
          <cell r="CJ173">
            <v>0</v>
          </cell>
          <cell r="CK173">
            <v>0</v>
          </cell>
          <cell r="CL173">
            <v>0</v>
          </cell>
          <cell r="CM173">
            <v>0</v>
          </cell>
          <cell r="CN173">
            <v>2953351.2488042889</v>
          </cell>
          <cell r="CO173">
            <v>0</v>
          </cell>
          <cell r="CP173">
            <v>0</v>
          </cell>
          <cell r="CQ173">
            <v>0</v>
          </cell>
          <cell r="CR173">
            <v>0</v>
          </cell>
          <cell r="CS173">
            <v>0</v>
          </cell>
          <cell r="CT173">
            <v>0</v>
          </cell>
          <cell r="CU173">
            <v>0</v>
          </cell>
          <cell r="CV173">
            <v>0</v>
          </cell>
          <cell r="CW173">
            <v>0</v>
          </cell>
          <cell r="CX173">
            <v>0</v>
          </cell>
          <cell r="CY173">
            <v>0</v>
          </cell>
          <cell r="CZ173">
            <v>2839176.6575033683</v>
          </cell>
          <cell r="DA173">
            <v>0</v>
          </cell>
          <cell r="DB173">
            <v>0</v>
          </cell>
          <cell r="DC173">
            <v>0</v>
          </cell>
          <cell r="DD173">
            <v>0</v>
          </cell>
          <cell r="DE173">
            <v>0</v>
          </cell>
          <cell r="DF173">
            <v>0</v>
          </cell>
          <cell r="DG173">
            <v>0</v>
          </cell>
          <cell r="DH173">
            <v>0</v>
          </cell>
          <cell r="DI173">
            <v>0</v>
          </cell>
          <cell r="DJ173">
            <v>0</v>
          </cell>
          <cell r="DK173">
            <v>0</v>
          </cell>
          <cell r="DL173">
            <v>0</v>
          </cell>
          <cell r="DM173">
            <v>0</v>
          </cell>
          <cell r="DN173">
            <v>0</v>
          </cell>
          <cell r="DO173">
            <v>0</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cell r="EC173">
            <v>0</v>
          </cell>
          <cell r="ED173">
            <v>0</v>
          </cell>
          <cell r="EE173">
            <v>0</v>
          </cell>
          <cell r="EF173">
            <v>0</v>
          </cell>
          <cell r="EG173">
            <v>0</v>
          </cell>
          <cell r="EH173">
            <v>0</v>
          </cell>
          <cell r="EI173">
            <v>0</v>
          </cell>
          <cell r="EJ173">
            <v>0</v>
          </cell>
          <cell r="EK173">
            <v>0</v>
          </cell>
          <cell r="EL173">
            <v>0</v>
          </cell>
          <cell r="EM173">
            <v>0</v>
          </cell>
          <cell r="EN173">
            <v>0</v>
          </cell>
          <cell r="EO173">
            <v>0</v>
          </cell>
          <cell r="EP173">
            <v>0</v>
          </cell>
          <cell r="EQ173">
            <v>0</v>
          </cell>
          <cell r="ER173">
            <v>0</v>
          </cell>
          <cell r="ES173">
            <v>0</v>
          </cell>
          <cell r="ET173">
            <v>0</v>
          </cell>
          <cell r="EU173">
            <v>0</v>
          </cell>
          <cell r="EV173">
            <v>0</v>
          </cell>
          <cell r="EW173">
            <v>0</v>
          </cell>
          <cell r="EX173">
            <v>0</v>
          </cell>
          <cell r="EY173">
            <v>0</v>
          </cell>
          <cell r="EZ173">
            <v>0</v>
          </cell>
          <cell r="FA173">
            <v>0</v>
          </cell>
          <cell r="FB173">
            <v>0</v>
          </cell>
          <cell r="FC173">
            <v>0</v>
          </cell>
          <cell r="FD173">
            <v>0</v>
          </cell>
          <cell r="FE173">
            <v>0</v>
          </cell>
          <cell r="FF173">
            <v>0</v>
          </cell>
          <cell r="FG173">
            <v>0</v>
          </cell>
          <cell r="FH173">
            <v>0</v>
          </cell>
          <cell r="FI173">
            <v>0</v>
          </cell>
          <cell r="FJ173">
            <v>0</v>
          </cell>
          <cell r="FK173">
            <v>0</v>
          </cell>
          <cell r="FL173">
            <v>0</v>
          </cell>
          <cell r="FM173">
            <v>0</v>
          </cell>
          <cell r="FN173">
            <v>0</v>
          </cell>
          <cell r="FO173">
            <v>0</v>
          </cell>
          <cell r="FP173">
            <v>0</v>
          </cell>
          <cell r="FQ173">
            <v>0</v>
          </cell>
          <cell r="FR173">
            <v>0</v>
          </cell>
          <cell r="FS173">
            <v>0</v>
          </cell>
          <cell r="FT173">
            <v>0</v>
          </cell>
          <cell r="FU173">
            <v>0</v>
          </cell>
          <cell r="FV173">
            <v>0</v>
          </cell>
          <cell r="FW173">
            <v>0</v>
          </cell>
          <cell r="FX173">
            <v>0</v>
          </cell>
          <cell r="FY173">
            <v>0</v>
          </cell>
          <cell r="FZ173">
            <v>0</v>
          </cell>
          <cell r="GA173">
            <v>0</v>
          </cell>
          <cell r="GB173">
            <v>0</v>
          </cell>
          <cell r="GC173">
            <v>0</v>
          </cell>
          <cell r="GD173">
            <v>0</v>
          </cell>
          <cell r="GE173">
            <v>0</v>
          </cell>
          <cell r="GF173">
            <v>0</v>
          </cell>
          <cell r="GG173">
            <v>0</v>
          </cell>
          <cell r="GH173">
            <v>0</v>
          </cell>
          <cell r="GI173">
            <v>0</v>
          </cell>
          <cell r="GJ173">
            <v>0</v>
          </cell>
          <cell r="GK173">
            <v>0</v>
          </cell>
          <cell r="GL173">
            <v>0</v>
          </cell>
          <cell r="GM173">
            <v>0</v>
          </cell>
          <cell r="GN173">
            <v>0</v>
          </cell>
          <cell r="GO173">
            <v>0</v>
          </cell>
          <cell r="GP173">
            <v>0</v>
          </cell>
          <cell r="GQ173">
            <v>0</v>
          </cell>
          <cell r="GR173">
            <v>0</v>
          </cell>
          <cell r="GS173">
            <v>0</v>
          </cell>
          <cell r="GT173">
            <v>0</v>
          </cell>
          <cell r="GU173">
            <v>0</v>
          </cell>
          <cell r="GV173">
            <v>0</v>
          </cell>
          <cell r="GW173">
            <v>0</v>
          </cell>
          <cell r="GX173">
            <v>0</v>
          </cell>
          <cell r="GY173">
            <v>0</v>
          </cell>
          <cell r="GZ173">
            <v>0</v>
          </cell>
          <cell r="HA173">
            <v>0</v>
          </cell>
          <cell r="HB173">
            <v>0</v>
          </cell>
          <cell r="HC173">
            <v>0</v>
          </cell>
          <cell r="HD173">
            <v>0</v>
          </cell>
          <cell r="HE173">
            <v>18744819.801296204</v>
          </cell>
        </row>
        <row r="174">
          <cell r="E174" t="str">
            <v>Total</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3409432.0944422856</v>
          </cell>
          <cell r="AS174">
            <v>0</v>
          </cell>
          <cell r="AT174">
            <v>0</v>
          </cell>
          <cell r="AU174">
            <v>0</v>
          </cell>
          <cell r="AV174">
            <v>0</v>
          </cell>
          <cell r="AW174">
            <v>0</v>
          </cell>
          <cell r="AX174">
            <v>0</v>
          </cell>
          <cell r="AY174">
            <v>0</v>
          </cell>
          <cell r="AZ174">
            <v>0</v>
          </cell>
          <cell r="BA174">
            <v>0</v>
          </cell>
          <cell r="BB174">
            <v>0</v>
          </cell>
          <cell r="BC174">
            <v>0</v>
          </cell>
          <cell r="BD174">
            <v>3294639.9835756789</v>
          </cell>
          <cell r="BE174">
            <v>0</v>
          </cell>
          <cell r="BF174">
            <v>0</v>
          </cell>
          <cell r="BG174">
            <v>0</v>
          </cell>
          <cell r="BH174">
            <v>0</v>
          </cell>
          <cell r="BI174">
            <v>0</v>
          </cell>
          <cell r="BJ174">
            <v>0</v>
          </cell>
          <cell r="BK174">
            <v>0</v>
          </cell>
          <cell r="BL174">
            <v>0</v>
          </cell>
          <cell r="BM174">
            <v>0</v>
          </cell>
          <cell r="BN174">
            <v>0</v>
          </cell>
          <cell r="BO174">
            <v>0</v>
          </cell>
          <cell r="BP174">
            <v>3181081.2059852905</v>
          </cell>
          <cell r="BQ174">
            <v>0</v>
          </cell>
          <cell r="BR174">
            <v>0</v>
          </cell>
          <cell r="BS174">
            <v>0</v>
          </cell>
          <cell r="BT174">
            <v>0</v>
          </cell>
          <cell r="BU174">
            <v>0</v>
          </cell>
          <cell r="BV174">
            <v>0</v>
          </cell>
          <cell r="BW174">
            <v>0</v>
          </cell>
          <cell r="BX174">
            <v>0</v>
          </cell>
          <cell r="BY174">
            <v>0</v>
          </cell>
          <cell r="BZ174">
            <v>0</v>
          </cell>
          <cell r="CA174">
            <v>0</v>
          </cell>
          <cell r="CB174">
            <v>3067138.6109852907</v>
          </cell>
          <cell r="CC174">
            <v>0</v>
          </cell>
          <cell r="CD174">
            <v>0</v>
          </cell>
          <cell r="CE174">
            <v>0</v>
          </cell>
          <cell r="CF174">
            <v>0</v>
          </cell>
          <cell r="CG174">
            <v>0</v>
          </cell>
          <cell r="CH174">
            <v>0</v>
          </cell>
          <cell r="CI174">
            <v>0</v>
          </cell>
          <cell r="CJ174">
            <v>0</v>
          </cell>
          <cell r="CK174">
            <v>0</v>
          </cell>
          <cell r="CL174">
            <v>0</v>
          </cell>
          <cell r="CM174">
            <v>0</v>
          </cell>
          <cell r="CN174">
            <v>2953351.2488042889</v>
          </cell>
          <cell r="CO174">
            <v>0</v>
          </cell>
          <cell r="CP174">
            <v>0</v>
          </cell>
          <cell r="CQ174">
            <v>0</v>
          </cell>
          <cell r="CR174">
            <v>0</v>
          </cell>
          <cell r="CS174">
            <v>0</v>
          </cell>
          <cell r="CT174">
            <v>0</v>
          </cell>
          <cell r="CU174">
            <v>0</v>
          </cell>
          <cell r="CV174">
            <v>0</v>
          </cell>
          <cell r="CW174">
            <v>0</v>
          </cell>
          <cell r="CX174">
            <v>0</v>
          </cell>
          <cell r="CY174">
            <v>0</v>
          </cell>
          <cell r="CZ174">
            <v>2839176.6575033683</v>
          </cell>
          <cell r="DA174">
            <v>0</v>
          </cell>
          <cell r="DB174">
            <v>0</v>
          </cell>
          <cell r="DC174">
            <v>0</v>
          </cell>
          <cell r="DD174">
            <v>0</v>
          </cell>
          <cell r="DE174">
            <v>0</v>
          </cell>
          <cell r="DF174">
            <v>0</v>
          </cell>
          <cell r="DG174">
            <v>0</v>
          </cell>
          <cell r="DH174">
            <v>0</v>
          </cell>
          <cell r="DI174">
            <v>0</v>
          </cell>
          <cell r="DJ174">
            <v>0</v>
          </cell>
          <cell r="DK174">
            <v>0</v>
          </cell>
          <cell r="DL174">
            <v>0</v>
          </cell>
          <cell r="DM174">
            <v>0</v>
          </cell>
          <cell r="DN174">
            <v>0</v>
          </cell>
          <cell r="DO174">
            <v>0</v>
          </cell>
          <cell r="DP174">
            <v>0</v>
          </cell>
          <cell r="DQ174">
            <v>0</v>
          </cell>
          <cell r="DR174">
            <v>0</v>
          </cell>
          <cell r="DS174">
            <v>0</v>
          </cell>
          <cell r="DT174">
            <v>0</v>
          </cell>
          <cell r="DU174">
            <v>0</v>
          </cell>
          <cell r="DV174">
            <v>0</v>
          </cell>
          <cell r="DW174">
            <v>0</v>
          </cell>
          <cell r="DX174">
            <v>0</v>
          </cell>
          <cell r="DY174">
            <v>0</v>
          </cell>
          <cell r="DZ174">
            <v>0</v>
          </cell>
          <cell r="EA174">
            <v>0</v>
          </cell>
          <cell r="EB174">
            <v>0</v>
          </cell>
          <cell r="EC174">
            <v>0</v>
          </cell>
          <cell r="ED174">
            <v>0</v>
          </cell>
          <cell r="EE174">
            <v>0</v>
          </cell>
          <cell r="EF174">
            <v>0</v>
          </cell>
          <cell r="EG174">
            <v>0</v>
          </cell>
          <cell r="EH174">
            <v>0</v>
          </cell>
          <cell r="EI174">
            <v>0</v>
          </cell>
          <cell r="EJ174">
            <v>0</v>
          </cell>
          <cell r="EK174">
            <v>0</v>
          </cell>
          <cell r="EL174">
            <v>0</v>
          </cell>
          <cell r="EM174">
            <v>0</v>
          </cell>
          <cell r="EN174">
            <v>0</v>
          </cell>
          <cell r="EO174">
            <v>0</v>
          </cell>
          <cell r="EP174">
            <v>0</v>
          </cell>
          <cell r="EQ174">
            <v>0</v>
          </cell>
          <cell r="ER174">
            <v>0</v>
          </cell>
          <cell r="ES174">
            <v>0</v>
          </cell>
          <cell r="ET174">
            <v>0</v>
          </cell>
          <cell r="EU174">
            <v>0</v>
          </cell>
          <cell r="EV174">
            <v>0</v>
          </cell>
          <cell r="EW174">
            <v>0</v>
          </cell>
          <cell r="EX174">
            <v>0</v>
          </cell>
          <cell r="EY174">
            <v>0</v>
          </cell>
          <cell r="EZ174">
            <v>0</v>
          </cell>
          <cell r="FA174">
            <v>0</v>
          </cell>
          <cell r="FB174">
            <v>0</v>
          </cell>
          <cell r="FC174">
            <v>0</v>
          </cell>
          <cell r="FD174">
            <v>0</v>
          </cell>
          <cell r="FE174">
            <v>0</v>
          </cell>
          <cell r="FF174">
            <v>0</v>
          </cell>
          <cell r="FG174">
            <v>0</v>
          </cell>
          <cell r="FH174">
            <v>0</v>
          </cell>
          <cell r="FI174">
            <v>0</v>
          </cell>
          <cell r="FJ174">
            <v>0</v>
          </cell>
          <cell r="FK174">
            <v>0</v>
          </cell>
          <cell r="FL174">
            <v>0</v>
          </cell>
          <cell r="FM174">
            <v>0</v>
          </cell>
          <cell r="FN174">
            <v>0</v>
          </cell>
          <cell r="FO174">
            <v>0</v>
          </cell>
          <cell r="FP174">
            <v>0</v>
          </cell>
          <cell r="FQ174">
            <v>0</v>
          </cell>
          <cell r="FR174">
            <v>0</v>
          </cell>
          <cell r="FS174">
            <v>0</v>
          </cell>
          <cell r="FT174">
            <v>0</v>
          </cell>
          <cell r="FU174">
            <v>0</v>
          </cell>
          <cell r="FV174">
            <v>0</v>
          </cell>
          <cell r="FW174">
            <v>0</v>
          </cell>
          <cell r="FX174">
            <v>0</v>
          </cell>
          <cell r="FY174">
            <v>0</v>
          </cell>
          <cell r="FZ174">
            <v>0</v>
          </cell>
          <cell r="GA174">
            <v>0</v>
          </cell>
          <cell r="GB174">
            <v>0</v>
          </cell>
          <cell r="GC174">
            <v>0</v>
          </cell>
          <cell r="GD174">
            <v>0</v>
          </cell>
          <cell r="GE174">
            <v>0</v>
          </cell>
          <cell r="GF174">
            <v>0</v>
          </cell>
          <cell r="GG174">
            <v>0</v>
          </cell>
          <cell r="GH174">
            <v>0</v>
          </cell>
          <cell r="GI174">
            <v>0</v>
          </cell>
          <cell r="GJ174">
            <v>0</v>
          </cell>
          <cell r="GK174">
            <v>0</v>
          </cell>
          <cell r="GL174">
            <v>0</v>
          </cell>
          <cell r="GM174">
            <v>0</v>
          </cell>
          <cell r="GN174">
            <v>0</v>
          </cell>
          <cell r="GO174">
            <v>0</v>
          </cell>
          <cell r="GP174">
            <v>0</v>
          </cell>
          <cell r="GQ174">
            <v>0</v>
          </cell>
          <cell r="GR174">
            <v>0</v>
          </cell>
          <cell r="GS174">
            <v>0</v>
          </cell>
          <cell r="GT174">
            <v>0</v>
          </cell>
          <cell r="GU174">
            <v>0</v>
          </cell>
          <cell r="GV174">
            <v>0</v>
          </cell>
          <cell r="GW174">
            <v>0</v>
          </cell>
          <cell r="GX174">
            <v>0</v>
          </cell>
          <cell r="GY174">
            <v>0</v>
          </cell>
          <cell r="GZ174">
            <v>0</v>
          </cell>
          <cell r="HA174">
            <v>0</v>
          </cell>
          <cell r="HB174">
            <v>0</v>
          </cell>
          <cell r="HC174">
            <v>0</v>
          </cell>
          <cell r="HD174">
            <v>0</v>
          </cell>
          <cell r="HE174">
            <v>18744819.801296204</v>
          </cell>
        </row>
        <row r="175">
          <cell r="A175" t="str">
            <v>HBS-42</v>
          </cell>
          <cell r="E175" t="str">
            <v>현     가</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2752125.0303435437</v>
          </cell>
          <cell r="AS175">
            <v>0</v>
          </cell>
          <cell r="AT175">
            <v>0</v>
          </cell>
          <cell r="AU175">
            <v>0</v>
          </cell>
          <cell r="AV175">
            <v>0</v>
          </cell>
          <cell r="AW175">
            <v>0</v>
          </cell>
          <cell r="AX175">
            <v>0</v>
          </cell>
          <cell r="AY175">
            <v>0</v>
          </cell>
          <cell r="AZ175">
            <v>0</v>
          </cell>
          <cell r="BA175">
            <v>0</v>
          </cell>
          <cell r="BB175">
            <v>0</v>
          </cell>
          <cell r="BC175">
            <v>0</v>
          </cell>
          <cell r="BD175">
            <v>2485712.4775907034</v>
          </cell>
          <cell r="BE175">
            <v>0</v>
          </cell>
          <cell r="BF175">
            <v>0</v>
          </cell>
          <cell r="BG175">
            <v>0</v>
          </cell>
          <cell r="BH175">
            <v>0</v>
          </cell>
          <cell r="BI175">
            <v>0</v>
          </cell>
          <cell r="BJ175">
            <v>0</v>
          </cell>
          <cell r="BK175">
            <v>0</v>
          </cell>
          <cell r="BL175">
            <v>0</v>
          </cell>
          <cell r="BM175">
            <v>0</v>
          </cell>
          <cell r="BN175">
            <v>0</v>
          </cell>
          <cell r="BO175">
            <v>0</v>
          </cell>
          <cell r="BP175">
            <v>2197195.9948811391</v>
          </cell>
          <cell r="BQ175">
            <v>0</v>
          </cell>
          <cell r="BR175">
            <v>0</v>
          </cell>
          <cell r="BS175">
            <v>0</v>
          </cell>
          <cell r="BT175">
            <v>0</v>
          </cell>
          <cell r="BU175">
            <v>0</v>
          </cell>
          <cell r="BV175">
            <v>0</v>
          </cell>
          <cell r="BW175">
            <v>0</v>
          </cell>
          <cell r="BX175">
            <v>0</v>
          </cell>
          <cell r="BY175">
            <v>0</v>
          </cell>
          <cell r="BZ175">
            <v>0</v>
          </cell>
          <cell r="CA175">
            <v>0</v>
          </cell>
          <cell r="CB175">
            <v>1972160.6901008051</v>
          </cell>
          <cell r="CC175">
            <v>0</v>
          </cell>
          <cell r="CD175">
            <v>0</v>
          </cell>
          <cell r="CE175">
            <v>0</v>
          </cell>
          <cell r="CF175">
            <v>0</v>
          </cell>
          <cell r="CG175">
            <v>0</v>
          </cell>
          <cell r="CH175">
            <v>0</v>
          </cell>
          <cell r="CI175">
            <v>0</v>
          </cell>
          <cell r="CJ175">
            <v>0</v>
          </cell>
          <cell r="CK175">
            <v>0</v>
          </cell>
          <cell r="CL175">
            <v>0</v>
          </cell>
          <cell r="CM175">
            <v>0</v>
          </cell>
          <cell r="CN175">
            <v>1767476.6443129412</v>
          </cell>
          <cell r="CO175">
            <v>0</v>
          </cell>
          <cell r="CP175">
            <v>0</v>
          </cell>
          <cell r="CQ175">
            <v>0</v>
          </cell>
          <cell r="CR175">
            <v>0</v>
          </cell>
          <cell r="CS175">
            <v>0</v>
          </cell>
          <cell r="CT175">
            <v>0</v>
          </cell>
          <cell r="CU175">
            <v>0</v>
          </cell>
          <cell r="CV175">
            <v>0</v>
          </cell>
          <cell r="CW175">
            <v>0</v>
          </cell>
          <cell r="CX175">
            <v>0</v>
          </cell>
          <cell r="CY175">
            <v>0</v>
          </cell>
          <cell r="CZ175">
            <v>1581779.161244829</v>
          </cell>
          <cell r="DA175">
            <v>0</v>
          </cell>
          <cell r="DB175">
            <v>0</v>
          </cell>
          <cell r="DC175">
            <v>0</v>
          </cell>
          <cell r="DD175">
            <v>0</v>
          </cell>
          <cell r="DE175">
            <v>0</v>
          </cell>
          <cell r="DF175">
            <v>0</v>
          </cell>
          <cell r="DG175">
            <v>0</v>
          </cell>
          <cell r="DH175">
            <v>0</v>
          </cell>
          <cell r="DI175">
            <v>0</v>
          </cell>
          <cell r="DJ175">
            <v>0</v>
          </cell>
          <cell r="DK175">
            <v>0</v>
          </cell>
          <cell r="DL175">
            <v>0</v>
          </cell>
          <cell r="DM175">
            <v>0</v>
          </cell>
          <cell r="DN175">
            <v>0</v>
          </cell>
          <cell r="DO175">
            <v>0</v>
          </cell>
          <cell r="DP175">
            <v>0</v>
          </cell>
          <cell r="DQ175">
            <v>0</v>
          </cell>
          <cell r="DR175">
            <v>0</v>
          </cell>
          <cell r="DS175">
            <v>0</v>
          </cell>
          <cell r="DT175">
            <v>0</v>
          </cell>
          <cell r="DU175">
            <v>0</v>
          </cell>
          <cell r="DV175">
            <v>0</v>
          </cell>
          <cell r="DW175">
            <v>0</v>
          </cell>
          <cell r="DX175">
            <v>0</v>
          </cell>
          <cell r="DY175">
            <v>0</v>
          </cell>
          <cell r="DZ175">
            <v>0</v>
          </cell>
          <cell r="EA175">
            <v>0</v>
          </cell>
          <cell r="EB175">
            <v>0</v>
          </cell>
          <cell r="EC175">
            <v>0</v>
          </cell>
          <cell r="ED175">
            <v>0</v>
          </cell>
          <cell r="EE175">
            <v>0</v>
          </cell>
          <cell r="EF175">
            <v>0</v>
          </cell>
          <cell r="EG175">
            <v>0</v>
          </cell>
          <cell r="EH175">
            <v>0</v>
          </cell>
          <cell r="EI175">
            <v>0</v>
          </cell>
          <cell r="EJ175">
            <v>0</v>
          </cell>
          <cell r="EK175">
            <v>0</v>
          </cell>
          <cell r="EL175">
            <v>0</v>
          </cell>
          <cell r="EM175">
            <v>0</v>
          </cell>
          <cell r="EN175">
            <v>0</v>
          </cell>
          <cell r="EO175">
            <v>0</v>
          </cell>
          <cell r="EP175">
            <v>0</v>
          </cell>
          <cell r="EQ175">
            <v>0</v>
          </cell>
          <cell r="ER175">
            <v>0</v>
          </cell>
          <cell r="ES175">
            <v>0</v>
          </cell>
          <cell r="ET175">
            <v>0</v>
          </cell>
          <cell r="EU175">
            <v>0</v>
          </cell>
          <cell r="EV175">
            <v>0</v>
          </cell>
          <cell r="EW175">
            <v>0</v>
          </cell>
          <cell r="EX175">
            <v>0</v>
          </cell>
          <cell r="EY175">
            <v>0</v>
          </cell>
          <cell r="EZ175">
            <v>0</v>
          </cell>
          <cell r="FA175">
            <v>0</v>
          </cell>
          <cell r="FB175">
            <v>0</v>
          </cell>
          <cell r="FC175">
            <v>0</v>
          </cell>
          <cell r="FD175">
            <v>0</v>
          </cell>
          <cell r="FE175">
            <v>0</v>
          </cell>
          <cell r="FF175">
            <v>0</v>
          </cell>
          <cell r="FG175">
            <v>0</v>
          </cell>
          <cell r="FH175">
            <v>0</v>
          </cell>
          <cell r="FI175">
            <v>0</v>
          </cell>
          <cell r="FJ175">
            <v>0</v>
          </cell>
          <cell r="FK175">
            <v>0</v>
          </cell>
          <cell r="FL175">
            <v>0</v>
          </cell>
          <cell r="FM175">
            <v>0</v>
          </cell>
          <cell r="FN175">
            <v>0</v>
          </cell>
          <cell r="FO175">
            <v>0</v>
          </cell>
          <cell r="FP175">
            <v>0</v>
          </cell>
          <cell r="FQ175">
            <v>0</v>
          </cell>
          <cell r="FR175">
            <v>0</v>
          </cell>
          <cell r="FS175">
            <v>0</v>
          </cell>
          <cell r="FT175">
            <v>0</v>
          </cell>
          <cell r="FU175">
            <v>0</v>
          </cell>
          <cell r="FV175">
            <v>0</v>
          </cell>
          <cell r="FW175">
            <v>0</v>
          </cell>
          <cell r="FX175">
            <v>0</v>
          </cell>
          <cell r="FY175">
            <v>0</v>
          </cell>
          <cell r="FZ175">
            <v>0</v>
          </cell>
          <cell r="GA175">
            <v>0</v>
          </cell>
          <cell r="GB175">
            <v>0</v>
          </cell>
          <cell r="GC175">
            <v>0</v>
          </cell>
          <cell r="GD175">
            <v>0</v>
          </cell>
          <cell r="GE175">
            <v>0</v>
          </cell>
          <cell r="GF175">
            <v>0</v>
          </cell>
          <cell r="GG175">
            <v>0</v>
          </cell>
          <cell r="GH175">
            <v>0</v>
          </cell>
          <cell r="GI175">
            <v>0</v>
          </cell>
          <cell r="GJ175">
            <v>0</v>
          </cell>
          <cell r="GK175">
            <v>0</v>
          </cell>
          <cell r="GL175">
            <v>0</v>
          </cell>
          <cell r="GM175">
            <v>0</v>
          </cell>
          <cell r="GN175">
            <v>0</v>
          </cell>
          <cell r="GO175">
            <v>0</v>
          </cell>
          <cell r="GP175">
            <v>0</v>
          </cell>
          <cell r="GQ175">
            <v>0</v>
          </cell>
          <cell r="GR175">
            <v>0</v>
          </cell>
          <cell r="GS175">
            <v>0</v>
          </cell>
          <cell r="GT175">
            <v>0</v>
          </cell>
          <cell r="GU175">
            <v>0</v>
          </cell>
          <cell r="GV175">
            <v>0</v>
          </cell>
          <cell r="GW175">
            <v>0</v>
          </cell>
          <cell r="GX175">
            <v>0</v>
          </cell>
          <cell r="GY175">
            <v>0</v>
          </cell>
          <cell r="GZ175">
            <v>0</v>
          </cell>
          <cell r="HA175">
            <v>0</v>
          </cell>
          <cell r="HB175">
            <v>0</v>
          </cell>
          <cell r="HC175">
            <v>0</v>
          </cell>
          <cell r="HD175">
            <v>0</v>
          </cell>
          <cell r="HE175">
            <v>12756449.998473961</v>
          </cell>
        </row>
        <row r="176">
          <cell r="B176" t="str">
            <v>HBS-43</v>
          </cell>
          <cell r="C176" t="str">
            <v>두양상사</v>
          </cell>
          <cell r="D176">
            <v>0.30268309604698185</v>
          </cell>
          <cell r="E176" t="str">
            <v>담     보</v>
          </cell>
          <cell r="F176">
            <v>0</v>
          </cell>
          <cell r="G176">
            <v>0</v>
          </cell>
          <cell r="H176">
            <v>237614997.38520879</v>
          </cell>
          <cell r="I176">
            <v>0</v>
          </cell>
          <cell r="J176">
            <v>0</v>
          </cell>
          <cell r="K176">
            <v>0</v>
          </cell>
          <cell r="L176">
            <v>0</v>
          </cell>
          <cell r="M176">
            <v>0</v>
          </cell>
          <cell r="N176">
            <v>0</v>
          </cell>
          <cell r="O176">
            <v>0</v>
          </cell>
          <cell r="P176">
            <v>0</v>
          </cell>
          <cell r="Q176">
            <v>0</v>
          </cell>
          <cell r="R176">
            <v>0</v>
          </cell>
          <cell r="S176">
            <v>0</v>
          </cell>
          <cell r="T176">
            <v>166849315.1061759</v>
          </cell>
          <cell r="U176">
            <v>0</v>
          </cell>
          <cell r="V176">
            <v>0</v>
          </cell>
          <cell r="W176">
            <v>0</v>
          </cell>
          <cell r="X176">
            <v>0</v>
          </cell>
          <cell r="Y176">
            <v>0</v>
          </cell>
          <cell r="Z176">
            <v>0</v>
          </cell>
          <cell r="AA176">
            <v>0</v>
          </cell>
          <cell r="AB176">
            <v>0</v>
          </cell>
          <cell r="AC176">
            <v>0</v>
          </cell>
          <cell r="AD176">
            <v>0</v>
          </cell>
          <cell r="AE176">
            <v>0</v>
          </cell>
          <cell r="AF176">
            <v>166849315.1061759</v>
          </cell>
          <cell r="AG176">
            <v>0</v>
          </cell>
          <cell r="AH176">
            <v>0</v>
          </cell>
          <cell r="AI176">
            <v>0</v>
          </cell>
          <cell r="AJ176">
            <v>0</v>
          </cell>
          <cell r="AK176">
            <v>0</v>
          </cell>
          <cell r="AL176">
            <v>0</v>
          </cell>
          <cell r="AM176">
            <v>0</v>
          </cell>
          <cell r="AN176">
            <v>0</v>
          </cell>
          <cell r="AO176">
            <v>0</v>
          </cell>
          <cell r="AP176">
            <v>0</v>
          </cell>
          <cell r="AQ176">
            <v>0</v>
          </cell>
          <cell r="AR176">
            <v>166849315.10617587</v>
          </cell>
          <cell r="AS176">
            <v>0</v>
          </cell>
          <cell r="AT176">
            <v>0</v>
          </cell>
          <cell r="AU176">
            <v>0</v>
          </cell>
          <cell r="AV176">
            <v>0</v>
          </cell>
          <cell r="AW176">
            <v>0</v>
          </cell>
          <cell r="AX176">
            <v>0</v>
          </cell>
          <cell r="AY176">
            <v>0</v>
          </cell>
          <cell r="AZ176">
            <v>0</v>
          </cell>
          <cell r="BA176">
            <v>0</v>
          </cell>
          <cell r="BB176">
            <v>0</v>
          </cell>
          <cell r="BC176">
            <v>0</v>
          </cell>
          <cell r="BD176">
            <v>455453535.84247953</v>
          </cell>
          <cell r="BE176">
            <v>0</v>
          </cell>
          <cell r="BF176">
            <v>0</v>
          </cell>
          <cell r="BG176">
            <v>0</v>
          </cell>
          <cell r="BH176">
            <v>0</v>
          </cell>
          <cell r="BI176">
            <v>0</v>
          </cell>
          <cell r="BJ176">
            <v>0</v>
          </cell>
          <cell r="BK176">
            <v>0</v>
          </cell>
          <cell r="BL176">
            <v>0</v>
          </cell>
          <cell r="BM176">
            <v>0</v>
          </cell>
          <cell r="BN176">
            <v>0</v>
          </cell>
          <cell r="BO176">
            <v>0</v>
          </cell>
          <cell r="BP176">
            <v>428757645.42437136</v>
          </cell>
          <cell r="BQ176">
            <v>0</v>
          </cell>
          <cell r="BR176">
            <v>0</v>
          </cell>
          <cell r="BS176">
            <v>0</v>
          </cell>
          <cell r="BT176">
            <v>0</v>
          </cell>
          <cell r="BU176">
            <v>0</v>
          </cell>
          <cell r="BV176">
            <v>0</v>
          </cell>
          <cell r="BW176">
            <v>0</v>
          </cell>
          <cell r="BX176">
            <v>0</v>
          </cell>
          <cell r="BY176">
            <v>0</v>
          </cell>
          <cell r="BZ176">
            <v>0</v>
          </cell>
          <cell r="CA176">
            <v>0</v>
          </cell>
          <cell r="CB176">
            <v>402061755.00626332</v>
          </cell>
          <cell r="CC176">
            <v>0</v>
          </cell>
          <cell r="CD176">
            <v>0</v>
          </cell>
          <cell r="CE176">
            <v>0</v>
          </cell>
          <cell r="CF176">
            <v>0</v>
          </cell>
          <cell r="CG176">
            <v>0</v>
          </cell>
          <cell r="CH176">
            <v>0</v>
          </cell>
          <cell r="CI176">
            <v>0</v>
          </cell>
          <cell r="CJ176">
            <v>0</v>
          </cell>
          <cell r="CK176">
            <v>0</v>
          </cell>
          <cell r="CL176">
            <v>0</v>
          </cell>
          <cell r="CM176">
            <v>0</v>
          </cell>
          <cell r="CN176">
            <v>375365864.58815527</v>
          </cell>
          <cell r="CO176">
            <v>0</v>
          </cell>
          <cell r="CP176">
            <v>0</v>
          </cell>
          <cell r="CQ176">
            <v>0</v>
          </cell>
          <cell r="CR176">
            <v>0</v>
          </cell>
          <cell r="CS176">
            <v>0</v>
          </cell>
          <cell r="CT176">
            <v>0</v>
          </cell>
          <cell r="CU176">
            <v>0</v>
          </cell>
          <cell r="CV176">
            <v>0</v>
          </cell>
          <cell r="CW176">
            <v>0</v>
          </cell>
          <cell r="CX176">
            <v>0</v>
          </cell>
          <cell r="CY176">
            <v>0</v>
          </cell>
          <cell r="CZ176">
            <v>709425250.01475585</v>
          </cell>
          <cell r="DA176">
            <v>40318108.469225153</v>
          </cell>
          <cell r="DB176">
            <v>35216633.520057894</v>
          </cell>
          <cell r="DC176">
            <v>30279722.278928284</v>
          </cell>
          <cell r="DD176">
            <v>25178247.329761017</v>
          </cell>
          <cell r="DE176">
            <v>20076772.380593754</v>
          </cell>
          <cell r="DF176">
            <v>15139861.139464142</v>
          </cell>
          <cell r="DG176">
            <v>10038386.190296877</v>
          </cell>
          <cell r="DH176">
            <v>5101474.9491672656</v>
          </cell>
          <cell r="DI176">
            <v>0</v>
          </cell>
          <cell r="DJ176">
            <v>0</v>
          </cell>
          <cell r="DK176">
            <v>0</v>
          </cell>
          <cell r="DL176">
            <v>0</v>
          </cell>
          <cell r="DM176">
            <v>0</v>
          </cell>
          <cell r="DN176">
            <v>0</v>
          </cell>
          <cell r="DO176">
            <v>0</v>
          </cell>
          <cell r="DP176">
            <v>0</v>
          </cell>
          <cell r="DQ176">
            <v>0</v>
          </cell>
          <cell r="DR176">
            <v>0</v>
          </cell>
          <cell r="DS176">
            <v>0</v>
          </cell>
          <cell r="DT176">
            <v>0</v>
          </cell>
          <cell r="DU176">
            <v>0</v>
          </cell>
          <cell r="DV176">
            <v>0</v>
          </cell>
          <cell r="DW176">
            <v>0</v>
          </cell>
          <cell r="DX176">
            <v>0</v>
          </cell>
          <cell r="DY176">
            <v>0</v>
          </cell>
          <cell r="DZ176">
            <v>0</v>
          </cell>
          <cell r="EA176">
            <v>0</v>
          </cell>
          <cell r="EB176">
            <v>0</v>
          </cell>
          <cell r="EC176">
            <v>0</v>
          </cell>
          <cell r="ED176">
            <v>0</v>
          </cell>
          <cell r="EE176">
            <v>0</v>
          </cell>
          <cell r="EF176">
            <v>0</v>
          </cell>
          <cell r="EG176">
            <v>0</v>
          </cell>
          <cell r="EH176">
            <v>0</v>
          </cell>
          <cell r="EI176">
            <v>0</v>
          </cell>
          <cell r="EJ176">
            <v>0</v>
          </cell>
          <cell r="EK176">
            <v>0</v>
          </cell>
          <cell r="EL176">
            <v>0</v>
          </cell>
          <cell r="EM176">
            <v>0</v>
          </cell>
          <cell r="EN176">
            <v>0</v>
          </cell>
          <cell r="EO176">
            <v>0</v>
          </cell>
          <cell r="EP176">
            <v>0</v>
          </cell>
          <cell r="EQ176">
            <v>0</v>
          </cell>
          <cell r="ER176">
            <v>0</v>
          </cell>
          <cell r="ES176">
            <v>0</v>
          </cell>
          <cell r="ET176">
            <v>0</v>
          </cell>
          <cell r="EU176">
            <v>0</v>
          </cell>
          <cell r="EV176">
            <v>0</v>
          </cell>
          <cell r="EW176">
            <v>0</v>
          </cell>
          <cell r="EX176">
            <v>0</v>
          </cell>
          <cell r="EY176">
            <v>0</v>
          </cell>
          <cell r="EZ176">
            <v>0</v>
          </cell>
          <cell r="FA176">
            <v>0</v>
          </cell>
          <cell r="FB176">
            <v>0</v>
          </cell>
          <cell r="FC176">
            <v>0</v>
          </cell>
          <cell r="FD176">
            <v>0</v>
          </cell>
          <cell r="FE176">
            <v>0</v>
          </cell>
          <cell r="FF176">
            <v>0</v>
          </cell>
          <cell r="FG176">
            <v>0</v>
          </cell>
          <cell r="FH176">
            <v>0</v>
          </cell>
          <cell r="FI176">
            <v>0</v>
          </cell>
          <cell r="FJ176">
            <v>0</v>
          </cell>
          <cell r="FK176">
            <v>0</v>
          </cell>
          <cell r="FL176">
            <v>0</v>
          </cell>
          <cell r="FM176">
            <v>0</v>
          </cell>
          <cell r="FN176">
            <v>0</v>
          </cell>
          <cell r="FO176">
            <v>0</v>
          </cell>
          <cell r="FP176">
            <v>0</v>
          </cell>
          <cell r="FQ176">
            <v>0</v>
          </cell>
          <cell r="FR176">
            <v>0</v>
          </cell>
          <cell r="FS176">
            <v>0</v>
          </cell>
          <cell r="FT176">
            <v>0</v>
          </cell>
          <cell r="FU176">
            <v>0</v>
          </cell>
          <cell r="FV176">
            <v>0</v>
          </cell>
          <cell r="FW176">
            <v>0</v>
          </cell>
          <cell r="FX176">
            <v>0</v>
          </cell>
          <cell r="FY176">
            <v>0</v>
          </cell>
          <cell r="FZ176">
            <v>0</v>
          </cell>
          <cell r="GA176">
            <v>0</v>
          </cell>
          <cell r="GB176">
            <v>0</v>
          </cell>
          <cell r="GC176">
            <v>0</v>
          </cell>
          <cell r="GD176">
            <v>0</v>
          </cell>
          <cell r="GE176">
            <v>0</v>
          </cell>
          <cell r="GF176">
            <v>0</v>
          </cell>
          <cell r="GG176">
            <v>0</v>
          </cell>
          <cell r="GH176">
            <v>0</v>
          </cell>
          <cell r="GI176">
            <v>0</v>
          </cell>
          <cell r="GJ176">
            <v>0</v>
          </cell>
          <cell r="GK176">
            <v>0</v>
          </cell>
          <cell r="GL176">
            <v>0</v>
          </cell>
          <cell r="GM176">
            <v>0</v>
          </cell>
          <cell r="GN176">
            <v>0</v>
          </cell>
          <cell r="GO176">
            <v>0</v>
          </cell>
          <cell r="GP176">
            <v>0</v>
          </cell>
          <cell r="GQ176">
            <v>0</v>
          </cell>
          <cell r="GR176">
            <v>0</v>
          </cell>
          <cell r="GS176">
            <v>0</v>
          </cell>
          <cell r="GT176">
            <v>0</v>
          </cell>
          <cell r="GU176">
            <v>0</v>
          </cell>
          <cell r="GV176">
            <v>0</v>
          </cell>
          <cell r="GW176">
            <v>0</v>
          </cell>
          <cell r="GX176">
            <v>0</v>
          </cell>
          <cell r="GY176">
            <v>0</v>
          </cell>
          <cell r="GZ176">
            <v>0</v>
          </cell>
          <cell r="HA176">
            <v>0</v>
          </cell>
          <cell r="HB176">
            <v>0</v>
          </cell>
          <cell r="HC176">
            <v>0</v>
          </cell>
          <cell r="HD176">
            <v>0</v>
          </cell>
          <cell r="HE176">
            <v>3290576199.8372555</v>
          </cell>
        </row>
        <row r="177">
          <cell r="D177">
            <v>0.30268309604698185</v>
          </cell>
          <cell r="E177" t="str">
            <v>무 담 보</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v>0</v>
          </cell>
          <cell r="DD177">
            <v>0</v>
          </cell>
          <cell r="DE177">
            <v>0</v>
          </cell>
          <cell r="DF177">
            <v>0</v>
          </cell>
          <cell r="DG177">
            <v>0</v>
          </cell>
          <cell r="DH177">
            <v>0</v>
          </cell>
          <cell r="DI177">
            <v>0</v>
          </cell>
          <cell r="DJ177">
            <v>0</v>
          </cell>
          <cell r="DK177">
            <v>0</v>
          </cell>
          <cell r="DL177">
            <v>0</v>
          </cell>
          <cell r="DM177">
            <v>0</v>
          </cell>
          <cell r="DN177">
            <v>0</v>
          </cell>
          <cell r="DO177">
            <v>0</v>
          </cell>
          <cell r="DP177">
            <v>0</v>
          </cell>
          <cell r="DQ177">
            <v>0</v>
          </cell>
          <cell r="DR177">
            <v>0</v>
          </cell>
          <cell r="DS177">
            <v>0</v>
          </cell>
          <cell r="DT177">
            <v>0</v>
          </cell>
          <cell r="DU177">
            <v>0</v>
          </cell>
          <cell r="DV177">
            <v>0</v>
          </cell>
          <cell r="DW177">
            <v>0</v>
          </cell>
          <cell r="DX177">
            <v>0</v>
          </cell>
          <cell r="DY177">
            <v>0</v>
          </cell>
          <cell r="DZ177">
            <v>0</v>
          </cell>
          <cell r="EA177">
            <v>0</v>
          </cell>
          <cell r="EB177">
            <v>0</v>
          </cell>
          <cell r="EC177">
            <v>0</v>
          </cell>
          <cell r="ED177">
            <v>0</v>
          </cell>
          <cell r="EE177">
            <v>0</v>
          </cell>
          <cell r="EF177">
            <v>0</v>
          </cell>
          <cell r="EG177">
            <v>0</v>
          </cell>
          <cell r="EH177">
            <v>0</v>
          </cell>
          <cell r="EI177">
            <v>0</v>
          </cell>
          <cell r="EJ177">
            <v>0</v>
          </cell>
          <cell r="EK177">
            <v>0</v>
          </cell>
          <cell r="EL177">
            <v>0</v>
          </cell>
          <cell r="EM177">
            <v>0</v>
          </cell>
          <cell r="EN177">
            <v>0</v>
          </cell>
          <cell r="EO177">
            <v>0</v>
          </cell>
          <cell r="EP177">
            <v>0</v>
          </cell>
          <cell r="EQ177">
            <v>0</v>
          </cell>
          <cell r="ER177">
            <v>0</v>
          </cell>
          <cell r="ES177">
            <v>0</v>
          </cell>
          <cell r="ET177">
            <v>0</v>
          </cell>
          <cell r="EU177">
            <v>0</v>
          </cell>
          <cell r="EV177">
            <v>0</v>
          </cell>
          <cell r="EW177">
            <v>0</v>
          </cell>
          <cell r="EX177">
            <v>0</v>
          </cell>
          <cell r="EY177">
            <v>0</v>
          </cell>
          <cell r="EZ177">
            <v>0</v>
          </cell>
          <cell r="FA177">
            <v>0</v>
          </cell>
          <cell r="FB177">
            <v>0</v>
          </cell>
          <cell r="FC177">
            <v>0</v>
          </cell>
          <cell r="FD177">
            <v>0</v>
          </cell>
          <cell r="FE177">
            <v>0</v>
          </cell>
          <cell r="FF177">
            <v>0</v>
          </cell>
          <cell r="FG177">
            <v>0</v>
          </cell>
          <cell r="FH177">
            <v>0</v>
          </cell>
          <cell r="FI177">
            <v>0</v>
          </cell>
          <cell r="FJ177">
            <v>0</v>
          </cell>
          <cell r="FK177">
            <v>0</v>
          </cell>
          <cell r="FL177">
            <v>0</v>
          </cell>
          <cell r="FM177">
            <v>0</v>
          </cell>
          <cell r="FN177">
            <v>0</v>
          </cell>
          <cell r="FO177">
            <v>0</v>
          </cell>
          <cell r="FP177">
            <v>0</v>
          </cell>
          <cell r="FQ177">
            <v>0</v>
          </cell>
          <cell r="FR177">
            <v>0</v>
          </cell>
          <cell r="FS177">
            <v>0</v>
          </cell>
          <cell r="FT177">
            <v>0</v>
          </cell>
          <cell r="FU177">
            <v>0</v>
          </cell>
          <cell r="FV177">
            <v>0</v>
          </cell>
          <cell r="FW177">
            <v>0</v>
          </cell>
          <cell r="FX177">
            <v>0</v>
          </cell>
          <cell r="FY177">
            <v>0</v>
          </cell>
          <cell r="FZ177">
            <v>0</v>
          </cell>
          <cell r="GA177">
            <v>0</v>
          </cell>
          <cell r="GB177">
            <v>0</v>
          </cell>
          <cell r="GC177">
            <v>0</v>
          </cell>
          <cell r="GD177">
            <v>0</v>
          </cell>
          <cell r="GE177">
            <v>0</v>
          </cell>
          <cell r="GF177">
            <v>0</v>
          </cell>
          <cell r="GG177">
            <v>0</v>
          </cell>
          <cell r="GH177">
            <v>0</v>
          </cell>
          <cell r="GI177">
            <v>0</v>
          </cell>
          <cell r="GJ177">
            <v>0</v>
          </cell>
          <cell r="GK177">
            <v>0</v>
          </cell>
          <cell r="GL177">
            <v>0</v>
          </cell>
          <cell r="GM177">
            <v>0</v>
          </cell>
          <cell r="GN177">
            <v>0</v>
          </cell>
          <cell r="GO177">
            <v>0</v>
          </cell>
          <cell r="GP177">
            <v>0</v>
          </cell>
          <cell r="GQ177">
            <v>0</v>
          </cell>
          <cell r="GR177">
            <v>0</v>
          </cell>
          <cell r="GS177">
            <v>0</v>
          </cell>
          <cell r="GT177">
            <v>0</v>
          </cell>
          <cell r="GU177">
            <v>0</v>
          </cell>
          <cell r="GV177">
            <v>0</v>
          </cell>
          <cell r="GW177">
            <v>0</v>
          </cell>
          <cell r="GX177">
            <v>0</v>
          </cell>
          <cell r="GY177">
            <v>0</v>
          </cell>
          <cell r="GZ177">
            <v>0</v>
          </cell>
          <cell r="HA177">
            <v>0</v>
          </cell>
          <cell r="HB177">
            <v>0</v>
          </cell>
          <cell r="HC177">
            <v>0</v>
          </cell>
          <cell r="HD177">
            <v>0</v>
          </cell>
          <cell r="HE177">
            <v>0</v>
          </cell>
        </row>
        <row r="178">
          <cell r="E178" t="str">
            <v>Total</v>
          </cell>
          <cell r="F178">
            <v>0</v>
          </cell>
          <cell r="G178">
            <v>0</v>
          </cell>
          <cell r="H178">
            <v>237614997.38520879</v>
          </cell>
          <cell r="I178">
            <v>0</v>
          </cell>
          <cell r="J178">
            <v>0</v>
          </cell>
          <cell r="K178">
            <v>0</v>
          </cell>
          <cell r="L178">
            <v>0</v>
          </cell>
          <cell r="M178">
            <v>0</v>
          </cell>
          <cell r="N178">
            <v>0</v>
          </cell>
          <cell r="O178">
            <v>0</v>
          </cell>
          <cell r="P178">
            <v>0</v>
          </cell>
          <cell r="Q178">
            <v>0</v>
          </cell>
          <cell r="R178">
            <v>0</v>
          </cell>
          <cell r="S178">
            <v>0</v>
          </cell>
          <cell r="T178">
            <v>166849315.1061759</v>
          </cell>
          <cell r="U178">
            <v>0</v>
          </cell>
          <cell r="V178">
            <v>0</v>
          </cell>
          <cell r="W178">
            <v>0</v>
          </cell>
          <cell r="X178">
            <v>0</v>
          </cell>
          <cell r="Y178">
            <v>0</v>
          </cell>
          <cell r="Z178">
            <v>0</v>
          </cell>
          <cell r="AA178">
            <v>0</v>
          </cell>
          <cell r="AB178">
            <v>0</v>
          </cell>
          <cell r="AC178">
            <v>0</v>
          </cell>
          <cell r="AD178">
            <v>0</v>
          </cell>
          <cell r="AE178">
            <v>0</v>
          </cell>
          <cell r="AF178">
            <v>166849315.1061759</v>
          </cell>
          <cell r="AG178">
            <v>0</v>
          </cell>
          <cell r="AH178">
            <v>0</v>
          </cell>
          <cell r="AI178">
            <v>0</v>
          </cell>
          <cell r="AJ178">
            <v>0</v>
          </cell>
          <cell r="AK178">
            <v>0</v>
          </cell>
          <cell r="AL178">
            <v>0</v>
          </cell>
          <cell r="AM178">
            <v>0</v>
          </cell>
          <cell r="AN178">
            <v>0</v>
          </cell>
          <cell r="AO178">
            <v>0</v>
          </cell>
          <cell r="AP178">
            <v>0</v>
          </cell>
          <cell r="AQ178">
            <v>0</v>
          </cell>
          <cell r="AR178">
            <v>166849315.10617587</v>
          </cell>
          <cell r="AS178">
            <v>0</v>
          </cell>
          <cell r="AT178">
            <v>0</v>
          </cell>
          <cell r="AU178">
            <v>0</v>
          </cell>
          <cell r="AV178">
            <v>0</v>
          </cell>
          <cell r="AW178">
            <v>0</v>
          </cell>
          <cell r="AX178">
            <v>0</v>
          </cell>
          <cell r="AY178">
            <v>0</v>
          </cell>
          <cell r="AZ178">
            <v>0</v>
          </cell>
          <cell r="BA178">
            <v>0</v>
          </cell>
          <cell r="BB178">
            <v>0</v>
          </cell>
          <cell r="BC178">
            <v>0</v>
          </cell>
          <cell r="BD178">
            <v>455453535.84247953</v>
          </cell>
          <cell r="BE178">
            <v>0</v>
          </cell>
          <cell r="BF178">
            <v>0</v>
          </cell>
          <cell r="BG178">
            <v>0</v>
          </cell>
          <cell r="BH178">
            <v>0</v>
          </cell>
          <cell r="BI178">
            <v>0</v>
          </cell>
          <cell r="BJ178">
            <v>0</v>
          </cell>
          <cell r="BK178">
            <v>0</v>
          </cell>
          <cell r="BL178">
            <v>0</v>
          </cell>
          <cell r="BM178">
            <v>0</v>
          </cell>
          <cell r="BN178">
            <v>0</v>
          </cell>
          <cell r="BO178">
            <v>0</v>
          </cell>
          <cell r="BP178">
            <v>428757645.42437136</v>
          </cell>
          <cell r="BQ178">
            <v>0</v>
          </cell>
          <cell r="BR178">
            <v>0</v>
          </cell>
          <cell r="BS178">
            <v>0</v>
          </cell>
          <cell r="BT178">
            <v>0</v>
          </cell>
          <cell r="BU178">
            <v>0</v>
          </cell>
          <cell r="BV178">
            <v>0</v>
          </cell>
          <cell r="BW178">
            <v>0</v>
          </cell>
          <cell r="BX178">
            <v>0</v>
          </cell>
          <cell r="BY178">
            <v>0</v>
          </cell>
          <cell r="BZ178">
            <v>0</v>
          </cell>
          <cell r="CA178">
            <v>0</v>
          </cell>
          <cell r="CB178">
            <v>402061755.00626332</v>
          </cell>
          <cell r="CC178">
            <v>0</v>
          </cell>
          <cell r="CD178">
            <v>0</v>
          </cell>
          <cell r="CE178">
            <v>0</v>
          </cell>
          <cell r="CF178">
            <v>0</v>
          </cell>
          <cell r="CG178">
            <v>0</v>
          </cell>
          <cell r="CH178">
            <v>0</v>
          </cell>
          <cell r="CI178">
            <v>0</v>
          </cell>
          <cell r="CJ178">
            <v>0</v>
          </cell>
          <cell r="CK178">
            <v>0</v>
          </cell>
          <cell r="CL178">
            <v>0</v>
          </cell>
          <cell r="CM178">
            <v>0</v>
          </cell>
          <cell r="CN178">
            <v>375365864.58815527</v>
          </cell>
          <cell r="CO178">
            <v>0</v>
          </cell>
          <cell r="CP178">
            <v>0</v>
          </cell>
          <cell r="CQ178">
            <v>0</v>
          </cell>
          <cell r="CR178">
            <v>0</v>
          </cell>
          <cell r="CS178">
            <v>0</v>
          </cell>
          <cell r="CT178">
            <v>0</v>
          </cell>
          <cell r="CU178">
            <v>0</v>
          </cell>
          <cell r="CV178">
            <v>0</v>
          </cell>
          <cell r="CW178">
            <v>0</v>
          </cell>
          <cell r="CX178">
            <v>0</v>
          </cell>
          <cell r="CY178">
            <v>0</v>
          </cell>
          <cell r="CZ178">
            <v>709425250.01475585</v>
          </cell>
          <cell r="DA178">
            <v>40318108.469225153</v>
          </cell>
          <cell r="DB178">
            <v>35216633.520057894</v>
          </cell>
          <cell r="DC178">
            <v>30279722.278928284</v>
          </cell>
          <cell r="DD178">
            <v>25178247.329761017</v>
          </cell>
          <cell r="DE178">
            <v>20076772.380593754</v>
          </cell>
          <cell r="DF178">
            <v>15139861.139464142</v>
          </cell>
          <cell r="DG178">
            <v>10038386.190296877</v>
          </cell>
          <cell r="DH178">
            <v>5101474.9491672656</v>
          </cell>
          <cell r="DI178">
            <v>0</v>
          </cell>
          <cell r="DJ178">
            <v>0</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cell r="EC178">
            <v>0</v>
          </cell>
          <cell r="ED178">
            <v>0</v>
          </cell>
          <cell r="EE178">
            <v>0</v>
          </cell>
          <cell r="EF178">
            <v>0</v>
          </cell>
          <cell r="EG178">
            <v>0</v>
          </cell>
          <cell r="EH178">
            <v>0</v>
          </cell>
          <cell r="EI178">
            <v>0</v>
          </cell>
          <cell r="EJ178">
            <v>0</v>
          </cell>
          <cell r="EK178">
            <v>0</v>
          </cell>
          <cell r="EL178">
            <v>0</v>
          </cell>
          <cell r="EM178">
            <v>0</v>
          </cell>
          <cell r="EN178">
            <v>0</v>
          </cell>
          <cell r="EO178">
            <v>0</v>
          </cell>
          <cell r="EP178">
            <v>0</v>
          </cell>
          <cell r="EQ178">
            <v>0</v>
          </cell>
          <cell r="ER178">
            <v>0</v>
          </cell>
          <cell r="ES178">
            <v>0</v>
          </cell>
          <cell r="ET178">
            <v>0</v>
          </cell>
          <cell r="EU178">
            <v>0</v>
          </cell>
          <cell r="EV178">
            <v>0</v>
          </cell>
          <cell r="EW178">
            <v>0</v>
          </cell>
          <cell r="EX178">
            <v>0</v>
          </cell>
          <cell r="EY178">
            <v>0</v>
          </cell>
          <cell r="EZ178">
            <v>0</v>
          </cell>
          <cell r="FA178">
            <v>0</v>
          </cell>
          <cell r="FB178">
            <v>0</v>
          </cell>
          <cell r="FC178">
            <v>0</v>
          </cell>
          <cell r="FD178">
            <v>0</v>
          </cell>
          <cell r="FE178">
            <v>0</v>
          </cell>
          <cell r="FF178">
            <v>0</v>
          </cell>
          <cell r="FG178">
            <v>0</v>
          </cell>
          <cell r="FH178">
            <v>0</v>
          </cell>
          <cell r="FI178">
            <v>0</v>
          </cell>
          <cell r="FJ178">
            <v>0</v>
          </cell>
          <cell r="FK178">
            <v>0</v>
          </cell>
          <cell r="FL178">
            <v>0</v>
          </cell>
          <cell r="FM178">
            <v>0</v>
          </cell>
          <cell r="FN178">
            <v>0</v>
          </cell>
          <cell r="FO178">
            <v>0</v>
          </cell>
          <cell r="FP178">
            <v>0</v>
          </cell>
          <cell r="FQ178">
            <v>0</v>
          </cell>
          <cell r="FR178">
            <v>0</v>
          </cell>
          <cell r="FS178">
            <v>0</v>
          </cell>
          <cell r="FT178">
            <v>0</v>
          </cell>
          <cell r="FU178">
            <v>0</v>
          </cell>
          <cell r="FV178">
            <v>0</v>
          </cell>
          <cell r="FW178">
            <v>0</v>
          </cell>
          <cell r="FX178">
            <v>0</v>
          </cell>
          <cell r="FY178">
            <v>0</v>
          </cell>
          <cell r="FZ178">
            <v>0</v>
          </cell>
          <cell r="GA178">
            <v>0</v>
          </cell>
          <cell r="GB178">
            <v>0</v>
          </cell>
          <cell r="GC178">
            <v>0</v>
          </cell>
          <cell r="GD178">
            <v>0</v>
          </cell>
          <cell r="GE178">
            <v>0</v>
          </cell>
          <cell r="GF178">
            <v>0</v>
          </cell>
          <cell r="GG178">
            <v>0</v>
          </cell>
          <cell r="GH178">
            <v>0</v>
          </cell>
          <cell r="GI178">
            <v>0</v>
          </cell>
          <cell r="GJ178">
            <v>0</v>
          </cell>
          <cell r="GK178">
            <v>0</v>
          </cell>
          <cell r="GL178">
            <v>0</v>
          </cell>
          <cell r="GM178">
            <v>0</v>
          </cell>
          <cell r="GN178">
            <v>0</v>
          </cell>
          <cell r="GO178">
            <v>0</v>
          </cell>
          <cell r="GP178">
            <v>0</v>
          </cell>
          <cell r="GQ178">
            <v>0</v>
          </cell>
          <cell r="GR178">
            <v>0</v>
          </cell>
          <cell r="GS178">
            <v>0</v>
          </cell>
          <cell r="GT178">
            <v>0</v>
          </cell>
          <cell r="GU178">
            <v>0</v>
          </cell>
          <cell r="GV178">
            <v>0</v>
          </cell>
          <cell r="GW178">
            <v>0</v>
          </cell>
          <cell r="GX178">
            <v>0</v>
          </cell>
          <cell r="GY178">
            <v>0</v>
          </cell>
          <cell r="GZ178">
            <v>0</v>
          </cell>
          <cell r="HA178">
            <v>0</v>
          </cell>
          <cell r="HB178">
            <v>0</v>
          </cell>
          <cell r="HC178">
            <v>0</v>
          </cell>
          <cell r="HD178">
            <v>0</v>
          </cell>
          <cell r="HE178">
            <v>3290576199.8372555</v>
          </cell>
        </row>
        <row r="179">
          <cell r="A179" t="str">
            <v>HBS-43</v>
          </cell>
          <cell r="E179" t="str">
            <v>현     가</v>
          </cell>
          <cell r="F179">
            <v>0</v>
          </cell>
          <cell r="G179">
            <v>0</v>
          </cell>
          <cell r="H179">
            <v>235479676.46591368</v>
          </cell>
          <cell r="I179">
            <v>0</v>
          </cell>
          <cell r="J179">
            <v>0</v>
          </cell>
          <cell r="K179">
            <v>0</v>
          </cell>
          <cell r="L179">
            <v>0</v>
          </cell>
          <cell r="M179">
            <v>0</v>
          </cell>
          <cell r="N179">
            <v>0</v>
          </cell>
          <cell r="O179">
            <v>0</v>
          </cell>
          <cell r="P179">
            <v>0</v>
          </cell>
          <cell r="Q179">
            <v>0</v>
          </cell>
          <cell r="R179">
            <v>0</v>
          </cell>
          <cell r="S179">
            <v>0</v>
          </cell>
          <cell r="T179">
            <v>155537063.88464323</v>
          </cell>
          <cell r="U179">
            <v>0</v>
          </cell>
          <cell r="V179">
            <v>0</v>
          </cell>
          <cell r="W179">
            <v>0</v>
          </cell>
          <cell r="X179">
            <v>0</v>
          </cell>
          <cell r="Y179">
            <v>0</v>
          </cell>
          <cell r="Z179">
            <v>0</v>
          </cell>
          <cell r="AA179">
            <v>0</v>
          </cell>
          <cell r="AB179">
            <v>0</v>
          </cell>
          <cell r="AC179">
            <v>0</v>
          </cell>
          <cell r="AD179">
            <v>0</v>
          </cell>
          <cell r="AE179">
            <v>0</v>
          </cell>
          <cell r="AF179">
            <v>145386596.29436514</v>
          </cell>
          <cell r="AG179">
            <v>0</v>
          </cell>
          <cell r="AH179">
            <v>0</v>
          </cell>
          <cell r="AI179">
            <v>0</v>
          </cell>
          <cell r="AJ179">
            <v>0</v>
          </cell>
          <cell r="AK179">
            <v>0</v>
          </cell>
          <cell r="AL179">
            <v>0</v>
          </cell>
          <cell r="AM179">
            <v>0</v>
          </cell>
          <cell r="AN179">
            <v>0</v>
          </cell>
          <cell r="AO179">
            <v>0</v>
          </cell>
          <cell r="AP179">
            <v>0</v>
          </cell>
          <cell r="AQ179">
            <v>0</v>
          </cell>
          <cell r="AR179">
            <v>134682305.93238959</v>
          </cell>
          <cell r="AS179">
            <v>0</v>
          </cell>
          <cell r="AT179">
            <v>0</v>
          </cell>
          <cell r="AU179">
            <v>0</v>
          </cell>
          <cell r="AV179">
            <v>0</v>
          </cell>
          <cell r="AW179">
            <v>0</v>
          </cell>
          <cell r="AX179">
            <v>0</v>
          </cell>
          <cell r="AY179">
            <v>0</v>
          </cell>
          <cell r="AZ179">
            <v>0</v>
          </cell>
          <cell r="BA179">
            <v>0</v>
          </cell>
          <cell r="BB179">
            <v>0</v>
          </cell>
          <cell r="BC179">
            <v>0</v>
          </cell>
          <cell r="BD179">
            <v>343626782.48618746</v>
          </cell>
          <cell r="BE179">
            <v>0</v>
          </cell>
          <cell r="BF179">
            <v>0</v>
          </cell>
          <cell r="BG179">
            <v>0</v>
          </cell>
          <cell r="BH179">
            <v>0</v>
          </cell>
          <cell r="BI179">
            <v>0</v>
          </cell>
          <cell r="BJ179">
            <v>0</v>
          </cell>
          <cell r="BK179">
            <v>0</v>
          </cell>
          <cell r="BL179">
            <v>0</v>
          </cell>
          <cell r="BM179">
            <v>0</v>
          </cell>
          <cell r="BN179">
            <v>0</v>
          </cell>
          <cell r="BO179">
            <v>0</v>
          </cell>
          <cell r="BP179">
            <v>296146033.47081369</v>
          </cell>
          <cell r="BQ179">
            <v>0</v>
          </cell>
          <cell r="BR179">
            <v>0</v>
          </cell>
          <cell r="BS179">
            <v>0</v>
          </cell>
          <cell r="BT179">
            <v>0</v>
          </cell>
          <cell r="BU179">
            <v>0</v>
          </cell>
          <cell r="BV179">
            <v>0</v>
          </cell>
          <cell r="BW179">
            <v>0</v>
          </cell>
          <cell r="BX179">
            <v>0</v>
          </cell>
          <cell r="BY179">
            <v>0</v>
          </cell>
          <cell r="BZ179">
            <v>0</v>
          </cell>
          <cell r="CA179">
            <v>0</v>
          </cell>
          <cell r="CB179">
            <v>258524471.43286145</v>
          </cell>
          <cell r="CC179">
            <v>0</v>
          </cell>
          <cell r="CD179">
            <v>0</v>
          </cell>
          <cell r="CE179">
            <v>0</v>
          </cell>
          <cell r="CF179">
            <v>0</v>
          </cell>
          <cell r="CG179">
            <v>0</v>
          </cell>
          <cell r="CH179">
            <v>0</v>
          </cell>
          <cell r="CI179">
            <v>0</v>
          </cell>
          <cell r="CJ179">
            <v>0</v>
          </cell>
          <cell r="CK179">
            <v>0</v>
          </cell>
          <cell r="CL179">
            <v>0</v>
          </cell>
          <cell r="CM179">
            <v>0</v>
          </cell>
          <cell r="CN179">
            <v>224643241.80894738</v>
          </cell>
          <cell r="CO179">
            <v>0</v>
          </cell>
          <cell r="CP179">
            <v>0</v>
          </cell>
          <cell r="CQ179">
            <v>0</v>
          </cell>
          <cell r="CR179">
            <v>0</v>
          </cell>
          <cell r="CS179">
            <v>0</v>
          </cell>
          <cell r="CT179">
            <v>0</v>
          </cell>
          <cell r="CU179">
            <v>0</v>
          </cell>
          <cell r="CV179">
            <v>0</v>
          </cell>
          <cell r="CW179">
            <v>0</v>
          </cell>
          <cell r="CX179">
            <v>0</v>
          </cell>
          <cell r="CY179">
            <v>0</v>
          </cell>
          <cell r="CZ179">
            <v>395239258.52539605</v>
          </cell>
          <cell r="DA179">
            <v>22326131.296021119</v>
          </cell>
          <cell r="DB179">
            <v>19394408.968634039</v>
          </cell>
          <cell r="DC179">
            <v>16574502.080593888</v>
          </cell>
          <cell r="DD179">
            <v>13701217.31230337</v>
          </cell>
          <cell r="DE179">
            <v>10858940.313813789</v>
          </cell>
          <cell r="DF179">
            <v>8140676.5421375893</v>
          </cell>
          <cell r="DG179">
            <v>5364909.4744084598</v>
          </cell>
          <cell r="DH179">
            <v>2709905.5137180402</v>
          </cell>
          <cell r="DI179">
            <v>0</v>
          </cell>
          <cell r="DJ179">
            <v>0</v>
          </cell>
          <cell r="DK179">
            <v>0</v>
          </cell>
          <cell r="DL179">
            <v>0</v>
          </cell>
          <cell r="DM179">
            <v>0</v>
          </cell>
          <cell r="DN179">
            <v>0</v>
          </cell>
          <cell r="DO179">
            <v>0</v>
          </cell>
          <cell r="DP179">
            <v>0</v>
          </cell>
          <cell r="DQ179">
            <v>0</v>
          </cell>
          <cell r="DR179">
            <v>0</v>
          </cell>
          <cell r="DS179">
            <v>0</v>
          </cell>
          <cell r="DT179">
            <v>0</v>
          </cell>
          <cell r="DU179">
            <v>0</v>
          </cell>
          <cell r="DV179">
            <v>0</v>
          </cell>
          <cell r="DW179">
            <v>0</v>
          </cell>
          <cell r="DX179">
            <v>0</v>
          </cell>
          <cell r="DY179">
            <v>0</v>
          </cell>
          <cell r="DZ179">
            <v>0</v>
          </cell>
          <cell r="EA179">
            <v>0</v>
          </cell>
          <cell r="EB179">
            <v>0</v>
          </cell>
          <cell r="EC179">
            <v>0</v>
          </cell>
          <cell r="ED179">
            <v>0</v>
          </cell>
          <cell r="EE179">
            <v>0</v>
          </cell>
          <cell r="EF179">
            <v>0</v>
          </cell>
          <cell r="EG179">
            <v>0</v>
          </cell>
          <cell r="EH179">
            <v>0</v>
          </cell>
          <cell r="EI179">
            <v>0</v>
          </cell>
          <cell r="EJ179">
            <v>0</v>
          </cell>
          <cell r="EK179">
            <v>0</v>
          </cell>
          <cell r="EL179">
            <v>0</v>
          </cell>
          <cell r="EM179">
            <v>0</v>
          </cell>
          <cell r="EN179">
            <v>0</v>
          </cell>
          <cell r="EO179">
            <v>0</v>
          </cell>
          <cell r="EP179">
            <v>0</v>
          </cell>
          <cell r="EQ179">
            <v>0</v>
          </cell>
          <cell r="ER179">
            <v>0</v>
          </cell>
          <cell r="ES179">
            <v>0</v>
          </cell>
          <cell r="ET179">
            <v>0</v>
          </cell>
          <cell r="EU179">
            <v>0</v>
          </cell>
          <cell r="EV179">
            <v>0</v>
          </cell>
          <cell r="EW179">
            <v>0</v>
          </cell>
          <cell r="EX179">
            <v>0</v>
          </cell>
          <cell r="EY179">
            <v>0</v>
          </cell>
          <cell r="EZ179">
            <v>0</v>
          </cell>
          <cell r="FA179">
            <v>0</v>
          </cell>
          <cell r="FB179">
            <v>0</v>
          </cell>
          <cell r="FC179">
            <v>0</v>
          </cell>
          <cell r="FD179">
            <v>0</v>
          </cell>
          <cell r="FE179">
            <v>0</v>
          </cell>
          <cell r="FF179">
            <v>0</v>
          </cell>
          <cell r="FG179">
            <v>0</v>
          </cell>
          <cell r="FH179">
            <v>0</v>
          </cell>
          <cell r="FI179">
            <v>0</v>
          </cell>
          <cell r="FJ179">
            <v>0</v>
          </cell>
          <cell r="FK179">
            <v>0</v>
          </cell>
          <cell r="FL179">
            <v>0</v>
          </cell>
          <cell r="FM179">
            <v>0</v>
          </cell>
          <cell r="FN179">
            <v>0</v>
          </cell>
          <cell r="FO179">
            <v>0</v>
          </cell>
          <cell r="FP179">
            <v>0</v>
          </cell>
          <cell r="FQ179">
            <v>0</v>
          </cell>
          <cell r="FR179">
            <v>0</v>
          </cell>
          <cell r="FS179">
            <v>0</v>
          </cell>
          <cell r="FT179">
            <v>0</v>
          </cell>
          <cell r="FU179">
            <v>0</v>
          </cell>
          <cell r="FV179">
            <v>0</v>
          </cell>
          <cell r="FW179">
            <v>0</v>
          </cell>
          <cell r="FX179">
            <v>0</v>
          </cell>
          <cell r="FY179">
            <v>0</v>
          </cell>
          <cell r="FZ179">
            <v>0</v>
          </cell>
          <cell r="GA179">
            <v>0</v>
          </cell>
          <cell r="GB179">
            <v>0</v>
          </cell>
          <cell r="GC179">
            <v>0</v>
          </cell>
          <cell r="GD179">
            <v>0</v>
          </cell>
          <cell r="GE179">
            <v>0</v>
          </cell>
          <cell r="GF179">
            <v>0</v>
          </cell>
          <cell r="GG179">
            <v>0</v>
          </cell>
          <cell r="GH179">
            <v>0</v>
          </cell>
          <cell r="GI179">
            <v>0</v>
          </cell>
          <cell r="GJ179">
            <v>0</v>
          </cell>
          <cell r="GK179">
            <v>0</v>
          </cell>
          <cell r="GL179">
            <v>0</v>
          </cell>
          <cell r="GM179">
            <v>0</v>
          </cell>
          <cell r="GN179">
            <v>0</v>
          </cell>
          <cell r="GO179">
            <v>0</v>
          </cell>
          <cell r="GP179">
            <v>0</v>
          </cell>
          <cell r="GQ179">
            <v>0</v>
          </cell>
          <cell r="GR179">
            <v>0</v>
          </cell>
          <cell r="GS179">
            <v>0</v>
          </cell>
          <cell r="GT179">
            <v>0</v>
          </cell>
          <cell r="GU179">
            <v>0</v>
          </cell>
          <cell r="GV179">
            <v>0</v>
          </cell>
          <cell r="GW179">
            <v>0</v>
          </cell>
          <cell r="GX179">
            <v>0</v>
          </cell>
          <cell r="GY179">
            <v>0</v>
          </cell>
          <cell r="GZ179">
            <v>0</v>
          </cell>
          <cell r="HA179">
            <v>0</v>
          </cell>
          <cell r="HB179">
            <v>0</v>
          </cell>
          <cell r="HC179">
            <v>0</v>
          </cell>
          <cell r="HD179">
            <v>0</v>
          </cell>
          <cell r="HE179">
            <v>2288336121.8031483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기"/>
      <sheetName val="마리나베이공기"/>
      <sheetName val=""/>
    </sheetNames>
    <definedNames>
      <definedName name="CG" refersTo="#REF!"/>
      <definedName name="rkstjs" refersTo="#REF!"/>
      <definedName name="TLFTN" refersTo="#REF!"/>
      <definedName name="경유가격" refersTo="#REF!"/>
      <definedName name="공" refersTo="#REF!"/>
      <definedName name="공사" refersTo="#REF!"/>
      <definedName name="공정" refersTo="#REF!"/>
      <definedName name="기타자재" refersTo="#REF!"/>
      <definedName name="내선전공" refersTo="#REF!"/>
      <definedName name="등용구분" refersTo="#REF!"/>
      <definedName name="등주높이" refersTo="#REF!"/>
      <definedName name="ㄹㄹㄹ" refersTo="#REF!"/>
      <definedName name="매크로1" refersTo="#REF!"/>
      <definedName name="사용램프" refersTo="#REF!"/>
      <definedName name="수금10" refersTo="#REF!"/>
      <definedName name="신호기" refersTo="#REF!"/>
      <definedName name="유1" refersTo="#REF!"/>
      <definedName name="이사96" refersTo="#REF!"/>
      <definedName name="저압케이블공" refersTo="#REF!"/>
      <definedName name="조도등주종류" refersTo="#REF!"/>
      <definedName name="조도케이블길이" refersTo="#REF!"/>
      <definedName name="조수" refersTo="#REF!"/>
      <definedName name="중6" refersTo="#REF!"/>
      <definedName name="중기기사" refersTo="#REF!"/>
      <definedName name="총면적" refersTo="#REF!"/>
      <definedName name="취소" refersTo="#REF!"/>
      <definedName name="크레인가격" refersTo="#REF!"/>
    </definedNames>
    <sheetDataSet>
      <sheetData sheetId="0"/>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대금리"/>
      <sheetName val="check"/>
      <sheetName val="확인서"/>
      <sheetName val="별제권_정리담보권"/>
      <sheetName val="화의채권_정리채권"/>
      <sheetName val="전체 통합"/>
      <sheetName val="계약서상Schedule"/>
      <sheetName val="Borrower"/>
      <sheetName val="일반관리비"/>
      <sheetName val="Sheet1"/>
      <sheetName val="잔존년수"/>
      <sheetName val="기대회수율산정"/>
      <sheetName val="기대회수Schedule"/>
    </sheetNames>
    <sheetDataSet>
      <sheetData sheetId="0" refreshError="1"/>
      <sheetData sheetId="1" refreshError="1"/>
      <sheetData sheetId="2" refreshError="1">
        <row r="10">
          <cell r="G10" t="str">
            <v>9７-조흥-４</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콤보박스와 리스트박스의 연결"/>
      <sheetName val="연습해 보세요"/>
    </sheetNames>
    <sheetDataSet>
      <sheetData sheetId="0">
        <row r="6">
          <cell r="H6" t="str">
            <v>586-133Mhz</v>
          </cell>
        </row>
        <row r="7">
          <cell r="H7" t="str">
            <v>586-166Mhz</v>
          </cell>
        </row>
        <row r="8">
          <cell r="H8" t="str">
            <v>8메가</v>
          </cell>
        </row>
        <row r="9">
          <cell r="C9">
            <v>2</v>
          </cell>
          <cell r="H9" t="str">
            <v>16메가</v>
          </cell>
        </row>
        <row r="10">
          <cell r="H10" t="str">
            <v>32메가</v>
          </cell>
        </row>
        <row r="11">
          <cell r="H11" t="str">
            <v>삼성마이젯</v>
          </cell>
        </row>
        <row r="12">
          <cell r="H12" t="str">
            <v>삼성레이저</v>
          </cell>
        </row>
        <row r="13">
          <cell r="H13" t="str">
            <v>캐논버블젯</v>
          </cell>
        </row>
        <row r="14">
          <cell r="H14" t="str">
            <v>데스크젯</v>
          </cell>
        </row>
        <row r="15">
          <cell r="H15" t="str">
            <v>15인치</v>
          </cell>
        </row>
        <row r="16">
          <cell r="H16" t="str">
            <v>17인치</v>
          </cell>
        </row>
        <row r="17">
          <cell r="H17" t="str">
            <v>20인치</v>
          </cell>
        </row>
      </sheetData>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조경"/>
      <sheetName val="현장관리비"/>
      <sheetName val="내역"/>
      <sheetName val="총괄"/>
      <sheetName val="실행내역"/>
      <sheetName val="을"/>
      <sheetName val="9811"/>
      <sheetName val="손익분석"/>
      <sheetName val="표준건축비"/>
      <sheetName val="공통가설"/>
      <sheetName val="일위대가시트"/>
      <sheetName val="설비내역서"/>
      <sheetName val="건축내역서"/>
      <sheetName val="전기내역서"/>
      <sheetName val="기초일위"/>
      <sheetName val="시설일위"/>
      <sheetName val="조명일위"/>
      <sheetName val="금액"/>
      <sheetName val="Y-WORK"/>
      <sheetName val="목록"/>
      <sheetName val="WORK"/>
      <sheetName val="산출내역서집계표"/>
      <sheetName val="단가표"/>
      <sheetName val="직공비"/>
      <sheetName val="1-1"/>
      <sheetName val="c_balju"/>
      <sheetName val="DATA"/>
      <sheetName val="내역서 "/>
      <sheetName val="단면가정"/>
      <sheetName val="CODE"/>
      <sheetName val="직노"/>
      <sheetName val="기둥(원형)"/>
      <sheetName val="관급"/>
      <sheetName val="Sheet3"/>
      <sheetName val="2000년1차"/>
      <sheetName val="9509"/>
      <sheetName val="식생블럭단위수량"/>
      <sheetName val="#REF"/>
      <sheetName val="재료집계"/>
      <sheetName val="주경기-오배수"/>
      <sheetName val="단가"/>
      <sheetName val="TEST1"/>
      <sheetName val="토목주소"/>
      <sheetName val="프랜트면허"/>
      <sheetName val="남양시작동자105노65기1.3화1.2"/>
      <sheetName val="코드"/>
      <sheetName val="날개벽(시점좌측)"/>
      <sheetName val="설계조건"/>
      <sheetName val="ITEM"/>
      <sheetName val="적용률"/>
      <sheetName val="경산"/>
      <sheetName val="노무비"/>
      <sheetName val="danga"/>
      <sheetName val="ilch"/>
      <sheetName val="Breakdown"/>
      <sheetName val="UnitRate"/>
      <sheetName val="o현장경비"/>
      <sheetName val="건축집계"/>
      <sheetName val="청주(철골발주의뢰서)"/>
      <sheetName val="대전우편"/>
      <sheetName val="대비"/>
      <sheetName val="견적대비 견적서"/>
      <sheetName val="역T형"/>
      <sheetName val="전체"/>
      <sheetName val="교각1"/>
      <sheetName val="전기"/>
      <sheetName val="esc"/>
      <sheetName val="내역서"/>
      <sheetName val="E총15"/>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AP1"/>
      <sheetName val="LOAD-46"/>
      <sheetName val="토목내역"/>
      <sheetName val="2000년하반기"/>
      <sheetName val="부대tu"/>
      <sheetName val="guard(mac)"/>
      <sheetName val="DATE"/>
      <sheetName val="일반물자(한국통신)"/>
      <sheetName val="SUB일위대가"/>
      <sheetName val="단가산출1"/>
      <sheetName val="단가산출2"/>
      <sheetName val="공내역서"/>
      <sheetName val="Macro(전선)"/>
      <sheetName val="도급,하도급 예정금액"/>
      <sheetName val="표지"/>
      <sheetName val="관기성공.내"/>
      <sheetName val="개요"/>
      <sheetName val="CIVIL"/>
      <sheetName val="공사비"/>
      <sheetName val="단가대비"/>
      <sheetName val="골조시행"/>
      <sheetName val="자료"/>
      <sheetName val="옥외"/>
      <sheetName val="VXXXXXXX"/>
      <sheetName val="인테리어내역"/>
      <sheetName val="정부노임단가"/>
      <sheetName val="LEGEND"/>
      <sheetName val="원가"/>
      <sheetName val="문학간접"/>
      <sheetName val="토공(우물통,기타) "/>
      <sheetName val="교각계산"/>
      <sheetName val="wall"/>
      <sheetName val="공정코드"/>
      <sheetName val="1_우편집중내역서"/>
      <sheetName val="토목"/>
      <sheetName val="중기조종사 단위단가"/>
      <sheetName val="SLAB&quot;1&quot;"/>
      <sheetName val="관음목장(제출용)자105인97.5"/>
      <sheetName val="공통대가"/>
      <sheetName val="COST"/>
      <sheetName val="송라터널총괄"/>
      <sheetName val="Project Brief"/>
      <sheetName val="COPING"/>
      <sheetName val="터파기및재료"/>
      <sheetName val="(A)내역서"/>
      <sheetName val="DATA1"/>
      <sheetName val="내역서01"/>
      <sheetName val="단가입력1"/>
      <sheetName val="납부서"/>
      <sheetName val="맨홀수량집계"/>
      <sheetName val="데리네이타현황"/>
      <sheetName val="방송일위대가"/>
      <sheetName val="부하계산서"/>
      <sheetName val="물가자료"/>
      <sheetName val="본부별매출"/>
      <sheetName val="노임단가"/>
      <sheetName val="단가조사서"/>
      <sheetName val="도급"/>
      <sheetName val="현장경비"/>
      <sheetName val="미드수량"/>
      <sheetName val="부표총괄"/>
      <sheetName val="ITB COST"/>
      <sheetName val="CAT_5"/>
      <sheetName val="천마갑지"/>
      <sheetName val="노임"/>
      <sheetName val="Sheet10"/>
      <sheetName val="공틀공사"/>
      <sheetName val="SULKEA"/>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토사(PE)"/>
      <sheetName val="교사기준면적(초등)"/>
      <sheetName val="평가데이터"/>
      <sheetName val="청천내"/>
      <sheetName val="데이타"/>
      <sheetName val="을지"/>
      <sheetName val="횡배수관토공수량"/>
      <sheetName val="3.하중산정4.지지력"/>
      <sheetName val="CPM챠트"/>
      <sheetName val="전기일위대가"/>
      <sheetName val="노무비단가"/>
      <sheetName val="정렬"/>
      <sheetName val="연부97-1"/>
      <sheetName val="갑지1"/>
      <sheetName val="기존단가 (2)"/>
      <sheetName val="input"/>
      <sheetName val="전차선로 물량표"/>
      <sheetName val="3) 클레임 반영시"/>
      <sheetName val="11.자재단가"/>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PT"/>
      <sheetName val="AILC004"/>
      <sheetName val="Proposal"/>
      <sheetName val="인사자료총집계"/>
      <sheetName val="6호기"/>
      <sheetName val="조견표"/>
      <sheetName val="기계경비(시간당)"/>
      <sheetName val="램머"/>
      <sheetName val="대공종"/>
      <sheetName val="마산방향철근집계"/>
      <sheetName val="진주방향"/>
      <sheetName val="마산방향"/>
      <sheetName val="제조부문배부"/>
      <sheetName val="매입세"/>
      <sheetName val="1월"/>
      <sheetName val="물량내역"/>
      <sheetName val="Y_WORK"/>
      <sheetName val="인건비"/>
      <sheetName val="Front"/>
      <sheetName val="형강류 단가 CODE"/>
      <sheetName val="Sheet5"/>
      <sheetName val="BSD (2)"/>
      <sheetName val="암거단위-1련"/>
      <sheetName val="제품"/>
      <sheetName val="실행"/>
      <sheetName val="SILICATE"/>
      <sheetName val="견적"/>
      <sheetName val="간접비내역-1"/>
      <sheetName val="gyun-가스"/>
      <sheetName val="우,오수"/>
      <sheetName val="설계명세서"/>
      <sheetName val="A"/>
      <sheetName val="D"/>
      <sheetName val="단양 00 아파트-세부내역"/>
      <sheetName val="EUPDAT2"/>
      <sheetName val="N賃率-職"/>
      <sheetName val="PBS"/>
      <sheetName val="TOT"/>
      <sheetName val="내역서 (2)"/>
      <sheetName val="실행철강하도"/>
      <sheetName val="간선계산"/>
      <sheetName val="단위중량"/>
      <sheetName val="적점"/>
      <sheetName val="30개월기준대비표 아랍택)"/>
      <sheetName val="일위대가표"/>
      <sheetName val="명세서"/>
      <sheetName val="입찰안"/>
      <sheetName val="공사내역서(을)실행"/>
      <sheetName val="1을"/>
      <sheetName val="수량분석(총수량)"/>
      <sheetName val="일위대가및자재표"/>
      <sheetName val="토목공사"/>
    </sheetNames>
    <sheetDataSet>
      <sheetData sheetId="0">
        <row r="3">
          <cell r="A3" t="str">
            <v>대전우편집중국및운송교환센터 신축공사</v>
          </cell>
        </row>
      </sheetData>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VXXXXX"/>
      <sheetName val="VXXX"/>
      <sheetName val="Sheet2"/>
      <sheetName val="관할법원"/>
      <sheetName val="회차가격율"/>
      <sheetName val="기일"/>
      <sheetName val="낙찰율6"/>
      <sheetName val="경매번호"/>
      <sheetName val="집행비용"/>
      <sheetName val="청구채권Table"/>
      <sheetName val="물건코드"/>
      <sheetName val="Variable"/>
      <sheetName val="경매물건"/>
      <sheetName val="일반채권명세서"/>
      <sheetName val="감가상각"/>
      <sheetName val="확인서"/>
      <sheetName val="편성안2"/>
      <sheetName val="낙찰율2"/>
      <sheetName val="한계원가"/>
      <sheetName val="Benchmarks"/>
      <sheetName val="BRU"/>
      <sheetName val="BRU Lease Report"/>
      <sheetName val="WorldData"/>
      <sheetName val="Dynamic Data"/>
      <sheetName val="Database Data"/>
      <sheetName val="Guest Delight Data"/>
      <sheetName val="HRData"/>
      <sheetName val="KRU Lease Own"/>
      <sheetName val="KRU Store Stats"/>
      <sheetName val="Static Data"/>
      <sheetName val="TRU"/>
      <sheetName val="WageRates"/>
      <sheetName val="danga"/>
      <sheetName val="ilch"/>
      <sheetName val="2004년전체승무원"/>
      <sheetName val="CashFlow(중간집계)"/>
      <sheetName val="LoanList"/>
      <sheetName val="일반경매"/>
      <sheetName val="국내총괄"/>
      <sheetName val="Sheet3"/>
      <sheetName val="Sheet1 (3)"/>
      <sheetName val="공영"/>
      <sheetName val="폐토수익화 "/>
      <sheetName val="F_Assume"/>
      <sheetName val="낙찰율"/>
      <sheetName val="보고서양식"/>
      <sheetName val="보고서양식(값)"/>
      <sheetName val="사급자재"/>
      <sheetName val="Borrower"/>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refreshError="1"/>
      <sheetData sheetId="13"/>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자금수지"/>
      <sheetName val="분양현황"/>
      <sheetName val="수주추진"/>
      <sheetName val="아코텍"/>
      <sheetName val="공사"/>
      <sheetName val="영업"/>
      <sheetName val="서울사업"/>
      <sheetName val="대전사업"/>
      <sheetName val="관리"/>
      <sheetName val="일산"/>
      <sheetName val="관저"/>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
      <sheetName val="NEWDRAW"/>
      <sheetName val="총공사집계"/>
      <sheetName val="원가계산"/>
      <sheetName val="내역서"/>
      <sheetName val="대가집계(1)"/>
      <sheetName val="대가집계"/>
      <sheetName val="일위대가(1)"/>
      <sheetName val="일위대가"/>
      <sheetName val="집계(1)"/>
      <sheetName val="단가산출(1)"/>
      <sheetName val="단가산출"/>
      <sheetName val="중기"/>
      <sheetName val="노임"/>
      <sheetName val="물가"/>
      <sheetName val="단가"/>
      <sheetName val="대가표"/>
      <sheetName val="대가"/>
      <sheetName val="사토정산현황"/>
      <sheetName val="목차"/>
      <sheetName val="간지"/>
      <sheetName val="위치도"/>
      <sheetName val="사유서"/>
      <sheetName val="단가대비표(미첨부)"/>
      <sheetName val="토적표(길명리)"/>
      <sheetName val="사토(토사)"/>
      <sheetName val="사토(리핑)"/>
      <sheetName val="사토(발파)"/>
      <sheetName val="사토(발파) (2)"/>
      <sheetName val="노무비"/>
      <sheetName val="중기비"/>
      <sheetName val="운반거리표"/>
      <sheetName val="자금총괄"/>
      <sheetName val="현장별청구"/>
      <sheetName val="자금집행집계표"/>
      <sheetName val="Sheet1"/>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총괄표"/>
      <sheetName val="현장별집행"/>
      <sheetName val="10월식대(직영)"/>
      <sheetName val="9월철근공"/>
      <sheetName val="10월철근공 "/>
      <sheetName val="9월목공 "/>
      <sheetName val="10월목공 "/>
      <sheetName val="1"/>
      <sheetName val="Sheet3"/>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상가지급현황"/>
      <sheetName val="연결임시"/>
      <sheetName val="공통가설"/>
      <sheetName val="부대대비"/>
      <sheetName val="냉연집계"/>
      <sheetName val="2011년"/>
      <sheetName val="2.대외공문"/>
      <sheetName val="내역서(총)"/>
      <sheetName val="일위대가목차"/>
      <sheetName val="예산M12A"/>
      <sheetName val="BOQ건축"/>
      <sheetName val="코드표"/>
      <sheetName val="beam"/>
      <sheetName val="BOQ"/>
      <sheetName val="Project Brief"/>
      <sheetName val="1-1"/>
      <sheetName val="수량산출서"/>
      <sheetName val="교각1"/>
      <sheetName val="APT내역"/>
      <sheetName val="CONCRETE"/>
      <sheetName val="감가상각"/>
      <sheetName val="2000년1차"/>
      <sheetName val="98지급계획"/>
      <sheetName val="CI_GL Mapping"/>
      <sheetName val="3본사"/>
      <sheetName val="내역"/>
      <sheetName val="CODE"/>
      <sheetName val="소업1교"/>
      <sheetName val="평형공사비"/>
      <sheetName val="운영 비용(Infra)-원가"/>
      <sheetName val="EACT10"/>
      <sheetName val="금액집계"/>
      <sheetName val="노원열병합  건축공사기성내역서"/>
      <sheetName val="점수계산1-2"/>
      <sheetName val="토공"/>
      <sheetName val="001"/>
      <sheetName val="입찰안"/>
      <sheetName val="단가조사서"/>
      <sheetName val="전기"/>
      <sheetName val="9-1차이내역"/>
      <sheetName val="매부산출"/>
      <sheetName val="현관"/>
      <sheetName val="영업.일"/>
      <sheetName val="부하계산서"/>
      <sheetName val="대비"/>
      <sheetName val="2000.05"/>
      <sheetName val="지급자재"/>
      <sheetName val="COPING"/>
      <sheetName val="6호기"/>
      <sheetName val="Total"/>
      <sheetName val="협조전"/>
      <sheetName val="WORKSHOP"/>
      <sheetName val="차수"/>
      <sheetName val="동해title"/>
      <sheetName val="차액보증"/>
      <sheetName val="충주"/>
      <sheetName val="예산M2"/>
      <sheetName val="기성내역서표지"/>
      <sheetName val="예산변경사항"/>
      <sheetName val="실행철강하도"/>
      <sheetName val="CC Down load 0716"/>
      <sheetName val="1.설계조건"/>
      <sheetName val="영업.일1"/>
      <sheetName val="분양금할인"/>
      <sheetName val="hvac(제어동)"/>
      <sheetName val="제출내역 (2)"/>
      <sheetName val="토공계산서(부체도로)"/>
      <sheetName val="coll#"/>
      <sheetName val="재집"/>
      <sheetName val="직재"/>
      <sheetName val="공사비예산서(토목분)"/>
      <sheetName val="Sheet2"/>
      <sheetName val="반포2차"/>
      <sheetName val="경상비내역"/>
      <sheetName val="일반관리비"/>
      <sheetName val="전기일위대가"/>
      <sheetName val="개요"/>
      <sheetName val="총요약서"/>
      <sheetName val="설계조건"/>
      <sheetName val="저"/>
      <sheetName val="B"/>
      <sheetName val="A-8 PD(도로중앙)"/>
      <sheetName val="1월"/>
      <sheetName val="사토(발파)_(2)"/>
      <sheetName val="10월철근공_"/>
      <sheetName val="9월목공_"/>
      <sheetName val="10월목공_"/>
      <sheetName val="공사별_사정분석표-ㅌ"/>
      <sheetName val="2_대외공문"/>
      <sheetName val="Project_Brief"/>
      <sheetName val="CI_GL_Mapping"/>
      <sheetName val="노원열병합__건축공사기성내역서"/>
      <sheetName val="운영_비용(Infra)-원가"/>
      <sheetName val="송라터널총괄"/>
      <sheetName val="type-F"/>
      <sheetName val="설직재-1"/>
      <sheetName val="노임단가"/>
      <sheetName val="정부노임단가"/>
      <sheetName val="경산"/>
      <sheetName val="단가표"/>
      <sheetName val="Macro1 (2)"/>
      <sheetName val="안정계산"/>
      <sheetName val="단면검토"/>
      <sheetName val="인건비"/>
      <sheetName val="정공공사"/>
      <sheetName val="기성내역"/>
      <sheetName val="최초침전지집계표"/>
      <sheetName val="건축원가계산서"/>
      <sheetName val="터파기및재료"/>
      <sheetName val="문서처리전"/>
      <sheetName val="중간부"/>
      <sheetName val="#REF"/>
      <sheetName val="음료실행"/>
      <sheetName val="공종별 집계"/>
      <sheetName val="일위대가표"/>
      <sheetName val="AP1"/>
      <sheetName val="COVER"/>
      <sheetName val="도로"/>
      <sheetName val="수목표준대가"/>
      <sheetName val="유통망계획"/>
      <sheetName val="단"/>
      <sheetName val="PAINT (2)"/>
      <sheetName val="물량표"/>
      <sheetName val="소비자가"/>
      <sheetName val="plan&amp;section of foundation"/>
      <sheetName val="design criteria"/>
      <sheetName val="FOB발"/>
      <sheetName val="보통예금"/>
      <sheetName val="가도공"/>
      <sheetName val="지장물총괄표"/>
      <sheetName val="A-4"/>
      <sheetName val="JUCK"/>
      <sheetName val="견적서"/>
      <sheetName val="원가"/>
      <sheetName val="건축내역"/>
      <sheetName val="EJ"/>
      <sheetName val="Variable"/>
      <sheetName val="실행대비"/>
      <sheetName val="경상직원"/>
      <sheetName val="154TW"/>
      <sheetName val="Assumptions"/>
      <sheetName val="APOD"/>
      <sheetName val="SILICATE"/>
      <sheetName val="WORK"/>
      <sheetName val="말뚝지지력산정"/>
      <sheetName val="ABUT수량-A1"/>
      <sheetName val="wall"/>
      <sheetName val="현장식당(1)"/>
      <sheetName val="cp-e1"/>
      <sheetName val="Y-WORK"/>
      <sheetName val="Calcs"/>
      <sheetName val="Sheet5"/>
      <sheetName val="SG"/>
      <sheetName val="경비_원본"/>
      <sheetName val="용소리교"/>
      <sheetName val="N賃率-職"/>
      <sheetName val="설 계"/>
      <sheetName val="손익분석"/>
      <sheetName val="Area"/>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
      <sheetName val="S대"/>
      <sheetName val="V1대"/>
      <sheetName val="V2대"/>
      <sheetName val="S박"/>
      <sheetName val="V1박"/>
      <sheetName val="V2박"/>
      <sheetName val="S대박"/>
      <sheetName val="V1대박"/>
      <sheetName val="V2대박"/>
      <sheetName val="Sale"/>
      <sheetName val="COG"/>
      <sheetName val="SG"/>
      <sheetName val="WAC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
      <sheetName val="FS_SO"/>
      <sheetName val="FS_SM"/>
      <sheetName val="FS_TOTAL"/>
      <sheetName val="Assumption_국제 곡물시세 "/>
      <sheetName val="Assumption_변수"/>
      <sheetName val="SO Sales "/>
      <sheetName val="COGS, AP"/>
      <sheetName val="Historical COGS"/>
      <sheetName val=" Proforma INV, COGS"/>
      <sheetName val="SM Sales"/>
      <sheetName val="Assp of SM Sale"/>
      <sheetName val="SGA"/>
      <sheetName val="SGA detail"/>
      <sheetName val="FCF_SO"/>
      <sheetName val="FCF_SM"/>
      <sheetName val="FCF_TOTAL"/>
      <sheetName val="Value_SO"/>
      <sheetName val="Value_SM"/>
      <sheetName val="Value_TOTAL"/>
      <sheetName val="WACC"/>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Sheet5"/>
      <sheetName val="한화금융비"/>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9604"/>
      <sheetName val="콘도손익"/>
      <sheetName val="장림"/>
      <sheetName val="장림전제"/>
      <sheetName val="Sheet2"/>
      <sheetName val="Sheet3"/>
      <sheetName val="건축공사"/>
      <sheetName val="은행"/>
      <sheetName val="001"/>
      <sheetName val="Sheet1"/>
      <sheetName val="9604월차"/>
      <sheetName val="소상 &quot;1&quot;"/>
      <sheetName val="BOTM"/>
      <sheetName val="손익"/>
      <sheetName val="현금흐름"/>
      <sheetName val="충주"/>
      <sheetName val="기준및분포(OT)"/>
      <sheetName val="면적"/>
    </sheetNames>
    <sheetDataSet>
      <sheetData sheetId="0" refreshError="1">
        <row r="2">
          <cell r="A2" t="str">
            <v xml:space="preserve">   </v>
          </cell>
          <cell r="G2" t="str">
            <v>수 입 금 액 조 정 표</v>
          </cell>
        </row>
        <row r="3">
          <cell r="N3" t="str">
            <v xml:space="preserve"> </v>
          </cell>
        </row>
        <row r="4">
          <cell r="A4" t="str">
            <v>F/N : 월차결산RE9604.XLS</v>
          </cell>
          <cell r="F4" t="str">
            <v xml:space="preserve"> </v>
          </cell>
          <cell r="T4" t="str">
            <v xml:space="preserve">           1996. 04. 30 현재</v>
          </cell>
        </row>
        <row r="5">
          <cell r="B5" t="str">
            <v xml:space="preserve"> </v>
          </cell>
          <cell r="E5" t="str">
            <v>도   급   액</v>
          </cell>
          <cell r="G5" t="str">
            <v xml:space="preserve"> 원 가 율</v>
          </cell>
          <cell r="I5" t="str">
            <v xml:space="preserve"> </v>
          </cell>
          <cell r="J5" t="str">
            <v>공 사 수 입 금</v>
          </cell>
          <cell r="M5" t="str">
            <v>공    사    비</v>
          </cell>
          <cell r="O5" t="str">
            <v>공 사 미 수 금</v>
          </cell>
          <cell r="P5" t="str">
            <v>공 사 선 수 금</v>
          </cell>
          <cell r="Q5" t="str">
            <v>공 사 수 입 금</v>
          </cell>
          <cell r="R5" t="str">
            <v xml:space="preserve"> </v>
          </cell>
          <cell r="S5" t="str">
            <v>기 성 고  계 상  자 료</v>
          </cell>
        </row>
        <row r="6">
          <cell r="A6" t="str">
            <v>번호</v>
          </cell>
          <cell r="B6" t="str">
            <v>공 사 명</v>
          </cell>
          <cell r="D6" t="str">
            <v xml:space="preserve"> 96 년도 이전    계   약   액</v>
          </cell>
          <cell r="E6" t="str">
            <v xml:space="preserve"> 96 년 도 중     신 규 계 약          </v>
          </cell>
          <cell r="F6" t="str">
            <v>( 합  계 )</v>
          </cell>
          <cell r="G6" t="str">
            <v>통산</v>
          </cell>
          <cell r="H6" t="str">
            <v xml:space="preserve"> 96년중</v>
          </cell>
          <cell r="I6" t="str">
            <v xml:space="preserve"> 96 년 이 전  수입금 계상액</v>
          </cell>
          <cell r="J6" t="str">
            <v xml:space="preserve">  9 6 년 중     계상 한도액</v>
          </cell>
          <cell r="K6" t="str">
            <v>진행율에 의한 96년중 수입금</v>
          </cell>
          <cell r="L6" t="str">
            <v xml:space="preserve"> 96 년 이 전   투  입  액</v>
          </cell>
          <cell r="M6" t="str">
            <v xml:space="preserve"> 9 6 년 중     투  입  액</v>
          </cell>
          <cell r="N6" t="str">
            <v>( 합 계 )</v>
          </cell>
          <cell r="O6" t="str">
            <v>계  상  액    (상 계 액)</v>
          </cell>
          <cell r="P6" t="str">
            <v>상  계  액    (계 상 액)</v>
          </cell>
          <cell r="Q6" t="str">
            <v>계  상  액    (상 계 액)</v>
          </cell>
          <cell r="R6" t="str">
            <v xml:space="preserve">공사비 </v>
          </cell>
          <cell r="S6" t="str">
            <v>공사수입금</v>
          </cell>
          <cell r="T6" t="str">
            <v xml:space="preserve">   공사선수금 </v>
          </cell>
          <cell r="U6" t="str">
            <v>공사미수금</v>
          </cell>
        </row>
        <row r="7">
          <cell r="A7">
            <v>1</v>
          </cell>
          <cell r="B7" t="str">
            <v xml:space="preserve"> 11부두</v>
          </cell>
          <cell r="C7" t="str">
            <v xml:space="preserve"> </v>
          </cell>
        </row>
        <row r="8">
          <cell r="A8">
            <v>2</v>
          </cell>
          <cell r="B8" t="str">
            <v xml:space="preserve"> 59시설</v>
          </cell>
        </row>
        <row r="9">
          <cell r="A9">
            <v>3</v>
          </cell>
          <cell r="B9" t="str">
            <v xml:space="preserve"> 강경우회</v>
          </cell>
        </row>
        <row r="10">
          <cell r="A10">
            <v>4</v>
          </cell>
          <cell r="B10" t="str">
            <v xml:space="preserve"> 고령선로</v>
          </cell>
        </row>
        <row r="11">
          <cell r="A11">
            <v>5</v>
          </cell>
          <cell r="B11" t="str">
            <v xml:space="preserve"> 고속철도</v>
          </cell>
        </row>
        <row r="12">
          <cell r="A12">
            <v>6</v>
          </cell>
          <cell r="B12" t="str">
            <v xml:space="preserve"> 공릉배수</v>
          </cell>
        </row>
        <row r="13">
          <cell r="A13">
            <v>7</v>
          </cell>
          <cell r="B13" t="str">
            <v xml:space="preserve"> 광역상수</v>
          </cell>
        </row>
        <row r="14">
          <cell r="A14">
            <v>8</v>
          </cell>
          <cell r="B14" t="str">
            <v xml:space="preserve"> 구곡택지</v>
          </cell>
        </row>
        <row r="15">
          <cell r="A15">
            <v>9</v>
          </cell>
          <cell r="B15" t="str">
            <v xml:space="preserve"> 군장도로</v>
          </cell>
        </row>
        <row r="16">
          <cell r="A16">
            <v>10</v>
          </cell>
          <cell r="B16" t="str">
            <v xml:space="preserve"> 남동도로</v>
          </cell>
        </row>
        <row r="17">
          <cell r="A17">
            <v>11</v>
          </cell>
          <cell r="B17" t="str">
            <v xml:space="preserve"> 남해고속</v>
          </cell>
        </row>
        <row r="18">
          <cell r="A18">
            <v>12</v>
          </cell>
          <cell r="B18" t="str">
            <v xml:space="preserve"> 당진선로</v>
          </cell>
          <cell r="C18" t="str">
            <v xml:space="preserve"> </v>
          </cell>
        </row>
        <row r="19">
          <cell r="A19">
            <v>13</v>
          </cell>
          <cell r="B19" t="str">
            <v xml:space="preserve"> 대야도로</v>
          </cell>
          <cell r="C19" t="str">
            <v xml:space="preserve"> </v>
          </cell>
        </row>
        <row r="20">
          <cell r="A20">
            <v>14</v>
          </cell>
          <cell r="B20" t="str">
            <v xml:space="preserve"> 대전도로</v>
          </cell>
          <cell r="C20" t="str">
            <v xml:space="preserve"> </v>
          </cell>
        </row>
        <row r="21">
          <cell r="A21">
            <v>15</v>
          </cell>
          <cell r="B21" t="str">
            <v xml:space="preserve"> 분당도로</v>
          </cell>
          <cell r="C21" t="str">
            <v xml:space="preserve"> </v>
          </cell>
        </row>
        <row r="22">
          <cell r="A22">
            <v>16</v>
          </cell>
          <cell r="B22" t="str">
            <v xml:space="preserve"> 분당철도</v>
          </cell>
          <cell r="C22" t="str">
            <v xml:space="preserve"> </v>
          </cell>
        </row>
        <row r="23">
          <cell r="A23">
            <v>17</v>
          </cell>
          <cell r="B23" t="str">
            <v xml:space="preserve"> 삼성소각</v>
          </cell>
        </row>
        <row r="24">
          <cell r="A24">
            <v>18</v>
          </cell>
          <cell r="B24" t="str">
            <v xml:space="preserve"> 상모도로</v>
          </cell>
          <cell r="C24" t="str">
            <v xml:space="preserve"> </v>
          </cell>
        </row>
        <row r="25">
          <cell r="A25">
            <v>19</v>
          </cell>
          <cell r="B25" t="str">
            <v xml:space="preserve"> 서라벌CC</v>
          </cell>
        </row>
        <row r="26">
          <cell r="A26">
            <v>20</v>
          </cell>
          <cell r="B26" t="str">
            <v xml:space="preserve"> 서부도로</v>
          </cell>
          <cell r="C26" t="str">
            <v xml:space="preserve"> </v>
          </cell>
        </row>
        <row r="27">
          <cell r="A27">
            <v>21</v>
          </cell>
          <cell r="B27" t="str">
            <v xml:space="preserve"> 서산개발</v>
          </cell>
        </row>
        <row r="28">
          <cell r="A28">
            <v>22</v>
          </cell>
          <cell r="B28" t="str">
            <v xml:space="preserve"> 서울도로</v>
          </cell>
        </row>
        <row r="29">
          <cell r="A29">
            <v>23</v>
          </cell>
          <cell r="B29" t="str">
            <v xml:space="preserve"> 서해고속</v>
          </cell>
        </row>
        <row r="30">
          <cell r="A30">
            <v>24</v>
          </cell>
          <cell r="B30" t="str">
            <v xml:space="preserve"> 서해도로</v>
          </cell>
        </row>
        <row r="31">
          <cell r="A31">
            <v>25</v>
          </cell>
          <cell r="B31" t="str">
            <v xml:space="preserve"> 순환도로</v>
          </cell>
        </row>
        <row r="32">
          <cell r="A32">
            <v>26</v>
          </cell>
          <cell r="B32" t="str">
            <v xml:space="preserve"> 신공항</v>
          </cell>
        </row>
        <row r="33">
          <cell r="A33">
            <v>27</v>
          </cell>
          <cell r="B33" t="str">
            <v xml:space="preserve"> 영등택지</v>
          </cell>
        </row>
        <row r="34">
          <cell r="A34">
            <v>28</v>
          </cell>
          <cell r="B34" t="str">
            <v xml:space="preserve"> 옥산TL</v>
          </cell>
          <cell r="C34" t="str">
            <v xml:space="preserve"> </v>
          </cell>
        </row>
        <row r="35">
          <cell r="A35">
            <v>29</v>
          </cell>
          <cell r="B35" t="str">
            <v xml:space="preserve"> 옥산도로</v>
          </cell>
        </row>
        <row r="36">
          <cell r="A36">
            <v>30</v>
          </cell>
          <cell r="B36" t="str">
            <v xml:space="preserve"> 외곽도로</v>
          </cell>
        </row>
        <row r="37">
          <cell r="A37">
            <v>31</v>
          </cell>
          <cell r="B37" t="str">
            <v xml:space="preserve"> 용평터널</v>
          </cell>
          <cell r="C37" t="str">
            <v xml:space="preserve"> </v>
          </cell>
        </row>
        <row r="38">
          <cell r="A38">
            <v>32</v>
          </cell>
          <cell r="B38" t="str">
            <v xml:space="preserve"> 유수매립</v>
          </cell>
          <cell r="C38" t="str">
            <v xml:space="preserve"> </v>
          </cell>
        </row>
        <row r="39">
          <cell r="A39">
            <v>33</v>
          </cell>
          <cell r="B39" t="str">
            <v xml:space="preserve"> 육육공단</v>
          </cell>
          <cell r="C39" t="str">
            <v xml:space="preserve"> </v>
          </cell>
        </row>
        <row r="40">
          <cell r="A40">
            <v>34</v>
          </cell>
          <cell r="B40" t="str">
            <v xml:space="preserve"> 이리도로</v>
          </cell>
          <cell r="C40" t="str">
            <v xml:space="preserve"> </v>
          </cell>
        </row>
        <row r="41">
          <cell r="A41">
            <v>35</v>
          </cell>
          <cell r="B41" t="str">
            <v xml:space="preserve"> 이화터널</v>
          </cell>
          <cell r="C41" t="str">
            <v xml:space="preserve"> </v>
          </cell>
        </row>
        <row r="42">
          <cell r="A42">
            <v>36</v>
          </cell>
          <cell r="B42" t="str">
            <v xml:space="preserve"> 정수시설</v>
          </cell>
          <cell r="C42" t="str">
            <v xml:space="preserve"> </v>
          </cell>
        </row>
        <row r="43">
          <cell r="A43">
            <v>37</v>
          </cell>
          <cell r="B43" t="str">
            <v xml:space="preserve"> 정포C.C</v>
          </cell>
          <cell r="C43" t="str">
            <v xml:space="preserve"> </v>
          </cell>
        </row>
        <row r="44">
          <cell r="A44">
            <v>38</v>
          </cell>
          <cell r="B44" t="str">
            <v xml:space="preserve"> 제 2고속</v>
          </cell>
          <cell r="C44" t="str">
            <v xml:space="preserve"> </v>
          </cell>
        </row>
        <row r="45">
          <cell r="A45">
            <v>39</v>
          </cell>
          <cell r="B45" t="str">
            <v xml:space="preserve"> 제7부두</v>
          </cell>
          <cell r="C45" t="str">
            <v xml:space="preserve"> </v>
          </cell>
        </row>
        <row r="46">
          <cell r="A46">
            <v>40</v>
          </cell>
          <cell r="B46" t="str">
            <v xml:space="preserve"> 제천고속</v>
          </cell>
        </row>
        <row r="47">
          <cell r="A47">
            <v>41</v>
          </cell>
          <cell r="B47" t="str">
            <v xml:space="preserve"> 중부도로</v>
          </cell>
          <cell r="C47" t="str">
            <v xml:space="preserve"> </v>
          </cell>
        </row>
        <row r="48">
          <cell r="A48">
            <v>42</v>
          </cell>
          <cell r="B48" t="str">
            <v xml:space="preserve"> 지하5호</v>
          </cell>
        </row>
        <row r="49">
          <cell r="A49">
            <v>43</v>
          </cell>
          <cell r="B49" t="str">
            <v xml:space="preserve"> 창원저수</v>
          </cell>
        </row>
        <row r="50">
          <cell r="A50">
            <v>44</v>
          </cell>
          <cell r="B50" t="str">
            <v xml:space="preserve"> 춘천저류</v>
          </cell>
        </row>
        <row r="51">
          <cell r="A51">
            <v>45</v>
          </cell>
          <cell r="B51" t="str">
            <v xml:space="preserve"> 충주저수</v>
          </cell>
        </row>
        <row r="52">
          <cell r="A52">
            <v>46</v>
          </cell>
          <cell r="B52" t="str">
            <v xml:space="preserve"> 회산교량</v>
          </cell>
        </row>
        <row r="53">
          <cell r="A53">
            <v>47</v>
          </cell>
          <cell r="B53" t="str">
            <v xml:space="preserve"> LNG시설</v>
          </cell>
          <cell r="C53">
            <v>1</v>
          </cell>
        </row>
        <row r="54">
          <cell r="A54">
            <v>48</v>
          </cell>
          <cell r="B54" t="str">
            <v xml:space="preserve"> 남원TL</v>
          </cell>
          <cell r="C54">
            <v>1</v>
          </cell>
        </row>
        <row r="55">
          <cell r="A55">
            <v>49</v>
          </cell>
          <cell r="B55" t="str">
            <v xml:space="preserve"> 식수개발</v>
          </cell>
          <cell r="C55">
            <v>1</v>
          </cell>
        </row>
        <row r="56">
          <cell r="A56">
            <v>50</v>
          </cell>
          <cell r="B56" t="str">
            <v xml:space="preserve"> 중부송유</v>
          </cell>
          <cell r="C56">
            <v>1</v>
          </cell>
        </row>
        <row r="57">
          <cell r="A57" t="str">
            <v xml:space="preserve"> </v>
          </cell>
          <cell r="B57" t="str">
            <v xml:space="preserve"> 토목소계</v>
          </cell>
        </row>
        <row r="58">
          <cell r="A58">
            <v>51</v>
          </cell>
          <cell r="B58" t="str">
            <v xml:space="preserve"> 3M신축</v>
          </cell>
        </row>
        <row r="59">
          <cell r="A59">
            <v>52</v>
          </cell>
          <cell r="B59" t="str">
            <v xml:space="preserve"> B 빌딩</v>
          </cell>
        </row>
        <row r="60">
          <cell r="A60">
            <v>53</v>
          </cell>
          <cell r="B60" t="str">
            <v xml:space="preserve"> KL빌딩</v>
          </cell>
        </row>
        <row r="61">
          <cell r="A61">
            <v>54</v>
          </cell>
          <cell r="B61" t="str">
            <v xml:space="preserve"> OB5공장</v>
          </cell>
          <cell r="C61" t="str">
            <v xml:space="preserve"> </v>
          </cell>
        </row>
        <row r="62">
          <cell r="A62">
            <v>55</v>
          </cell>
          <cell r="B62" t="str">
            <v xml:space="preserve"> OB기숙사</v>
          </cell>
        </row>
        <row r="63">
          <cell r="A63">
            <v>56</v>
          </cell>
          <cell r="B63" t="str">
            <v xml:space="preserve"> PC공장</v>
          </cell>
        </row>
        <row r="64">
          <cell r="A64">
            <v>57</v>
          </cell>
          <cell r="B64" t="str">
            <v xml:space="preserve"> 개발잡96</v>
          </cell>
        </row>
        <row r="65">
          <cell r="A65">
            <v>58</v>
          </cell>
          <cell r="B65" t="str">
            <v xml:space="preserve"> 경월공장</v>
          </cell>
          <cell r="C65" t="str">
            <v xml:space="preserve"> </v>
          </cell>
        </row>
        <row r="66">
          <cell r="A66">
            <v>59</v>
          </cell>
          <cell r="B66" t="str">
            <v xml:space="preserve"> 계산APT</v>
          </cell>
          <cell r="C66" t="str">
            <v xml:space="preserve"> </v>
          </cell>
        </row>
        <row r="67">
          <cell r="A67">
            <v>60</v>
          </cell>
          <cell r="B67" t="str">
            <v xml:space="preserve"> 공구상가</v>
          </cell>
        </row>
        <row r="68">
          <cell r="A68">
            <v>61</v>
          </cell>
          <cell r="B68" t="str">
            <v xml:space="preserve"> 공원시설</v>
          </cell>
        </row>
        <row r="69">
          <cell r="A69">
            <v>62</v>
          </cell>
          <cell r="B69" t="str">
            <v xml:space="preserve"> 광주통신</v>
          </cell>
        </row>
        <row r="70">
          <cell r="A70">
            <v>63</v>
          </cell>
          <cell r="B70" t="str">
            <v xml:space="preserve"> 구로개량</v>
          </cell>
        </row>
        <row r="71">
          <cell r="A71">
            <v>64</v>
          </cell>
          <cell r="B71" t="str">
            <v xml:space="preserve"> 구로복합</v>
          </cell>
        </row>
        <row r="72">
          <cell r="A72">
            <v>65</v>
          </cell>
          <cell r="B72" t="str">
            <v xml:space="preserve"> 남가좌-7</v>
          </cell>
        </row>
        <row r="73">
          <cell r="A73">
            <v>66</v>
          </cell>
          <cell r="B73" t="str">
            <v xml:space="preserve"> 남양APT</v>
          </cell>
          <cell r="C73" t="str">
            <v xml:space="preserve"> </v>
          </cell>
        </row>
        <row r="74">
          <cell r="A74">
            <v>67</v>
          </cell>
          <cell r="B74" t="str">
            <v xml:space="preserve"> 농산신축</v>
          </cell>
          <cell r="C74" t="str">
            <v xml:space="preserve"> </v>
          </cell>
        </row>
        <row r="75">
          <cell r="A75">
            <v>68</v>
          </cell>
          <cell r="B75" t="str">
            <v xml:space="preserve"> 답십리-9</v>
          </cell>
        </row>
        <row r="76">
          <cell r="A76">
            <v>69</v>
          </cell>
          <cell r="B76" t="str">
            <v xml:space="preserve"> 대구복합</v>
          </cell>
        </row>
        <row r="77">
          <cell r="A77">
            <v>70</v>
          </cell>
          <cell r="B77" t="str">
            <v xml:space="preserve"> 덕산호텔</v>
          </cell>
        </row>
        <row r="78">
          <cell r="A78">
            <v>71</v>
          </cell>
          <cell r="B78" t="str">
            <v xml:space="preserve"> 덕소APT</v>
          </cell>
        </row>
        <row r="79">
          <cell r="A79">
            <v>72</v>
          </cell>
          <cell r="B79" t="str">
            <v xml:space="preserve"> 두산타워</v>
          </cell>
          <cell r="C79" t="str">
            <v xml:space="preserve"> </v>
          </cell>
        </row>
        <row r="80">
          <cell r="A80">
            <v>73</v>
          </cell>
          <cell r="B80" t="str">
            <v xml:space="preserve"> 로얄빌딩</v>
          </cell>
        </row>
        <row r="81">
          <cell r="A81">
            <v>74</v>
          </cell>
          <cell r="B81" t="str">
            <v xml:space="preserve"> 미래타워</v>
          </cell>
          <cell r="C81" t="str">
            <v xml:space="preserve"> </v>
          </cell>
        </row>
        <row r="82">
          <cell r="A82">
            <v>75</v>
          </cell>
          <cell r="B82" t="str">
            <v xml:space="preserve"> 민속관</v>
          </cell>
          <cell r="C82" t="str">
            <v xml:space="preserve"> </v>
          </cell>
        </row>
        <row r="83">
          <cell r="A83">
            <v>76</v>
          </cell>
          <cell r="B83" t="str">
            <v xml:space="preserve"> 봉천개량</v>
          </cell>
          <cell r="C83" t="str">
            <v xml:space="preserve"> </v>
          </cell>
        </row>
        <row r="84">
          <cell r="A84">
            <v>77</v>
          </cell>
          <cell r="B84" t="str">
            <v xml:space="preserve"> 산본소각</v>
          </cell>
        </row>
        <row r="85">
          <cell r="A85">
            <v>78</v>
          </cell>
          <cell r="B85" t="str">
            <v xml:space="preserve"> 삼화공장</v>
          </cell>
          <cell r="C85" t="str">
            <v xml:space="preserve"> </v>
          </cell>
        </row>
        <row r="86">
          <cell r="A86">
            <v>79</v>
          </cell>
          <cell r="B86" t="str">
            <v xml:space="preserve"> 서초빌딩</v>
          </cell>
        </row>
        <row r="87">
          <cell r="A87">
            <v>80</v>
          </cell>
          <cell r="B87" t="str">
            <v xml:space="preserve"> 석관APT</v>
          </cell>
          <cell r="C87" t="str">
            <v xml:space="preserve"> </v>
          </cell>
        </row>
        <row r="88">
          <cell r="A88">
            <v>81</v>
          </cell>
          <cell r="B88" t="str">
            <v xml:space="preserve"> 선교센타</v>
          </cell>
        </row>
        <row r="89">
          <cell r="A89">
            <v>82</v>
          </cell>
          <cell r="B89" t="str">
            <v xml:space="preserve"> 성원APT</v>
          </cell>
        </row>
        <row r="90">
          <cell r="A90">
            <v>83</v>
          </cell>
          <cell r="B90" t="str">
            <v xml:space="preserve"> 소암빌딩</v>
          </cell>
        </row>
        <row r="91">
          <cell r="A91">
            <v>84</v>
          </cell>
          <cell r="B91" t="str">
            <v xml:space="preserve"> 신길역사</v>
          </cell>
        </row>
        <row r="92">
          <cell r="A92">
            <v>85</v>
          </cell>
          <cell r="B92" t="str">
            <v xml:space="preserve"> 신도리코</v>
          </cell>
        </row>
        <row r="93">
          <cell r="A93">
            <v>86</v>
          </cell>
          <cell r="B93" t="str">
            <v xml:space="preserve"> 신림복합</v>
          </cell>
        </row>
        <row r="94">
          <cell r="A94">
            <v>87</v>
          </cell>
          <cell r="B94" t="str">
            <v xml:space="preserve"> 신일APT</v>
          </cell>
          <cell r="C94" t="str">
            <v xml:space="preserve"> </v>
          </cell>
        </row>
        <row r="95">
          <cell r="A95">
            <v>88</v>
          </cell>
          <cell r="B95" t="str">
            <v xml:space="preserve"> 신협빌딩</v>
          </cell>
          <cell r="C95" t="str">
            <v xml:space="preserve"> </v>
          </cell>
        </row>
        <row r="96">
          <cell r="A96">
            <v>89</v>
          </cell>
          <cell r="B96" t="str">
            <v xml:space="preserve"> 아주공업</v>
          </cell>
        </row>
        <row r="97">
          <cell r="A97">
            <v>90</v>
          </cell>
          <cell r="B97" t="str">
            <v xml:space="preserve"> 아카데미</v>
          </cell>
        </row>
        <row r="98">
          <cell r="A98">
            <v>91</v>
          </cell>
          <cell r="B98" t="str">
            <v xml:space="preserve"> 아현APT</v>
          </cell>
        </row>
        <row r="99">
          <cell r="A99">
            <v>92</v>
          </cell>
          <cell r="B99" t="str">
            <v xml:space="preserve"> 에덴크럽</v>
          </cell>
        </row>
        <row r="100">
          <cell r="A100">
            <v>93</v>
          </cell>
          <cell r="B100" t="str">
            <v xml:space="preserve"> 역삼빌딩</v>
          </cell>
        </row>
        <row r="101">
          <cell r="A101">
            <v>94</v>
          </cell>
          <cell r="B101" t="str">
            <v xml:space="preserve"> 연강병원</v>
          </cell>
        </row>
        <row r="102">
          <cell r="A102">
            <v>95</v>
          </cell>
          <cell r="B102" t="str">
            <v xml:space="preserve"> 연강빌딩</v>
          </cell>
        </row>
        <row r="103">
          <cell r="A103">
            <v>96</v>
          </cell>
          <cell r="B103" t="str">
            <v xml:space="preserve"> 열병합</v>
          </cell>
          <cell r="C103" t="str">
            <v xml:space="preserve"> </v>
          </cell>
        </row>
        <row r="104">
          <cell r="A104">
            <v>97</v>
          </cell>
          <cell r="B104" t="str">
            <v xml:space="preserve"> 오남APT</v>
          </cell>
        </row>
        <row r="105">
          <cell r="A105">
            <v>98</v>
          </cell>
          <cell r="B105" t="str">
            <v xml:space="preserve"> 오비집진</v>
          </cell>
          <cell r="C105" t="str">
            <v xml:space="preserve"> </v>
          </cell>
        </row>
        <row r="106">
          <cell r="A106">
            <v>99</v>
          </cell>
          <cell r="B106" t="str">
            <v xml:space="preserve"> 옥수복합</v>
          </cell>
          <cell r="C106" t="str">
            <v xml:space="preserve"> </v>
          </cell>
        </row>
        <row r="107">
          <cell r="A107">
            <v>100</v>
          </cell>
          <cell r="B107" t="str">
            <v xml:space="preserve"> 온천타워</v>
          </cell>
        </row>
        <row r="108">
          <cell r="A108">
            <v>101</v>
          </cell>
          <cell r="B108" t="str">
            <v xml:space="preserve"> 웅진인삼</v>
          </cell>
          <cell r="C108" t="str">
            <v xml:space="preserve"> </v>
          </cell>
        </row>
        <row r="109">
          <cell r="A109">
            <v>102</v>
          </cell>
          <cell r="B109" t="str">
            <v xml:space="preserve"> 원동APT</v>
          </cell>
        </row>
        <row r="110">
          <cell r="A110">
            <v>103</v>
          </cell>
          <cell r="B110" t="str">
            <v xml:space="preserve"> 원미APT</v>
          </cell>
          <cell r="C110" t="str">
            <v xml:space="preserve"> </v>
          </cell>
        </row>
        <row r="111">
          <cell r="A111">
            <v>104</v>
          </cell>
          <cell r="B111" t="str">
            <v xml:space="preserve"> 월곡개량</v>
          </cell>
          <cell r="C111" t="str">
            <v xml:space="preserve"> </v>
          </cell>
        </row>
        <row r="112">
          <cell r="A112">
            <v>105</v>
          </cell>
          <cell r="B112" t="str">
            <v xml:space="preserve"> 음성소각</v>
          </cell>
          <cell r="C112" t="str">
            <v xml:space="preserve"> </v>
          </cell>
        </row>
        <row r="113">
          <cell r="A113">
            <v>106</v>
          </cell>
          <cell r="B113" t="str">
            <v xml:space="preserve"> 익산신축</v>
          </cell>
          <cell r="C113" t="str">
            <v xml:space="preserve"> </v>
          </cell>
        </row>
        <row r="114">
          <cell r="A114">
            <v>107</v>
          </cell>
          <cell r="B114" t="str">
            <v xml:space="preserve"> 일산매장</v>
          </cell>
          <cell r="C114" t="str">
            <v xml:space="preserve"> </v>
          </cell>
        </row>
        <row r="115">
          <cell r="A115">
            <v>108</v>
          </cell>
          <cell r="B115" t="str">
            <v xml:space="preserve"> 잠실APT</v>
          </cell>
          <cell r="C115" t="str">
            <v xml:space="preserve"> </v>
          </cell>
        </row>
        <row r="116">
          <cell r="A116">
            <v>109</v>
          </cell>
          <cell r="B116" t="str">
            <v xml:space="preserve"> 잠원APT</v>
          </cell>
          <cell r="C116" t="str">
            <v xml:space="preserve"> </v>
          </cell>
        </row>
        <row r="117">
          <cell r="A117">
            <v>110</v>
          </cell>
          <cell r="B117" t="str">
            <v xml:space="preserve"> 장기신축</v>
          </cell>
          <cell r="C117" t="str">
            <v xml:space="preserve"> </v>
          </cell>
        </row>
        <row r="118">
          <cell r="A118">
            <v>111</v>
          </cell>
          <cell r="B118" t="str">
            <v xml:space="preserve"> 장기은행</v>
          </cell>
        </row>
        <row r="119">
          <cell r="A119">
            <v>112</v>
          </cell>
          <cell r="B119" t="str">
            <v xml:space="preserve"> 장은카드</v>
          </cell>
        </row>
        <row r="120">
          <cell r="A120">
            <v>113</v>
          </cell>
          <cell r="B120" t="str">
            <v xml:space="preserve"> 전자공장</v>
          </cell>
          <cell r="C120" t="str">
            <v xml:space="preserve"> </v>
          </cell>
        </row>
        <row r="121">
          <cell r="A121">
            <v>114</v>
          </cell>
          <cell r="B121" t="str">
            <v xml:space="preserve"> 전자구미</v>
          </cell>
        </row>
        <row r="122">
          <cell r="A122">
            <v>115</v>
          </cell>
          <cell r="B122" t="str">
            <v xml:space="preserve"> 전자신축</v>
          </cell>
          <cell r="C122" t="str">
            <v xml:space="preserve"> </v>
          </cell>
        </row>
        <row r="123">
          <cell r="A123">
            <v>116</v>
          </cell>
          <cell r="B123" t="str">
            <v xml:space="preserve"> 전자연구</v>
          </cell>
        </row>
        <row r="124">
          <cell r="A124">
            <v>117</v>
          </cell>
          <cell r="B124" t="str">
            <v xml:space="preserve"> 정보센타</v>
          </cell>
        </row>
        <row r="125">
          <cell r="A125">
            <v>118</v>
          </cell>
          <cell r="B125" t="str">
            <v xml:space="preserve"> 종합식품</v>
          </cell>
        </row>
        <row r="126">
          <cell r="A126">
            <v>119</v>
          </cell>
          <cell r="B126" t="str">
            <v xml:space="preserve"> 주안APT</v>
          </cell>
          <cell r="C126" t="str">
            <v xml:space="preserve"> </v>
          </cell>
        </row>
        <row r="127">
          <cell r="A127">
            <v>120</v>
          </cell>
          <cell r="B127" t="str">
            <v xml:space="preserve"> 중계상가</v>
          </cell>
        </row>
        <row r="128">
          <cell r="A128">
            <v>121</v>
          </cell>
          <cell r="B128" t="str">
            <v xml:space="preserve"> 진미빌딩</v>
          </cell>
        </row>
        <row r="129">
          <cell r="A129">
            <v>122</v>
          </cell>
          <cell r="B129" t="str">
            <v xml:space="preserve"> 진해증축</v>
          </cell>
        </row>
        <row r="130">
          <cell r="A130">
            <v>123</v>
          </cell>
          <cell r="B130" t="str">
            <v xml:space="preserve"> 천호물류</v>
          </cell>
          <cell r="C130" t="str">
            <v xml:space="preserve"> </v>
          </cell>
        </row>
        <row r="131">
          <cell r="A131">
            <v>124</v>
          </cell>
          <cell r="B131" t="str">
            <v xml:space="preserve"> 천호복합</v>
          </cell>
        </row>
        <row r="132">
          <cell r="A132">
            <v>125</v>
          </cell>
          <cell r="B132" t="str">
            <v xml:space="preserve"> 청담빌라</v>
          </cell>
          <cell r="C132" t="str">
            <v xml:space="preserve"> </v>
          </cell>
        </row>
        <row r="133">
          <cell r="A133">
            <v>126</v>
          </cell>
          <cell r="B133" t="str">
            <v xml:space="preserve"> 청주매장</v>
          </cell>
        </row>
        <row r="134">
          <cell r="A134">
            <v>127</v>
          </cell>
          <cell r="B134" t="str">
            <v xml:space="preserve"> 한국쉐링</v>
          </cell>
          <cell r="C134" t="str">
            <v xml:space="preserve"> </v>
          </cell>
        </row>
        <row r="135">
          <cell r="A135">
            <v>128</v>
          </cell>
          <cell r="B135" t="str">
            <v xml:space="preserve"> 한국콘도</v>
          </cell>
        </row>
        <row r="136">
          <cell r="A136">
            <v>129</v>
          </cell>
          <cell r="B136" t="str">
            <v xml:space="preserve"> 한국통신</v>
          </cell>
        </row>
        <row r="137">
          <cell r="A137">
            <v>130</v>
          </cell>
          <cell r="B137" t="str">
            <v xml:space="preserve"> 해운APT</v>
          </cell>
          <cell r="C137" t="str">
            <v xml:space="preserve"> </v>
          </cell>
        </row>
        <row r="138">
          <cell r="A138">
            <v>131</v>
          </cell>
          <cell r="B138" t="str">
            <v xml:space="preserve"> 행당APT</v>
          </cell>
          <cell r="C138" t="str">
            <v xml:space="preserve"> </v>
          </cell>
        </row>
        <row r="139">
          <cell r="A139">
            <v>132</v>
          </cell>
          <cell r="B139" t="str">
            <v xml:space="preserve"> 홍은APT</v>
          </cell>
        </row>
        <row r="140">
          <cell r="A140">
            <v>133</v>
          </cell>
          <cell r="B140" t="str">
            <v xml:space="preserve"> 로옴증축</v>
          </cell>
          <cell r="C140">
            <v>1</v>
          </cell>
        </row>
        <row r="141">
          <cell r="A141">
            <v>134</v>
          </cell>
          <cell r="B141" t="str">
            <v xml:space="preserve"> 배합사료</v>
          </cell>
          <cell r="C141">
            <v>1</v>
          </cell>
        </row>
        <row r="142">
          <cell r="A142">
            <v>135</v>
          </cell>
          <cell r="B142" t="str">
            <v xml:space="preserve"> 신송복합</v>
          </cell>
          <cell r="C142">
            <v>1</v>
          </cell>
        </row>
        <row r="143">
          <cell r="A143">
            <v>136</v>
          </cell>
          <cell r="B143" t="str">
            <v xml:space="preserve"> 전자사옥</v>
          </cell>
          <cell r="C143">
            <v>1</v>
          </cell>
        </row>
        <row r="144">
          <cell r="A144">
            <v>137</v>
          </cell>
          <cell r="B144" t="str">
            <v xml:space="preserve"> 터미널</v>
          </cell>
          <cell r="C144">
            <v>1</v>
          </cell>
        </row>
        <row r="145">
          <cell r="A145" t="str">
            <v xml:space="preserve"> </v>
          </cell>
          <cell r="B145" t="str">
            <v>건축소계</v>
          </cell>
          <cell r="C145" t="str">
            <v xml:space="preserve"> </v>
          </cell>
        </row>
        <row r="146">
          <cell r="B146" t="str">
            <v>총   계</v>
          </cell>
        </row>
        <row r="147">
          <cell r="A147" t="str">
            <v xml:space="preserve"> </v>
          </cell>
          <cell r="B147" t="str">
            <v xml:space="preserve"> </v>
          </cell>
          <cell r="C147" t="str">
            <v xml:space="preserve"> </v>
          </cell>
        </row>
        <row r="148">
          <cell r="A148" t="str">
            <v xml:space="preserve"> </v>
          </cell>
          <cell r="B148" t="str">
            <v xml:space="preserve"> </v>
          </cell>
          <cell r="C148" t="str">
            <v xml:space="preserve"> </v>
          </cell>
        </row>
        <row r="149">
          <cell r="A149" t="str">
            <v xml:space="preserve"> </v>
          </cell>
          <cell r="B149" t="str">
            <v xml:space="preserve"> </v>
          </cell>
          <cell r="C149" t="str">
            <v xml:space="preserve"> </v>
          </cell>
        </row>
        <row r="150">
          <cell r="A150" t="str">
            <v xml:space="preserve"> </v>
          </cell>
          <cell r="B150" t="str">
            <v xml:space="preserve"> </v>
          </cell>
          <cell r="C150" t="str">
            <v xml:space="preserve"> </v>
          </cell>
        </row>
        <row r="151">
          <cell r="A151" t="str">
            <v xml:space="preserve"> </v>
          </cell>
          <cell r="B151" t="str">
            <v xml:space="preserve"> </v>
          </cell>
          <cell r="C151" t="str">
            <v xml:space="preserve"> </v>
          </cell>
        </row>
        <row r="152">
          <cell r="A152" t="str">
            <v xml:space="preserve"> </v>
          </cell>
          <cell r="B152" t="str">
            <v xml:space="preserve"> </v>
          </cell>
          <cell r="C152" t="str">
            <v xml:space="preserve"> </v>
          </cell>
        </row>
        <row r="153">
          <cell r="A153" t="str">
            <v xml:space="preserve"> </v>
          </cell>
          <cell r="B153" t="str">
            <v xml:space="preserve"> </v>
          </cell>
          <cell r="C153" t="str">
            <v xml:space="preserve"> </v>
          </cell>
        </row>
        <row r="154">
          <cell r="A154" t="str">
            <v xml:space="preserve"> </v>
          </cell>
          <cell r="B154" t="str">
            <v xml:space="preserve"> </v>
          </cell>
          <cell r="C154" t="str">
            <v xml:space="preserve"> </v>
          </cell>
        </row>
        <row r="155">
          <cell r="A155" t="str">
            <v xml:space="preserve"> </v>
          </cell>
          <cell r="B155" t="str">
            <v xml:space="preserve"> </v>
          </cell>
          <cell r="C155" t="str">
            <v xml:space="preserve"> </v>
          </cell>
        </row>
        <row r="156">
          <cell r="A156" t="str">
            <v xml:space="preserve"> </v>
          </cell>
          <cell r="B156" t="str">
            <v xml:space="preserve"> </v>
          </cell>
          <cell r="C156" t="str">
            <v xml:space="preserve"> </v>
          </cell>
        </row>
        <row r="157">
          <cell r="A157" t="str">
            <v xml:space="preserve"> </v>
          </cell>
          <cell r="B157" t="str">
            <v xml:space="preserve"> </v>
          </cell>
          <cell r="C157" t="str">
            <v xml:space="preserve"> </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인회계사확인서"/>
      <sheetName val="&lt;양식24&gt;"/>
      <sheetName val="&lt;양식25&gt;"/>
      <sheetName val="&lt;양식26&gt;"/>
      <sheetName val="&lt;양식27&gt;"/>
      <sheetName val="&lt;양식28&gt;"/>
      <sheetName val="&lt;양식29&gt;"/>
      <sheetName val="&lt;양식30&gt;"/>
      <sheetName val="&lt;양식31&gt;"/>
      <sheetName val="민감도분석"/>
      <sheetName val="수익률산정"/>
      <sheetName val="가격배점산정"/>
      <sheetName val="분석결과정리"/>
      <sheetName val="총괄표"/>
      <sheetName val="재무가정"/>
      <sheetName val="물가지수"/>
      <sheetName val="사업비 명세"/>
      <sheetName val="총사업비(Q)"/>
      <sheetName val="총사업비(Y)"/>
      <sheetName val="총투자비(Q)"/>
      <sheetName val="총투자비(Y)"/>
      <sheetName val="재원조달(Q)"/>
      <sheetName val="재원조달(Y)"/>
      <sheetName val="재원상환(Q)"/>
      <sheetName val="재원상환(Y)"/>
      <sheetName val="정부지급금"/>
      <sheetName val="시설임대료"/>
      <sheetName val="운영비용"/>
      <sheetName val="개업비산정"/>
      <sheetName val="법인운영비"/>
      <sheetName val="유지관리비"/>
      <sheetName val="추정BS"/>
      <sheetName val="BS계정별내역"/>
      <sheetName val="추정IS"/>
      <sheetName val="IS계정별내역"/>
      <sheetName val="추정CF"/>
      <sheetName val="연도별FS"/>
      <sheetName val="매크로"/>
      <sheetName val="2권 PQ"/>
      <sheetName val="사업계획서(4권 A4)"/>
      <sheetName val="사업계획서(4권 A3)"/>
      <sheetName val="부속_총사업비세부"/>
      <sheetName val="부속_지수세부"/>
      <sheetName val="부속_재원조달"/>
      <sheetName val="부속_추정재무제표 세부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4">
          <cell r="J4" t="str">
            <v>홍천군 하수관거정비 임대형 민자사업</v>
          </cell>
        </row>
      </sheetData>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43">
          <cell r="F43">
            <v>2</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RE9604"/>
    </sheetNames>
    <sheetDataSet>
      <sheetData sheetId="0"/>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담보"/>
      <sheetName val="환율"/>
      <sheetName val="Sheet1"/>
      <sheetName val="경매물건"/>
      <sheetName val="KUNGDEVI"/>
      <sheetName val="variable"/>
      <sheetName val="Variables"/>
      <sheetName val="개요"/>
      <sheetName val="변경실행(2차) "/>
      <sheetName val="환율 및 참고"/>
      <sheetName val="한빛2차수정cash"/>
      <sheetName val="ttt"/>
      <sheetName val="청"/>
      <sheetName val="2.대외공문"/>
      <sheetName val="RE9604"/>
      <sheetName val="HG"/>
      <sheetName val="pre-anal대차대조표"/>
      <sheetName val="별제권_정리담보권1"/>
      <sheetName val="민감도"/>
      <sheetName val="Rent Roll"/>
      <sheetName val="지분법(지분수정전)"/>
      <sheetName val="관계회사거래내역및 채권채무잔액 99"/>
      <sheetName val="평가보고서"/>
      <sheetName val="대치판정"/>
    </sheetNames>
    <sheetDataSet>
      <sheetData sheetId="0" refreshError="1"/>
      <sheetData sheetId="1" refreshError="1"/>
      <sheetData sheetId="2" refreshError="1">
        <row r="1">
          <cell r="B1">
            <v>1115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수목데이타"/>
      <sheetName val="AS포장복구 "/>
      <sheetName val="炷舅?XLS"/>
      <sheetName val="ls"/>
      <sheetName val="토공사"/>
      <sheetName val="소일위대가코드표"/>
      <sheetName val="간접"/>
      <sheetName val="품셈집계표"/>
      <sheetName val="자재조사표(참고용)"/>
      <sheetName val="일반부표집계표"/>
      <sheetName val="수목일위"/>
      <sheetName val=""/>
      <sheetName val="2000.11월설계내역"/>
      <sheetName val="수목표준대가"/>
      <sheetName val="건축2"/>
      <sheetName val="표지 (2)"/>
      <sheetName val="원가계산"/>
      <sheetName val="6호기"/>
      <sheetName val="Customer Databas"/>
      <sheetName val="Sheet1"/>
      <sheetName val="품셈TABLE"/>
      <sheetName val="공종단가"/>
      <sheetName val="참고"/>
      <sheetName val="공사개요"/>
      <sheetName val="기타 정보통신공사"/>
      <sheetName val="장비별표(오거보링)(Ø400)(12M)"/>
      <sheetName val="단가대비표"/>
      <sheetName val="䈘목(중국단풍-)"/>
      <sheetName val="갑  지"/>
      <sheetName val="접속도로1"/>
      <sheetName val="평가데이터"/>
      <sheetName val="unit 4"/>
      <sheetName val="1"/>
      <sheetName val="2"/>
      <sheetName val="3"/>
      <sheetName val="4"/>
      <sheetName val="5"/>
      <sheetName val="시설물일위"/>
      <sheetName val="가설공사"/>
      <sheetName val="단가결정"/>
      <sheetName val="내역아"/>
      <sheetName val="울타리"/>
      <sheetName val="화재 탐지 설비"/>
      <sheetName val="설명"/>
      <sheetName val="노임단가"/>
      <sheetName val="단가조사"/>
      <sheetName val="Total"/>
      <sheetName val="가설공사비"/>
      <sheetName val="도로구조공사비"/>
      <sheetName val="도로토공공사비"/>
      <sheetName val="여수토공사비"/>
      <sheetName val="수량산출서"/>
      <sheetName val="문학간접"/>
      <sheetName val="전익자재"/>
      <sheetName val="횡배수관재료-"/>
      <sheetName val="계산서(직선부)"/>
      <sheetName val="포장재료집계표"/>
      <sheetName val="콘크리트측구연장"/>
      <sheetName val="포장공"/>
      <sheetName val="-몰탈콘크리트"/>
      <sheetName val="-배수구조물공토공"/>
      <sheetName val="기초일위"/>
      <sheetName val="시설일위"/>
      <sheetName val="조명일위"/>
      <sheetName val="원내역"/>
      <sheetName val="직재"/>
      <sheetName val="재집"/>
      <sheetName val="일위대가(가설)"/>
      <sheetName val="골조시행"/>
      <sheetName val="간선계산"/>
      <sheetName val="1차증가원가계산"/>
      <sheetName val="일위대가"/>
      <sheetName val="노무,재료"/>
      <sheetName val="교사기준면적(초등)"/>
      <sheetName val="금액"/>
      <sheetName val="자재단가조사표-수목"/>
      <sheetName val="전체"/>
      <sheetName val="data"/>
      <sheetName val="직접경비"/>
      <sheetName val="직접인건비"/>
      <sheetName val="데리네이타현황"/>
      <sheetName val="건축-물가변동"/>
      <sheetName val="현장관리비"/>
      <sheetName val="내역"/>
      <sheetName val="#REF"/>
      <sheetName val="견적시담(송포2공구)"/>
      <sheetName val="총괄내역"/>
      <sheetName val="노임이"/>
      <sheetName val="이름표지정"/>
      <sheetName val="Sheet2"/>
      <sheetName val="철근총괄집계표"/>
      <sheetName val="집수정(600-700)"/>
      <sheetName val="토사(PE)"/>
      <sheetName val="DATE"/>
      <sheetName val="Sheet3"/>
      <sheetName val="터파기및재료"/>
      <sheetName val="빗물받이(910-510-410)"/>
      <sheetName val="우수"/>
      <sheetName val="Sheet1 (2)"/>
      <sheetName val="단가 및 재료비"/>
      <sheetName val="단가산출2"/>
      <sheetName val="준검 내역서"/>
      <sheetName val="9811"/>
      <sheetName val="금액내역서"/>
      <sheetName val="공종목록표"/>
      <sheetName val="기본단가표"/>
      <sheetName val="시멘트"/>
      <sheetName val="49"/>
      <sheetName val="2000년1차"/>
      <sheetName val="2000전체분"/>
      <sheetName val="개인"/>
      <sheetName val="단가산출1"/>
      <sheetName val="금융비용"/>
      <sheetName val="9509"/>
      <sheetName val="EACT10"/>
      <sheetName val="남양내역"/>
      <sheetName val="Sheet4"/>
      <sheetName val="토목주소"/>
      <sheetName val="공사비예산서(토목분)"/>
      <sheetName val="별표집계"/>
      <sheetName val="수목단가"/>
      <sheetName val="식재수량표"/>
      <sheetName val="식재일위"/>
      <sheetName val="철콘"/>
      <sheetName val="단가"/>
      <sheetName val="횡배수관토공수량"/>
      <sheetName val="품셈"/>
      <sheetName val="총괄내역서"/>
      <sheetName val="공종별원가계산"/>
      <sheetName val="가감수량"/>
      <sheetName val="맨홀수량산출"/>
      <sheetName val="단가산출"/>
      <sheetName val="토공산출(주차장)"/>
      <sheetName val="현장관리"/>
      <sheetName val="공통가설"/>
      <sheetName val="매입"/>
      <sheetName val="토공산출 (아파트)"/>
      <sheetName val="DANGA"/>
      <sheetName val="대가표(품셈)"/>
      <sheetName val="자재단가"/>
      <sheetName val="년도별시공"/>
      <sheetName val="조명시설"/>
      <sheetName val="1.설계조건"/>
      <sheetName val="2공구산출내역"/>
      <sheetName val="노임(1차)"/>
      <sheetName val="총괄표"/>
      <sheetName val="시설수량표"/>
      <sheetName val="일위대가-1"/>
      <sheetName val="개소별수량산출"/>
      <sheetName val="123"/>
      <sheetName val="INPUT"/>
      <sheetName val="10공구일위"/>
      <sheetName val="A"/>
      <sheetName val="간접비"/>
      <sheetName val="평가내역"/>
      <sheetName val="전기"/>
      <sheetName val="연습"/>
      <sheetName val="전주2本1"/>
      <sheetName val="Mc1"/>
      <sheetName val="기초자료입력"/>
      <sheetName val="GAS"/>
      <sheetName val="비목군분류일위"/>
      <sheetName val="중기사용료산출근거"/>
      <sheetName val="입찰"/>
      <sheetName val="현경"/>
      <sheetName val="기계경비적용기준"/>
      <sheetName val="전기혼잡제경비(45)"/>
      <sheetName val="현장"/>
      <sheetName val="일위대가목차"/>
      <sheetName val="부하계산서"/>
      <sheetName val="ABUT수량-A1"/>
      <sheetName val="파일의이용"/>
      <sheetName val="일위목록"/>
      <sheetName val="예가표"/>
      <sheetName val="세부내역"/>
      <sheetName val="DT"/>
      <sheetName val="롤러"/>
      <sheetName val="펌프차타설"/>
      <sheetName val="배수내역"/>
      <sheetName val="참조"/>
      <sheetName val="공구원가계산"/>
      <sheetName val="약품설비"/>
      <sheetName val="기기리스트"/>
      <sheetName val="일위집계표"/>
      <sheetName val="총괄표1"/>
      <sheetName val="Ⅶ-2.현장경비산출"/>
      <sheetName val="산출내역서집계표"/>
      <sheetName val="DC-O-4-S(설명서)"/>
      <sheetName val="수량산출"/>
      <sheetName val="정렬"/>
      <sheetName val="삭제금지단가"/>
      <sheetName val="설계서"/>
      <sheetName val="물가자료"/>
      <sheetName val="BID"/>
      <sheetName val="5 일위목록"/>
      <sheetName val="7 단가조사"/>
      <sheetName val="6 일위대가"/>
      <sheetName val="DB@Acess"/>
      <sheetName val="Civil"/>
      <sheetName val="자재 집계표"/>
      <sheetName val="말고개터널조명전압강하"/>
      <sheetName val="예산명세서"/>
      <sheetName val="설계명세서"/>
      <sheetName val="자료입력"/>
      <sheetName val="E.P.T수량산출서"/>
      <sheetName val="내역(APT)"/>
      <sheetName val="기계설비-물가변동"/>
      <sheetName val="산출근거"/>
      <sheetName val="교육종류"/>
      <sheetName val="단가표 (2)"/>
      <sheetName val="간지"/>
      <sheetName val="배수공"/>
      <sheetName val="공내역"/>
      <sheetName val="설계가"/>
      <sheetName val="준공정산"/>
      <sheetName val="골조대비내역"/>
      <sheetName val="合成単価作成表-BLDG"/>
      <sheetName val="실행간접비용"/>
      <sheetName val="사급자재"/>
      <sheetName val="조건"/>
      <sheetName val="참조M"/>
      <sheetName val="시설물기초"/>
      <sheetName val="2.대외공문"/>
      <sheetName val="에너지동"/>
      <sheetName val="계수시트"/>
      <sheetName val="상 부"/>
      <sheetName val="관공일위대가"/>
      <sheetName val="경산"/>
      <sheetName val="수안보-MBR1"/>
      <sheetName val="일위"/>
      <sheetName val="기성청구"/>
      <sheetName val="지급자재"/>
      <sheetName val="3.바닥판  "/>
      <sheetName val="카렌스센터계량기설치공사"/>
      <sheetName val="평교-내역"/>
      <sheetName val="1차 내역서"/>
      <sheetName val="공사기본내용입력"/>
      <sheetName val="공통"/>
      <sheetName val="공사요율산출표"/>
      <sheetName val="공사별 가중치 산출근거(토목)"/>
      <sheetName val="가중치근거(조경)"/>
      <sheetName val="견적"/>
      <sheetName val="부하계산"/>
      <sheetName val="견적율"/>
      <sheetName val="토공수량"/>
      <sheetName val="입력자료"/>
      <sheetName val="자료"/>
      <sheetName val="간선"/>
      <sheetName val="전압"/>
      <sheetName val="조도"/>
      <sheetName val="동력"/>
      <sheetName val="기초자료"/>
      <sheetName val="식재"/>
      <sheetName val="시설물"/>
      <sheetName val="식재출력용"/>
      <sheetName val="유지관리"/>
      <sheetName val="가도공"/>
      <sheetName val="부대공Ⅱ"/>
      <sheetName val="동해title"/>
      <sheetName val="설계내역일위"/>
      <sheetName val="현관"/>
      <sheetName val="인원"/>
      <sheetName val="날개벽(좌,우=60도-4개)"/>
      <sheetName val="밸브설치"/>
      <sheetName val="일반부표"/>
      <sheetName val="운동장 (2)"/>
      <sheetName val="JUCKEYK"/>
      <sheetName val="단위단가"/>
      <sheetName val="충주"/>
      <sheetName val="입찰안"/>
      <sheetName val="귀래 설계 공내역서"/>
      <sheetName val="정화조방수미장"/>
      <sheetName val="중기일위대가"/>
      <sheetName val="MOTOR"/>
      <sheetName val="조명율표"/>
      <sheetName val="설계예산서"/>
      <sheetName val="코드"/>
      <sheetName val="D&amp;P특기사항"/>
      <sheetName val="금융"/>
      <sheetName val="시공"/>
      <sheetName val="평형별수량표"/>
      <sheetName val="가설개략"/>
      <sheetName val="을지"/>
      <sheetName val="평당"/>
      <sheetName val="매입세"/>
      <sheetName val="창호"/>
      <sheetName val="설계내역서"/>
      <sheetName val="3.공통공사대비"/>
      <sheetName val="전차선로 물량표"/>
      <sheetName val="한강운반비"/>
      <sheetName val="자재"/>
      <sheetName val="공통(20-91)"/>
      <sheetName val="토공집계"/>
      <sheetName val="설계내역"/>
      <sheetName val="설계내"/>
      <sheetName val="SG"/>
      <sheetName val="공통비총괄표"/>
      <sheetName val="제수"/>
      <sheetName val="공기"/>
      <sheetName val="지주목시비량산출서"/>
      <sheetName val="내역서01"/>
      <sheetName val="전선 및 전선관"/>
      <sheetName val="BH"/>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예산갑지"/>
      <sheetName val="지수"/>
      <sheetName val="대치판정"/>
      <sheetName val="GAS저장소"/>
      <sheetName val="라인마킹"/>
      <sheetName val="위험물저장소"/>
      <sheetName val="일반창고동"/>
      <sheetName val="1안"/>
      <sheetName val="공종집계"/>
      <sheetName val="내역서2안"/>
      <sheetName val="주요항목별"/>
      <sheetName val="인건비"/>
      <sheetName val="03하반기내역서"/>
      <sheetName val="04상반기"/>
      <sheetName val="약품공급2"/>
      <sheetName val="공작물조직표(용배수)"/>
      <sheetName val="단가비교"/>
      <sheetName val="JUCK"/>
      <sheetName val="11월"/>
      <sheetName val="잡비"/>
      <sheetName val="퍼스트"/>
      <sheetName val="EQT-ESTN"/>
      <sheetName val="부대공1(65-77,93-95)"/>
      <sheetName val="부대공2(78-"/>
      <sheetName val="배수및구조물공1"/>
      <sheetName val="구조물토공"/>
      <sheetName val="토공2(11~19)"/>
      <sheetName val="배수및구조물공2"/>
      <sheetName val="토공1(1~10,92)"/>
      <sheetName val="토공3(20~31)"/>
      <sheetName val="설명서"/>
      <sheetName val="예정공정표"/>
      <sheetName val="표지1"/>
      <sheetName val="구조물공1(51~56)"/>
      <sheetName val="수량집계표"/>
      <sheetName val="공종별수량집계"/>
      <sheetName val="근거(기밀댐퍼)"/>
      <sheetName val="부하(성남)"/>
      <sheetName val="소야공정계획표"/>
      <sheetName val="노무비단가"/>
      <sheetName val="정부노임단가"/>
      <sheetName val="설계"/>
      <sheetName val="가스(내역)"/>
      <sheetName val="공정코드"/>
      <sheetName val="1호인버트수량"/>
      <sheetName val="석축설면"/>
      <sheetName val="법면단"/>
      <sheetName val="설계조건"/>
      <sheetName val="안정계산"/>
      <sheetName val="단면검토"/>
      <sheetName val="적용기준"/>
      <sheetName val=" 견적서"/>
      <sheetName val="EQUIP-H"/>
      <sheetName val="참조(2)"/>
      <sheetName val="1차_내역서"/>
      <sheetName val="가로등"/>
      <sheetName val="6PILE  (돌출)"/>
      <sheetName val="SCHE"/>
      <sheetName val="기초1"/>
      <sheetName val="총괄"/>
      <sheetName val="동력부하계산"/>
      <sheetName val="Y-WORK"/>
      <sheetName val="cable-data"/>
      <sheetName val="List"/>
      <sheetName val="10"/>
      <sheetName val="11"/>
      <sheetName val="6"/>
      <sheetName val="7"/>
      <sheetName val="8"/>
      <sheetName val="9"/>
      <sheetName val="개요"/>
      <sheetName val="수량"/>
      <sheetName val="발생토"/>
      <sheetName val="천방교접속"/>
      <sheetName val="건축(을)"/>
      <sheetName val="炷舅_XLS_데이타'!$E$124"/>
      <sheetName val="ls_노임"/>
      <sheetName val="炷舅_XLS"/>
      <sheetName val="가격비"/>
      <sheetName val="을"/>
      <sheetName val="품셈표"/>
      <sheetName val="계산내역(설비)"/>
      <sheetName val="4-10"/>
      <sheetName val="제잡비"/>
      <sheetName val="토집"/>
      <sheetName val="건축내역서"/>
      <sheetName val="설비내역서"/>
      <sheetName val="전기내역서"/>
      <sheetName val="별표 "/>
      <sheetName val="공사비집계표"/>
      <sheetName val="시추주상도"/>
      <sheetName val="22인공"/>
      <sheetName val="JOIN(2span)"/>
      <sheetName val="바닥판"/>
      <sheetName val="주빔의 설계"/>
      <sheetName val="철근량산정및사용성검토"/>
      <sheetName val="입력DATA"/>
      <sheetName val="노무비"/>
      <sheetName val="계약내역서(을지)"/>
      <sheetName val="주관사업"/>
      <sheetName val="자단"/>
      <sheetName val="인공산출"/>
      <sheetName val="PW3"/>
      <sheetName val="PW4"/>
      <sheetName val="SC1"/>
      <sheetName val="PE"/>
      <sheetName val="PM"/>
      <sheetName val="TR"/>
      <sheetName val="WORK"/>
      <sheetName val="사전공사"/>
      <sheetName val="부안일위"/>
      <sheetName val="위치조서"/>
      <sheetName val="과세내역(세부)"/>
      <sheetName val="토공집계표"/>
      <sheetName val="날개벽수량표"/>
      <sheetName val="bearing"/>
      <sheetName val="단가표_(2)"/>
      <sheetName val="투찰금액"/>
      <sheetName val="가스내역"/>
      <sheetName val="가격조사서"/>
      <sheetName val="부대내역"/>
      <sheetName val="제잡비집계"/>
      <sheetName val="가설건물"/>
      <sheetName val="70%"/>
      <sheetName val="ITEM"/>
      <sheetName val="터널조도"/>
      <sheetName val="담장산출"/>
      <sheetName val="설계예시"/>
      <sheetName val="기성내역"/>
      <sheetName val="환율표"/>
      <sheetName val="자판실행"/>
      <sheetName val="가설"/>
      <sheetName val="구조포설"/>
      <sheetName val="복구"/>
      <sheetName val="부대"/>
      <sheetName val="부호표"/>
      <sheetName val="토공"/>
      <sheetName val="절감계산"/>
      <sheetName val="01"/>
      <sheetName val="토목"/>
      <sheetName val="Sheet6"/>
      <sheetName val="실행철강하도"/>
      <sheetName val="우배수"/>
      <sheetName val="원형맨홀수량"/>
      <sheetName val="수로단위수량"/>
      <sheetName val="EJ"/>
      <sheetName val="각종단가"/>
      <sheetName val="노 무 비"/>
      <sheetName val="중기사용료"/>
      <sheetName val="하수급견적대비"/>
      <sheetName val="월별"/>
      <sheetName val="전기일위대가"/>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이름정의"/>
      <sheetName val="초기화면"/>
      <sheetName val="기계실 D200"/>
      <sheetName val="관리,공감"/>
      <sheetName val="말뚝지지력산정"/>
      <sheetName val="수량계산서 집계표(가설 신설 및 철거-을지로3가 3호선)"/>
      <sheetName val="수량계산서 집계표(신설-을지로3가 3호선)"/>
      <sheetName val="수량계산서 집계표(철거-을지로3가 3호선)"/>
      <sheetName val="전기공사"/>
      <sheetName val="도급예산내역서봉투"/>
      <sheetName val="공사원가계산서"/>
      <sheetName val="설계산출표지"/>
      <sheetName val="도급예산내역서총괄표"/>
      <sheetName val="을부담운반비"/>
      <sheetName val="운반비산출"/>
      <sheetName val="가감수량(2호)"/>
      <sheetName val="맨홀수량산출(2호)"/>
      <sheetName val="9GNG운반"/>
      <sheetName val="전계가"/>
      <sheetName val="PAINT"/>
      <sheetName val="G.R300경비"/>
      <sheetName val="일위대가목록"/>
      <sheetName val="교대시점"/>
      <sheetName val="단목"/>
      <sheetName val="토목수량"/>
      <sheetName val="원가"/>
      <sheetName val="와동25-3(변경)"/>
      <sheetName val="FB25JN"/>
      <sheetName val="3차준공"/>
      <sheetName val="MAIN"/>
      <sheetName val="단면가정"/>
      <sheetName val="N賃率-職"/>
      <sheetName val="기성2"/>
      <sheetName val="견적서"/>
      <sheetName val="진주방향"/>
      <sheetName val="수목데이타 "/>
      <sheetName val="당초내역서"/>
      <sheetName val="영창26"/>
      <sheetName val="무시"/>
      <sheetName val="소요자재"/>
      <sheetName val="노무산출서"/>
      <sheetName val="Sheet13"/>
      <sheetName val="발전기"/>
      <sheetName val="Sheet14"/>
      <sheetName val="타견적(을)"/>
      <sheetName val="부시수량"/>
      <sheetName val="영업.일1"/>
      <sheetName val="신규품셈목차"/>
      <sheetName val="시중노임단가"/>
      <sheetName val="현장관리비 산출내역"/>
      <sheetName val="재료단가"/>
      <sheetName val="TEL"/>
      <sheetName val="실행"/>
      <sheetName val="신표지1"/>
      <sheetName val="배수판"/>
      <sheetName val="1공구내역서(1)"/>
      <sheetName val="참고자료"/>
      <sheetName val="7단가"/>
      <sheetName val="원형1호맨홀토공수량"/>
      <sheetName val="邅☳"/>
      <sheetName val="인사자료총집계"/>
      <sheetName val="공사발의서"/>
      <sheetName val="S0"/>
      <sheetName val="3.하중산정4.지지력"/>
      <sheetName val="연돌일위집계"/>
      <sheetName val="토공실행"/>
      <sheetName val="간선토공재집"/>
      <sheetName val="지선토공재집"/>
      <sheetName val="우수공"/>
      <sheetName val="구조물철거타공정이월"/>
      <sheetName val="1.가설"/>
      <sheetName val="4.목공사"/>
      <sheetName val="덕소내역"/>
      <sheetName val="현장조사"/>
      <sheetName val="요약&amp;결과"/>
      <sheetName val="기준액"/>
      <sheetName val="2호맨홀공제수량"/>
      <sheetName val="인부신상자료"/>
      <sheetName val="직접공사비집계표_7"/>
      <sheetName val="공통가설_8"/>
      <sheetName val="기타시설"/>
      <sheetName val="아파트_9"/>
      <sheetName val="주민복지관"/>
      <sheetName val="지하주차장"/>
      <sheetName val="기성내역서표지"/>
      <sheetName val="횡배수관수량집계"/>
      <sheetName val="증감내역서"/>
      <sheetName val="횡배수관기초"/>
      <sheetName val="sub"/>
      <sheetName val="식재일위대가"/>
      <sheetName val="CC16-내역서"/>
      <sheetName val="COVER"/>
      <sheetName val="단위수량"/>
      <sheetName val="기초공"/>
      <sheetName val="기둥(원형)"/>
      <sheetName val="단가입력창"/>
      <sheetName val="공종단가표 "/>
      <sheetName val="설계변경조서"/>
      <sheetName val="대공종"/>
      <sheetName val="수량집계"/>
      <sheetName val="A-4"/>
      <sheetName val="설계기준"/>
      <sheetName val="2.2.10.샤시등"/>
      <sheetName val="내역1"/>
      <sheetName val="목차 "/>
      <sheetName val="계획서"/>
      <sheetName val="연장"/>
      <sheetName val="위치도(점용허가용)"/>
      <sheetName val="신청서"/>
      <sheetName val="기계경비일람"/>
      <sheetName val="예정(3)"/>
      <sheetName val="GAEYO"/>
      <sheetName val="TB-내역서"/>
      <sheetName val="성곽내역서"/>
      <sheetName val="전등설비"/>
      <sheetName val="통합내역"/>
      <sheetName val="재정비직인"/>
      <sheetName val="공사비산출내역"/>
      <sheetName val="98지급계획"/>
      <sheetName val="결재갑지"/>
      <sheetName val="잡철물"/>
      <sheetName val="신우"/>
      <sheetName val="차수"/>
      <sheetName val="경상비"/>
      <sheetName val="LF자재단가"/>
      <sheetName val="결재판(삭제하지말아주세요)"/>
      <sheetName val="O＆P"/>
      <sheetName val="일위_파일"/>
      <sheetName val="3BL공동구 수량"/>
      <sheetName val="Cost bd-&quot;A&quot;"/>
      <sheetName val="교각1"/>
      <sheetName val="HVAC"/>
      <sheetName val="철거산출근거"/>
      <sheetName val="2000,9월 일위"/>
      <sheetName val="공사원가"/>
      <sheetName val="우각부보강"/>
      <sheetName val="안정검토(온1)"/>
      <sheetName val="ENTRY"/>
      <sheetName val="자"/>
      <sheetName val="노"/>
      <sheetName val="익월작업계힉"/>
      <sheetName val="가격"/>
      <sheetName val="투자효율분석"/>
      <sheetName val="오억미만"/>
      <sheetName val="Ȁ_x0004_夁瓅"/>
      <sheetName val="설계내역서 "/>
      <sheetName val="1단계"/>
      <sheetName val="소비자가"/>
      <sheetName val="시화점실행"/>
      <sheetName val="내역서(기성청구)"/>
      <sheetName val="Front"/>
      <sheetName val="wall"/>
      <sheetName val="품의서(0217)"/>
      <sheetName val="실행(표지,갑,을)"/>
      <sheetName val="-배수구조물⳵토공"/>
      <sheetName val="경비"/>
      <sheetName val="I一般比"/>
      <sheetName val="자재표"/>
      <sheetName val="기구조직"/>
      <sheetName val="포장자재집계표"/>
      <sheetName val="INPUTDATA"/>
      <sheetName val="기타공사"/>
      <sheetName val="단청(제외)"/>
      <sheetName val="목공집계"/>
      <sheetName val="미장(2)"/>
      <sheetName val="운반"/>
      <sheetName val="지붕(기와)"/>
      <sheetName val="P-산#1-1(WOWA1)"/>
      <sheetName val="변경총괄지(1)"/>
      <sheetName val="기타경비"/>
      <sheetName val="잔토처리"/>
      <sheetName val="터파기,되메우기,램머,코아"/>
      <sheetName val="절단,포장깨기"/>
      <sheetName val="노단"/>
      <sheetName val="관기성공.내"/>
      <sheetName val="(A)내역서"/>
      <sheetName val="단위세대물량"/>
      <sheetName val="소방"/>
      <sheetName val="도시가스현황"/>
      <sheetName val="tggwan(mac)"/>
      <sheetName val="TRE TABLE"/>
      <sheetName val="월별입차량"/>
      <sheetName val="XXXXXX"/>
      <sheetName val="XL4Poppy"/>
      <sheetName val="현장관리비 "/>
      <sheetName val="날개벽"/>
      <sheetName val="청천내"/>
      <sheetName val="guard(mac)"/>
      <sheetName val="변화치수"/>
      <sheetName val="ilch"/>
      <sheetName val="Sheet17"/>
      <sheetName val="교각계산"/>
      <sheetName val="관로토공"/>
      <sheetName val="중기손료"/>
      <sheetName val="코드표"/>
      <sheetName val="퇴직공제부금산출근거"/>
      <sheetName val="집계"/>
      <sheetName val="1안내역"/>
      <sheetName val="내역서(전기)"/>
      <sheetName val="D16"/>
      <sheetName val="D25"/>
      <sheetName val="D22"/>
      <sheetName val="안내"/>
      <sheetName val="입력"/>
      <sheetName val="관내역"/>
      <sheetName val="내역(토목)"/>
      <sheetName val="공사대장"/>
      <sheetName val="토적계산"/>
      <sheetName val="공사비총괄표"/>
      <sheetName val="table"/>
      <sheetName val="단가 산출서(산근#1~#102)"/>
      <sheetName val="2.가로등(영구)"/>
      <sheetName val="총괄집계표"/>
      <sheetName val="직원투입계획"/>
      <sheetName val="수입"/>
      <sheetName val="48일위"/>
      <sheetName val="48수량"/>
      <sheetName val="22수량"/>
      <sheetName val="49일위"/>
      <sheetName val="22일위"/>
      <sheetName val="49수량"/>
      <sheetName val="표  지"/>
      <sheetName val="H-pile(298x299)"/>
      <sheetName val="H-pile(250x250)"/>
      <sheetName val="암거단위"/>
      <sheetName val="횡 연장"/>
      <sheetName val="cal"/>
      <sheetName val="프랜트면허"/>
      <sheetName val="장비가동"/>
      <sheetName val="토공정보"/>
      <sheetName val="환경기계공정표 (3)"/>
      <sheetName val="테이블"/>
      <sheetName val="아파트"/>
      <sheetName val="부대시설"/>
      <sheetName val="설계서(본관)"/>
      <sheetName val="일위대가(건축)"/>
      <sheetName val="투입비"/>
      <sheetName val="철근량"/>
      <sheetName val="전문품의"/>
      <sheetName val="경율산정.XLS"/>
      <sheetName val="산출2-기기동력"/>
      <sheetName val="공종별자재"/>
      <sheetName val="단면 (2)"/>
      <sheetName val="b_balju"/>
      <sheetName val="인제내역"/>
      <sheetName val="왕십리방향"/>
      <sheetName val="전선관"/>
      <sheetName val="내역서-전체낙찰율"/>
      <sheetName val="현장지지물물량"/>
      <sheetName val="내2"/>
      <sheetName val="XREF"/>
      <sheetName val="감가상각누계액"/>
      <sheetName val="견"/>
      <sheetName val="Factor"/>
      <sheetName val="General Data"/>
      <sheetName val="관람석제출"/>
      <sheetName val="고개가설"/>
      <sheetName val="200"/>
      <sheetName val="1.설계기준"/>
      <sheetName val="AS복구"/>
      <sheetName val="중기터파기"/>
      <sheetName val="변수값"/>
      <sheetName val="중기상차"/>
      <sheetName val="일목"/>
      <sheetName val="물가대비표"/>
      <sheetName val="절감계산(보일러)"/>
      <sheetName val="DATA1"/>
      <sheetName val="날개벽(시점좌측)"/>
      <sheetName val="과단위"/>
      <sheetName val="빌딩 안내"/>
      <sheetName val="날개벽(좌,우=45도,75도)"/>
      <sheetName val="TOTAL_BOQ"/>
      <sheetName val="설계서(7)"/>
      <sheetName val="예산서(6)"/>
      <sheetName val="교대철근집계"/>
      <sheetName val="건축공사수량"/>
      <sheetName val="자재_집계표1"/>
      <sheetName val="귀래_설계_공내역서1"/>
      <sheetName val="변경일위"/>
      <sheetName val="Book1"/>
      <sheetName val="용산1(해보)"/>
      <sheetName val="빙장비사양"/>
      <sheetName val="수량계산서 집계표(가설 신설 및 철거-을지로3가 2호선)"/>
      <sheetName val="수량계산서 집계표(신설-을지로3가 2호선)"/>
      <sheetName val="수량계산서 집계표(철거-을지로3가 2호선)"/>
      <sheetName val="Code"/>
      <sheetName val="계정"/>
      <sheetName val="남양시작동자105노65기1.3화1.2"/>
      <sheetName val="남양시작동010313100%"/>
      <sheetName val="조명율"/>
      <sheetName val="항목등록"/>
      <sheetName val="남양구조시험동"/>
      <sheetName val="MAT"/>
      <sheetName val="자금청구"/>
      <sheetName val="기성고조서 "/>
      <sheetName val="봉급(직영)"/>
      <sheetName val="경비산출"/>
      <sheetName val="견적대비"/>
      <sheetName val="X17-TOTAL"/>
      <sheetName val="샘플표지"/>
      <sheetName val="b_balju_cho"/>
      <sheetName val="6.가격조사서 "/>
      <sheetName val="앉음벽 (2)"/>
      <sheetName val="영동(D)"/>
      <sheetName val="3.바닥판설계"/>
      <sheetName val="부속동"/>
      <sheetName val="환율 및 노임"/>
      <sheetName val="속 일위대가"/>
      <sheetName val="자재단가대비표"/>
      <sheetName val="단위수량산출"/>
      <sheetName val="VXXXXX"/>
      <sheetName val="직노"/>
      <sheetName val="자재단가집계"/>
      <sheetName val="※참고자료※"/>
      <sheetName val="공량산출서"/>
      <sheetName val="연결임시"/>
      <sheetName val="선급금신청서"/>
      <sheetName val="덕전리"/>
      <sheetName val="대비표"/>
      <sheetName val="인건비 "/>
      <sheetName val="항목(1)"/>
      <sheetName val="BOOK4"/>
      <sheetName val="역T형교대(말뚝기초)"/>
      <sheetName val="건축공사"/>
      <sheetName val="일위(PN)"/>
      <sheetName val="토목-물가"/>
      <sheetName val="F4-F7"/>
      <sheetName val="내역서1"/>
      <sheetName val="암거단위-1련"/>
      <sheetName val="5.전사투자계획종함안"/>
      <sheetName val="도급원가"/>
      <sheetName val="배수관토공"/>
      <sheetName val="99.12"/>
      <sheetName val="노임 단가"/>
      <sheetName val="일반전기"/>
      <sheetName val="증감대비"/>
      <sheetName val="EQUIP LIST"/>
      <sheetName val="L_RPTA05_목록"/>
      <sheetName val="공사설명서외"/>
      <sheetName val="방호시설검토"/>
      <sheetName val="신.분"/>
      <sheetName val="카메라"/>
      <sheetName val="Sheet7(ㅅ)"/>
      <sheetName val="교대"/>
      <sheetName val="전익정산집계"/>
      <sheetName val="예산M12A"/>
      <sheetName val="SCHEDULE"/>
      <sheetName val="ELECTRIC"/>
      <sheetName val="분류"/>
      <sheetName val="RAW DATA"/>
      <sheetName val="도급"/>
      <sheetName val="#3_일위대가목록"/>
      <sheetName val="대비표(토공1안)"/>
      <sheetName val="36+45-113-18+19+20I"/>
      <sheetName val="개산공사비"/>
      <sheetName val="FAB별"/>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목표세부명세"/>
      <sheetName val="MAT_N048"/>
      <sheetName val="공주-교대(A1)"/>
      <sheetName val="SUMMARY(S)"/>
      <sheetName val="실행대비"/>
      <sheetName val="입출재고현황 (2)"/>
      <sheetName val="Macro7"/>
      <sheetName val="단가산출서 (2)"/>
      <sheetName val="단가산출서"/>
      <sheetName val="인부노임"/>
      <sheetName val="재료집계표"/>
      <sheetName val="type-F"/>
      <sheetName val="PC"/>
      <sheetName val="배수관공"/>
      <sheetName val="장비사양"/>
      <sheetName val="설계기준 및 하중계산"/>
      <sheetName val="도급FORM"/>
      <sheetName val="Apt내역"/>
      <sheetName val="96보완계획7.12"/>
      <sheetName val="내역표지"/>
      <sheetName val="일반문틀 설치"/>
      <sheetName val="샌딩 에폭시 도장"/>
      <sheetName val="스텐문틀설치"/>
      <sheetName val="일위집계(기존)"/>
      <sheetName val="대비"/>
      <sheetName val="투찰내역"/>
      <sheetName val="재정비내역"/>
      <sheetName val="지적고시내역"/>
      <sheetName val="세부내역서"/>
      <sheetName val="현장경비"/>
      <sheetName val="관계주식"/>
      <sheetName val="예가비교표"/>
      <sheetName val="보차도경계석"/>
      <sheetName val="동일대내"/>
      <sheetName val="예산서"/>
      <sheetName val="물가시세"/>
      <sheetName val="설비2차"/>
      <sheetName val="고창방향"/>
      <sheetName val="woo(mac)"/>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설직재-1"/>
      <sheetName val="제직재"/>
      <sheetName val="99년신청"/>
      <sheetName val="우수받이"/>
      <sheetName val="대로근거"/>
      <sheetName val="도배공사언고"/>
      <sheetName val="대,유,램"/>
      <sheetName val="표층포설및다짐"/>
      <sheetName val="POOM_MOTO"/>
      <sheetName val="토목내역서"/>
      <sheetName val="단가표"/>
      <sheetName val="c_balju"/>
      <sheetName val="3연box"/>
      <sheetName val="단 box"/>
      <sheetName val="ETC"/>
      <sheetName val="부표총괄표"/>
      <sheetName val="냉천부속동"/>
      <sheetName val="09공임"/>
      <sheetName val="기중"/>
      <sheetName val="일위2"/>
      <sheetName val="J01"/>
      <sheetName val="제경비"/>
      <sheetName val="마감LIST-1"/>
      <sheetName val="정내"/>
      <sheetName val="사통"/>
      <sheetName val="연결관산출조서"/>
      <sheetName val="DATA_Garak"/>
      <sheetName val="DATA_Total"/>
      <sheetName val="DATA_Kwangju"/>
      <sheetName val="DATA_Daejeon"/>
      <sheetName val="DATA_Sadang"/>
      <sheetName val="DATA_Yangjae"/>
      <sheetName val="DATA_Yoido"/>
      <sheetName val="DATA_Ulsan"/>
      <sheetName val="DATA_Incheon"/>
      <sheetName val="DATA_Jeonju"/>
      <sheetName val="지입재료비"/>
      <sheetName val="COPING"/>
      <sheetName val="도급내역서(3)"/>
      <sheetName val="중로근거"/>
      <sheetName val="단"/>
      <sheetName val="J直材4"/>
      <sheetName val="106C0300"/>
      <sheetName val="계산서(곡선부)"/>
      <sheetName val="피벗테이블데이터분석"/>
      <sheetName val="평균높이산출근거"/>
      <sheetName val="횡배수관위치조서"/>
      <sheetName val="설비"/>
      <sheetName val="단가입력"/>
      <sheetName val="전체제잡비"/>
      <sheetName val="세골재  T2 변경 현황"/>
      <sheetName val="단가비교표"/>
      <sheetName val="3차설계"/>
      <sheetName val="설계예산2"/>
      <sheetName val="선급비용"/>
      <sheetName val="제수문"/>
      <sheetName val="1호토공"/>
      <sheetName val="좌홍배수장"/>
      <sheetName val="좌홍배수장토공"/>
      <sheetName val="중갑지"/>
      <sheetName val="BQ"/>
      <sheetName val="기준표"/>
      <sheetName val="단면(직벽형)-H=1m"/>
      <sheetName val="1회기성을"/>
      <sheetName val="SLAB&quot;1&quot;"/>
      <sheetName val="건축(APT,부대동)"/>
      <sheetName val="공사비집계표(서해안고속도로)"/>
      <sheetName val="사급자재비"/>
      <sheetName val="포항보고서"/>
      <sheetName val="PriceSummary"/>
      <sheetName val="1SGATE97"/>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__4"/>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__5"/>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16-1"/>
      <sheetName val="요율"/>
      <sheetName val="전기일위목록"/>
      <sheetName val="전기대가"/>
      <sheetName val="산출조서표지"/>
      <sheetName val="공량산출"/>
      <sheetName val="단가산출_목록"/>
      <sheetName val="골재집계"/>
      <sheetName val="공용시설내역"/>
      <sheetName val="마포토정"/>
      <sheetName val="건축공사집계"/>
      <sheetName val="유림골조"/>
      <sheetName val="CTEMCOST"/>
      <sheetName val="Sheet5"/>
      <sheetName val="용수량(생활용수)"/>
      <sheetName val="유기공정"/>
      <sheetName val="견적대비표"/>
      <sheetName val="물량표"/>
      <sheetName val="copy"/>
      <sheetName val="서식"/>
      <sheetName val="갑지(추정)"/>
      <sheetName val="POOM_MOTO2"/>
      <sheetName val="000000"/>
      <sheetName val="제2~4호표"/>
      <sheetName val="2-나.물가조사서"/>
      <sheetName val="기슭막이(야면석찰쌓기)"/>
      <sheetName val="구의33고"/>
      <sheetName val="계측제어설비"/>
      <sheetName val="-레미콘집계"/>
      <sheetName val="자갈,시멘트,모래산출"/>
      <sheetName val="-철근집계"/>
      <sheetName val="포장재료(1)"/>
      <sheetName val="-흄관집계"/>
      <sheetName val="계획금액"/>
      <sheetName val="2003상반기노임기준"/>
      <sheetName val="산출기초"/>
      <sheetName val="값"/>
      <sheetName val="버스운행안내"/>
      <sheetName val="근태계획서"/>
      <sheetName val="예방접종계획"/>
      <sheetName val="45,46"/>
      <sheetName val="PL단가산정"/>
      <sheetName val="그림"/>
      <sheetName val="그림2"/>
      <sheetName val="Macro(차단기)"/>
      <sheetName val="산출기준(파견전산실)"/>
      <sheetName val="10월"/>
      <sheetName val="접속도로"/>
      <sheetName val="매원개착터널총괄"/>
      <sheetName val="IBM UX"/>
      <sheetName val="일위1"/>
      <sheetName val="참조-(1)"/>
      <sheetName val="자동제어"/>
      <sheetName val="기별(종합)"/>
      <sheetName val="수로교총재료집계"/>
      <sheetName val="보건노"/>
      <sheetName val="N賃԰_x0000__x0000_"/>
      <sheetName val="심사물량"/>
      <sheetName val="심사계산"/>
      <sheetName val="자재운반단가일람표"/>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수량3"/>
      <sheetName val="횡배수관"/>
      <sheetName val="C3"/>
      <sheetName val="실행원가내역"/>
      <sheetName val="3련 BOX"/>
      <sheetName val="crude.SLAB RE-bar"/>
      <sheetName val="실행내역 "/>
      <sheetName val="청-교대(A1-A2)"/>
      <sheetName val="종배수관(신)"/>
      <sheetName val="말뚝물량"/>
      <sheetName val="목동세대 산출근거"/>
      <sheetName val="기별"/>
      <sheetName val="관급"/>
      <sheetName val="해평견적"/>
      <sheetName val="주소록"/>
      <sheetName val="내역서 제출"/>
      <sheetName val="UPDATA"/>
      <sheetName val="기준비용"/>
      <sheetName val="부재력정리"/>
      <sheetName val="원본(갑지)"/>
      <sheetName val="견적(100%)"/>
      <sheetName val="DNT OSBL"/>
      <sheetName val="기성내역서"/>
      <sheetName val="AHU집계"/>
      <sheetName val="공조기휀"/>
      <sheetName val="공조기"/>
      <sheetName val="대구실행"/>
      <sheetName val="단가비교표_공통1"/>
      <sheetName val="2.도실원내역(원본)"/>
      <sheetName val="한일양산"/>
      <sheetName val="차액보증"/>
      <sheetName val="경영계획1월"/>
      <sheetName val="업무분장"/>
      <sheetName val="아파트 "/>
      <sheetName val="성곽내역헾"/>
      <sheetName val="자재단가_사급"/>
      <sheetName val="중기기준"/>
      <sheetName val="중기적산목록"/>
      <sheetName val="포장집계"/>
      <sheetName val="포장연장"/>
      <sheetName val="mcc일위대가"/>
      <sheetName val="당초"/>
      <sheetName val="SPC노임(5월)"/>
      <sheetName val="99년하반기"/>
      <sheetName val="총괄집퀀ᦔ"/>
      <sheetName val="연돌일退←_xdc00_"/>
      <sheetName val="연돌일위退←"/>
      <sheetName val="연돌일_x0000__x0000_Ԁ"/>
      <sheetName val="기본일위"/>
      <sheetName val="가시설수량"/>
      <sheetName val="토공A"/>
      <sheetName val="매립"/>
      <sheetName val="공사"/>
      <sheetName val="분양가상한산출"/>
      <sheetName val="당정동공통이수"/>
      <sheetName val="당정동경상이수"/>
      <sheetName val="도"/>
      <sheetName val="산출동탄"/>
      <sheetName val="0.갑지"/>
      <sheetName val="8.현장관리비"/>
      <sheetName val="7.안전관리비"/>
      <sheetName val="배관내역서"/>
      <sheetName val="배관품셈총괄표"/>
      <sheetName val="2.토목공사"/>
      <sheetName val="본선 토공 분배표"/>
      <sheetName val="자재조사표"/>
      <sheetName val="loading"/>
      <sheetName val="8.PILE  (돌출)"/>
      <sheetName val="기계경비(시간당)"/>
      <sheetName val="램머"/>
      <sheetName val="오餀ԯ"/>
      <sheetName val="하도"/>
      <sheetName val="총괄서"/>
      <sheetName val="가설(사)"/>
      <sheetName val="목집(사)"/>
      <sheetName val="운반(사)"/>
      <sheetName val="지붕(사)"/>
      <sheetName val="손익분석"/>
      <sheetName val="철집"/>
      <sheetName val="Summary Sheet"/>
      <sheetName val="마산방향철근집계"/>
      <sheetName val="마산방향"/>
      <sheetName val="1. 설계조건 2.단면가정 3. 하중계산"/>
      <sheetName val="DATA 입력란"/>
      <sheetName val="원가계산서구조조정"/>
      <sheetName val="기성세부내역서"/>
      <sheetName val="기성원가계산서"/>
      <sheetName val="기성부분내역서"/>
      <sheetName val="적용단위길이"/>
      <sheetName val="특수기호강도거푸집"/>
      <sheetName val="종배수관면벽신"/>
      <sheetName val="도장재료산출"/>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unitpric"/>
      <sheetName val="케이블류 OLD"/>
      <sheetName val="대림경상68억"/>
      <sheetName val="00000"/>
      <sheetName val="기성(1차) "/>
      <sheetName val="평형별㓈_x0019_؟"/>
      <sheetName val="[수목일위.XLS][수목일위.XLS]el________2"/>
      <sheetName val="[수목일위.XLS][수목일위.XLS]el________3"/>
      <sheetName val="당초내역׃"/>
      <sheetName val="마북 손익분석(CATIA)"/>
      <sheetName val="DESIGN CRETERIA"/>
      <sheetName val="uang"/>
      <sheetName val="실행내역"/>
      <sheetName val="구천"/>
      <sheetName val="제수변수량"/>
      <sheetName val="0_갑지"/>
      <sheetName val="8_현장관리비"/>
      <sheetName val="7_안전관리비"/>
      <sheetName val="인원계획-미화"/>
      <sheetName val="재무가정"/>
      <sheetName val="1Month+Sheet2!"/>
      <sheetName val="견적 (2)"/>
      <sheetName val="총괄 내역서"/>
      <sheetName val="운반공"/>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총누계"/>
      <sheetName val="PIPE(UG)내역"/>
      <sheetName val="금액집계"/>
      <sheetName val="현금"/>
      <sheetName val="공량산출근거서"/>
      <sheetName val="단가(자재)"/>
      <sheetName val="단가(노임)"/>
      <sheetName val="기초목록"/>
      <sheetName val="표 지"/>
      <sheetName val="GI-LIST"/>
      <sheetName val="일반자료"/>
      <sheetName val="E_P_T수량산출서2"/>
      <sheetName val="석축단"/>
      <sheetName val="단중표-ST"/>
      <sheetName val="물량산출"/>
      <sheetName val="분석대장"/>
      <sheetName val="base"/>
      <sheetName val="내역서을지"/>
      <sheetName val="산근1,2"/>
      <sheetName val="6. 안전관리비"/>
      <sheetName val="영창2餀"/>
      <sheetName val="영창2"/>
      <sheetName val="일위총괄표"/>
      <sheetName val="11.닥트설치공사(bm)"/>
      <sheetName val="수주추정"/>
      <sheetName val="5사남"/>
      <sheetName val="Ⅶ-2_현장경비산출2"/>
      <sheetName val="단가표_(2)1"/>
      <sheetName val="6PILE__(돌출)"/>
      <sheetName val="기계실_D200"/>
      <sheetName val="1_가설"/>
      <sheetName val="4_목공사"/>
      <sheetName val="3련_BOX"/>
      <sheetName val="횡_연장"/>
      <sheetName val="목차_"/>
      <sheetName val="입출재고현황_(2)"/>
      <sheetName val="수목데이타_"/>
      <sheetName val="주빔의_설계"/>
      <sheetName val="3_공통공사대비"/>
      <sheetName val="전차선로_물량표"/>
      <sheetName val="2_2_10_샤시등"/>
      <sheetName val="G_R300경비"/>
      <sheetName val="현장관리비_"/>
      <sheetName val="3_하중산정4_지지력"/>
      <sheetName val="3_바닥판설계"/>
      <sheetName val="현장관리비_산출내역"/>
      <sheetName val="3BL공동구_수량"/>
      <sheetName val="예정공狸5"/>
      <sheetName val="예정공绘5"/>
      <sheetName val="1_x0005__x0005_"/>
      <sheetName val="1_x0005_"/>
      <sheetName val="1_x0005_B"/>
      <sheetName val="설_x0005__x0000_"/>
      <sheetName val="설헾⽬"/>
      <sheetName val="설헾〄"/>
      <sheetName val="설茸7"/>
      <sheetName val="1_x0005__x0000_"/>
      <sheetName val="이설비"/>
      <sheetName val="폐기물처리"/>
      <sheetName val="원가계산서(용역)"/>
      <sheetName val="방수비"/>
      <sheetName val="복구비"/>
      <sheetName val="96노임기준"/>
      <sheetName val="과천MAIN"/>
      <sheetName val="J형측구단위수량"/>
      <sheetName val="sぎ"/>
      <sheetName val="증감₆᝔氀"/>
      <sheetName val="분석가정"/>
      <sheetName val="복공계산"/>
      <sheetName val="PROJECT BRIEF"/>
      <sheetName val="일위목록표-내역서순"/>
      <sheetName val="품목납기"/>
      <sheetName val="목록"/>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공문"/>
      <sheetName val="Requirement(Work Crew)"/>
      <sheetName val="3.건축(현장안)"/>
      <sheetName val="도급기성"/>
      <sheetName val="배수장토목공사비"/>
      <sheetName val="제잡비계산"/>
      <sheetName val="용역비내역-진짜"/>
      <sheetName val="갈현동"/>
      <sheetName val="경영"/>
      <sheetName val="98년"/>
      <sheetName val="실적"/>
      <sheetName val="1공구원가계산"/>
      <sheetName val="1공구원가계산서"/>
      <sheetName val="일위산출"/>
      <sheetName val="LP-S"/>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시점교대"/>
      <sheetName val="백호우계수"/>
      <sheetName val="2.고용보험료산출근거"/>
      <sheetName val="실행_ALT1_"/>
      <sheetName val="48일위(기존)"/>
      <sheetName val="조내역"/>
      <sheetName val="본실행경비"/>
      <sheetName val="D-철근총괄"/>
      <sheetName val="기술자자료입력"/>
      <sheetName val="단가및재료비"/>
      <sheetName val="직접경비호표"/>
      <sheetName val="관련자료입력"/>
      <sheetName val="98수문일위"/>
      <sheetName val="쌍송교"/>
      <sheetName val="H-PILE수량집계"/>
      <sheetName val="원가계산서(남측)"/>
      <sheetName val="공사현황"/>
      <sheetName val="전압강하자료"/>
      <sheetName val="자재_집계표2"/>
      <sheetName val="1차_내역서2"/>
      <sheetName val="전선_및_전선관2"/>
      <sheetName val="2_대외공문1"/>
      <sheetName val="운동장_(2)1"/>
      <sheetName val="공사별_가중치_산출근거(토목)1"/>
      <sheetName val="상_부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2000,9월_일위"/>
      <sheetName val="단면_(2)"/>
      <sheetName val="환경기계공정표_(3)"/>
      <sheetName val="Cost_bd-&quot;A&quot;"/>
      <sheetName val="5_전사투자계획종함안"/>
      <sheetName val="RAW_DATA"/>
      <sheetName val="별표_"/>
      <sheetName val="1_설계기준"/>
      <sheetName val="표__지"/>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96보완계획7_12"/>
      <sheetName val="일반문틀_설치"/>
      <sheetName val="샌딩_에폭시_도장"/>
      <sheetName val="환율_및_노임"/>
      <sheetName val="속_일위대가"/>
      <sheetName val="노_무_비"/>
      <sheetName val="EQUIP_LIST"/>
      <sheetName val="단가산출서_(2)"/>
      <sheetName val="기성고조서_"/>
      <sheetName val="공종단가표_"/>
      <sheetName val="6_가격조사서_"/>
      <sheetName val="빌딩_안내"/>
      <sheetName val="CAT_5"/>
      <sheetName val="태안9)3-2)원내역"/>
      <sheetName val="001"/>
      <sheetName val="수량산출표"/>
      <sheetName val="댐구조도"/>
      <sheetName val="세월교산출기초"/>
      <sheetName val="계약내역서(을橂】"/>
      <sheetName val="현장일보"/>
      <sheetName val="계약내역서(을지"/>
      <sheetName val="단위가격"/>
      <sheetName val="신규일위대가"/>
      <sheetName val="운반비"/>
      <sheetName val="철거산ԯ_x0000_缀"/>
      <sheetName val="12월일반업무"/>
      <sheetName val="[수목일위.XLS]el\설계서\수목일위_XLS]데이타"/>
      <sheetName val="[수목일위.XLS]el\설계서\수목일위_XLS"/>
      <sheetName val="명세서"/>
      <sheetName val="1.1서버도입"/>
      <sheetName val="단가조사표"/>
      <sheetName val="4. 검토"/>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총괄변경내역서"/>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조건표"/>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예총"/>
      <sheetName val="계정c԰_x0000_缀"/>
      <sheetName val="제안서입력"/>
      <sheetName val="D"/>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5. 현장관리비(new) "/>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단_가_산_출_근_거"/>
      <sheetName val="중기_목록표"/>
      <sheetName val="시간당_중기사용료"/>
      <sheetName val="동문건설"/>
      <sheetName val="6.송금의뢰내역서"/>
      <sheetName val="기본설정"/>
      <sheetName val="기자재비"/>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연동내역"/>
      <sheetName val="5.2.6~7공사요율"/>
      <sheetName val="실행내역(10.13)"/>
      <sheetName val="시설물단가표"/>
      <sheetName val="노무비단가표"/>
      <sheetName val="연결관암거"/>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TYPE-1"/>
      <sheetName val="2015년 제3차 공사 물량조사 양식.xlsx"/>
      <sheetName val="순공사비"/>
      <sheetName val="전기단가조사서"/>
      <sheetName val="업체명"/>
      <sheetName val="관리"/>
      <sheetName val="총물량"/>
      <sheetName val="원데이타"/>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가로등내역서"/>
      <sheetName val="5정거장"/>
      <sheetName val="1-3길내기"/>
      <sheetName val="노임 (2차)"/>
      <sheetName val="2.냉난방설비공사"/>
      <sheetName val="4차원가계산서"/>
      <sheetName val="가정급수관"/>
      <sheetName val="군남내역서"/>
      <sheetName val="h-013211-2"/>
      <sheetName val="ALL"/>
      <sheetName val="중기목록"/>
      <sheetName val="주식"/>
      <sheetName val="SAM"/>
      <sheetName val="절단표"/>
      <sheetName val="단청(1)제외"/>
      <sheetName val="미장및수장"/>
      <sheetName val="수리보고"/>
      <sheetName val="노임단가 (2)"/>
      <sheetName val="B.O.M"/>
      <sheetName val="총_구조물공"/>
      <sheetName val="BOX전기내역"/>
      <sheetName val="지입집계"/>
      <sheetName val="송정-증포간  계약내역서"/>
      <sheetName val="3.공통공ⴀ敆遵"/>
      <sheetName val="RESOURCE"/>
      <sheetName val="일위대가(계측기설치)"/>
      <sheetName val="재료산출"/>
      <sheetName val="표준내역"/>
      <sheetName val="통합내역서"/>
      <sheetName val="자압1"/>
      <sheetName val="단위량당중기"/>
      <sheetName val="열린교실"/>
    </sheetNames>
    <definedNames>
      <definedName name="Macro10"/>
      <definedName name="Macro13"/>
      <definedName name="Macro14"/>
      <definedName name="Macro7"/>
      <definedName name="Macro9"/>
    </definedNames>
    <sheetDataSet>
      <sheetData sheetId="0">
        <row r="5">
          <cell r="B5">
            <v>0.09</v>
          </cell>
        </row>
      </sheetData>
      <sheetData sheetId="1"/>
      <sheetData sheetId="2"/>
      <sheetData sheetId="3" refreshError="1"/>
      <sheetData sheetId="4"/>
      <sheetData sheetId="5" refreshError="1"/>
      <sheetData sheetId="6" refreshError="1"/>
      <sheetData sheetId="7" refreshError="1"/>
      <sheetData sheetId="8">
        <row r="11">
          <cell r="E11">
            <v>203800</v>
          </cell>
        </row>
      </sheetData>
      <sheetData sheetId="9">
        <row r="11">
          <cell r="E11">
            <v>203800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ow r="2">
          <cell r="E2">
            <v>23200</v>
          </cell>
        </row>
      </sheetData>
      <sheetData sheetId="22">
        <row r="2">
          <cell r="E2">
            <v>23200</v>
          </cell>
        </row>
      </sheetData>
      <sheetData sheetId="23">
        <row r="2">
          <cell r="E2">
            <v>23200</v>
          </cell>
        </row>
      </sheetData>
      <sheetData sheetId="24">
        <row r="2">
          <cell r="E2">
            <v>23200</v>
          </cell>
        </row>
      </sheetData>
      <sheetData sheetId="25">
        <row r="2">
          <cell r="E2">
            <v>23200</v>
          </cell>
        </row>
      </sheetData>
      <sheetData sheetId="26"/>
      <sheetData sheetId="27"/>
      <sheetData sheetId="28">
        <row r="5">
          <cell r="B5" t="str">
            <v>백-호</v>
          </cell>
        </row>
      </sheetData>
      <sheetData sheetId="29">
        <row r="5">
          <cell r="B5" t="str">
            <v>백-호</v>
          </cell>
        </row>
      </sheetData>
      <sheetData sheetId="30">
        <row r="5">
          <cell r="B5" t="str">
            <v>백-호</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VXXXXX"/>
      <sheetName val="일위대가"/>
      <sheetName val="일위대가(내역)"/>
      <sheetName val="[수목일위.XLS][수목일위.XLS]el________4"/>
      <sheetName val="foxz"/>
      <sheetName val="표지"/>
      <sheetName val="실행집계"/>
      <sheetName val="원실행"/>
      <sheetName val="공통가설계"/>
      <sheetName val="공통가설비"/>
      <sheetName val="현관계"/>
      <sheetName val="현관"/>
      <sheetName val="원가LIST"/>
      <sheetName val="월별투입계획"/>
      <sheetName val="___"/>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Sheet3"/>
      <sheetName val="터널구조물산근"/>
      <sheetName val="도로구조물산근"/>
      <sheetName val="Sheet1"/>
      <sheetName val="Sheet2"/>
      <sheetName val="터널굴착단산"/>
      <sheetName val="장약패턴90M2"/>
      <sheetName val="토공산근"/>
      <sheetName val="단가산출근거"/>
      <sheetName val="설계가"/>
      <sheetName val="공사비"/>
      <sheetName val="단가산출"/>
      <sheetName val="가드레일산근"/>
      <sheetName val="수량집계표"/>
      <sheetName val="수량"/>
      <sheetName val="단가비교"/>
      <sheetName val="적용2002"/>
      <sheetName val="중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노무비"/>
      <sheetName val="중기비"/>
      <sheetName val="Sheet4"/>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PACKING LIST"/>
      <sheetName val="조경공사(총괄)"/>
      <sheetName val="내역"/>
      <sheetName val="수목일위"/>
      <sheetName val="기초일위"/>
      <sheetName val="시설일위"/>
      <sheetName val="지주목 및 비료산출기준"/>
      <sheetName val="지주목및비료산출"/>
      <sheetName val="시설물수량산출서"/>
      <sheetName val="노임"/>
      <sheetName val="총괄내역서"/>
      <sheetName val="설계서(본관)"/>
      <sheetName val="변수값"/>
      <sheetName val="중기상차"/>
      <sheetName val="AS복구"/>
      <sheetName val="중기터파기"/>
      <sheetName val="수량집계A"/>
      <sheetName val="철근집계A"/>
      <sheetName val="DATE"/>
      <sheetName val="[수목일위.XLS][수목일위.XLS]el________5"/>
      <sheetName val="진주방향"/>
      <sheetName val="물가시세"/>
      <sheetName val="1. 설계예산서"/>
      <sheetName val="2. 목차"/>
      <sheetName val="3.설계설명서"/>
      <sheetName val="4.시방서갑지"/>
      <sheetName val="5.시방서(일반시방서)"/>
      <sheetName val="6.시방서갑지(특기)"/>
      <sheetName val="7.예정공정표"/>
      <sheetName val="예정공정표"/>
      <sheetName val="8. 설계예산서"/>
      <sheetName val="16.설계서용지(갑)"/>
      <sheetName val="17. 내역서갑지"/>
      <sheetName val="원가계산서"/>
      <sheetName val="공종별집계표"/>
      <sheetName val="내 역 서"/>
      <sheetName val="일 위 대 가 표"/>
      <sheetName val="일위대가표(자동제어반제작)"/>
      <sheetName val="수 량 산 출 서"/>
      <sheetName val="계통도갑지"/>
      <sheetName val="일위대가표"/>
      <sheetName val="일위대가 "/>
      <sheetName val="기계경비산출기준"/>
      <sheetName val="전차선로 물량표"/>
      <sheetName val="한강운반비"/>
      <sheetName val="#REF"/>
      <sheetName val="자재"/>
      <sheetName val="공통(20-91)"/>
      <sheetName val="원가"/>
      <sheetName val="수목데이타"/>
      <sheetName val="1,2공구원가계산서"/>
      <sheetName val="2공구산출내역"/>
      <sheetName val="1공구산출내역서"/>
      <sheetName val="준검 내역서"/>
      <sheetName val="투찰"/>
      <sheetName val="금액"/>
      <sheetName val="원가서"/>
      <sheetName val="Total"/>
      <sheetName val="결재판"/>
      <sheetName val="표_재료"/>
      <sheetName val="건축2"/>
      <sheetName val="AS포장복구 "/>
      <sheetName val="내역서"/>
      <sheetName val="견적"/>
      <sheetName val="기초단가"/>
      <sheetName val="공사비산출내역"/>
      <sheetName val="문학간접"/>
      <sheetName val="간접"/>
      <sheetName val="수량산출"/>
      <sheetName val="기준액"/>
      <sheetName val="제출내역 (2)"/>
      <sheetName val="가설공사비"/>
      <sheetName val="도로구조공사비"/>
      <sheetName val="도로토공공사비"/>
      <sheetName val="여수토공사비"/>
      <sheetName val="1차증가원가계산"/>
      <sheetName val="가시설"/>
      <sheetName val="토공"/>
      <sheetName val="조건"/>
      <sheetName val="변경내역"/>
      <sheetName val="b_balju_cho"/>
      <sheetName val="기본단가표"/>
      <sheetName val="공사개요"/>
      <sheetName val="을지"/>
      <sheetName val="실행(ALT1)"/>
      <sheetName val="별표집계"/>
      <sheetName val="실행(표지,갑,을)"/>
      <sheetName val="BOJUNGGM"/>
      <sheetName val="연습"/>
      <sheetName val="노무"/>
      <sheetName val="단가대비표"/>
      <sheetName val="수량산출서"/>
      <sheetName val="일위목록"/>
      <sheetName val="관접합및부설"/>
      <sheetName val="단가"/>
      <sheetName val="장비집계"/>
      <sheetName val="자재단가2007.10"/>
      <sheetName val="자재단가2008.4"/>
      <sheetName val="16-1"/>
      <sheetName val="2003상반기노임기준"/>
      <sheetName val="공구원가계산"/>
      <sheetName val="6호기"/>
      <sheetName val="nys"/>
      <sheetName val="증감내역서"/>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계획금액"/>
      <sheetName val="계정"/>
      <sheetName val="관급자재"/>
      <sheetName val="폐기물"/>
      <sheetName val="요율"/>
      <sheetName val="노임단가"/>
      <sheetName val="갑지"/>
      <sheetName val="전기일위목록"/>
      <sheetName val="전기대가"/>
      <sheetName val="산출조서표지"/>
      <sheetName val="공량산출"/>
      <sheetName val="단가산출_목록"/>
      <sheetName val="2000.11월설계내역"/>
      <sheetName val="토공총괄표"/>
      <sheetName val="공사설명서"/>
      <sheetName val="공사요율산출표"/>
      <sheetName val="자료"/>
      <sheetName val="FB25JN"/>
      <sheetName val="카렌스센터계량기설치공사"/>
      <sheetName val="원가계산"/>
      <sheetName val="원가계산 (2)"/>
      <sheetName val="수목표준대가"/>
      <sheetName val="설명서 "/>
      <sheetName val="토목"/>
      <sheetName val="값"/>
      <sheetName val="데리네이타현황"/>
      <sheetName val="전익자재"/>
      <sheetName val="콘크스"/>
      <sheetName val="수목단가"/>
      <sheetName val="시설수량표"/>
      <sheetName val="식재수량표"/>
      <sheetName val="자재단가"/>
      <sheetName val="단위단가"/>
      <sheetName val="자판실행"/>
      <sheetName val="세부내역"/>
      <sheetName val="자재단가조사표-수목"/>
      <sheetName val="경영"/>
      <sheetName val="98년"/>
      <sheetName val="실적"/>
      <sheetName val="기준비용"/>
      <sheetName val="COVER"/>
      <sheetName val="다공관8"/>
      <sheetName val="다공관12"/>
      <sheetName val="다공관20"/>
      <sheetName val="다공관22"/>
      <sheetName val="영구ANCHOR(1사면)"/>
      <sheetName val="영구ANCHOR(8-2사면)"/>
      <sheetName val="격자블럭공"/>
      <sheetName val="격자블럭호표"/>
      <sheetName val="기초자료"/>
      <sheetName val="장비손료"/>
      <sheetName val="참조 (2)"/>
      <sheetName val="실행대비"/>
      <sheetName val="시설물일위"/>
      <sheetName val="가설공사"/>
      <sheetName val="단가결정"/>
      <sheetName val="내역아"/>
      <sheetName val="울타리"/>
      <sheetName val="소비자가"/>
      <sheetName val="제잡비계산"/>
      <sheetName val="부대내역"/>
      <sheetName val="LP-S"/>
      <sheetName val="BID"/>
      <sheetName val="코드"/>
      <sheetName val="산출기초"/>
      <sheetName val="일위산출"/>
      <sheetName val="WORK"/>
      <sheetName val="설계예산서"/>
      <sheetName val="A-4"/>
      <sheetName val="70%"/>
      <sheetName val="중기조종사 단위단가"/>
      <sheetName val="버스운행안내"/>
      <sheetName val="근태계획서"/>
      <sheetName val="예방접종계획"/>
      <sheetName val="삭제금지단가"/>
      <sheetName val="배수장토목공사비"/>
      <sheetName val="용역비내역-진짜"/>
      <sheetName val="식재"/>
      <sheetName val="시설물"/>
      <sheetName val="식재출력용"/>
      <sheetName val="유지관리"/>
      <sheetName val="입찰견적보고서"/>
      <sheetName val="건축"/>
      <sheetName val="2호맨홀공제수량"/>
      <sheetName val="지급자재"/>
      <sheetName val="Sheet1 (2)"/>
      <sheetName val="가설건물"/>
      <sheetName val="신청서"/>
      <sheetName val="직재"/>
      <sheetName val="재집"/>
      <sheetName val="내역(APT)"/>
      <sheetName val="금액내역서"/>
      <sheetName val="도급기성"/>
      <sheetName val="갈현동"/>
      <sheetName val="건축-물가변동"/>
      <sheetName val="기초입력 DATA"/>
      <sheetName val="월간관리비"/>
      <sheetName val="산출근거"/>
      <sheetName val="재료단가"/>
      <sheetName val="임금단가"/>
      <sheetName val="장비목록표"/>
      <sheetName val="장비운전경비"/>
      <sheetName val="총괄"/>
      <sheetName val="포장수량단위"/>
      <sheetName val="설계내역서"/>
      <sheetName val="결재갑지"/>
      <sheetName val="기타 정보통신공사"/>
      <sheetName val="제경비율"/>
      <sheetName val="인건비"/>
      <sheetName val="-치수표(곡선부)"/>
      <sheetName val="노임이"/>
      <sheetName val="Recovered_Sheet1"/>
      <sheetName val="수량계표"/>
      <sheetName val="단가산출서"/>
      <sheetName val="전체"/>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대비표"/>
      <sheetName val="설계"/>
      <sheetName val="골조-APT 갑지"/>
      <sheetName val="토사(PE)"/>
      <sheetName val="1공구원가계산"/>
      <sheetName val="1공구원가계산서"/>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제경비적용기준"/>
      <sheetName val="공사자료입력"/>
      <sheetName val="적용공정"/>
      <sheetName val="시멘트"/>
      <sheetName val="입력"/>
      <sheetName val="안내"/>
      <sheetName val="DATA"/>
      <sheetName val="106C0300"/>
      <sheetName val="골조시행"/>
      <sheetName val="구조물5월기성내역"/>
      <sheetName val="이름표지정"/>
      <sheetName val="소요자재"/>
      <sheetName val="노무산출서"/>
      <sheetName val="경비"/>
      <sheetName val="예산내역서"/>
      <sheetName val="설명"/>
      <sheetName val="총계"/>
      <sheetName val="기초코드"/>
      <sheetName val="3.바닥판  "/>
      <sheetName val="전등설비"/>
      <sheetName val="iec"/>
      <sheetName val="ks"/>
      <sheetName val="선로정수"/>
      <sheetName val="9811"/>
      <sheetName val="표지 (2)"/>
      <sheetName val="참조(2)"/>
      <sheetName val="참조"/>
      <sheetName val="노임,재료비"/>
      <sheetName val="CON'C"/>
      <sheetName val="Sheet5"/>
      <sheetName val="중기사용료산출근거"/>
      <sheetName val="단가산출2"/>
      <sheetName val="단가 및 재료비"/>
      <sheetName val="적용기준"/>
      <sheetName val="터파기및재료"/>
      <sheetName val="아파트 내역"/>
      <sheetName val="설계총괄표"/>
      <sheetName val="팔당터널(1공구)"/>
      <sheetName val="공통가설"/>
      <sheetName val="CTEMCOST"/>
      <sheetName val="화장실"/>
      <sheetName val="인건비 "/>
      <sheetName val="11-2.아파트내역"/>
      <sheetName val="토목내역서"/>
      <sheetName val="평가데이터"/>
      <sheetName val="연결임시"/>
      <sheetName val="부대tu"/>
      <sheetName val="재료값"/>
      <sheetName val="화성태안9공구내역(실행)"/>
      <sheetName val="경비_원본"/>
      <sheetName val="해외(원화)"/>
      <sheetName val="입찰"/>
      <sheetName val="현경"/>
      <sheetName val="기계경비"/>
      <sheetName val="인제내역"/>
      <sheetName val="가감수량"/>
      <sheetName val="맨홀수량산출"/>
      <sheetName val="1안"/>
      <sheetName val="설계내역"/>
      <sheetName val="L_RPTB02_01"/>
      <sheetName val="플랜트 설치"/>
      <sheetName val="물가대비표"/>
      <sheetName val="6-1. 관개량조서"/>
      <sheetName val="건축내역서"/>
      <sheetName val="빙장비사양"/>
      <sheetName val="장비사양"/>
      <sheetName val="CC16-내역서"/>
      <sheetName val="설계예산"/>
      <sheetName val="정부노임단가"/>
      <sheetName val="토목검측서"/>
      <sheetName val="조명시설"/>
      <sheetName val="기초1"/>
      <sheetName val="우수받이"/>
      <sheetName val="총괄표"/>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을-ATYPE"/>
      <sheetName val="판매시설"/>
      <sheetName val="노임단가표"/>
      <sheetName val="2000년1차"/>
      <sheetName val="2000전체분"/>
      <sheetName val="참고사항"/>
      <sheetName val="근로자자료입력"/>
      <sheetName val="전기"/>
      <sheetName val="INDEX  LIST"/>
      <sheetName val="산출(부하간선)"/>
      <sheetName val="01"/>
      <sheetName val="기계경비(시간당)"/>
      <sheetName val="램머"/>
      <sheetName val="장비경비"/>
      <sheetName val="목차"/>
      <sheetName val="타공종이기"/>
      <sheetName val="표  지"/>
      <sheetName val="평당공사비산정"/>
      <sheetName val="도급"/>
      <sheetName val="세금자료"/>
      <sheetName val="말뚝지지력산정"/>
      <sheetName val="실행,원가 최종예상"/>
      <sheetName val="토공수량"/>
      <sheetName val="말고개터널조명전압강하"/>
      <sheetName val="심사물량"/>
      <sheetName val="심사계산"/>
      <sheetName val="아파트"/>
      <sheetName val="FOB발"/>
      <sheetName val="30집계표"/>
      <sheetName val="고유코드_설계"/>
      <sheetName val="투자비"/>
      <sheetName val="조성원가DATA"/>
      <sheetName val="사업비"/>
      <sheetName val="공정표"/>
      <sheetName val="LOOKUP"/>
      <sheetName val="원가data"/>
      <sheetName val="적점"/>
      <sheetName val="년도별노임표"/>
      <sheetName val="중기목록표"/>
      <sheetName val="날개벽(시점좌측)"/>
      <sheetName val="EARTH"/>
      <sheetName val="시중노임단가"/>
      <sheetName val="BSD (2)"/>
      <sheetName val="건설산출"/>
      <sheetName val="상호참고자료"/>
      <sheetName val="발주처자료입력"/>
      <sheetName val="회사기본자료"/>
      <sheetName val="하자보증자료"/>
      <sheetName val="기술자관련자료"/>
      <sheetName val="상부공철근집계(ABC)"/>
      <sheetName val="협력업체"/>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기기리스트"/>
      <sheetName val="1.2 동력(철거)"/>
      <sheetName val="1.접지공사"/>
      <sheetName val="원가계산하도"/>
      <sheetName val="내역갑지"/>
      <sheetName val="산출내역서"/>
      <sheetName val="조경집계표"/>
      <sheetName val="7.원가계산서(품셈)"/>
      <sheetName val="조경내역서"/>
      <sheetName val="수량집계"/>
      <sheetName val="일위대가목록"/>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노무비단가"/>
      <sheetName val="단목객토단위수량산출"/>
      <sheetName val="단위수량산출"/>
      <sheetName val="맹암거,초지"/>
      <sheetName val="대상수목수량"/>
      <sheetName val="시공"/>
      <sheetName val="화설내"/>
      <sheetName val="신표지1"/>
      <sheetName val="본사공가현황"/>
      <sheetName val="99노임기준"/>
      <sheetName val="토목(대안)"/>
      <sheetName val="철콘"/>
      <sheetName val="Sheet15"/>
      <sheetName val="단가(자재)"/>
      <sheetName val="단가(노임)"/>
      <sheetName val="기초목록"/>
      <sheetName val="총괄내역서(설계)"/>
      <sheetName val="48일위(기존)"/>
      <sheetName val="수정"/>
      <sheetName val="직원관련자료"/>
      <sheetName val="2.고용보험료산출근거"/>
      <sheetName val="현장관리비"/>
      <sheetName val="설계변경총괄표(계산식)"/>
      <sheetName val="1-4-2.관(약)"/>
      <sheetName val="00노임기준"/>
      <sheetName val="pier(각형)"/>
      <sheetName val="단가조사"/>
      <sheetName val="케이블트레이"/>
      <sheetName val="배수장공사비명세서"/>
      <sheetName val="현장관리비 산출내역"/>
      <sheetName val="설계산출기초"/>
      <sheetName val="도급예산내역서봉투"/>
      <sheetName val="공사원가계산서"/>
      <sheetName val="설계산출표지"/>
      <sheetName val="도급예산내역서총괄표"/>
      <sheetName val="을부담운반비"/>
      <sheetName val="운반비산출"/>
      <sheetName val="구체"/>
      <sheetName val="좌측날개벽"/>
      <sheetName val="우측날개벽"/>
      <sheetName val="토목주소"/>
      <sheetName val="프랜트면허"/>
      <sheetName val="날개벽"/>
      <sheetName val="암거단위"/>
      <sheetName val="횡 연장"/>
      <sheetName val="JOIN(2span)"/>
      <sheetName val="바닥판"/>
      <sheetName val="주빔의 설계"/>
      <sheetName val="철근량산정및사용성검토"/>
      <sheetName val="입력DATA"/>
      <sheetName val="정화조방수미장"/>
      <sheetName val="입력란"/>
      <sheetName val="97노임단가"/>
      <sheetName val="단가일람"/>
      <sheetName val="자재일람"/>
      <sheetName val="조경일람"/>
      <sheetName val="재료"/>
      <sheetName val="1단계"/>
      <sheetName val="단가목록"/>
      <sheetName val="자재목록"/>
      <sheetName val="노임목록"/>
      <sheetName val="Tool"/>
      <sheetName val="일위"/>
      <sheetName val="그림"/>
      <sheetName val="1-최종안"/>
      <sheetName val="사업분석-분양가결정"/>
      <sheetName val="설계명세서"/>
      <sheetName val="산출근거(복구)"/>
      <sheetName val="단가표"/>
      <sheetName val="21301동"/>
      <sheetName val="전기공사"/>
      <sheetName val="지질조사"/>
      <sheetName val="매채조회"/>
      <sheetName val="산출내역서집계표"/>
      <sheetName val="맨홀수량집계"/>
      <sheetName val="구조물공"/>
      <sheetName val="부대공"/>
      <sheetName val="배수공"/>
      <sheetName val="포장공"/>
      <sheetName val="자재 집계표"/>
      <sheetName val="COST"/>
      <sheetName val="2공구하도급내역서"/>
      <sheetName val="7월11일"/>
      <sheetName val="조내역"/>
      <sheetName val="수목_바_주목_"/>
      <sheetName val="에너지동"/>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지주목_및_비료산출기준"/>
      <sheetName val="중기집계"/>
      <sheetName val="예가표"/>
      <sheetName val="기술자자료입력"/>
      <sheetName val="각사별공사비분개 "/>
      <sheetName val="가로등"/>
      <sheetName val="쌍송교"/>
      <sheetName val="주공 갑지"/>
      <sheetName val="건설기계"/>
      <sheetName val="사급자재"/>
      <sheetName val="월별수입"/>
      <sheetName val="8설7발"/>
      <sheetName val="PACKING_LIST"/>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AS포장복구_"/>
      <sheetName val="전차선로_물량표"/>
      <sheetName val="일위대가_"/>
      <sheetName val="준검_내역서"/>
      <sheetName val="제출내역_(2)"/>
      <sheetName val="참조_(2)"/>
      <sheetName val="2000_11월설계내역"/>
      <sheetName val="Sheet1_(2)"/>
      <sheetName val="중기조종사_단위단가"/>
      <sheetName val="원가계산_(2)"/>
      <sheetName val="실행_ALT1_"/>
      <sheetName val="입찰안"/>
      <sheetName val="공사비증감"/>
      <sheetName val="견적율"/>
      <sheetName val="램프"/>
      <sheetName val="내역서1999.8최종"/>
      <sheetName val="매립"/>
      <sheetName val="계정code"/>
      <sheetName val="★도급내역(2공구)"/>
      <sheetName val="밸브설치"/>
      <sheetName val="약품설비"/>
      <sheetName val="장비투입계획"/>
      <sheetName val="직원투입계획"/>
      <sheetName val="해평견적"/>
      <sheetName val="배수내역"/>
      <sheetName val="공사진행"/>
      <sheetName val="Macro2"/>
      <sheetName val="Macro1"/>
      <sheetName val="G.R300경비"/>
      <sheetName val="원가계산서구조조정"/>
      <sheetName val="98수문일위"/>
      <sheetName val="00상노임"/>
      <sheetName val="코드표"/>
      <sheetName val="DATA1"/>
      <sheetName val="CABLE SIZE-1"/>
      <sheetName val="AL공사(원)"/>
      <sheetName val="9GNG운반"/>
      <sheetName val="설계서"/>
      <sheetName val="설계변경내역 98"/>
      <sheetName val="준공정산"/>
      <sheetName val="부표총괄"/>
      <sheetName val="9509"/>
      <sheetName val="일위집계(기존)"/>
      <sheetName val="DANGA"/>
      <sheetName val="소방"/>
      <sheetName val="경비내역(을)-1"/>
      <sheetName val="갑지(추정)"/>
      <sheetName val="직접경비호표"/>
      <sheetName val="E.P.T수량산출서"/>
      <sheetName val="본실행경비"/>
      <sheetName val="골조물량"/>
      <sheetName val="계측제어설비"/>
      <sheetName val="D-철근총괄"/>
      <sheetName val="공내역"/>
      <sheetName val="el\설계서\수목일︀ᇕ԰_x0000_缀_x0000__x0000__x0000_Ȁ"/>
      <sheetName val="도급내역"/>
      <sheetName val="ABUT수량-A1"/>
      <sheetName val="조건표"/>
      <sheetName val="직접노무비"/>
      <sheetName val="총집계표"/>
      <sheetName val="노임(1차)"/>
      <sheetName val="안양동교 1안"/>
      <sheetName val="여과지동"/>
      <sheetName val="차액보증"/>
      <sheetName val="설비내역서"/>
      <sheetName val="전기내역서"/>
      <sheetName val="el\설계서\수목일︀ᇕ԰_x0000_缀_x0000__x0000__x0000_焀"/>
      <sheetName val="백호우계수"/>
      <sheetName val="단가집"/>
      <sheetName val="H-PILE수량집계"/>
      <sheetName val="내역(전체_금차)"/>
      <sheetName val="제경비_전체"/>
      <sheetName val="제경비_금차준공분"/>
      <sheetName val="24.보증금"/>
      <sheetName val="경율산정"/>
      <sheetName val="단가및재료비"/>
      <sheetName val="중기사용료"/>
      <sheetName val="경산"/>
      <sheetName val="단가산출1"/>
      <sheetName val="el\설계서\수목일︀ᇕ԰_x0000_缀_x0000__x0000__x0000_Ԁ"/>
      <sheetName val="TYPE집계표"/>
      <sheetName val="개비온집계"/>
      <sheetName val="개비온 단위"/>
      <sheetName val="운반자료"/>
      <sheetName val="UPRI"/>
      <sheetName val="기본정보입력"/>
      <sheetName val="단위수량"/>
      <sheetName val="기본단가"/>
      <sheetName val="방수"/>
      <sheetName val="을"/>
      <sheetName val="공사비명세서"/>
      <sheetName val="내역(원)"/>
      <sheetName val="시점교대"/>
      <sheetName val="견적단가"/>
      <sheetName val="기구조직"/>
      <sheetName val="TABLE DB"/>
      <sheetName val="쌍용 data base"/>
      <sheetName val="LD"/>
      <sheetName val="6PILE  (돌출)"/>
      <sheetName val="토공사(흙막이)"/>
      <sheetName val="개요"/>
      <sheetName val="인원"/>
      <sheetName val="지수"/>
      <sheetName val="관련자료입력"/>
      <sheetName val="1~9 하중계산"/>
      <sheetName val="실행내역서 "/>
      <sheetName val="상반기손익차2총괄"/>
      <sheetName val="실행간접비용"/>
      <sheetName val="현장식당(1)"/>
      <sheetName val="actual"/>
      <sheetName val="식재가격"/>
      <sheetName val="식재총괄"/>
      <sheetName val="내역표지"/>
      <sheetName val="간접비"/>
      <sheetName val="실행"/>
      <sheetName val="비계공사"/>
      <sheetName val="실행철강하도"/>
      <sheetName val="COPING"/>
      <sheetName val="개별직종노임단가(2005.1)"/>
      <sheetName val="법면단"/>
      <sheetName val="석축설면"/>
      <sheetName val="법면설면"/>
      <sheetName val="석축단"/>
      <sheetName val="법면수집"/>
      <sheetName val="Summary"/>
      <sheetName val="6. 안전관리비"/>
      <sheetName val="마산방향"/>
      <sheetName val="토적집계"/>
      <sheetName val="총괄 내역서"/>
      <sheetName val="총괄집계표"/>
      <sheetName val="99노임단가"/>
      <sheetName val="수량산출(음암)"/>
      <sheetName val="공사별 가중치 산출근거(토목)"/>
      <sheetName val="가중치근거(조경)"/>
      <sheetName val="공사별 가중치 산출근거(건축)"/>
      <sheetName val="1SPAN"/>
      <sheetName val="4.고용보험"/>
      <sheetName val="3.고용보험료산출근거"/>
      <sheetName val="철거산출근거"/>
      <sheetName val="자재비"/>
      <sheetName val="정산산출서(배수판)"/>
      <sheetName val="MOTOR"/>
      <sheetName val="토공(우물통,기타) "/>
      <sheetName val="참조M"/>
      <sheetName val="위치조서"/>
      <sheetName val="계장 품셈표"/>
      <sheetName val="단계별내역 (2)"/>
      <sheetName val="대로근거"/>
      <sheetName val="중로근거"/>
      <sheetName val="단위수량산출서"/>
      <sheetName val="1"/>
      <sheetName val="2"/>
      <sheetName val="3"/>
      <sheetName val="4"/>
      <sheetName val="5"/>
      <sheetName val="구간산출"/>
      <sheetName val="취수탑"/>
      <sheetName val="세부내역서"/>
      <sheetName val="기계설비-물가변동"/>
      <sheetName val="유동표"/>
      <sheetName val="8.설치품셈"/>
      <sheetName val="총괄변경내역서"/>
      <sheetName val="공사요율"/>
      <sheetName val="갑지1"/>
      <sheetName val="잡비"/>
      <sheetName val="운반"/>
      <sheetName val="공사비집계표"/>
      <sheetName val="내역서 제출"/>
      <sheetName val="INPUT"/>
      <sheetName val="구조물철거타공정이월"/>
      <sheetName val="토공연장"/>
      <sheetName val="기초입력_DATA"/>
      <sheetName val="일위대가_(식재)"/>
      <sheetName val="기타_정보통신공사"/>
      <sheetName val="골조-APT_갑지"/>
      <sheetName val="단가_및_재료비"/>
      <sheetName val="INDEX__LIST"/>
      <sheetName val="설명서_"/>
      <sheetName val="3_바닥판__"/>
      <sheetName val="자재단가2007_10"/>
      <sheetName val="자재단가2008_4"/>
      <sheetName val="표지_(2)"/>
      <sheetName val="6-1__관개량조서"/>
      <sheetName val="2)관접합"/>
      <sheetName val="인건비_"/>
      <sheetName val="11-2_아파트내역"/>
      <sheetName val="표__지"/>
      <sheetName val=" 상부공통집계(총괄)"/>
      <sheetName val="ITEM"/>
      <sheetName val="자재코드"/>
      <sheetName val="단가입력"/>
      <sheetName val="일위-1"/>
      <sheetName val="제잡비"/>
      <sheetName val="ELECTRIC"/>
      <sheetName val="수안보-MBR1"/>
      <sheetName val="빙축열"/>
      <sheetName val="고시단가"/>
      <sheetName val="일위대가(1)"/>
      <sheetName val="JUCK"/>
      <sheetName val="구조"/>
      <sheetName val="전체실행"/>
      <sheetName val="기자재비"/>
      <sheetName val="견적대비표"/>
      <sheetName val="현장경비"/>
      <sheetName val="견적서"/>
      <sheetName val="4.설계예산내역서"/>
      <sheetName val="6.관급자재조서"/>
      <sheetName val="품신"/>
      <sheetName val="3.예정공정표"/>
      <sheetName val="7.청제공기계기구조서"/>
      <sheetName val="FTRN20-총괄표"/>
      <sheetName val="계획"/>
      <sheetName val="증감대비"/>
      <sheetName val="FCM"/>
      <sheetName val="상촌터널실행"/>
      <sheetName val="base"/>
      <sheetName val="분석대장"/>
      <sheetName val="예산갑지"/>
      <sheetName val="공사명입력"/>
      <sheetName val="SCHE"/>
      <sheetName val="사업비변경내역(96.9단가)"/>
      <sheetName val="내역서(전기)"/>
      <sheetName val="조경일0"/>
      <sheetName val="북제주원가"/>
      <sheetName val="기성내역"/>
      <sheetName val="가도공"/>
      <sheetName val="목록"/>
      <sheetName val="단면가정"/>
      <sheetName val="설계조건"/>
      <sheetName val="부안일위"/>
      <sheetName val="24.보증금(전신전화가입권)"/>
      <sheetName val="IHS"/>
      <sheetName val="동문건설"/>
      <sheetName val="Sheet6"/>
      <sheetName val="6.송금의뢰내역서"/>
      <sheetName val="기본설정"/>
      <sheetName val="1호인버트수량"/>
      <sheetName val="교각1"/>
      <sheetName val="단면 (2)"/>
      <sheetName val="안정계산"/>
      <sheetName val="단면검토"/>
      <sheetName val="el_설계서_수목일위.XLS_데이타"/>
      <sheetName val="el_설계서_수목일위.XLS"/>
      <sheetName val="배수통관(좌)"/>
      <sheetName val="간선계산"/>
      <sheetName val="DC-O-4-S(설명서)"/>
      <sheetName val="S0"/>
      <sheetName val="관리동"/>
      <sheetName val="하수급견적대비"/>
      <sheetName val="청제공기계일위대가"/>
      <sheetName val="방지책개소별명세"/>
      <sheetName val="토  공"/>
      <sheetName val="발주내역"/>
      <sheetName val="ⴭⴭⴭⴭ"/>
      <sheetName val="공종별산출내역서"/>
      <sheetName val="포장복구집계"/>
      <sheetName val="재료수량(1)"/>
      <sheetName val="대비"/>
      <sheetName val="변경-C"/>
      <sheetName val="세골재  T2 변경 현황"/>
      <sheetName val="일위2"/>
      <sheetName val="약품공급2"/>
      <sheetName val="블럭 손익"/>
      <sheetName val="전력"/>
      <sheetName val="재정비직인"/>
      <sheetName val="재정비내역"/>
      <sheetName val="지적고시내역"/>
      <sheetName val="구분자"/>
      <sheetName val="총괄내역"/>
      <sheetName val="제안서입력"/>
      <sheetName val="Factor"/>
      <sheetName val="작성"/>
      <sheetName val="기둥(원형)"/>
      <sheetName val="내역을"/>
      <sheetName val="31.경비기본입력"/>
      <sheetName val="골막이(야매)"/>
      <sheetName val="계약서"/>
      <sheetName val="교량하부공"/>
      <sheetName val="플랜트_설치"/>
      <sheetName val="아파트_내역"/>
      <sheetName val="7_원가계산서(품셈)"/>
      <sheetName val="단가산출근거_목록표"/>
      <sheetName val="단_가_산_출_근_거"/>
      <sheetName val="중기_목록표"/>
      <sheetName val="시간당_중기사용료"/>
      <sheetName val="환율및_기초자료"/>
      <sheetName val="주빔의_설계"/>
      <sheetName val="CABLE_SIZE-1"/>
      <sheetName val="1-4-2_관(약)"/>
      <sheetName val="자재_집계표"/>
      <sheetName val="횡_연장"/>
      <sheetName val="내역서1999_8최종"/>
      <sheetName val="5.2.6~7공사요율"/>
      <sheetName val="본실행_x0005__x0000_"/>
      <sheetName val="건설기계사용료목록"/>
      <sheetName val="자재단가조사"/>
      <sheetName val="피해현황"/>
      <sheetName val="피해현황 (수량합계)"/>
      <sheetName val="산근"/>
      <sheetName val="터널조도"/>
      <sheetName val="마감LIST-1"/>
      <sheetName val="C3"/>
      <sheetName val="연동내역"/>
      <sheetName val="인건비(10)"/>
      <sheetName val="단가(긴급전화)"/>
      <sheetName val="VST재료산출"/>
      <sheetName val="시가지우회도로공내역서"/>
      <sheetName val="적격"/>
      <sheetName val="품목납기"/>
      <sheetName val="Sheet4_x0000__x0000__x0000__x0000__x0000__x0000__x0000__x0010_[수목일위.XLS]가드레일산근_x0000_"/>
      <sheetName val="JUCKEYK"/>
      <sheetName val="실행내역(10.13)"/>
      <sheetName val="품셈표"/>
      <sheetName val="건축일위"/>
      <sheetName val="그라우팅일위"/>
      <sheetName val="부대︀"/>
      <sheetName val="기초자료입력"/>
      <sheetName val="자재(원원+원대)"/>
      <sheetName val="공賌㥛퐀"/>
      <sheetName val="총砀⫵܃"/>
      <sheetName val="98지급계획"/>
      <sheetName val="el\설계서\수목일위_XLS]데이타1"/>
      <sheetName val="1공구_단가_(정원)1"/>
      <sheetName val="인부노임"/>
      <sheetName val="3차설계"/>
      <sheetName val="1.설계조건"/>
      <sheetName val="거래처등록"/>
      <sheetName val="참고자료"/>
      <sheetName val="은행코드"/>
      <sheetName val="토공집계"/>
      <sheetName val="매堀"/>
      <sheetName val="BQ(실행)"/>
      <sheetName val="일위대가(긴급전화)"/>
      <sheetName val="긴급전화(단가)"/>
      <sheetName val="제경집계"/>
      <sheetName val="을지총괄"/>
      <sheetName val="예산명세서"/>
      <sheetName val="자료입력"/>
      <sheetName val="AV시스템"/>
      <sheetName val="가설공사내역"/>
      <sheetName val="401"/>
      <sheetName val="공사비예산서(토목분)"/>
      <sheetName val="결과조달"/>
      <sheetName val="Sheet4_x0000__x0010_[수목일위.XLS]가드레일산근_x0000_耀_x000f_[수목일"/>
      <sheetName val="동해title"/>
      <sheetName val="토공사"/>
      <sheetName val="5. 현장관리비(new) "/>
      <sheetName val="총 원가계산"/>
      <sheetName val="A"/>
      <sheetName val="D"/>
      <sheetName val="08공임"/>
      <sheetName val="기중"/>
      <sheetName val="슬래브1"/>
      <sheetName val="카펫타일"/>
      <sheetName val="합의경상"/>
      <sheetName val="기준표"/>
      <sheetName val="예총"/>
      <sheetName val="급여준비"/>
      <sheetName val="금융비용"/>
      <sheetName val="세부"/>
      <sheetName val="cable-data"/>
      <sheetName val="견"/>
      <sheetName val="기준"/>
      <sheetName val="정공공사"/>
      <sheetName val="FAB별"/>
      <sheetName val="청천내"/>
      <sheetName val="A LINE"/>
      <sheetName val="AL공사԰"/>
      <sheetName val="조경일壀"/>
      <sheetName val="전체내역"/>
      <sheetName val="1공구_단가_(산광)1"/>
      <sheetName val="설계예시"/>
      <sheetName val="시설물단가표"/>
      <sheetName val="노무비단가표"/>
      <sheetName val="용수량(생활용수)"/>
      <sheetName val="연결관암거"/>
      <sheetName val="산출내역집계표"/>
      <sheetName val="날개벽(시점좌_x0005__x0000_"/>
      <sheetName val="날개벽(시점좌僀_x0013_"/>
      <sheetName val="99노徸⼣_x0005_"/>
      <sheetName val="정보"/>
      <sheetName val="산출2-동력"/>
      <sheetName val="일위대가(가설)"/>
      <sheetName val="직노"/>
      <sheetName val="건축공사"/>
      <sheetName val="부_x0000__x0000_"/>
      <sheetName val="패널"/>
      <sheetName val="구조_x0005__x0000_"/>
      <sheetName val="교각계산"/>
      <sheetName val="Sheet17"/>
      <sheetName val="배수내_x0005_"/>
      <sheetName val="회사기_x0005__x0000_"/>
      <sheetName val="입력데이터"/>
      <sheetName val="철근량산정및사용성검⩿"/>
      <sheetName val="도배공사언고"/>
      <sheetName val="충주"/>
      <sheetName val="양재동 고향생각"/>
      <sheetName val="수리보고서비"/>
      <sheetName val="방수-수량산출서"/>
      <sheetName val="P-산#1-1(WOWA1)"/>
      <sheetName val="설계명세서-2"/>
      <sheetName val="입력자료"/>
      <sheetName val="T13(P68~72,78)"/>
      <sheetName val="구리토평1전기"/>
      <sheetName val="견적의뢰"/>
      <sheetName val="자재단가비교표"/>
      <sheetName val="도로정위치부표"/>
      <sheetName val="DB구축"/>
      <sheetName val="도로조사부표"/>
      <sheetName val="입력변수"/>
      <sheetName val="경율산정.XLS"/>
      <sheetName val="voucher"/>
      <sheetName val="소렀"/>
      <sheetName val="회계코드"/>
      <sheetName val="공사코드"/>
      <sheetName val="관리부"/>
      <sheetName val="정산"/>
      <sheetName val="청구분"/>
      <sheetName val="총무부"/>
      <sheetName val="1.2 동력(철ᰀ፜"/>
      <sheetName val="대창(함평)"/>
      <sheetName val="대창(장성)"/>
      <sheetName val="대창(함평)-창열"/>
      <sheetName val="Front"/>
      <sheetName val="wall"/>
      <sheetName val="공조기"/>
      <sheetName val="공조기휀"/>
      <sheetName val="AHU집계"/>
      <sheetName val="공량산출서"/>
      <sheetName val="물가자료"/>
      <sheetName val="군남내역서"/>
      <sheetName val="구조물"/>
      <sheetName val="공사비총괄표"/>
      <sheetName val="토공실행"/>
      <sheetName val="내역서(기계)"/>
      <sheetName val="데리려ଈ타현황"/>
      <sheetName val="마감물량"/>
      <sheetName val="하중조건(평상시)"/>
      <sheetName val="지수적용공사비내역서"/>
      <sheetName val="주공 _x0005__x0000_"/>
      <sheetName val="고압수량(철거)"/>
      <sheetName val="주공 _x0010__x0000_"/>
      <sheetName val="공사비_x0010__x0000_"/>
      <sheetName val="공사비׃⿓"/>
      <sheetName val="주공 ׃⿓"/>
      <sheetName val="현장관리׃"/>
      <sheetName val="실행내역"/>
      <sheetName val="공사비 증감 내역서"/>
      <sheetName val="수지표"/>
      <sheetName val="에너媀͖"/>
      <sheetName val="기술자관련자爈"/>
      <sheetName val="기술자관련자爇"/>
      <sheetName val="견적기준"/>
      <sheetName val="001"/>
      <sheetName val="jobhist"/>
      <sheetName val="산출3-전등"/>
      <sheetName val="산출4-조명제어"/>
      <sheetName val="산출5-전열"/>
      <sheetName val="산출7-유도등"/>
      <sheetName val="양촌면도평리"/>
      <sheetName val="J01"/>
      <sheetName val="인사자료총집계"/>
      <sheetName val="5차설계"/>
      <sheetName val="2공구_단가䈀ᅪ԰_x0000_"/>
      <sheetName val="2공구_단가렀቟԰_x0000_"/>
      <sheetName val="공종별수량집계"/>
      <sheetName val="2BOX본체"/>
      <sheetName val="발주처렀቟԰_x0000_"/>
      <sheetName val="초"/>
      <sheetName val="MRS세부"/>
      <sheetName val="설֮㖮"/>
      <sheetName val="물량산출"/>
      <sheetName val="수량총"/>
      <sheetName val="토공총"/>
      <sheetName val="현장경상비"/>
      <sheetName val="비목군분류일위"/>
      <sheetName val="도"/>
      <sheetName val="일위대가단가표"/>
      <sheetName val="구헾"/>
      <sheetName val="옹벽"/>
      <sheetName val="구조_x0005_헾"/>
      <sheetName val="CAT_5"/>
      <sheetName val="우석문틀"/>
      <sheetName val="총집_x0005__x0000_"/>
      <sheetName val="⠍⑎"/>
      <sheetName val="계정c԰_x0000_缀"/>
      <sheetName val="관리,공감"/>
      <sheetName val="접속도로1"/>
      <sheetName val="6동"/>
      <sheetName val="M-MG1"/>
      <sheetName val="건설剸_x001b_"/>
      <sheetName val="건설丵⼨"/>
      <sheetName val="건설夸'"/>
      <sheetName val="일위(시설)"/>
      <sheetName val="사업총괄"/>
      <sheetName val="guard(mac)"/>
      <sheetName val="1공구_단가_(용호)1"/>
      <sheetName val="간지_(2)1"/>
      <sheetName val="2공구_단가(인성)1"/>
      <sheetName val="woo(mac)"/>
      <sheetName val="7_계측제어"/>
      <sheetName val="6_동력"/>
      <sheetName val="13_방송공사"/>
      <sheetName val="식재일위"/>
      <sheetName val="N賃率-職"/>
      <sheetName val="I一般比"/>
      <sheetName val="설계기준"/>
      <sheetName val="내역1"/>
      <sheetName val="가감수량(2호)"/>
      <sheetName val="맨홀수량산출(2호)"/>
      <sheetName val="48수량"/>
      <sheetName val="49일위"/>
      <sheetName val="22일위"/>
      <sheetName val="49수량"/>
      <sheetName val="수원공매수"/>
      <sheetName val="BSD_(2)"/>
      <sheetName val="소방 하 내역"/>
      <sheetName val="AL공사ԯ_x0000_缀"/>
      <sheetName val="공사계획서"/>
      <sheetName val="품셈 "/>
      <sheetName val="우측날개_x0005_"/>
      <sheetName val="우측날개畠"/>
      <sheetName val="원가蠀ᎊ찀ᎊ"/>
      <sheetName val="설계ᎃ"/>
      <sheetName val="일위대가목차"/>
      <sheetName val="과세내역(세부)"/>
      <sheetName val="안전시설"/>
      <sheetName val="1.취수장"/>
      <sheetName val="귀래 설계 공내역서"/>
      <sheetName val="Scenario"/>
      <sheetName val="실행철강렀቟"/>
      <sheetName val="자재 집_x0005__x0003_"/>
      <sheetName val="_x0000__x0003__x0000__x0004_"/>
      <sheetName val="산정표"/>
      <sheetName val="초기화면"/>
      <sheetName val="가스내역"/>
      <sheetName val="단가요약"/>
      <sheetName val="가실행 내역서"/>
      <sheetName val="J直材4"/>
      <sheetName val="기본일위"/>
      <sheetName val="회사정보"/>
      <sheetName val="일위대렀቟԰_x0000_缀"/>
      <sheetName val="토적표(2차기성)"/>
      <sheetName val="원가계산서_x0005__x0000__x0000_"/>
      <sheetName val="A2"/>
      <sheetName val="대치판정"/>
      <sheetName val="CONCRETE"/>
      <sheetName val="노임변동률"/>
      <sheetName val="재ﻇ"/>
      <sheetName val="2000_11월씀ԯ_x0000_"/>
      <sheetName val="2000_11월ԯ_x0000_缀_x0000_"/>
      <sheetName val="1-최_x0005__x0000_"/>
      <sheetName val="SG"/>
      <sheetName val="미드수량"/>
      <sheetName val="99노임기԰"/>
      <sheetName val="99노임기頀"/>
      <sheetName val="날개벽(浜-涤-䟣"/>
      <sheetName val="배수䀀⍭"/>
      <sheetName val="날개벽(䟣⾯_x0005__x0000_"/>
      <sheetName val="배수尀⵭"/>
      <sheetName val="배수　ᵳ"/>
      <sheetName val="날개벽(_x0005__x0000__x0000__x0000_"/>
      <sheetName val="99노임기렀"/>
      <sheetName val="날개벽(犜&amp;狤&amp;䟣"/>
      <sheetName val="배수葇"/>
      <sheetName val="상호참고_x0005__x0000_"/>
      <sheetName val="현장_x0005__x0000_"/>
      <sheetName val="배수倀ᝰ"/>
      <sheetName val="잡철물"/>
      <sheetName val="변경내역서"/>
      <sheetName val="신규일위목록"/>
      <sheetName val="단렀቟԰"/>
      <sheetName val="5_시방서(일반시방㔀቎"/>
      <sheetName val="날개벽(䟣⾄_x0005__x0000_"/>
      <sheetName val="단퀀ᙕᰀ"/>
      <sheetName val="단ԯ_x0000_缀"/>
      <sheetName val="직원투_x0000__x0000__x0005_"/>
      <sheetName val="2.대외공문"/>
      <sheetName val="날개벽(시점԰_x0000_缀"/>
      <sheetName val="3차"/>
      <sheetName val="안정검토(온1)"/>
      <sheetName val="에너지_x0005_"/>
      <sheetName val="잡비계산"/>
      <sheetName val="tggwan(mac)"/>
      <sheetName val="관공일위대가"/>
      <sheetName val="단가적용"/>
      <sheetName val="에԰_x0000_缀"/>
      <sheetName val="정렬"/>
      <sheetName val="8.옥외᐀ባ혀腺԰_x0000_"/>
      <sheetName val="단계별내역 (丵〒"/>
      <sheetName val="조명율표"/>
      <sheetName val="세목전체"/>
      <sheetName val="노무,재료"/>
      <sheetName val="슬래브"/>
      <sheetName val="장문교(대전)"/>
      <sheetName val="공량(전기)"/>
      <sheetName val="단가적용(터널)"/>
      <sheetName val="단위가격"/>
      <sheetName val="단위가격_할증"/>
      <sheetName val="연수동"/>
      <sheetName val="현장일보"/>
      <sheetName val="정거장"/>
      <sheetName val="길내기"/>
      <sheetName val="기성2"/>
      <sheetName val="상세"/>
      <sheetName val="DATA-UPS"/>
      <sheetName val="일위대가(계측기설치)"/>
      <sheetName val="FCþ"/>
      <sheetName val="제원및배치"/>
      <sheetName val="우수공"/>
      <sheetName val="직접㰀᎕萀᎕"/>
      <sheetName val="월별수删"/>
      <sheetName val="내역서1999.8최_x0005_"/>
      <sheetName val="입출재고현황 (2)"/>
      <sheetName val="3.하중산정4.지지력"/>
      <sheetName val="취합표"/>
      <sheetName val="교대"/>
      <sheetName val="남양구조시험동"/>
      <sheetName val="냉천부속동"/>
      <sheetName val="개산공사비"/>
      <sheetName val="본사인상전"/>
      <sheetName val="발주처_xdc00_䕫␀䕬"/>
      <sheetName val="빌딩 안내"/>
      <sheetName val="친환경주택"/>
      <sheetName val="U-TYPE(1)"/>
      <sheetName val="토적표"/>
      <sheetName val="배수공수집"/>
      <sheetName val="도급원가"/>
      <sheetName val="PAC"/>
      <sheetName val="주공頀๔꤂"/>
      <sheetName val="주공Գ_x0000__x0000_"/>
      <sheetName val="주공Գ傡"/>
      <sheetName val="단가䘭瞰"/>
      <sheetName val="주공Գ昀⭝"/>
      <sheetName val="주공恷䇦昂"/>
      <sheetName val="주공Գ_x0001__x0000_"/>
      <sheetName val="주공Գⴀ譆"/>
      <sheetName val="단가목_x0000_"/>
      <sheetName val="설_x0000__x0000_"/>
      <sheetName val="주공_x0000__x0000_쀀"/>
      <sheetName val="단가목撈"/>
      <sheetName val="장비투_x0000__x0000_쀀"/>
      <sheetName val="견䗽睦"/>
      <sheetName val="수로BOX"/>
      <sheetName val="재료비단가"/>
      <sheetName val="AL공԰԰"/>
      <sheetName val="조頔ន"/>
      <sheetName val="산堀᎟"/>
      <sheetName val="9902"/>
      <sheetName val="단가䘭疚"/>
      <sheetName val="급여조견표"/>
      <sheetName val="부대시설"/>
      <sheetName val="단  가  대  비  표"/>
      <sheetName val="일  위  대  가  목  록"/>
      <sheetName val="TYPE-1"/>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집계"/>
      <sheetName val="단계별내역 (橂】"/>
      <sheetName val="8.PILE  (돌출)"/>
      <sheetName val="45,46"/>
      <sheetName val="1표지-공사시방서"/>
      <sheetName val="2표지-설계내역서"/>
      <sheetName val="관급내역서"/>
      <sheetName val="aiming(일위대가표)"/>
      <sheetName val="산출서"/>
      <sheetName val="F단가비교표"/>
      <sheetName val="3표지-설계도면"/>
      <sheetName val="炷舅?XLS]데이타'!$E$124"/>
      <sheetName val="ls]노임"/>
      <sheetName val="____"/>
      <sheetName val="炷舅?XLS"/>
      <sheetName val="ls"/>
      <sheetName val="소일위대가코드표"/>
      <sheetName val="품셈집계표"/>
      <sheetName val="자재조사표(참고용)"/>
      <sheetName val="일반부표집계표"/>
      <sheetName val="품셈TABLE"/>
      <sheetName val="Customer Databas"/>
      <sheetName val="원내역"/>
      <sheetName val="공종단가"/>
      <sheetName val="참고"/>
      <sheetName val="장비별표(오거보링)(Ø400)(12M)"/>
      <sheetName val="䈘목(중국단풍-)"/>
      <sheetName val="갑  지"/>
      <sheetName val="unit 4"/>
      <sheetName val="화재 탐지 설비"/>
      <sheetName val="횡배수관재료-"/>
      <sheetName val="계산서(직선부)"/>
      <sheetName val="콘크리트측구연장"/>
      <sheetName val="-배수구조물공토공"/>
      <sheetName val="조명일위"/>
      <sheetName val="철근총괄집계표"/>
      <sheetName val="집수정(600-700)"/>
      <sheetName val="빗물받이(910-510-410)"/>
      <sheetName val="우수"/>
      <sheetName val="공종목록표"/>
      <sheetName val="파일의이용"/>
      <sheetName val="설계내역일위"/>
      <sheetName val="EACT10"/>
      <sheetName val="교사기준면적(초등)"/>
      <sheetName val="지주목시비량산출서"/>
      <sheetName val="49"/>
      <sheetName val="견적시담(송포2공구)"/>
      <sheetName val="직접경비"/>
      <sheetName val="직접인건비"/>
      <sheetName val="부하계산서"/>
      <sheetName val="남양내역"/>
      <sheetName val="개인"/>
      <sheetName val="공종별원가계산"/>
      <sheetName val="전주2本1"/>
      <sheetName val="토공산출(주차장)"/>
      <sheetName val="현장관리"/>
      <sheetName val="매입"/>
      <sheetName val="토공산출 (아파트)"/>
      <sheetName val="횡배수관토공수량"/>
      <sheetName val="품셈"/>
      <sheetName val="5 일위목록"/>
      <sheetName val="7 단가조사"/>
      <sheetName val="6 일위대가"/>
      <sheetName val="Mc1"/>
      <sheetName val="10공구일위"/>
      <sheetName val="Ⅶ-2.현장경비산출"/>
      <sheetName val="기계경비적용기준"/>
      <sheetName val="DT"/>
      <sheetName val="롤러"/>
      <sheetName val="펌프차타설"/>
      <sheetName val="시설물기초"/>
      <sheetName val="전기혼잡제경비(45)"/>
      <sheetName val="일위대가-1"/>
      <sheetName val="년도별시공"/>
      <sheetName val="골조대비내역"/>
      <sheetName val="평가내역"/>
      <sheetName val="123"/>
      <sheetName val="계수시트"/>
      <sheetName val="현장"/>
      <sheetName val="단가표 (2)"/>
      <sheetName val="1차 내역서"/>
      <sheetName val="대가표(품셈)"/>
      <sheetName val="내역서01"/>
      <sheetName val="GAS"/>
      <sheetName val="토집"/>
      <sheetName val="개소별수량산출"/>
      <sheetName val="근거(기밀댐퍼)"/>
      <sheetName val="일위집계표"/>
      <sheetName val="合成単価作成表-BLDG"/>
      <sheetName val="공사기본내용입력"/>
      <sheetName val="공통"/>
      <sheetName val="퇴직금(울산천상)"/>
      <sheetName val="4-10"/>
      <sheetName val="설계내"/>
      <sheetName val="제수"/>
      <sheetName val="공기"/>
      <sheetName val="교육종류"/>
      <sheetName val="부대공Ⅱ"/>
      <sheetName val="상 부"/>
      <sheetName val="전선 및 전선관"/>
      <sheetName val="금융"/>
      <sheetName val="DB@Acess"/>
      <sheetName val="Civil"/>
      <sheetName val="소야공정계획표"/>
      <sheetName val="22인공"/>
      <sheetName val="부하계산"/>
      <sheetName val="일반부표"/>
      <sheetName val="운동장 (2)"/>
      <sheetName val="시추주상도"/>
      <sheetName val="성곽내역서"/>
      <sheetName val="BH"/>
      <sheetName val="총괄표1"/>
      <sheetName val="Customer_Databas"/>
      <sheetName val="갑__지"/>
      <sheetName val="unit_4"/>
      <sheetName val="화재_탐지_설비"/>
      <sheetName val="토공산출_(아파트)"/>
      <sheetName val="1_설계조건"/>
      <sheetName val="Ⅶ-2_현장경비산출"/>
      <sheetName val="귀래_설계_공내역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기성청구"/>
      <sheetName val="중기일위대가"/>
      <sheetName val="EQUIP-H"/>
      <sheetName val="공통비총괄표"/>
      <sheetName val="주요항목별"/>
      <sheetName val="내역서2안"/>
      <sheetName val="부대공1(65-77,93-95)"/>
      <sheetName val="부대공2(78-"/>
      <sheetName val="배수및구조물공1"/>
      <sheetName val="구조물토공"/>
      <sheetName val="토공2(11~19)"/>
      <sheetName val="배수및구조물공2"/>
      <sheetName val="토공1(1~10,92)"/>
      <sheetName val="토공3(20~31)"/>
      <sheetName val="평교-내역"/>
      <sheetName val="구조물공1(51~56)"/>
      <sheetName val="간선"/>
      <sheetName val="전압"/>
      <sheetName val="조도"/>
      <sheetName val="동력"/>
      <sheetName val="D&amp;P특기사항"/>
      <sheetName val="우각부보강"/>
      <sheetName val="EQT-ESTN"/>
      <sheetName val="공종집계"/>
      <sheetName val="날개벽(좌,우=60도-4개)"/>
      <sheetName val="03하반기내역서"/>
      <sheetName val="04상반기"/>
      <sheetName val="공작물조직표(용배수)"/>
      <sheetName val=" 견적서"/>
      <sheetName val="인부신상자료"/>
      <sheetName val="퍼스트"/>
      <sheetName val="자단"/>
      <sheetName val="인공산출"/>
      <sheetName val="11월"/>
      <sheetName val="수량계산서 집계표(가설 신설 및 철거-을지로3가 3호선)"/>
      <sheetName val="수량계산서 집계표(신설-을지로3가 3호선)"/>
      <sheetName val="수량계산서 집계표(철거-을지로3가 3호선)"/>
      <sheetName val="bearing"/>
      <sheetName val="단가표_(2)"/>
      <sheetName val="수목데이타 "/>
      <sheetName val="투찰금액"/>
      <sheetName val="날개벽수량표"/>
      <sheetName val="평형별수량표"/>
      <sheetName val="가설개략"/>
      <sheetName val="평당"/>
      <sheetName val="매입세"/>
      <sheetName val="창호"/>
      <sheetName val="천방교접속"/>
      <sheetName val="EJ"/>
      <sheetName val="1차_내역서"/>
      <sheetName val="계산내역(설비)"/>
      <sheetName val="와동25-3(변경)"/>
      <sheetName val="가격비"/>
      <sheetName val="炷舅_XLS_데이타'!$E$124"/>
      <sheetName val="ls_노임"/>
      <sheetName val="炷舅_XLS"/>
      <sheetName val="전계가"/>
      <sheetName val="배수판"/>
      <sheetName val="TB-내역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주관사업"/>
      <sheetName val="PW3"/>
      <sheetName val="PW4"/>
      <sheetName val="SC1"/>
      <sheetName val="PE"/>
      <sheetName val="PM"/>
      <sheetName val="TR"/>
      <sheetName val="교대시점"/>
      <sheetName val="TEL"/>
      <sheetName val="담장산출"/>
      <sheetName val="테이블"/>
      <sheetName val="8.석축단위(H=1.5M)"/>
      <sheetName val="개거산출내역"/>
      <sheetName val="기록대장"/>
      <sheetName val="단਀腹԰"/>
      <sheetName val="전기내역1"/>
      <sheetName val="00000"/>
      <sheetName val="기怀፵ꈀ"/>
      <sheetName val="램퀀"/>
      <sheetName val="월ԯ_x0000_缀"/>
      <sheetName val="월Ň԰"/>
      <sheetName val="월԰ԯ_x0000_"/>
      <sheetName val="기䩇ԯ"/>
      <sheetName val="월䩇ԯ"/>
      <sheetName val="월片ԯ"/>
      <sheetName val="월ကᙿ"/>
      <sheetName val="3단계"/>
      <sheetName val="2단계"/>
      <sheetName val="월԰瀀፮"/>
      <sheetName val="기堀᎟鰀"/>
      <sheetName val="기怀፵"/>
      <sheetName val="월堀᎟鰀"/>
      <sheetName val="날怀፵"/>
      <sheetName val="램怀"/>
      <sheetName val="램堀"/>
      <sheetName val="월별氀饿"/>
      <sheetName val="기԰_x0000_缀"/>
      <sheetName val="프랜怀፵"/>
      <sheetName val="월԰堀᎟"/>
      <sheetName val="철_xdc00_"/>
      <sheetName val="철ᰀ"/>
      <sheetName val="원가계산서구조조ꠀ"/>
      <sheetName val="원가계산서구조조저"/>
      <sheetName val="원가계산서구조조좬"/>
      <sheetName val="원가계산서구조조ԯ"/>
      <sheetName val="8설7헾"/>
      <sheetName val="금리계산"/>
      <sheetName val="개소별집계표"/>
      <sheetName val="주요자재집계표"/>
      <sheetName val="현장관리_x0005_"/>
      <sheetName val="3.피뢰공_x0005_"/>
      <sheetName val="8䈀ᅪ԰"/>
      <sheetName val="단가비교표"/>
      <sheetName val="하중계산"/>
      <sheetName val="4_시방서롌቟"/>
      <sheetName val="4_시방서Ռ_x0000_"/>
      <sheetName val="단가일灘"/>
      <sheetName val="2공구_단가(대동)1"/>
      <sheetName val="단가일茐"/>
      <sheetName val="PACKING_LISþ"/>
      <sheetName val="PACKING_LIS¸"/>
      <sheetName val="단가일헾"/>
      <sheetName val="본선토량운반계산서(1)0"/>
      <sheetName val="단면상수 및 주빔설계"/>
      <sheetName val="기술자자료敧ぞ"/>
      <sheetName val="기술자자료游/"/>
      <sheetName val="환경일위대가"/>
      <sheetName val="노임단가 (2)"/>
      <sheetName val="단가산출서(기계)"/>
      <sheetName val="직접䈀ᅪ԰_x0000_"/>
      <sheetName val="흥양2교토공집계표"/>
      <sheetName val="1-4-_x0000__x0000__x0005__x0000_㳀ҙ"/>
      <sheetName val="등가관장표"/>
      <sheetName val="가격자료"/>
      <sheetName val="6"/>
      <sheetName val="기본1"/>
      <sheetName val="수정일위대가"/>
      <sheetName val="1공구_단가_餀ԯ_x0000_"/>
      <sheetName val="AL공사(ᰀ፜"/>
      <sheetName val="AL공사(䀀፣"/>
      <sheetName val="부하(성남)"/>
      <sheetName val="sub"/>
      <sheetName val="가설"/>
      <sheetName val="구조포설"/>
      <sheetName val="복구"/>
      <sheetName val="부호표"/>
      <sheetName val="기성내역서표지"/>
      <sheetName val="당초내역서"/>
      <sheetName val="Y-WORK"/>
      <sheetName val="절감계산"/>
      <sheetName val="접합 및 부설 "/>
      <sheetName val="공사"/>
      <sheetName val="차도조도계산"/>
      <sheetName val="1차네트공정"/>
      <sheetName val="계정과목"/>
      <sheetName val="현장구분"/>
      <sheetName val="참조-(1)"/>
      <sheetName val="비계缀ᴪ"/>
      <sheetName val="비계ꀀ᩶"/>
      <sheetName val="월별수唀"/>
      <sheetName val="월별수徸"/>
      <sheetName val="기안"/>
      <sheetName val="(3.품질관리 시험 총괄표)"/>
      <sheetName val="설계산출기怀"/>
      <sheetName val="(1)본선수량집계"/>
      <sheetName val="하부철근수량"/>
      <sheetName val="경상비"/>
      <sheetName val="연돌일위집계"/>
      <sheetName val="좌측"/>
      <sheetName val="4차원가계산서"/>
      <sheetName val="수문일1"/>
      <sheetName val="2001년계약내력출력분"/>
      <sheetName val="1차기성분내력"/>
      <sheetName val="계정c헾】_x0005_"/>
      <sheetName val="가시설단위수량"/>
      <sheetName val="SORCE1"/>
      <sheetName val="4.전기"/>
      <sheetName val="CODE"/>
      <sheetName val="골조공사"/>
      <sheetName val="설계내역서 "/>
      <sheetName val="토공정보"/>
      <sheetName val="2공구하_x0005__x0000__x0000__x0000_"/>
      <sheetName val="XXXXXX"/>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계약내역서(을지)"/>
      <sheetName val="배수장공사囘$ᯑ⾉"/>
      <sheetName val="criteria(enlc)"/>
      <sheetName val="TYPE-A"/>
      <sheetName val="5정거장"/>
      <sheetName val="1-3길내기"/>
      <sheetName val="준공조서"/>
      <sheetName val="공사준공계"/>
      <sheetName val="준공검사보고서"/>
      <sheetName val="5_시방서(일반시丵〒_x0005_"/>
      <sheetName val="2공구_단가(산광)1"/>
      <sheetName val="1_토공1"/>
      <sheetName val="2_배수공1"/>
      <sheetName val="3_구조물공1"/>
      <sheetName val="4_포장공1"/>
      <sheetName val="PACKING_LIST1"/>
      <sheetName val="지주목_및_비료산출기준1"/>
      <sheetName val="el\설계서\수목일위_XLS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전차선로_물량표1"/>
      <sheetName val="일위대가_1"/>
      <sheetName val="하도급대비"/>
      <sheetName val="안양동丵〒_x0005__x0000_"/>
      <sheetName val="현장관丵〒"/>
      <sheetName val="총괄,내역"/>
      <sheetName val="단가조건(02년)"/>
      <sheetName val="돌담교 상부수량"/>
      <sheetName val="기계내역서"/>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15_소방공사"/>
      <sheetName val="12_옥외_방송공사"/>
      <sheetName val="8_옥외_보안등공사"/>
      <sheetName val="G-IL"/>
      <sheetName val="BU"/>
      <sheetName val="IL"/>
      <sheetName val="EQ-R1"/>
      <sheetName val="기계경비시간당손료목록"/>
      <sheetName val="자재조사표"/>
      <sheetName val="04년부품"/>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방호시설검토"/>
      <sheetName val="회사기헾】_x0005_"/>
      <sheetName val="회사기奐'妜"/>
      <sheetName val="예산서"/>
      <sheetName val="노무비 근거"/>
      <sheetName val="산출내역"/>
      <sheetName val="총괄_x0000_谂በ"/>
      <sheetName val="입缀숪"/>
      <sheetName val="좌측԰_x0000_缀"/>
      <sheetName val="맨홀수ׇឃ"/>
      <sheetName val="규격 단가표"/>
      <sheetName val="costing_CV"/>
      <sheetName val="Pipe"/>
      <sheetName val="3차준공"/>
      <sheetName val="수_x0005_"/>
      <sheetName val="수僰"/>
      <sheetName val="h-013211-2"/>
      <sheetName val="주공Գ︀ᇕ"/>
      <sheetName val="TYPE-B 평균H"/>
      <sheetName val="정화조방_x0000__x0000__x0005_"/>
      <sheetName val="정화조방_x0000__x0000_ᅠ"/>
      <sheetName val="중기목록"/>
      <sheetName val="중기내역"/>
      <sheetName val="구역화물"/>
      <sheetName val="95년기준조정"/>
      <sheetName val="Site Expenses"/>
      <sheetName val="el\설계서\수목일위_XLS]데이타2"/>
      <sheetName val="1공구_단가_(정원)2"/>
      <sheetName val="1공구_단가_(산광)2"/>
      <sheetName val="1공구_단가_(용호)2"/>
      <sheetName val="간지_(2)2"/>
      <sheetName val="2공구_단가(인성)2"/>
      <sheetName val="제출내역_(2)1"/>
      <sheetName val="골조-APT_갑지1"/>
      <sheetName val="중기조종사_단위단가1"/>
      <sheetName val="원가계산_(2)1"/>
      <sheetName val="참조_(2)1"/>
      <sheetName val="기초입력_DATA1"/>
      <sheetName val="일위대가_(식재)1"/>
      <sheetName val="3_바닥판__1"/>
      <sheetName val="설명서_1"/>
      <sheetName val="11-2_아파트내역1"/>
      <sheetName val="인건비_1"/>
      <sheetName val="6-1__관개량조서1"/>
      <sheetName val="자재단가2007_101"/>
      <sheetName val="자재단가2008_41"/>
      <sheetName val="INDEX__LIST1"/>
      <sheetName val="주빔의_설계1"/>
      <sheetName val="플랜트_설치1"/>
      <sheetName val="아파트_내역1"/>
      <sheetName val="7_원가계산서(품셈)1"/>
      <sheetName val="단가산출근거_목록표1"/>
      <sheetName val="단_가_산_출_근_거1"/>
      <sheetName val="중기_목록표1"/>
      <sheetName val="시간당_중기사용료1"/>
      <sheetName val="환율및_기초자료1"/>
      <sheetName val="표__지1"/>
      <sheetName val="실행,원가_최종예상"/>
      <sheetName val="횡_연장1"/>
      <sheetName val="자재_집계표1"/>
      <sheetName val="내역서1999_8최종1"/>
      <sheetName val="안양동교_1안"/>
      <sheetName val="Sheet4[수목일위_XLS]가드레일산근"/>
      <sheetName val="주공_갑지"/>
      <sheetName val="7_계측제어1"/>
      <sheetName val="6_동력1"/>
      <sheetName val="13_방송공사1"/>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G_R300경비"/>
      <sheetName val="1-4-2_관(약)1"/>
      <sheetName val="CABLE_SIZE-11"/>
      <sheetName val="설계변경내역_98"/>
      <sheetName val="2_고용보험료산출근거"/>
      <sheetName val="단계별내역_(2)"/>
      <sheetName val="공사별_가중치_산출근거(토목)"/>
      <sheetName val="공사별_가중치_산출근거(건축)"/>
      <sheetName val="총괄_내역서"/>
      <sheetName val="개별직종노임단가(2005_1)"/>
      <sheetName val="TABLE_DB"/>
      <sheetName val="쌍용_data_base"/>
      <sheetName val="현장관리비_산출내역"/>
      <sheetName val="8_설치품셈"/>
      <sheetName val="개비온_단위"/>
      <sheetName val="6__안전관리비"/>
      <sheetName val="계장_품셈표"/>
      <sheetName val="토공(우물통,기타)_"/>
      <sheetName val="사업비변경내역(96_9단가)"/>
      <sheetName val="_상부공통집계(총괄)"/>
      <sheetName val="본실행"/>
      <sheetName val="24_보증금"/>
      <sheetName val="1~9_하중계산"/>
      <sheetName val="실행내역서_"/>
      <sheetName val="각사별공사비분개_"/>
      <sheetName val="내역서_제출"/>
      <sheetName val="A_LINE"/>
      <sheetName val="Sheet4[수목일위_XLS]가드레일산근耀[수목일"/>
      <sheetName val="경율산정_XLS"/>
      <sheetName val="4_설계예산내역서"/>
      <sheetName val="6_관급자재조서"/>
      <sheetName val="3_예정공정표"/>
      <sheetName val="7_청제공기계기구조서"/>
      <sheetName val="el_설계서_수목일위_XLS_데이타"/>
      <sheetName val="el_설계서_수목일위_XLS"/>
      <sheetName val="공사비_증감_내역서"/>
      <sheetName val="원가계산서"/>
      <sheetName val="Site_Expenses"/>
      <sheetName val="1-4-㳀ҙ"/>
      <sheetName val="소방_하_내역"/>
      <sheetName val="24_보증금(전신전화가입권)"/>
      <sheetName val="6_송금의뢰내역서"/>
      <sheetName val="단면_(2)"/>
      <sheetName val="토__공"/>
      <sheetName val="6PILE__(돌출)"/>
      <sheetName val="세골재__T2_변경_현황"/>
      <sheetName val="건설剸"/>
      <sheetName val="5__현장관리비(new)_"/>
      <sheetName val="품셈_"/>
      <sheetName val="우측날개"/>
      <sheetName val="1_취수장"/>
      <sheetName val="자재_집"/>
      <sheetName val="3_고용보험료산출근거"/>
      <sheetName val="4_고용보험"/>
      <sheetName val="단가비교표(전기)"/>
      <sheetName val="인부노임단가"/>
      <sheetName val="가스(내역)"/>
      <sheetName val="협력丵⽙"/>
      <sheetName val="D-철근0_x0000_"/>
      <sheetName val="원가계헾】_x0005_"/>
      <sheetName val="관련자료詈_x0015_"/>
      <sheetName val="G.R300경׃"/>
      <sheetName val="세부窨_x0013_竬"/>
      <sheetName val="옹벽수량집계표"/>
      <sheetName val="1-4-2_관(약⠀"/>
      <sheetName val="전기실(고압)"/>
      <sheetName val="14.TV공_x0005_"/>
      <sheetName val="배관배선내역"/>
      <sheetName val="본사공가᳈፜"/>
      <sheetName val="실행내역서(DCU)"/>
      <sheetName val="산출집계"/>
      <sheetName val="1. 조명내역서(조명설치)"/>
      <sheetName val="2. 조명내역서(조명자재)"/>
      <sheetName val="일위대가집계표"/>
      <sheetName val="미사용현황"/>
      <sheetName val="코드시트"/>
      <sheetName val="사용자료"/>
      <sheetName val="노단"/>
      <sheetName val="변경내역대비표(2)"/>
      <sheetName val="바닥판(1)"/>
      <sheetName val="투찰내역"/>
      <sheetName val="8설7︀"/>
      <sheetName val="48일위_x0005__x0000__x0000_"/>
      <sheetName val="MATERIAL"/>
      <sheetName val="16_설계서용지(씀逖"/>
      <sheetName val="하자보증자Á"/>
      <sheetName val="발주내역서"/>
      <sheetName val="하자보증자_x0000_"/>
      <sheetName val="[수목일위.XLS][수목일위.XLS]el________2"/>
      <sheetName val="[수목일위.XLS][수목일위.XLS]el________3"/>
      <sheetName val="[수목일위.XLS]el\설계서\수목일위_XLS]데이타"/>
      <sheetName val="[수목일위.XLS]el\설계서\수목일위_XLS"/>
      <sheetName val="[수목일위.XLS]el\설계서\수목일위_XLS]데이타1"/>
      <sheetName val="[수목일위.XLS]el\설계서\수목일위_XLS]데이타2"/>
      <sheetName val="[수목일위.XLS]el\설계서\수목일위_XLS1"/>
      <sheetName val="[수목일위.XLS]el\설계서\수목일︀ᇕ԰_x0000_缀_x0000__x0000__x0000_Ȁ"/>
      <sheetName val="[수목일위.XLS]el\설계서\수목일︀ᇕ԰_x0000_缀_x0000__x0000__x0000_焀"/>
      <sheetName val="[수목일위.XLS]el\설계서\수목일︀ᇕ԰_x0000_缀_x0000__x0000__x0000_Ԁ"/>
      <sheetName val="단가일_x0000_"/>
      <sheetName val="단가일︾"/>
      <sheetName val="중간부"/>
      <sheetName val="횡배위치"/>
      <sheetName val="취수탑공사비"/>
      <sheetName val="기초처리공사비"/>
      <sheetName val="복통공사비"/>
      <sheetName val="진입도로공사비"/>
      <sheetName val="시험비"/>
      <sheetName val="가제당공사비"/>
      <sheetName val="토취장복구"/>
      <sheetName val="철근량산정및畠_x0013_䌢〚_x0005_"/>
      <sheetName val="실행,원惇፵∀ᩃ԰_x0000_"/>
      <sheetName val="신︀"/>
      <sheetName val="단가헾⿚"/>
      <sheetName val="단가일ﺭ"/>
      <sheetName val="단가일䢭"/>
      <sheetName val="[수목일위.XLS][수목일위.XLS]el\설계서\수목일위"/>
      <sheetName val="[수목일위.XLS][수목일위.XLS][수목일위.XLS]e"/>
      <sheetName val="조도계산서 (도서)"/>
      <sheetName val="제품별"/>
      <sheetName val="설명서"/>
      <sheetName val="분전반계산서(석관)"/>
      <sheetName val="현장ᘀ᨜԰"/>
      <sheetName val="설계개요"/>
      <sheetName val="통계연보"/>
      <sheetName val="D-䈀ᅪ԰_x0000_"/>
      <sheetName val="2공구_단가(대_x0000__x0000_"/>
      <sheetName val="2공구_단가(대頀㙿"/>
      <sheetName val="이름"/>
      <sheetName val="사업분석_x0000__x0000_Ԁ_x0000__x0000_㣾"/>
      <sheetName val="공사내역서"/>
      <sheetName val="단가일丵"/>
      <sheetName val="단산"/>
      <sheetName val="명세"/>
      <sheetName val="일대"/>
      <sheetName val="일위대׈_x0000_缀_x0000__x0000_"/>
      <sheetName val="횡芸Â헾"/>
      <sheetName val="포장집계"/>
      <sheetName val="포장연장"/>
      <sheetName val="포장수량"/>
      <sheetName val="상호참고헾⾣"/>
      <sheetName val="단가일_xd800_"/>
      <sheetName val="2006납품"/>
      <sheetName val="9.전등噪"/>
      <sheetName val="산皸_x001b_"/>
      <sheetName val="산碘&quot;"/>
      <sheetName val="산帖め"/>
      <sheetName val="산瞈_x001a_"/>
      <sheetName val="증감대비표"/>
      <sheetName val="2.고용보험㥝〒_x0005__x0000_"/>
      <sheetName val="일대-1"/>
      <sheetName val="2.교량(신설)"/>
      <sheetName val="총공비"/>
      <sheetName val="개별직종노임단가(2005.1徸"/>
      <sheetName val="설계산ᛅ〒_x0005_"/>
      <sheetName val="출력X"/>
      <sheetName val="직원헾】_x0005__x0000_"/>
      <sheetName val="단가催릓"/>
      <sheetName val="하자보수율"/>
      <sheetName val="배수︀"/>
      <sheetName val="cal"/>
      <sheetName val="KP1590_E"/>
      <sheetName val="거래내역"/>
      <sheetName val="매원개착터널총괄"/>
      <sheetName val="건축(산출)"/>
      <sheetName val="토목(산출)"/>
      <sheetName val="노임,자재"/>
      <sheetName val="ABUT수량-A㔀"/>
      <sheetName val="ABUT수량-Aԇ"/>
      <sheetName val="ABUT수량-Aက"/>
      <sheetName val="정화조방수미㬁"/>
      <sheetName val="정화조방수미/"/>
      <sheetName val="3련 BOX"/>
      <sheetName val="ABUT수량-A԰"/>
      <sheetName val="안전건강연금"/>
      <sheetName val="건축실적"/>
      <sheetName val="고용퇴직"/>
      <sheetName val="기계실적"/>
      <sheetName val="물가기준년"/>
      <sheetName val="노임산재"/>
      <sheetName val="장비기준"/>
      <sheetName val="조경수목"/>
      <sheetName val="토목실적"/>
      <sheetName val="setup"/>
      <sheetName val="가격"/>
      <sheetName val="명세서"/>
      <sheetName val="1.1서버도입"/>
      <sheetName val="el\설계서\수목︀ᇕ԰_x0000_缀_x0000__x0000__x0000_䘀_xd802_"/>
      <sheetName val="unitpric"/>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내역서총䠀⻀"/>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인원계획-미화"/>
      <sheetName val="8"/>
      <sheetName val="10"/>
      <sheetName val="12"/>
      <sheetName val="9"/>
      <sheetName val="11"/>
      <sheetName val="3.바닥판설계"/>
      <sheetName val="도급예산내역서총0_x0000_"/>
      <sheetName val="도급예산내역서총/_x0000_"/>
      <sheetName val="도급예산내역서총︀㳕"/>
      <sheetName val="배수장공사비명_x0000__x0000_"/>
      <sheetName val="배수장공사비명䡲⿛"/>
      <sheetName val="도급예산내역서총蠊ᙌ"/>
      <sheetName val="도급예산내역서총蠌き"/>
      <sheetName val="배수장공사비명䡲ぇ"/>
      <sheetName val="전기수량집계"/>
      <sheetName val="라.공사비"/>
      <sheetName val="다.도서인쇄비 "/>
      <sheetName val="날㔀੎"/>
      <sheetName val="간접1"/>
      <sheetName val="구분표"/>
      <sheetName val="제원입력"/>
      <sheetName val="수량-가로등"/>
      <sheetName val="부산4"/>
      <sheetName val="일위稀_x001e_⩿"/>
      <sheetName val="[수목일위.XLS]정화조방수미/"/>
      <sheetName val="[수목일위.XLS]el\설계서\수목︀ᇕ԰_x0000_缀_x0000__x0000__x0000_䘀_xd802_"/>
      <sheetName val="[수목일위.XLS]기술자자료游/"/>
      <sheetName val="[수목일위.XLS]도급예산내역서총/_x0000_"/>
      <sheetName val="변동인원"/>
      <sheetName val="자재⸀朋"/>
      <sheetName val="대전-교대(A1-A2)"/>
      <sheetName val="인ꠀ"/>
      <sheetName val="상호참고_x0005_헾"/>
      <sheetName val="96작생능"/>
      <sheetName val="대총괄"/>
      <sheetName val="난방방식분류"/>
      <sheetName val="공사정보입력"/>
      <sheetName val="일위_파일"/>
      <sheetName val="원가계ԯ_x0000_缀"/>
      <sheetName val="수설계"/>
      <sheetName val="중기집︀"/>
      <sheetName val="중기집堀"/>
      <sheetName val="5.자금이체명세서"/>
      <sheetName val="RAHMEN"/>
      <sheetName val="상계견적"/>
      <sheetName val="9GN︀ᇕ԰"/>
      <sheetName val="하자보증자ﻁ"/>
      <sheetName val="설계산출표︀"/>
      <sheetName val="내역서1999.聈8헾"/>
      <sheetName val="단가 (2)"/>
      <sheetName val="용역단가"/>
      <sheetName val="2.고용보험԰_x0000_缀_x0000__x0000_"/>
      <sheetName val="가중치근거栀⦅가⦅"/>
      <sheetName val="기종별 합계"/>
      <sheetName val="산출1"/>
      <sheetName val="변화치수"/>
      <sheetName val="인수공규격"/>
      <sheetName val="미원천정비재료집계표"/>
      <sheetName val="권역안내판재료집계표"/>
      <sheetName val="마을쉼터조성재료집계표"/>
      <sheetName val="자재대(물량)"/>
      <sheetName val="부대공사재료집계표"/>
      <sheetName val="경비내역徸〒_x0005__x0000_"/>
      <sheetName val="원가계≎"/>
      <sheetName val="원가계≎"/>
      <sheetName val="원가계⠏ፏ蠀"/>
      <sheetName val="원가계⠙ፏ_x0000_"/>
      <sheetName val="원가계산서墠_x0016_壬_x0016_"/>
      <sheetName val="개墠"/>
      <sheetName val="개嘠"/>
      <sheetName val="공사별 가중치 산출근거(토존❒"/>
      <sheetName val="개勈"/>
      <sheetName val="개嗐"/>
      <sheetName val="매채조蠀"/>
      <sheetName val="원가계산서垀_x001b_埌_x001b_"/>
      <sheetName val="개_x0000_"/>
      <sheetName val="원가계산서夸_x0014_丵⾌"/>
      <sheetName val="원가계산서丵』_x0005__x0000_"/>
      <sheetName val="원가계산서劸.丵⾁"/>
      <sheetName val="개呠"/>
      <sheetName val="원가계산서_x0000__x0000__x0005__x0000_"/>
      <sheetName val="방배동내역(리라)"/>
      <sheetName val="건축공사집계표"/>
      <sheetName val="방배동내역 (총괄)"/>
      <sheetName val="부대공사총괄"/>
      <sheetName val="배_x0000__x0000_Ԁ"/>
      <sheetName val="c_balju"/>
      <sheetName val="관경별내역서"/>
      <sheetName val="암거橂⽬"/>
      <sheetName val="현장਀腹԰"/>
      <sheetName val="단가(자헾】"/>
      <sheetName val="개헾"/>
      <sheetName val="본사공가현헾"/>
      <sheetName val="4차공사"/>
      <sheetName val="전기공사비총괄"/>
      <sheetName val="내역서-토목"/>
      <sheetName val="수량산출서(원본)"/>
      <sheetName val="[수목일위.XLS][수목일위.XLS]el_______12"/>
      <sheetName val="[수목일위.XLS][수목일위.XLS]el_______13"/>
      <sheetName val="[수목일위.XLS][수목일위.XLS]el________8"/>
      <sheetName val="[수목일위.XLS][수목일위.XLS]el________9"/>
      <sheetName val="[수목일위.XLS][수목일위.XLS]el________6"/>
      <sheetName val="[수목일위.XLS][수목일위.XLS]el________7"/>
      <sheetName val="[수목일위.XLS][수목일위.XLS]el_______10"/>
      <sheetName val="[수목일위.XLS][수목일위.XLS]el_______11"/>
    </sheetNames>
    <sheetDataSet>
      <sheetData sheetId="0" refreshError="1"/>
      <sheetData sheetId="1" refreshError="1"/>
      <sheetData sheetId="2" refreshError="1"/>
      <sheetData sheetId="3" refreshError="1"/>
      <sheetData sheetId="4" refreshError="1"/>
      <sheetData sheetId="5" refreshError="1">
        <row r="2">
          <cell r="E2">
            <v>23200</v>
          </cell>
        </row>
        <row r="74">
          <cell r="E74">
            <v>482500</v>
          </cell>
        </row>
      </sheetData>
      <sheetData sheetId="6">
        <row r="2">
          <cell r="E2">
            <v>23200</v>
          </cell>
        </row>
      </sheetData>
      <sheetData sheetId="7">
        <row r="2">
          <cell r="E2">
            <v>23200</v>
          </cell>
        </row>
      </sheetData>
      <sheetData sheetId="8">
        <row r="2">
          <cell r="E2">
            <v>23200</v>
          </cell>
        </row>
      </sheetData>
      <sheetData sheetId="9" refreshError="1"/>
      <sheetData sheetId="10" refreshError="1"/>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ow r="2">
          <cell r="E2">
            <v>23200</v>
          </cell>
        </row>
      </sheetData>
      <sheetData sheetId="22">
        <row r="2">
          <cell r="E2">
            <v>23200</v>
          </cell>
        </row>
      </sheetData>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ow r="2">
          <cell r="E2">
            <v>23200</v>
          </cell>
        </row>
      </sheetData>
      <sheetData sheetId="36">
        <row r="2">
          <cell r="E2">
            <v>23200</v>
          </cell>
        </row>
      </sheetData>
      <sheetData sheetId="37" refreshError="1"/>
      <sheetData sheetId="38" refreshError="1"/>
      <sheetData sheetId="39" refreshError="1"/>
      <sheetData sheetId="40" refreshError="1"/>
      <sheetData sheetId="41">
        <row r="2">
          <cell r="E2">
            <v>23200</v>
          </cell>
        </row>
      </sheetData>
      <sheetData sheetId="42" refreshError="1"/>
      <sheetData sheetId="43">
        <row r="5">
          <cell r="B5" t="str">
            <v>백-호</v>
          </cell>
        </row>
      </sheetData>
      <sheetData sheetId="44">
        <row r="2">
          <cell r="E2">
            <v>23200</v>
          </cell>
        </row>
      </sheetData>
      <sheetData sheetId="45">
        <row r="2">
          <cell r="E2">
            <v>23200</v>
          </cell>
        </row>
      </sheetData>
      <sheetData sheetId="46">
        <row r="2">
          <cell r="E2">
            <v>23200</v>
          </cell>
        </row>
      </sheetData>
      <sheetData sheetId="47">
        <row r="2">
          <cell r="E2">
            <v>23200</v>
          </cell>
        </row>
      </sheetData>
      <sheetData sheetId="48">
        <row r="2">
          <cell r="E2">
            <v>23200</v>
          </cell>
        </row>
      </sheetData>
      <sheetData sheetId="49">
        <row r="2">
          <cell r="E2">
            <v>23200</v>
          </cell>
        </row>
      </sheetData>
      <sheetData sheetId="50">
        <row r="2">
          <cell r="E2">
            <v>23200</v>
          </cell>
        </row>
      </sheetData>
      <sheetData sheetId="51">
        <row r="2">
          <cell r="E2">
            <v>23200</v>
          </cell>
        </row>
      </sheetData>
      <sheetData sheetId="52">
        <row r="2">
          <cell r="E2">
            <v>23200</v>
          </cell>
        </row>
      </sheetData>
      <sheetData sheetId="53">
        <row r="2">
          <cell r="E2">
            <v>23200</v>
          </cell>
        </row>
      </sheetData>
      <sheetData sheetId="54">
        <row r="2">
          <cell r="E2">
            <v>23200</v>
          </cell>
        </row>
      </sheetData>
      <sheetData sheetId="55">
        <row r="2">
          <cell r="E2">
            <v>23200</v>
          </cell>
        </row>
      </sheetData>
      <sheetData sheetId="56" refreshError="1"/>
      <sheetData sheetId="57">
        <row r="2">
          <cell r="E2">
            <v>23200</v>
          </cell>
        </row>
      </sheetData>
      <sheetData sheetId="58">
        <row r="2">
          <cell r="E2">
            <v>23200</v>
          </cell>
        </row>
      </sheetData>
      <sheetData sheetId="59">
        <row r="2">
          <cell r="E2">
            <v>23200</v>
          </cell>
        </row>
      </sheetData>
      <sheetData sheetId="60">
        <row r="2">
          <cell r="E2">
            <v>23200</v>
          </cell>
        </row>
      </sheetData>
      <sheetData sheetId="61">
        <row r="2">
          <cell r="E2">
            <v>23200</v>
          </cell>
        </row>
      </sheetData>
      <sheetData sheetId="62">
        <row r="2">
          <cell r="E2">
            <v>23200</v>
          </cell>
        </row>
      </sheetData>
      <sheetData sheetId="63">
        <row r="2">
          <cell r="E2">
            <v>23200</v>
          </cell>
        </row>
      </sheetData>
      <sheetData sheetId="64">
        <row r="2">
          <cell r="E2">
            <v>23200</v>
          </cell>
        </row>
      </sheetData>
      <sheetData sheetId="65">
        <row r="5">
          <cell r="B5" t="str">
            <v>백-호</v>
          </cell>
        </row>
      </sheetData>
      <sheetData sheetId="66">
        <row r="5">
          <cell r="B5" t="str">
            <v>백-호</v>
          </cell>
        </row>
      </sheetData>
      <sheetData sheetId="67">
        <row r="5">
          <cell r="B5" t="str">
            <v>백-호</v>
          </cell>
        </row>
      </sheetData>
      <sheetData sheetId="68">
        <row r="2">
          <cell r="E2">
            <v>23200</v>
          </cell>
        </row>
      </sheetData>
      <sheetData sheetId="69">
        <row r="2">
          <cell r="E2">
            <v>23200</v>
          </cell>
        </row>
      </sheetData>
      <sheetData sheetId="70">
        <row r="2">
          <cell r="E2">
            <v>23200</v>
          </cell>
        </row>
      </sheetData>
      <sheetData sheetId="71">
        <row r="2">
          <cell r="E2">
            <v>23200</v>
          </cell>
        </row>
      </sheetData>
      <sheetData sheetId="72">
        <row r="2">
          <cell r="E2">
            <v>23200</v>
          </cell>
        </row>
      </sheetData>
      <sheetData sheetId="73">
        <row r="2">
          <cell r="E2">
            <v>23200</v>
          </cell>
        </row>
      </sheetData>
      <sheetData sheetId="74">
        <row r="2">
          <cell r="E2">
            <v>23200</v>
          </cell>
        </row>
      </sheetData>
      <sheetData sheetId="75">
        <row r="2">
          <cell r="E2">
            <v>23200</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ow r="5">
          <cell r="B5" t="str">
            <v>백-호</v>
          </cell>
        </row>
      </sheetData>
      <sheetData sheetId="1776">
        <row r="5">
          <cell r="B5" t="str">
            <v>백-호</v>
          </cell>
        </row>
      </sheetData>
      <sheetData sheetId="1777">
        <row r="5">
          <cell r="B5" t="str">
            <v>백-호</v>
          </cell>
        </row>
      </sheetData>
      <sheetData sheetId="1778">
        <row r="5">
          <cell r="B5" t="str">
            <v>백-호</v>
          </cell>
        </row>
      </sheetData>
      <sheetData sheetId="1779">
        <row r="5">
          <cell r="B5" t="str">
            <v>백-호</v>
          </cell>
        </row>
      </sheetData>
      <sheetData sheetId="1780">
        <row r="5">
          <cell r="B5" t="str">
            <v>백-호</v>
          </cell>
        </row>
      </sheetData>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row r="5">
          <cell r="B5" t="str">
            <v>백-호</v>
          </cell>
        </row>
      </sheetData>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행"/>
      <sheetName val="6호기"/>
      <sheetName val="월별산출-직원"/>
      <sheetName val="laroux"/>
      <sheetName val="급여산정"/>
      <sheetName val="총괄표"/>
      <sheetName val="집계표"/>
      <sheetName val="내역서"/>
      <sheetName val="회의록"/>
      <sheetName val="VXXXXX"/>
      <sheetName val="VXXXX"/>
      <sheetName val="@요약표"/>
      <sheetName val="@견적조건"/>
      <sheetName val="新주택문화관수준"/>
      <sheetName val="@최종(상승포함)"/>
      <sheetName val="리모델링"/>
      <sheetName val="금액확인"/>
      <sheetName val="@갑지&amp;DATA"/>
      <sheetName val="공유보정"/>
      <sheetName val="층,세대,연면적보정"/>
      <sheetName val="@토공-흙막이"/>
      <sheetName val="[6호기ࡴ집행"/>
      <sheetName val="집행품의"/>
      <sheetName val="집행품의 (2)"/>
      <sheetName val="안전난간"/>
      <sheetName val="안전표어공모"/>
      <sheetName val="준설"/>
      <sheetName val="바리케이트"/>
      <sheetName val="시공팀업무분장"/>
      <sheetName val="레미탈"/>
      <sheetName val="안,환,업무분장"/>
      <sheetName val="배수판"/>
      <sheetName val="목차"/>
      <sheetName val="50m도로변가설휀스"/>
      <sheetName val="가설출입문 (2)"/>
      <sheetName val="Sheet1 (2)"/>
      <sheetName val="휀스민원"/>
      <sheetName val="쓰레기민원"/>
      <sheetName val="진동및소음"/>
      <sheetName val="사진대지"/>
      <sheetName val="Sheet1"/>
      <sheetName val="Sheet2"/>
      <sheetName val="Sheet3"/>
      <sheetName val="대전(세창동)"/>
      <sheetName val="한강운반비"/>
      <sheetName val="입찰안"/>
      <sheetName val="물가시세"/>
      <sheetName val="96노임기준"/>
      <sheetName val="식재"/>
      <sheetName val="시설물"/>
      <sheetName val="식재출력용"/>
      <sheetName val="유지관리"/>
      <sheetName val="단가"/>
      <sheetName val="실행(1)"/>
      <sheetName val="기본단가"/>
      <sheetName val="인건비단가"/>
      <sheetName val="데이타"/>
      <sheetName val="식재인부"/>
      <sheetName val="일지-H"/>
      <sheetName val="Total"/>
      <sheetName val="설계예시"/>
      <sheetName val="견적율"/>
      <sheetName val="GAEYO"/>
      <sheetName val="공사설명서"/>
      <sheetName val="SAM"/>
      <sheetName val="일위대가목차"/>
      <sheetName val="#REF"/>
      <sheetName val="일위대가표"/>
      <sheetName val="백암비스타내역"/>
      <sheetName val="소요자재"/>
      <sheetName val="노무산출서"/>
      <sheetName val="일위대가"/>
      <sheetName val="CTEMCOST"/>
      <sheetName val="unit 4"/>
      <sheetName val="갑지"/>
      <sheetName val="전기일위대가"/>
      <sheetName val="기계공사"/>
      <sheetName val="Y-WORK"/>
      <sheetName val="BID"/>
      <sheetName val="단위단가"/>
      <sheetName val="비교표"/>
      <sheetName val="내역"/>
      <sheetName val="설계내역서"/>
      <sheetName val="대비표"/>
      <sheetName val="D"/>
      <sheetName val="공구원가계산"/>
      <sheetName val="원형1호맨홀토공수량"/>
      <sheetName val="우석문틀"/>
      <sheetName val="내역(설비)"/>
      <sheetName val="수지표"/>
      <sheetName val="셀명"/>
      <sheetName val="교각계산"/>
      <sheetName val="유림골조"/>
      <sheetName val="노임"/>
      <sheetName val="대림경상68억"/>
      <sheetName val="견적"/>
      <sheetName val="노무단가"/>
      <sheetName val="표지"/>
      <sheetName val="간접"/>
      <sheetName val="기본데이타입력"/>
      <sheetName val="3.경비"/>
      <sheetName val="1.급료"/>
      <sheetName val="통신집계표1"/>
      <sheetName val="정부노임단가"/>
      <sheetName val="단가조사서"/>
      <sheetName val="외주"/>
      <sheetName val="노임단가"/>
      <sheetName val="개산공사비"/>
      <sheetName val="전기공사"/>
      <sheetName val="실행"/>
      <sheetName val="부속동"/>
      <sheetName val="단가 (2)"/>
      <sheetName val="소비자가"/>
      <sheetName val="부대내역"/>
      <sheetName val="수량산출서"/>
      <sheetName val="사업수지분석"/>
      <sheetName val="죽전"/>
      <sheetName val="화정"/>
      <sheetName val="해운대"/>
      <sheetName val="프린트용"/>
      <sheetName val="0.준공시예정원가갑지"/>
      <sheetName val="1.하도급 계약현황 "/>
      <sheetName val="1-1.하도정산계획"/>
      <sheetName val="2.자재구매계약현황"/>
      <sheetName val="3.직영공사(예상투자)"/>
      <sheetName val="4.지급자재"/>
      <sheetName val="5.업그레이드등"/>
      <sheetName val="6.VE계획"/>
      <sheetName val="7.임차장비현황"/>
      <sheetName val="8.간접비집계(직영)"/>
      <sheetName val="8-1.간접비집계 (직영+하도)"/>
      <sheetName val="9.실행예산서"/>
      <sheetName val="9-1.직영상세조회"/>
      <sheetName val="9-2.하도상세조회"/>
      <sheetName val="경산"/>
      <sheetName val="기별"/>
      <sheetName val="마감사양"/>
      <sheetName val="건축집계"/>
      <sheetName val="JUCKEYK"/>
      <sheetName val="도급"/>
      <sheetName val="총원가계산서(요율)"/>
      <sheetName val="집계"/>
      <sheetName val="기본일위"/>
      <sheetName val="직노"/>
      <sheetName val="I一般比"/>
      <sheetName val="내역서2안"/>
      <sheetName val="설직재-1"/>
      <sheetName val="AS포장복구 "/>
      <sheetName val="별표(59~89)"/>
      <sheetName val="공문"/>
      <sheetName val="동해title"/>
      <sheetName val="4.공사별"/>
      <sheetName val="기계내역"/>
      <sheetName val="구의33고"/>
      <sheetName val="투찰(하수)"/>
      <sheetName val="수량산출"/>
      <sheetName val="127동 History"/>
      <sheetName val="공사비산출내역"/>
      <sheetName val="공통가설"/>
      <sheetName val="관접합및부설"/>
      <sheetName val="도급내역"/>
      <sheetName val="공조기휀"/>
      <sheetName val="을지"/>
      <sheetName val="건축공사실행"/>
      <sheetName val="밸브설치"/>
      <sheetName val="교대(A1)"/>
      <sheetName val="대비"/>
      <sheetName val="산출내역서집계표"/>
      <sheetName val="철거 물량 산출서"/>
      <sheetName val="실행내역"/>
      <sheetName val="잡비"/>
      <sheetName val="APT"/>
      <sheetName val="수입"/>
      <sheetName val="일위단위"/>
      <sheetName val="합의경상"/>
      <sheetName val="Sheet4"/>
      <sheetName val="설비"/>
      <sheetName val="Macro1"/>
      <sheetName val="정보"/>
      <sheetName val="증감대비"/>
      <sheetName val="SCHEDULE"/>
      <sheetName val="내역서(총)"/>
      <sheetName val="공사개요"/>
      <sheetName val="전계가"/>
      <sheetName val="준검 내역서"/>
      <sheetName val="INPUT"/>
      <sheetName val="전기"/>
      <sheetName val="직공비"/>
      <sheetName val="여과지동"/>
      <sheetName val="기초자료"/>
      <sheetName val="연동내역"/>
      <sheetName val="변수데이타"/>
      <sheetName val="세금자료"/>
      <sheetName val="잉여처분"/>
      <sheetName val="사급자재"/>
      <sheetName val="단가조사"/>
      <sheetName val="원가계산서"/>
      <sheetName val="차액보증"/>
      <sheetName val="소업1교"/>
      <sheetName val="명단"/>
      <sheetName val="신우"/>
      <sheetName val="골조시행"/>
      <sheetName val="코드"/>
      <sheetName val="보할최종(준공)only"/>
      <sheetName val="UR2-Calculation"/>
      <sheetName val="수목단가"/>
      <sheetName val="시설수량표"/>
      <sheetName val="식재수량표"/>
      <sheetName val="자재단가"/>
      <sheetName val="결재갑지"/>
      <sheetName val="ELECTRIC"/>
      <sheetName val="기자재비"/>
      <sheetName val="내부마감"/>
      <sheetName val="FOB발"/>
      <sheetName val="2000.11월설계내역"/>
      <sheetName val="전기혼잡제경비(45)"/>
      <sheetName val="DB"/>
      <sheetName val="금액집계"/>
      <sheetName val="을"/>
      <sheetName val="총괄내역서"/>
      <sheetName val="기안"/>
      <sheetName val="EACT10"/>
      <sheetName val="기성고려"/>
      <sheetName val="일위목차"/>
      <sheetName val="일반공사"/>
      <sheetName val="Baby일위대가"/>
      <sheetName val="일반부표"/>
      <sheetName val="패널"/>
      <sheetName val="설계명세서"/>
      <sheetName val="실행철강하도"/>
      <sheetName val="개요"/>
      <sheetName val="예가표"/>
      <sheetName val="중동상가"/>
      <sheetName val="TYPE-A"/>
      <sheetName val="토목"/>
      <sheetName val="수목데이타"/>
      <sheetName val="건축개요"/>
      <sheetName val="Macro3"/>
      <sheetName val="plan&amp;section of foundation"/>
      <sheetName val="working load at the btm ft."/>
      <sheetName val="stability check"/>
      <sheetName val="design criteria"/>
      <sheetName val="design load"/>
      <sheetName val="도기류"/>
      <sheetName val="건축원가계산서"/>
      <sheetName val="Sheet5"/>
      <sheetName val="노무비"/>
      <sheetName val="단위수량"/>
      <sheetName val="가시설수량"/>
      <sheetName val="전선관"/>
      <sheetName val="Front"/>
      <sheetName val="wall"/>
      <sheetName val="Requirement(Work Crew)"/>
      <sheetName val="단가표"/>
      <sheetName val="문학간접"/>
      <sheetName val="간접비"/>
      <sheetName val="내역5"/>
      <sheetName val="총괄"/>
      <sheetName val="총물량"/>
      <sheetName val="지급자재"/>
      <sheetName val="DATA"/>
      <sheetName val="PIPE"/>
      <sheetName val="남양시작동자105노65기1.3화1.2"/>
      <sheetName val="FLANGE"/>
      <sheetName val="VALVE"/>
      <sheetName val="단면"/>
      <sheetName val="단가(반정3교-원주)"/>
      <sheetName val="COVER-P"/>
      <sheetName val="청천내"/>
      <sheetName val="TB-내역서"/>
      <sheetName val="노원열병합  건축공사기성내역서"/>
      <sheetName val="방배동내역(리라)"/>
      <sheetName val="부대공사총괄"/>
      <sheetName val="현장경비"/>
      <sheetName val="건축공사집계표"/>
      <sheetName val="16-1"/>
      <sheetName val="공사내역"/>
      <sheetName val="원가계산하도"/>
      <sheetName val="모래기초"/>
      <sheetName val="현장관리비 산출내역"/>
      <sheetName val="원가data"/>
      <sheetName val="원가서"/>
      <sheetName val="내역(을)"/>
      <sheetName val="기계설비"/>
      <sheetName val="C급보 "/>
      <sheetName val="담당자"/>
      <sheetName val="매각(6)"/>
      <sheetName val="착공계(전체)"/>
      <sheetName val="정공공사"/>
      <sheetName val="자재비"/>
      <sheetName val="교통대책내역"/>
      <sheetName val="중기일위대가"/>
      <sheetName val="안정검토(온1)"/>
      <sheetName val="전체분내역서"/>
      <sheetName val="노임단가 (2)"/>
      <sheetName val="1단계"/>
      <sheetName val="인제내역"/>
      <sheetName val="현장별계약현황('98.10.31)"/>
      <sheetName val="기본사항"/>
      <sheetName val="T13(P68~72,78)"/>
      <sheetName val="갑지_추정_"/>
      <sheetName val="코드표"/>
      <sheetName val="기성2"/>
      <sheetName val="매원개착터널총괄"/>
      <sheetName val="세부내역"/>
      <sheetName val="손익차9월2"/>
      <sheetName val="2공구산출내역"/>
      <sheetName val="사기도장"/>
      <sheetName val="TIE-IN"/>
      <sheetName val="빌딩 안내"/>
      <sheetName val="조견표"/>
      <sheetName val="준공조서"/>
      <sheetName val="공사준공계"/>
      <sheetName val="준공검사보고서"/>
      <sheetName val="노임이"/>
      <sheetName val="잡비계산"/>
      <sheetName val="에너지동"/>
      <sheetName val="XZLC2"/>
      <sheetName val="부대공Ⅱ"/>
      <sheetName val="MOTOR"/>
      <sheetName val="터파기및재료"/>
      <sheetName val="현장관리비 "/>
      <sheetName val="상반기손익차2총괄"/>
      <sheetName val="환율표"/>
      <sheetName val="내역1"/>
      <sheetName val="H-PILE수량집계"/>
      <sheetName val="단가 및 재료비"/>
      <sheetName val="중기사용료산출근거"/>
      <sheetName val="구간별현황"/>
      <sheetName val="3.골재원검토의견서 갑지"/>
      <sheetName val="시설물일위"/>
      <sheetName val="가설공사"/>
      <sheetName val="내역아"/>
      <sheetName val="울타리"/>
      <sheetName val="토목주소"/>
      <sheetName val="프랜트면허"/>
      <sheetName val="단위세대물량"/>
      <sheetName val="연령현황"/>
      <sheetName val="기초분물량표"/>
      <sheetName val="교대(A1-A2)"/>
      <sheetName val="환산"/>
      <sheetName val="J01"/>
      <sheetName val="B1F"/>
      <sheetName val="인건비"/>
      <sheetName val="2.대외공문"/>
      <sheetName val="장비종합부표"/>
      <sheetName val="집계표_식재"/>
      <sheetName val="부표"/>
      <sheetName val="Customer Databas"/>
      <sheetName val="효성CB 1P기초"/>
      <sheetName val="실행(ALT1)"/>
      <sheetName val="P.M 별"/>
      <sheetName val="설계명세서(장비)"/>
      <sheetName val="화재 탐지 설비"/>
      <sheetName val="ETC"/>
      <sheetName val="예총"/>
      <sheetName val="대가목록"/>
      <sheetName val="자탐"/>
      <sheetName val="평가데이터"/>
      <sheetName val="5.전사투자계획종함안"/>
      <sheetName val="집계장(대목_실행)"/>
      <sheetName val="DATE"/>
      <sheetName val="SAMPLE"/>
      <sheetName val="예산내역"/>
      <sheetName val="총괄수지표"/>
      <sheetName val="SUMMARY"/>
      <sheetName val="PAINT"/>
      <sheetName val="FB25JN"/>
      <sheetName val="건축원가"/>
      <sheetName val="건축-물가변동"/>
      <sheetName val="RFP002"/>
      <sheetName val="카렌스센터계량기설치공사"/>
      <sheetName val="데리네이타현황"/>
      <sheetName val="자판실행"/>
      <sheetName val="물량표S"/>
      <sheetName val="내부부하"/>
      <sheetName val="말고개터널조명전압강하"/>
      <sheetName val="입력"/>
      <sheetName val="신표지1"/>
      <sheetName val="D&amp;P특기사항"/>
      <sheetName val="Sheet6"/>
      <sheetName val="내역서 제출"/>
      <sheetName val="설계내역"/>
      <sheetName val="기본DATA"/>
      <sheetName val="단가조사표"/>
      <sheetName val="피벗테이블데이터분석"/>
      <sheetName val="평균높이산출근거"/>
      <sheetName val="횡배수관위치조서"/>
      <sheetName val="설계"/>
      <sheetName val="1~9 하중계산"/>
      <sheetName val="견"/>
      <sheetName val="조직"/>
      <sheetName val="노임,재료비"/>
      <sheetName val="견적대비표"/>
      <sheetName val="도급FORM"/>
      <sheetName val="천안IP공장자100노100물량110할증"/>
      <sheetName val="물량표"/>
      <sheetName val="중기사용료"/>
      <sheetName val="9.설치품셈"/>
      <sheetName val="품셈총괄"/>
      <sheetName val="기본DATA Sheet"/>
      <sheetName val="수량총괄"/>
      <sheetName val="S0"/>
      <sheetName val=" 견적서"/>
      <sheetName val="추가공사"/>
      <sheetName val="기초일위"/>
      <sheetName val="시설일위"/>
      <sheetName val="조명일위"/>
      <sheetName val="날개벽수량표"/>
      <sheetName val="BREAKDOWN"/>
      <sheetName val="TEST1"/>
      <sheetName val="기계경비(시간당)"/>
      <sheetName val="램머"/>
      <sheetName val="바.한일양산"/>
      <sheetName val="Dinh nghia"/>
      <sheetName val="DEF"/>
      <sheetName val="전차선로 물량표"/>
      <sheetName val="자재"/>
      <sheetName val="공통(20-91)"/>
      <sheetName val="위치조서"/>
      <sheetName val="ABUT수량-A1"/>
      <sheetName val="01"/>
      <sheetName val=" 냉각수펌프"/>
      <sheetName val="AHU집계"/>
      <sheetName val="EKOG10건축"/>
      <sheetName val="99노임기준"/>
      <sheetName val="단가대비표"/>
      <sheetName val="제잡비"/>
      <sheetName val="금액"/>
      <sheetName val="결재판(삭제하지말아주세요)"/>
      <sheetName val="단가산출"/>
      <sheetName val="저"/>
      <sheetName val="별표"/>
      <sheetName val="자재조사표"/>
      <sheetName val="RE9604"/>
      <sheetName val="본사공가현황"/>
      <sheetName val="날개벽"/>
      <sheetName val="20관리비율"/>
      <sheetName val="3련 BOX"/>
      <sheetName val="type-F"/>
      <sheetName val="건축공사 분괴표원본데이터(공통+건축)"/>
      <sheetName val="1-1"/>
      <sheetName val="Macro(MCC)"/>
      <sheetName val="EQT-ESTN"/>
      <sheetName val="실행내역서 "/>
      <sheetName val="직재"/>
      <sheetName val="재집"/>
      <sheetName val="조건"/>
      <sheetName val="3.공통공사대비"/>
      <sheetName val="1층"/>
      <sheetName val="Y_WORK"/>
      <sheetName val="원가계산"/>
      <sheetName val="9-1차이내역"/>
      <sheetName val="각종양식"/>
      <sheetName val="변경집계표"/>
      <sheetName val="Tender Summary"/>
      <sheetName val="견적990322"/>
      <sheetName val="3-구교-오리지날"/>
      <sheetName val="원가계산서(남측)"/>
      <sheetName val="품셈"/>
      <sheetName val="200"/>
      <sheetName val="45,46"/>
      <sheetName val="단가기준"/>
      <sheetName val="자동제어"/>
      <sheetName val="예산내역서(총괄)"/>
      <sheetName val="예산내역서"/>
      <sheetName val="공제대산출"/>
      <sheetName val="운반공사,공구손료"/>
      <sheetName val="1.우편집중내역서"/>
      <sheetName val="자재집계"/>
      <sheetName val="견적서"/>
      <sheetName val="70%"/>
      <sheetName val="danga"/>
      <sheetName val="ilch"/>
      <sheetName val="총괄갑 "/>
      <sheetName val="도배공사언고"/>
      <sheetName val="내역표지"/>
      <sheetName val="소방"/>
      <sheetName val="전선 및 전선관"/>
      <sheetName val="양수장(기계)"/>
      <sheetName val="단가일람"/>
      <sheetName val="조경일람"/>
      <sheetName val="갑지(추정)"/>
      <sheetName val="계수시트"/>
      <sheetName val="가로등내역서"/>
      <sheetName val="목록"/>
      <sheetName val="시중노임단가"/>
      <sheetName val="설계조건"/>
      <sheetName val="집수정(600-700)"/>
      <sheetName val="일위대가(계측기설치)"/>
      <sheetName val="가격조사서"/>
      <sheetName val="일위대가(출입)"/>
      <sheetName val="기성내역서"/>
      <sheetName val="연면적대비(12-7)"/>
      <sheetName val="충주"/>
      <sheetName val="수목데이타 "/>
      <sheetName val="건축내역서"/>
      <sheetName val="설비내역서"/>
      <sheetName val="전기내역서"/>
      <sheetName val="청주-교대(A1)"/>
      <sheetName val="금융"/>
      <sheetName val="배관"/>
      <sheetName val="빙장비사양"/>
      <sheetName val="장비사양"/>
      <sheetName val="(갑지)"/>
      <sheetName val="9GNG운반"/>
      <sheetName val="A공구"/>
      <sheetName val="토사(PE)"/>
      <sheetName val="월별수입"/>
      <sheetName val="비용"/>
      <sheetName val="5. 현장관리비(new) "/>
      <sheetName val="남양내역"/>
      <sheetName val="약품공급2"/>
      <sheetName val="1.취수장"/>
      <sheetName val="Regenerator  Concrete Structure"/>
      <sheetName val="일위대가 "/>
      <sheetName val="경율산정.XLS"/>
      <sheetName val="강교(Sub)"/>
      <sheetName val="일반토공견적"/>
      <sheetName val="우수"/>
      <sheetName val="AP1"/>
      <sheetName val="연돌일위집계"/>
      <sheetName val="부표총괄"/>
      <sheetName val="Salary(해외)"/>
      <sheetName val="현황CODE"/>
      <sheetName val="손익현황"/>
      <sheetName val="조경내역"/>
      <sheetName val="hvac(제어동)"/>
      <sheetName val="9."/>
      <sheetName val="일위목록"/>
      <sheetName val="1차변경내역"/>
      <sheetName val="갑지1"/>
      <sheetName val="행거,슈,볼트,펌프,잡재"/>
      <sheetName val="건축"/>
      <sheetName val="요율"/>
      <sheetName val="_6호기ࡴ집행"/>
      <sheetName val="c_balju"/>
      <sheetName val="유류대(외주)"/>
      <sheetName val="견적서(토공)"/>
      <sheetName val="설 계"/>
      <sheetName val="제직재"/>
      <sheetName val="제-노임"/>
      <sheetName val="상행-교대(A1-A2)"/>
      <sheetName val="N賃率-職"/>
      <sheetName val="TOT-SUM"/>
      <sheetName val="98지급계획"/>
      <sheetName val="항목별세부내역"/>
      <sheetName val="7월11일"/>
      <sheetName val="기성내역서표지"/>
      <sheetName val="일위산출"/>
      <sheetName val="BSD (2)"/>
      <sheetName val="건축(충일분)"/>
      <sheetName val="인사자료총집계"/>
      <sheetName val="CATV"/>
      <sheetName val="49-119"/>
      <sheetName val="노무비단가"/>
      <sheetName val="매립"/>
      <sheetName val="플랜트 설치"/>
      <sheetName val="1호맨홀가감수량"/>
      <sheetName val="가시설(TYPE-A)"/>
      <sheetName val="1-1평균터파기고(1)"/>
      <sheetName val="1호맨홀수량산출"/>
      <sheetName val="공사_산출"/>
      <sheetName val="조도계산서 (도서)"/>
      <sheetName val="건축내역"/>
      <sheetName val="과천MAIN"/>
      <sheetName val="가로등"/>
      <sheetName val="설계기준"/>
      <sheetName val="분석"/>
      <sheetName val="공정표"/>
      <sheetName val="Break Down"/>
      <sheetName val="01액티비티코드"/>
      <sheetName val="수배전반"/>
      <sheetName val="통합"/>
      <sheetName val="그림"/>
      <sheetName val="구성1"/>
      <sheetName val="구성2"/>
      <sheetName val="구성3"/>
      <sheetName val="구성4"/>
      <sheetName val="그림2"/>
      <sheetName val="토목(대안)"/>
      <sheetName val="집수정"/>
      <sheetName val="포장공"/>
      <sheetName val="배수공"/>
      <sheetName val="토공"/>
      <sheetName val="SULKEA"/>
      <sheetName val="단중표"/>
      <sheetName val="3.하중산정4.지지력"/>
      <sheetName val="1.설계조건"/>
      <sheetName val="우산과선교+보도유교"/>
      <sheetName val="가락화장을지"/>
      <sheetName val="C1.공사개요"/>
      <sheetName val="약품설비"/>
      <sheetName val="제안서입력"/>
      <sheetName val="품셈TABLE"/>
      <sheetName val="LEGEND"/>
      <sheetName val="건축2"/>
      <sheetName val="시방기준(코매트)"/>
      <sheetName val="내역서1"/>
      <sheetName val="직원동원SCH"/>
      <sheetName val="Eq. Mobilization"/>
      <sheetName val="개시대사 (2)"/>
      <sheetName val="투찰가"/>
      <sheetName val="일위대가목록"/>
      <sheetName val="SLAB&quot;1&quot;"/>
      <sheetName val="정화조동내역"/>
      <sheetName val="쌍송교"/>
      <sheetName val="마산월령동골조물량변경"/>
      <sheetName val="단"/>
      <sheetName val="자단"/>
      <sheetName val="사업성분석"/>
      <sheetName val="업체연락처"/>
      <sheetName val="10월 중구다동"/>
      <sheetName val="단위가격"/>
      <sheetName val="계정"/>
      <sheetName val="관급자재대"/>
      <sheetName val="직영(비교견적서)"/>
      <sheetName val="Krw"/>
      <sheetName val="단기차입금"/>
      <sheetName val="118.세금과공과"/>
      <sheetName val="은행"/>
      <sheetName val="SAKUB"/>
      <sheetName val="CON'C"/>
      <sheetName val="말뚝지지력산정"/>
      <sheetName val="증감분석"/>
      <sheetName val="토공사(흙막이)"/>
      <sheetName val="DONGIA"/>
      <sheetName val="대목"/>
      <sheetName val="단면 (2)"/>
      <sheetName val="기둥(원형)"/>
      <sheetName val="교각1"/>
      <sheetName val="COPING"/>
      <sheetName val="가도공"/>
      <sheetName val="다곡2교"/>
      <sheetName val="단가명령서"/>
      <sheetName val="건축집계표"/>
      <sheetName val="4차원가계산서"/>
      <sheetName val="SE-611"/>
      <sheetName val="8.석축단위(H=1.5M)"/>
      <sheetName val="APT내역"/>
      <sheetName val="부대시설"/>
      <sheetName val="일위대가(가설)"/>
      <sheetName val="SHL"/>
      <sheetName val="15100"/>
      <sheetName val="97 사업추정(WEKI)"/>
      <sheetName val="별표집계"/>
      <sheetName val="역T형"/>
      <sheetName val="건축토목내역"/>
      <sheetName val="dongia (2)"/>
      <sheetName val="추천서"/>
      <sheetName val="가정"/>
      <sheetName val="집행현황"/>
      <sheetName val="0.목록1"/>
      <sheetName val="base"/>
      <sheetName val="계획금액"/>
      <sheetName val="분석대장"/>
      <sheetName val="청주(철골발주의뢰서)"/>
      <sheetName val="북제주원가"/>
      <sheetName val="토적계산"/>
      <sheetName val="sh1"/>
      <sheetName val="실행간접비용"/>
      <sheetName val="잔여수량예상"/>
      <sheetName val="예정(3)"/>
      <sheetName val="수량-가로등"/>
      <sheetName val="주공 갑지"/>
      <sheetName val="입출재고현황 (2)"/>
      <sheetName val="소운반"/>
      <sheetName val="해외(원화)"/>
      <sheetName val="001"/>
      <sheetName val="출력"/>
      <sheetName val="설비06"/>
      <sheetName val="설비03"/>
      <sheetName val="계산(공기)"/>
      <sheetName val="자료1 (목록)"/>
      <sheetName val="정보입력1"/>
      <sheetName val="106C0300"/>
      <sheetName val="별표 "/>
      <sheetName val="품셈표"/>
      <sheetName val="sst,stl창호"/>
      <sheetName val="본사현황"/>
      <sheetName val="적용단위길이"/>
      <sheetName val="특수기호강도거푸집"/>
      <sheetName val="종배수관면벽신"/>
      <sheetName val="종배수관(신)"/>
      <sheetName val="자료입력"/>
      <sheetName val="연부97-1"/>
      <sheetName val="적용환율"/>
      <sheetName val="내역(중앙)"/>
      <sheetName val="내역(창신)"/>
      <sheetName val="을-ATYPE"/>
      <sheetName val="가스(내역)"/>
      <sheetName val="전체총괄표(제출)"/>
      <sheetName val="매부산출"/>
      <sheetName val="현관"/>
      <sheetName val="산출내역"/>
      <sheetName val="기초목"/>
      <sheetName val="실행비교"/>
      <sheetName val="기준액"/>
      <sheetName val="연결임시"/>
      <sheetName val="본부소개"/>
      <sheetName val="영업.일1"/>
      <sheetName val="공ʬ_x0000_䠀㎏"/>
      <sheetName val=""/>
      <sheetName val="NYS"/>
      <sheetName val="_특교단_취사식당_개보수공사_준공내역서 (2009.9.2"/>
      <sheetName val="유림총괄"/>
      <sheetName val="재료비"/>
      <sheetName val="토공개요"/>
      <sheetName val="단면가정"/>
      <sheetName val="예산조서(무선)"/>
      <sheetName val="WORK"/>
      <sheetName val="일위총괄표"/>
      <sheetName val="단면치수"/>
      <sheetName val="자재단가조사표-수목"/>
      <sheetName val="BOX"/>
      <sheetName val="실행(표지,갑,을)"/>
      <sheetName val="뚝토공"/>
      <sheetName val="조명시설"/>
      <sheetName val="중기"/>
      <sheetName val="인건-측정"/>
      <sheetName val="해평견적"/>
      <sheetName val="VAV단가조사"/>
      <sheetName val="수리결과"/>
      <sheetName val="9811"/>
      <sheetName val="FURNITURE-01"/>
      <sheetName val="시화점실행"/>
      <sheetName val="표지 (2)"/>
      <sheetName val="Cost summary"/>
      <sheetName val="점수계산1-2"/>
      <sheetName val="조도계산서 耈_x0019_职_x0019_"/>
      <sheetName val="조도계산서 _x0005__x0000__x0000_"/>
      <sheetName val="조도계산서 胸F脼F"/>
      <sheetName val="조도계산서 胘B헾⿃"/>
      <sheetName val="조도계산서 蓨+蔬+"/>
      <sheetName val="기본단가표"/>
      <sheetName val="건축공사"/>
      <sheetName val="본공사"/>
      <sheetName val="일위"/>
      <sheetName val="옹벽"/>
      <sheetName val="Sheet17"/>
      <sheetName val="횡배수관수량집계"/>
      <sheetName val="횡배수관기초"/>
      <sheetName val="1차"/>
      <sheetName val="이토변실(A3-LINE)"/>
      <sheetName val="판정1교토공"/>
      <sheetName val="내역서(사업소)"/>
      <sheetName val="일반수량총괄집계"/>
      <sheetName val="암거공"/>
      <sheetName val="3BL공동구 수량"/>
      <sheetName val="양식"/>
      <sheetName val="우각부보강"/>
      <sheetName val="시공계획"/>
      <sheetName val="설계산출기초"/>
      <sheetName val="도급예산내역서봉투"/>
      <sheetName val="공사원가계산서"/>
      <sheetName val="설계산출표지"/>
      <sheetName val="도급예산내역서총괄표"/>
      <sheetName val="을부담운반비"/>
      <sheetName val="운반비산출"/>
      <sheetName val="구체"/>
      <sheetName val="좌측날개벽"/>
      <sheetName val="우측날개벽"/>
      <sheetName val="냉천부속동"/>
      <sheetName val="산출근거"/>
      <sheetName val="기안지"/>
      <sheetName val="고분전시관"/>
      <sheetName val="수목표준대가"/>
      <sheetName val="총요약서"/>
      <sheetName val="광혁기성"/>
      <sheetName val="프로젝트"/>
      <sheetName val="자재단가표"/>
      <sheetName val="손익분석"/>
      <sheetName val="일위대가 (100%)"/>
      <sheetName val="장비상세내역"/>
      <sheetName val="차수"/>
      <sheetName val="고명산업"/>
      <sheetName val="대전-교대(A1-A2)"/>
      <sheetName val="IBASE"/>
      <sheetName val="수정시산표"/>
      <sheetName val="공사완료확인서(임시전력)"/>
      <sheetName val="물가대비표"/>
      <sheetName val="2.냉난방설비공사"/>
      <sheetName val="7.자동제어공사"/>
      <sheetName val="적용기준"/>
      <sheetName val="단가산출서"/>
      <sheetName val="현장일보"/>
      <sheetName val="1차 내역서"/>
      <sheetName val="배수내역"/>
      <sheetName val="FRP내역서"/>
      <sheetName val="총괄표1"/>
      <sheetName val="장비집계"/>
      <sheetName val="토공계산서(부체도로)"/>
      <sheetName val="목표세부명세"/>
      <sheetName val="COVER"/>
      <sheetName val="장비가동"/>
      <sheetName val="사통"/>
      <sheetName val="98비정기소모"/>
      <sheetName val="확정조서(총괄)"/>
      <sheetName val="확정조서변경후(세부)"/>
      <sheetName val="수곡내역"/>
      <sheetName val="Ext. Stone-P"/>
      <sheetName val="工완성공사율"/>
      <sheetName val="A-4"/>
      <sheetName val="시멘트"/>
      <sheetName val="횡배수관"/>
      <sheetName val="분양가격표"/>
      <sheetName val="SG"/>
      <sheetName val="중기조종사 단위단가"/>
      <sheetName val="기별(종합)"/>
      <sheetName val="하수급견적대비"/>
      <sheetName val="현금"/>
      <sheetName val="부대공"/>
      <sheetName val="120"/>
      <sheetName val="130"/>
      <sheetName val="100"/>
      <sheetName val="기초입력 DATA"/>
      <sheetName val="오피스텔 타입별 산출표"/>
      <sheetName val="DATA1"/>
      <sheetName val="부하계산서"/>
      <sheetName val="백호우계수"/>
      <sheetName val="작성"/>
      <sheetName val="금액내역서"/>
      <sheetName val="대로근거"/>
      <sheetName val="중로근거"/>
      <sheetName val="cable산출"/>
      <sheetName val="1.설계기준"/>
      <sheetName val="6PILE  (돌출)"/>
      <sheetName val="협조전"/>
      <sheetName val="터널조도"/>
      <sheetName val="내역(영일)"/>
      <sheetName val="예산M6-B"/>
      <sheetName val="공사예산하조서(O.K)"/>
      <sheetName val="단가(자재)"/>
      <sheetName val="단가(노임)"/>
      <sheetName val="기초목록"/>
      <sheetName val="실행대비"/>
      <sheetName val="콘크리트타설입력"/>
      <sheetName val="레미콘입고현황"/>
      <sheetName val="견적갑지"/>
      <sheetName val="재노경"/>
      <sheetName val="3단계"/>
      <sheetName val="관리자"/>
      <sheetName val="csb(11-12,0820)"/>
      <sheetName val="8.주형의 이음"/>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ITEM"/>
      <sheetName val="준공조서갑지"/>
      <sheetName val="진주방향"/>
      <sheetName val="FANDBS"/>
      <sheetName val="GRDATA"/>
      <sheetName val="SHAFTDBSE"/>
      <sheetName val="EP0618"/>
      <sheetName val="정산내역서"/>
      <sheetName val="정산합의서(인감날인본,기본)"/>
      <sheetName val="Avtivity Define"/>
      <sheetName val="hvac내역서(제어동)"/>
      <sheetName val="파일의이용"/>
      <sheetName val="전기혼잡제경쁄ꠄ裙v샠"/>
      <sheetName val="단가명恽ぎ"/>
      <sheetName val="단가명恽な"/>
      <sheetName val="단가명全_x0013_"/>
      <sheetName val="단가명氚き"/>
      <sheetName val="조경"/>
      <sheetName val="IW-LIST"/>
      <sheetName val="하수급업체에 기성지불예정일"/>
      <sheetName val="설명"/>
      <sheetName val="95신규호표"/>
      <sheetName val="가감수량"/>
      <sheetName val="맨홀수량산출"/>
      <sheetName val="일용노임단가"/>
      <sheetName val="암거단위"/>
      <sheetName val="횡 연장"/>
      <sheetName val="2002상반기노임기준"/>
      <sheetName val="아파트"/>
      <sheetName val=" - 07 공내역서.xlsx"/>
      <sheetName val="연습"/>
      <sheetName val="가스내역"/>
      <sheetName val="원도급"/>
      <sheetName val="하도급"/>
      <sheetName val="내역을"/>
      <sheetName val="DI1"/>
      <sheetName val="오산갈곳"/>
      <sheetName val="아파트 "/>
      <sheetName val="대창(함평)"/>
      <sheetName val="대창(장성)"/>
      <sheetName val="대창(함평)-창열"/>
      <sheetName val="기초자료입력"/>
      <sheetName val="1차증가원가계산"/>
      <sheetName val="단가결정"/>
      <sheetName val="I.설계조건"/>
      <sheetName val="투찰추정"/>
      <sheetName val="내역검토"/>
      <sheetName val="127"/>
      <sheetName val="128"/>
      <sheetName val="129"/>
      <sheetName val="중기손료"/>
      <sheetName val="투찰"/>
      <sheetName val="TC표지"/>
      <sheetName val="경비_원본"/>
      <sheetName val="96보완계획7.12"/>
      <sheetName val="물량"/>
      <sheetName val="균열"/>
      <sheetName val="내역(APT)"/>
      <sheetName val="앵커(3안)"/>
      <sheetName val="별첨1-임식"/>
      <sheetName val="기본자료"/>
      <sheetName val="역T형교대(말뚝기초)"/>
      <sheetName val="플랜트 碭⊅"/>
      <sheetName val="토목관급자재"/>
      <sheetName val="Macro2"/>
      <sheetName val="Summary Sheets"/>
      <sheetName val="ITB COST"/>
      <sheetName val="준공정산"/>
      <sheetName val="식생블럭단위수량"/>
      <sheetName val="단가명䱨*"/>
      <sheetName val="단가명䭈0"/>
      <sheetName val="PI"/>
      <sheetName val="제경비율"/>
      <sheetName val="3.3"/>
      <sheetName val="현장"/>
      <sheetName val="공ʬ"/>
      <sheetName val="견적공통"/>
      <sheetName val="장비대"/>
      <sheetName val="시뮬레이션2"/>
      <sheetName val="입력DATA"/>
      <sheetName val="주빔의 설계"/>
      <sheetName val="JOIN(2span)"/>
      <sheetName val="바닥판"/>
      <sheetName val="철근량산정및사용성검토"/>
      <sheetName val="상호참고자료"/>
      <sheetName val="공사기본내용입력"/>
      <sheetName val="발주처자료입력"/>
      <sheetName val="회사기본자료"/>
      <sheetName val="하자보증자료"/>
      <sheetName val="기술자관련자료"/>
      <sheetName val="단가목록"/>
      <sheetName val="MATRLDATA"/>
      <sheetName val="CODE"/>
      <sheetName val="Table"/>
      <sheetName val="XL4Poppy"/>
      <sheetName val="TARGET"/>
      <sheetName val="Build Up"/>
      <sheetName val="원본"/>
      <sheetName val="1"/>
      <sheetName val="2"/>
      <sheetName val="3"/>
      <sheetName val="4"/>
      <sheetName val="5"/>
      <sheetName val="공사_산嘐"/>
      <sheetName val="공사_산_x0000_"/>
      <sheetName val="공사_산ﾈ"/>
      <sheetName val="자재단가비교표"/>
      <sheetName val="Area"/>
      <sheetName val="토목공사"/>
      <sheetName val="편성절차"/>
      <sheetName val="가시설흙막이"/>
      <sheetName val="기존단가 (2)"/>
      <sheetName val="POL6차-PIPING"/>
      <sheetName val="기구조직"/>
      <sheetName val="당사"/>
      <sheetName val="세원견적서"/>
      <sheetName val="대구-교대(A1)"/>
      <sheetName val="FORM-0"/>
      <sheetName val="공사"/>
      <sheetName val="수지표 기본틀"/>
      <sheetName val="ELEC"/>
      <sheetName val="예산대비"/>
      <sheetName val="ET2TOT"/>
    </sheetNames>
    <sheetDataSet>
      <sheetData sheetId="0">
        <row r="1">
          <cell r="A1" t="str">
            <v xml:space="preserve">    대구내당아파트 현장직원 급여산정 기준표</v>
          </cell>
        </row>
      </sheetData>
      <sheetData sheetId="1" refreshError="1">
        <row r="1">
          <cell r="A1" t="str">
            <v xml:space="preserve">    대구내당아파트 현장직원 급여산정 기준표</v>
          </cell>
        </row>
      </sheetData>
      <sheetData sheetId="2">
        <row r="1">
          <cell r="A1" t="str">
            <v xml:space="preserve">    대구내당아파트 현장직원 급여산정 기준표</v>
          </cell>
        </row>
      </sheetData>
      <sheetData sheetId="3" refreshError="1"/>
      <sheetData sheetId="4">
        <row r="1">
          <cell r="A1" t="str">
            <v xml:space="preserve">    대구내당아파트 현장직원 급여산정 기준표</v>
          </cell>
        </row>
      </sheetData>
      <sheetData sheetId="5">
        <row r="1">
          <cell r="A1" t="str">
            <v>분류번호</v>
          </cell>
        </row>
      </sheetData>
      <sheetData sheetId="6">
        <row r="1">
          <cell r="A1" t="str">
            <v>분류번호</v>
          </cell>
        </row>
      </sheetData>
      <sheetData sheetId="7">
        <row r="1">
          <cell r="A1" t="str">
            <v xml:space="preserve">    대구내당아파트 현장직원 급여산정 기준표</v>
          </cell>
        </row>
      </sheetData>
      <sheetData sheetId="8">
        <row r="1">
          <cell r="A1" t="str">
            <v>분류번호</v>
          </cell>
        </row>
      </sheetData>
      <sheetData sheetId="9">
        <row r="1">
          <cell r="A1" t="str">
            <v>분류번호</v>
          </cell>
        </row>
      </sheetData>
      <sheetData sheetId="10">
        <row r="1">
          <cell r="A1" t="str">
            <v xml:space="preserve">    대구내당아파트 현장직원 급여산정 기준표</v>
          </cell>
        </row>
      </sheetData>
      <sheetData sheetId="11">
        <row r="1">
          <cell r="A1" t="str">
            <v xml:space="preserve">    대구내당아파트 현장직원 급여산정 기준표</v>
          </cell>
        </row>
      </sheetData>
      <sheetData sheetId="12">
        <row r="1">
          <cell r="A1" t="str">
            <v xml:space="preserve">    대구내당아파트 현장직원 급여산정 기준표</v>
          </cell>
        </row>
      </sheetData>
      <sheetData sheetId="13">
        <row r="1">
          <cell r="A1" t="str">
            <v xml:space="preserve">    대구내당아파트 현장직원 급여산정 기준표</v>
          </cell>
        </row>
      </sheetData>
      <sheetData sheetId="14">
        <row r="1">
          <cell r="A1" t="str">
            <v xml:space="preserve">    대구내당아파트 현장직원 급여산정 기준표</v>
          </cell>
        </row>
      </sheetData>
      <sheetData sheetId="15">
        <row r="1">
          <cell r="A1" t="str">
            <v xml:space="preserve">    대구내당아파트 현장직원 급여산정 기준표</v>
          </cell>
        </row>
      </sheetData>
      <sheetData sheetId="16">
        <row r="1">
          <cell r="A1" t="str">
            <v>분류번호</v>
          </cell>
        </row>
      </sheetData>
      <sheetData sheetId="17">
        <row r="1">
          <cell r="A1" t="str">
            <v xml:space="preserve">    대구내당아파트 현장직원 급여산정 기준표</v>
          </cell>
        </row>
      </sheetData>
      <sheetData sheetId="18">
        <row r="1">
          <cell r="A1" t="str">
            <v>분류번호</v>
          </cell>
        </row>
      </sheetData>
      <sheetData sheetId="19">
        <row r="1">
          <cell r="A1" t="str">
            <v xml:space="preserve">    대구내당아파트 현장직원 급여산정 기준표</v>
          </cell>
        </row>
      </sheetData>
      <sheetData sheetId="20">
        <row r="1">
          <cell r="A1" t="str">
            <v>분류번호</v>
          </cell>
        </row>
      </sheetData>
      <sheetData sheetId="21">
        <row r="1">
          <cell r="A1" t="str">
            <v>분류번호</v>
          </cell>
        </row>
      </sheetData>
      <sheetData sheetId="22">
        <row r="1">
          <cell r="A1" t="str">
            <v xml:space="preserve">    대구내당아파트 현장직원 급여산정 기준표</v>
          </cell>
        </row>
      </sheetData>
      <sheetData sheetId="23">
        <row r="1">
          <cell r="A1" t="str">
            <v xml:space="preserve">    대구내당아파트 현장직원 급여산정 기준표</v>
          </cell>
        </row>
      </sheetData>
      <sheetData sheetId="24">
        <row r="1">
          <cell r="A1" t="str">
            <v xml:space="preserve">    대구내당아파트 현장직원 급여산정 기준표</v>
          </cell>
        </row>
      </sheetData>
      <sheetData sheetId="25">
        <row r="1">
          <cell r="A1" t="str">
            <v>분류번호</v>
          </cell>
        </row>
      </sheetData>
      <sheetData sheetId="26">
        <row r="1">
          <cell r="A1" t="str">
            <v xml:space="preserve">    대구내당아파트 현장직원 급여산정 기준표</v>
          </cell>
        </row>
      </sheetData>
      <sheetData sheetId="27">
        <row r="1">
          <cell r="A1" t="str">
            <v>분류번호</v>
          </cell>
        </row>
      </sheetData>
      <sheetData sheetId="28">
        <row r="1">
          <cell r="A1" t="str">
            <v>분류번호</v>
          </cell>
        </row>
      </sheetData>
      <sheetData sheetId="29">
        <row r="1">
          <cell r="A1" t="str">
            <v>분류번호</v>
          </cell>
        </row>
      </sheetData>
      <sheetData sheetId="30">
        <row r="1">
          <cell r="A1" t="str">
            <v>분류번호</v>
          </cell>
        </row>
      </sheetData>
      <sheetData sheetId="31">
        <row r="1">
          <cell r="A1" t="str">
            <v>분류번호</v>
          </cell>
        </row>
      </sheetData>
      <sheetData sheetId="32" refreshError="1"/>
      <sheetData sheetId="33">
        <row r="1">
          <cell r="A1" t="str">
            <v>분류번호</v>
          </cell>
        </row>
      </sheetData>
      <sheetData sheetId="34">
        <row r="1">
          <cell r="A1" t="str">
            <v>분류번호</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sheetData sheetId="112" refreshError="1"/>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refreshError="1"/>
      <sheetData sheetId="140"/>
      <sheetData sheetId="141"/>
      <sheetData sheetId="142"/>
      <sheetData sheetId="143" refreshError="1"/>
      <sheetData sheetId="144" refreshError="1"/>
      <sheetData sheetId="145"/>
      <sheetData sheetId="146" refreshError="1"/>
      <sheetData sheetId="147" refreshError="1"/>
      <sheetData sheetId="148" refreshError="1"/>
      <sheetData sheetId="149" refreshError="1"/>
      <sheetData sheetId="150"/>
      <sheetData sheetId="151" refreshError="1"/>
      <sheetData sheetId="152" refreshError="1"/>
      <sheetData sheetId="153"/>
      <sheetData sheetId="154" refreshError="1"/>
      <sheetData sheetId="155"/>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스포회원매출"/>
      <sheetName val="주간자금수지"/>
    </sheetNames>
    <sheetDataSet>
      <sheetData sheetId="0" refreshError="1"/>
      <sheetData sheetId="1"/>
      <sheetData sheetId="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자금수지"/>
      <sheetName val="분양현황"/>
      <sheetName val="수주추진"/>
      <sheetName val="아코텍"/>
      <sheetName val="공사"/>
      <sheetName val="영업"/>
      <sheetName val="서울사업"/>
      <sheetName val="대전사업"/>
      <sheetName val="관리"/>
      <sheetName val="일산"/>
      <sheetName val="관저"/>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포횡성2"/>
      <sheetName val="목포횡성2 (2)"/>
      <sheetName val="목포"/>
      <sheetName val="시장성초안camera"/>
      <sheetName val="횡성읍마시장성초안"/>
      <sheetName val="횡성읍마시장성초안 (2)"/>
      <sheetName val="횡성읍마"/>
      <sheetName val="춘천"/>
      <sheetName val="춘천15"/>
      <sheetName val="춘천학곡15-90 "/>
      <sheetName val="춘천만천"/>
      <sheetName val="춘천만천 (2)"/>
      <sheetName val="춘천학곡15층이하"/>
      <sheetName val="춘천학곡16층이상 "/>
      <sheetName val="춘천 16"/>
      <sheetName val="춘천 16 (2)"/>
      <sheetName val="양산북정"/>
      <sheetName val="시장성초안camera (4)"/>
      <sheetName val="시장성초안 (3)"/>
      <sheetName val="시장성초안camera (3)"/>
      <sheetName val="매입검토"/>
      <sheetName val="카메라(매입검토)"/>
      <sheetName val="97.8.18경매"/>
      <sheetName val="동아제약(보령)"/>
      <sheetName val="표지"/>
      <sheetName val="Sheet7"/>
      <sheetName val="Sheet7 (2)"/>
      <sheetName val="Sheet8"/>
      <sheetName val="Sheet9"/>
      <sheetName val="Sheet10"/>
      <sheetName val="Sheet11"/>
      <sheetName val="Sheet12"/>
      <sheetName val="Sheet13"/>
      <sheetName val="Sheet14"/>
      <sheetName val="Sheet15"/>
      <sheetName val="Sheet16"/>
      <sheetName val="적용요율"/>
      <sheetName val="대여현황"/>
      <sheetName val="Sensitivity"/>
      <sheetName val="JUCK"/>
      <sheetName val="자압1"/>
      <sheetName val="변경실행(2차) "/>
      <sheetName val="고정자산"/>
      <sheetName val="매출원가추정"/>
      <sheetName val="매출추정"/>
      <sheetName val="인제내역"/>
      <sheetName val="6호기"/>
      <sheetName val="토지매입"/>
      <sheetName val="구의33고"/>
      <sheetName val="전체현황"/>
      <sheetName val="정공공사"/>
      <sheetName val="투입"/>
      <sheetName val="당사"/>
      <sheetName val="수입"/>
      <sheetName val="비품"/>
      <sheetName val="AS포장복구 "/>
      <sheetName val="Sheet1"/>
      <sheetName val="가정"/>
      <sheetName val="평가보고서"/>
      <sheetName val="출금실적"/>
      <sheetName val="도급"/>
      <sheetName val="마감LIST-1"/>
      <sheetName val="건축개요_"/>
      <sheetName val="RE9604"/>
      <sheetName val="직접비"/>
      <sheetName val="재무가정"/>
      <sheetName val="민감도"/>
      <sheetName val="대창(함평)"/>
      <sheetName val="대창(장성)"/>
      <sheetName val="대창(함평)-창열"/>
      <sheetName val="목포횡성2_(2)"/>
      <sheetName val="횡성읍마시장성초안_(2)"/>
      <sheetName val="춘천학곡15-90_"/>
      <sheetName val="춘천만천_(2)"/>
      <sheetName val="춘천학곡16층이상_"/>
      <sheetName val="춘천_16"/>
      <sheetName val="춘천_16_(2)"/>
      <sheetName val="시장성초안camera_(4)"/>
      <sheetName val="시장성초안_(3)"/>
      <sheetName val="시장성초안camera_(3)"/>
      <sheetName val="97_8_18경매"/>
      <sheetName val="Sheet7_(2)"/>
      <sheetName val="채권세부"/>
      <sheetName val="WPL"/>
      <sheetName val="BID"/>
      <sheetName val="골조시행"/>
      <sheetName val="블럭 손익"/>
      <sheetName val="이름표"/>
      <sheetName val="공통가설"/>
      <sheetName val="전익자재"/>
      <sheetName val="설계기준"/>
      <sheetName val="내역1"/>
      <sheetName val="분양가격표"/>
      <sheetName val="삭제금지단가"/>
      <sheetName val="사업성분석"/>
      <sheetName val="개요"/>
      <sheetName val="기안"/>
      <sheetName val="마케팅"/>
      <sheetName val="목차"/>
      <sheetName val="추정손익"/>
      <sheetName val="할당"/>
      <sheetName val="실적"/>
      <sheetName val="원가"/>
      <sheetName val="제목"/>
      <sheetName val="원가,목표"/>
      <sheetName val="판매"/>
      <sheetName val="판촉"/>
      <sheetName val="협조"/>
      <sheetName val="반포2차"/>
      <sheetName val="fs(기본)"/>
      <sheetName val="공사"/>
      <sheetName val="공비대비"/>
      <sheetName val="사업개요"/>
      <sheetName val="일위대가"/>
      <sheetName val="건물목록"/>
      <sheetName val="건축공사"/>
      <sheetName val="24.보증금(전신전화가입권)"/>
      <sheetName val="Main"/>
      <sheetName val="대차대조표"/>
      <sheetName val="일위대가표"/>
      <sheetName val="개별지가"/>
      <sheetName val="자금운용표"/>
      <sheetName val="Rent Roll"/>
      <sheetName val="Tenants"/>
      <sheetName val="지표"/>
      <sheetName val="분석항목"/>
      <sheetName val="분양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삼군조합"/>
      <sheetName val="상현리조합"/>
      <sheetName val="대여현황"/>
      <sheetName val="하남신장"/>
      <sheetName val="신사동"/>
      <sheetName val="방배동 (2)"/>
      <sheetName val="FAX(한)"/>
      <sheetName val="FAX(영)"/>
      <sheetName val="24.보증금(전신전화가입권)"/>
      <sheetName val="평가데이터"/>
      <sheetName val="반포2차"/>
      <sheetName val="시장성초안camera"/>
      <sheetName val="중기조종사 단위단가"/>
      <sheetName val="입찰안"/>
      <sheetName val="건축내역"/>
      <sheetName val="방배동_(2)1"/>
      <sheetName val="방배동_(2)"/>
      <sheetName val="방배동_(2)2"/>
      <sheetName val="방배동_(2)3"/>
      <sheetName val="건축개요"/>
      <sheetName val="실행간접비용"/>
      <sheetName val="2000년1차"/>
      <sheetName val="DATA"/>
      <sheetName val="25.보증금(임차보증금외)"/>
      <sheetName val="변수"/>
      <sheetName val="경비"/>
      <sheetName val="지질조사분석"/>
      <sheetName val="Sheet2 (2)"/>
      <sheetName val="노임단가"/>
      <sheetName val="DAT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진행보고서"/>
      <sheetName val="현금흐름표"/>
      <sheetName val="수지분석 (2)"/>
      <sheetName val="시세조사"/>
      <sheetName val="접수"/>
      <sheetName val="분양가"/>
      <sheetName val="임대료"/>
      <sheetName val="분양전환"/>
    </sheetNames>
    <definedNames>
      <definedName name="검토안똥" refersTo="#REF!" sheetId="1"/>
      <definedName name="공화명3" refersTo="#REF!" sheetId="1"/>
      <definedName name="세대1" refersTo="#REF!" sheetId="1"/>
      <definedName name="세대마감2" refersTo="#REF!" sheetId="1"/>
      <definedName name="수금1" refersTo="#REF!" sheetId="1"/>
      <definedName name="수금100" refersTo="#REF!" sheetId="1"/>
      <definedName name="수금11" refersTo="#REF!" sheetId="1"/>
      <definedName name="수금12" refersTo="#REF!" sheetId="1"/>
      <definedName name="수금2" refersTo="#REF!" sheetId="1"/>
      <definedName name="수금3" refersTo="#REF!" sheetId="1"/>
      <definedName name="수금4" refersTo="#REF!" sheetId="1"/>
      <definedName name="수금5" refersTo="#REF!" sheetId="1"/>
      <definedName name="수금6" refersTo="#REF!" sheetId="1"/>
      <definedName name="수금7" refersTo="#REF!" sheetId="1"/>
      <definedName name="수금8" refersTo="#REF!" sheetId="1"/>
      <definedName name="수금9" refersTo="#REF!" sheetId="1"/>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기본정보입력"/>
      <sheetName val="현금출납입력"/>
      <sheetName val="일계표"/>
      <sheetName val="연결 일계표"/>
      <sheetName val="데이터"/>
      <sheetName val="월계표"/>
      <sheetName val="연결 월계표"/>
      <sheetName val="(연결)년계표"/>
      <sheetName val="자본금"/>
      <sheetName val="자본금정리"/>
      <sheetName val="대표자가수금"/>
    </sheetNames>
    <sheetDataSet>
      <sheetData sheetId="0" refreshError="1"/>
      <sheetData sheetId="1">
        <row r="7">
          <cell r="B7" t="str">
            <v>메인</v>
          </cell>
          <cell r="F7" t="str">
            <v>수선비</v>
          </cell>
        </row>
        <row r="8">
          <cell r="B8" t="str">
            <v>경비</v>
          </cell>
          <cell r="F8" t="str">
            <v>용역비</v>
          </cell>
        </row>
        <row r="9">
          <cell r="B9" t="str">
            <v>공과금</v>
          </cell>
          <cell r="F9" t="str">
            <v>경비계좌이체</v>
          </cell>
        </row>
        <row r="10">
          <cell r="B10" t="str">
            <v>현금</v>
          </cell>
          <cell r="F10" t="str">
            <v>관리비</v>
          </cell>
        </row>
        <row r="11">
          <cell r="F11" t="str">
            <v>경조사비</v>
          </cell>
        </row>
        <row r="12">
          <cell r="F12" t="str">
            <v>급여</v>
          </cell>
        </row>
        <row r="13">
          <cell r="F13" t="str">
            <v>대여금</v>
          </cell>
        </row>
        <row r="14">
          <cell r="F14" t="str">
            <v>도서인쇄비</v>
          </cell>
        </row>
        <row r="15">
          <cell r="F15" t="str">
            <v>이자수익</v>
          </cell>
        </row>
        <row r="16">
          <cell r="F16" t="str">
            <v>보험료</v>
          </cell>
        </row>
        <row r="17">
          <cell r="F17" t="str">
            <v>복리후생비</v>
          </cell>
        </row>
        <row r="18">
          <cell r="F18" t="str">
            <v>잡비</v>
          </cell>
        </row>
        <row r="19">
          <cell r="F19" t="str">
            <v>보증금</v>
          </cell>
        </row>
        <row r="20">
          <cell r="F20" t="str">
            <v>보통예금</v>
          </cell>
        </row>
        <row r="21">
          <cell r="F21" t="str">
            <v>가지급금</v>
          </cell>
        </row>
        <row r="22">
          <cell r="F22" t="str">
            <v>운반비</v>
          </cell>
        </row>
        <row r="23">
          <cell r="F23" t="str">
            <v>회의비</v>
          </cell>
        </row>
        <row r="24">
          <cell r="F24" t="str">
            <v>가수금</v>
          </cell>
        </row>
        <row r="25">
          <cell r="F25" t="str">
            <v>집기비품</v>
          </cell>
        </row>
        <row r="26">
          <cell r="F26" t="str">
            <v>선급금</v>
          </cell>
        </row>
        <row r="27">
          <cell r="F27" t="str">
            <v>사무용품비</v>
          </cell>
        </row>
        <row r="28">
          <cell r="F28" t="str">
            <v>세금과공과</v>
          </cell>
        </row>
        <row r="29">
          <cell r="F29" t="str">
            <v>소모품비</v>
          </cell>
        </row>
        <row r="30">
          <cell r="F30" t="str">
            <v>수도광열비</v>
          </cell>
        </row>
        <row r="31">
          <cell r="F31" t="str">
            <v>미지급비용</v>
          </cell>
        </row>
        <row r="32">
          <cell r="F32" t="str">
            <v>운반보관비</v>
          </cell>
        </row>
        <row r="33">
          <cell r="F33" t="str">
            <v>수입임대료</v>
          </cell>
        </row>
        <row r="34">
          <cell r="F34" t="str">
            <v>식대</v>
          </cell>
        </row>
        <row r="35">
          <cell r="F35" t="str">
            <v>업무추진비</v>
          </cell>
        </row>
        <row r="36">
          <cell r="F36" t="str">
            <v>여비교통비</v>
          </cell>
        </row>
        <row r="37">
          <cell r="F37" t="str">
            <v>임차보증금</v>
          </cell>
        </row>
        <row r="38">
          <cell r="F38" t="str">
            <v>잡이익</v>
          </cell>
        </row>
        <row r="39">
          <cell r="F39" t="str">
            <v>예수금</v>
          </cell>
        </row>
        <row r="40">
          <cell r="F40" t="str">
            <v>접대비</v>
          </cell>
        </row>
        <row r="41">
          <cell r="F41" t="str">
            <v>광고선전비</v>
          </cell>
        </row>
        <row r="42">
          <cell r="F42" t="str">
            <v>지급수수료</v>
          </cell>
        </row>
        <row r="43">
          <cell r="F43" t="str">
            <v>지급이자</v>
          </cell>
        </row>
        <row r="44">
          <cell r="F44" t="str">
            <v>지점출금</v>
          </cell>
        </row>
        <row r="45">
          <cell r="F45" t="str">
            <v>지점입금</v>
          </cell>
        </row>
        <row r="46">
          <cell r="F46" t="str">
            <v>지급임차료</v>
          </cell>
        </row>
        <row r="47">
          <cell r="F47" t="str">
            <v>차량유지비</v>
          </cell>
        </row>
        <row r="48">
          <cell r="F48" t="str">
            <v>차입금</v>
          </cell>
        </row>
        <row r="49">
          <cell r="F49" t="str">
            <v>통신비</v>
          </cell>
        </row>
        <row r="50">
          <cell r="F50" t="str">
            <v>잡급</v>
          </cell>
        </row>
        <row r="51">
          <cell r="F51" t="str">
            <v>외주비</v>
          </cell>
        </row>
        <row r="52">
          <cell r="F52" t="str">
            <v>현금</v>
          </cell>
        </row>
        <row r="53">
          <cell r="F53" t="str">
            <v>매출</v>
          </cell>
        </row>
        <row r="54">
          <cell r="F54" t="str">
            <v>상여금</v>
          </cell>
        </row>
        <row r="55">
          <cell r="F55" t="str">
            <v>잡손실</v>
          </cell>
        </row>
        <row r="56">
          <cell r="F56" t="str">
            <v>자본금</v>
          </cell>
        </row>
        <row r="57">
          <cell r="F57" t="str">
            <v>이자비용</v>
          </cell>
        </row>
        <row r="58">
          <cell r="F58" t="str">
            <v>설계비</v>
          </cell>
        </row>
        <row r="59">
          <cell r="F59" t="str">
            <v>설계용역비</v>
          </cell>
        </row>
        <row r="60">
          <cell r="F60" t="str">
            <v>용역비</v>
          </cell>
        </row>
        <row r="61">
          <cell r="F61" t="str">
            <v>차입금상환</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옥외보안등"/>
      <sheetName val="전기실"/>
      <sheetName val="전력간선"/>
      <sheetName val="동력설비"/>
      <sheetName val="전등설비"/>
      <sheetName val="전열공사"/>
      <sheetName val="피뢰침설비"/>
      <sheetName val="SNOW"/>
      <sheetName val="주차관제"/>
      <sheetName val="자탐.유도등"/>
      <sheetName val="전화설비"/>
      <sheetName val="TV설비"/>
      <sheetName val="방송설비"/>
      <sheetName val="강당음향"/>
      <sheetName val="CCTV"/>
      <sheetName val="무선통신"/>
      <sheetName val="전기내역서"/>
      <sheetName val="통신내역서"/>
      <sheetName val="전기지급자재"/>
      <sheetName val="통신지급자재"/>
      <sheetName val="감독차량비"/>
      <sheetName val="원가계산"/>
      <sheetName val="총괄표"/>
      <sheetName val="노무비"/>
      <sheetName val="데이타"/>
      <sheetName val="운영비"/>
      <sheetName val="식재인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건축개요"/>
      <sheetName val="수지분석"/>
      <sheetName val="CashFlow"/>
      <sheetName val="국민주택채권 등"/>
      <sheetName val="분담금"/>
      <sheetName val="기타 비용"/>
      <sheetName val="대출금 산출내역"/>
      <sheetName val="공기"/>
      <sheetName val="분양가산정"/>
      <sheetName val="공정율"/>
      <sheetName val="교통유발계수"/>
      <sheetName val="사업계획서용1"/>
      <sheetName val="사업계획서용2"/>
      <sheetName val="인문사회"/>
      <sheetName val="사업계획서용3"/>
    </sheetNames>
    <sheetDataSet>
      <sheetData sheetId="0"/>
      <sheetData sheetId="1">
        <row r="21">
          <cell r="B21">
            <v>1</v>
          </cell>
        </row>
        <row r="35">
          <cell r="B35">
            <v>4</v>
          </cell>
        </row>
        <row r="46">
          <cell r="B46">
            <v>19</v>
          </cell>
        </row>
        <row r="114">
          <cell r="C114" t="str">
            <v>공동주택</v>
          </cell>
        </row>
        <row r="115">
          <cell r="C115" t="str">
            <v>교회/성당/사찰/기도원</v>
          </cell>
        </row>
        <row r="116">
          <cell r="C116" t="str">
            <v>수도원/수녀원</v>
          </cell>
        </row>
        <row r="117">
          <cell r="C117" t="str">
            <v>종합병원/병원/의원/한의원</v>
          </cell>
        </row>
        <row r="118">
          <cell r="C118" t="str">
            <v>일반업무시설</v>
          </cell>
        </row>
        <row r="119">
          <cell r="C119" t="str">
            <v>정부및지자체의 청사</v>
          </cell>
        </row>
        <row r="120">
          <cell r="C120" t="str">
            <v>공연장/집회장/관람장</v>
          </cell>
        </row>
        <row r="121">
          <cell r="C121" t="str">
            <v>예식장</v>
          </cell>
        </row>
        <row r="122">
          <cell r="C122" t="str">
            <v>전시장</v>
          </cell>
        </row>
        <row r="123">
          <cell r="C123" t="str">
            <v>동식물원</v>
          </cell>
        </row>
        <row r="124">
          <cell r="C124" t="str">
            <v>시장/도매센터</v>
          </cell>
        </row>
        <row r="125">
          <cell r="C125" t="str">
            <v>대형점/백화점/쇼핑센터</v>
          </cell>
        </row>
        <row r="126">
          <cell r="C126" t="str">
            <v>호텔/여관/기타관광숙박시설</v>
          </cell>
        </row>
        <row r="127">
          <cell r="C127" t="str">
            <v>주점영업/단란주점(근린시설아닌경우)/특수목욕장/당구장/유기장</v>
          </cell>
        </row>
        <row r="128">
          <cell r="C128" t="str">
            <v>무도장/무도학원/투전기업소/카지노업소</v>
          </cell>
        </row>
        <row r="129">
          <cell r="C129" t="str">
            <v>세차장/매매장/폐차장/운전정비학원</v>
          </cell>
        </row>
        <row r="130">
          <cell r="C130" t="str">
            <v>검사장/정비공장/주차장</v>
          </cell>
        </row>
        <row r="131">
          <cell r="C131" t="str">
            <v>여객자동차터미널</v>
          </cell>
        </row>
        <row r="132">
          <cell r="C132" t="str">
            <v>방송국/전신전화국/촬영소</v>
          </cell>
        </row>
        <row r="133">
          <cell r="C133" t="str">
            <v>일반공장/공해공장</v>
          </cell>
        </row>
        <row r="134">
          <cell r="C134" t="str">
            <v>교육원/직업훈련소/연구소/도서관/학원</v>
          </cell>
        </row>
        <row r="135">
          <cell r="C135" t="str">
            <v>전문대학/대학/대학교</v>
          </cell>
        </row>
        <row r="136">
          <cell r="C136" t="str">
            <v>창고</v>
          </cell>
        </row>
        <row r="137">
          <cell r="C137" t="str">
            <v>하역장/적치장</v>
          </cell>
        </row>
        <row r="138">
          <cell r="C138" t="str">
            <v>저장탱크</v>
          </cell>
        </row>
        <row r="139">
          <cell r="C139" t="str">
            <v>야외음악당/야외극장</v>
          </cell>
        </row>
        <row r="140">
          <cell r="C140" t="str">
            <v>어린이회관/휴게소/관망탑/유원지부속시설</v>
          </cell>
        </row>
        <row r="141">
          <cell r="C141" t="str">
            <v>체육관/운동장/근린시설이아닌시설</v>
          </cell>
        </row>
        <row r="142">
          <cell r="C142" t="str">
            <v>아동시설/노인시설</v>
          </cell>
        </row>
        <row r="143">
          <cell r="C143" t="str">
            <v>주유소/액화석유가스충전소</v>
          </cell>
        </row>
        <row r="144">
          <cell r="C144" t="str">
            <v>정수장/양수장/변전소</v>
          </cell>
        </row>
        <row r="145">
          <cell r="C145" t="str">
            <v>기타 1,2종 근린생활시설</v>
          </cell>
        </row>
        <row r="146">
          <cell r="C146" t="str">
            <v>장례식장</v>
          </cell>
        </row>
        <row r="147">
          <cell r="C147" t="str">
            <v>화장장/납골당/공원묘원</v>
          </cell>
        </row>
        <row r="148">
          <cell r="C148" t="str">
            <v>유스호스텔/생활권수련시설/자연권수련시설</v>
          </cell>
        </row>
        <row r="149">
          <cell r="C149" t="str">
            <v>가축시장/도축장/도계장/동물검역소</v>
          </cell>
        </row>
        <row r="150">
          <cell r="C150" t="str">
            <v>발전소,교정시설,군사국방시설</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인회계사확인서"/>
      <sheetName val="양식22(주요사항요약)"/>
      <sheetName val="양식23(정부지급금)"/>
      <sheetName val="양식24(민간투자비)"/>
      <sheetName val="양식25(자금조달계획)"/>
      <sheetName val="양식26(추정대차대조표)"/>
      <sheetName val="양식27(추정손익계산서)"/>
      <sheetName val="양식28(추정현금흐름표)"/>
      <sheetName val="양식29(물가지수표)"/>
      <sheetName val="보고서"/>
      <sheetName val="현가평가"/>
      <sheetName val="정부현가비교"/>
      <sheetName val="운영비차액비교"/>
      <sheetName val="제안시BTL조건"/>
      <sheetName val="모델최종CHECK LIST"/>
      <sheetName val="FI ROI"/>
      <sheetName val="민감도"/>
      <sheetName val="재무모델요약"/>
      <sheetName val="가정 및 결과"/>
      <sheetName val="물가지수"/>
      <sheetName val="S-CURVE"/>
      <sheetName val="개업비"/>
      <sheetName val="총사업비산정내역"/>
      <sheetName val="총사업비(분기)"/>
      <sheetName val="총사업비(연도)"/>
      <sheetName val="총투자비(분기)"/>
      <sheetName val="총투자비(연도)"/>
      <sheetName val="재원조달"/>
      <sheetName val="차입금상환(분기및연도)"/>
      <sheetName val="시설임대료"/>
      <sheetName val="운영비용"/>
      <sheetName val="보험(운영기간)"/>
      <sheetName val="추정대차대조표-계정별내역"/>
      <sheetName val="추정대차대조표"/>
      <sheetName val="추정손익계산서-계정별내역"/>
      <sheetName val="추정손익계산서"/>
      <sheetName val="추정현금흐름표"/>
      <sheetName val="자금수지표"/>
      <sheetName val="부속서류목차"/>
      <sheetName val="부속서류1장"/>
      <sheetName val="1장-1"/>
      <sheetName val="1장-2"/>
      <sheetName val="부속서류2장"/>
      <sheetName val="2장-1"/>
      <sheetName val="2장-2"/>
      <sheetName val="부속서류3장"/>
      <sheetName val="3장-1"/>
      <sheetName val="부속서류4장"/>
      <sheetName val="4장-1"/>
      <sheetName val="4장-2"/>
      <sheetName val="4장-3"/>
      <sheetName val="가격보고서(A4)"/>
      <sheetName val="가격보고서(A3)"/>
      <sheetName val="데이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22">
          <cell r="J22">
            <v>39517</v>
          </cell>
        </row>
        <row r="23">
          <cell r="J23">
            <v>340</v>
          </cell>
        </row>
        <row r="24">
          <cell r="J24">
            <v>39857</v>
          </cell>
        </row>
        <row r="26">
          <cell r="J26">
            <v>39858</v>
          </cell>
        </row>
        <row r="29">
          <cell r="J29">
            <v>47162</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골조"/>
      <sheetName val="유림총괄"/>
      <sheetName val="비교1"/>
      <sheetName val="공기"/>
      <sheetName val="새공통(97년3월)"/>
      <sheetName val="협력업체"/>
      <sheetName val="외주업체list (3)"/>
      <sheetName val="FAX양식"/>
      <sheetName val="FAX양식 (2)"/>
      <sheetName val="Sheet1"/>
      <sheetName val="Sheet2"/>
      <sheetName val="Sheet21"/>
      <sheetName val="Sheet20"/>
      <sheetName val="Sheet19"/>
      <sheetName val="Sheet18"/>
      <sheetName val="Sheet17"/>
      <sheetName val="Sheet16"/>
      <sheetName val="Sheet15"/>
      <sheetName val="Sheet14"/>
      <sheetName val="Sheet13"/>
      <sheetName val="Sheet12"/>
      <sheetName val="Sheet11"/>
      <sheetName val="Sheet10"/>
      <sheetName val="Sheet9"/>
      <sheetName val="Sheet8"/>
      <sheetName val="Sheet7"/>
      <sheetName val="Sheet6"/>
      <sheetName val="Sheet5"/>
      <sheetName val="Sheet4"/>
      <sheetName val="Sheet3"/>
      <sheetName val="새공통(96임금인상기준)"/>
      <sheetName val="공사개요"/>
      <sheetName val="분당코아"/>
      <sheetName val="물가"/>
      <sheetName val="물가 (2)"/>
      <sheetName val="옥외공사"/>
      <sheetName val="내역표지"/>
      <sheetName val="견적조건"/>
      <sheetName val="공사총괄-2"/>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제출표지"/>
      <sheetName val="특수조건"/>
      <sheetName val="분책"/>
      <sheetName val="실행대비"/>
      <sheetName val="평단가비교"/>
      <sheetName val="OPTION비교"/>
      <sheetName val="실행원안對현장통보실행안"/>
      <sheetName val="의뢰"/>
      <sheetName val="의뢰서"/>
      <sheetName val="품의서(A3-3장)"/>
      <sheetName val="NEW비교"/>
      <sheetName val="계단실,로비"/>
      <sheetName val="주방가구外"/>
      <sheetName val="빌라트대비"/>
      <sheetName val="공통비대비"/>
      <sheetName val="공통비대비분석"/>
      <sheetName val="새공통(97년1월)"/>
      <sheetName val="직원투입계획"/>
      <sheetName val="현채투입계획"/>
      <sheetName val="전체총괄표"/>
      <sheetName val="산출내역서"/>
      <sheetName val="항목별총괄표"/>
      <sheetName val="공사현황"/>
      <sheetName val="건축실행대비"/>
      <sheetName val="가설공사"/>
      <sheetName val="철근콘크리트공사"/>
      <sheetName val="타일공사"/>
      <sheetName val="창호공사"/>
      <sheetName val="AL창호"/>
      <sheetName val="수장공사"/>
      <sheetName val="철골공사"/>
      <sheetName val="증가요인"/>
      <sheetName val="감사실"/>
      <sheetName val="물량증가"/>
      <sheetName val="9604000"/>
      <sheetName val="960503"/>
      <sheetName val="새공통(96년12월) "/>
      <sheetName val="협조문"/>
      <sheetName val="안양코아"/>
      <sheetName val="COLUMN"/>
      <sheetName val="공통비비교"/>
      <sheetName val="부지조성"/>
      <sheetName val="투입인원대비"/>
      <sheetName val="형틀분개"/>
      <sheetName val="시행대비"/>
      <sheetName val="마감범위"/>
      <sheetName val="추가예산"/>
      <sheetName val="TEMP철골"/>
      <sheetName val="기계기초"/>
      <sheetName val="안양코아최종대비"/>
      <sheetName val="최종건축대비"/>
      <sheetName val="A급현장"/>
      <sheetName val="A급현장 (2)"/>
      <sheetName val="B급현장"/>
      <sheetName val="B급현장 (2)"/>
      <sheetName val="C급현장"/>
      <sheetName val="C급현장 (2)"/>
      <sheetName val="D급현장"/>
      <sheetName val="D급현장 (2)"/>
      <sheetName val="공통비산출근거"/>
      <sheetName val="0831"/>
      <sheetName val="0915"/>
      <sheetName val="0915 (2)"/>
      <sheetName val="단가"/>
      <sheetName val="단가결정"/>
      <sheetName val="현관비DATA"/>
      <sheetName val="터파기및재료"/>
      <sheetName val="유림공통"/>
      <sheetName val="견적의뢰서"/>
      <sheetName val="새공통97.4"/>
      <sheetName val="품의서(97.4)"/>
      <sheetName val="현.종.목"/>
      <sheetName val="창호,가구"/>
      <sheetName val="system"/>
      <sheetName val="목재창호"/>
      <sheetName val="물가상승"/>
      <sheetName val="옥외 (적용)"/>
      <sheetName val="토목"/>
      <sheetName val="재료마감표"/>
      <sheetName val="비교(기존)"/>
      <sheetName val="비교(변경)"/>
      <sheetName val="금액대비표"/>
      <sheetName val="건축-옥외"/>
      <sheetName val="공사집계(기존)"/>
      <sheetName val="공사집계(변경)"/>
      <sheetName val="건축집계"/>
      <sheetName val="분당협조"/>
      <sheetName val="집계2"/>
      <sheetName val="2001년"/>
      <sheetName val="2001년변형"/>
      <sheetName val="2002년"/>
      <sheetName val="2003년"/>
      <sheetName val="3안신촉진안실적반영"/>
      <sheetName val="11월"/>
      <sheetName val="12월"/>
      <sheetName val="1월"/>
      <sheetName val="2월"/>
      <sheetName val="3월"/>
      <sheetName val="4월"/>
      <sheetName val="5월"/>
      <sheetName val="6월"/>
      <sheetName val="7월"/>
      <sheetName val="8월"/>
      <sheetName val="실행율"/>
      <sheetName val="분양수입금일정"/>
      <sheetName val="bid"/>
      <sheetName val="구의33고"/>
      <sheetName val="갑지(추정)"/>
      <sheetName val="내역"/>
      <sheetName val="일위대가표"/>
      <sheetName val="DATE"/>
      <sheetName val="여과지동"/>
      <sheetName val="기초자료"/>
      <sheetName val="내역서"/>
      <sheetName val="일위대가"/>
      <sheetName val="실행간접비"/>
      <sheetName val="집계표"/>
      <sheetName val="자재단가"/>
      <sheetName val="새공통"/>
      <sheetName val="변경명신물량 (2)"/>
      <sheetName val="공사"/>
      <sheetName val="산출내역서집계표"/>
      <sheetName val="현장관리비"/>
      <sheetName val="유림콘도"/>
      <sheetName val="자판실행"/>
      <sheetName val="대비표(토공1안)"/>
      <sheetName val="산출서"/>
      <sheetName val="Total"/>
      <sheetName val="8.식재일위"/>
      <sheetName val="B시설가격"/>
      <sheetName val="기초일위"/>
      <sheetName val="일반수량총괄집계"/>
      <sheetName val="45,46"/>
      <sheetName val="코드표"/>
      <sheetName val="4차원가계산서"/>
      <sheetName val="투입비"/>
      <sheetName val="01"/>
      <sheetName val="표지"/>
      <sheetName val="표지(수정)"/>
      <sheetName val="표지(적용)"/>
      <sheetName val="1공사개요"/>
      <sheetName val="2공정계획"/>
      <sheetName val="2공정계획 (2)"/>
      <sheetName val="2공정계획(미표기_미적용)"/>
      <sheetName val="3자금운용(최종)"/>
      <sheetName val="3손익분석"/>
      <sheetName val="3자금운용(수정)"/>
      <sheetName val="3자금운용(당초)"/>
      <sheetName val="4직원투입(적용)"/>
      <sheetName val="4_1직원투입(미적용)"/>
      <sheetName val="5안전환경"/>
      <sheetName val="6인허가"/>
      <sheetName val="7본사관련부서"/>
      <sheetName val="초기예산표지"/>
      <sheetName val="결재인"/>
      <sheetName val="계약고대비"/>
      <sheetName val="예산집계"/>
      <sheetName val="산재매입세"/>
      <sheetName val="변경대비(적용)"/>
      <sheetName val="변경대비(미적용)"/>
      <sheetName val="견적정보"/>
      <sheetName val="변경비교-을"/>
      <sheetName val="공통비(전체)"/>
      <sheetName val="플랜트 설치"/>
      <sheetName val="경산"/>
      <sheetName val="입찰안"/>
      <sheetName val="설계내역서"/>
      <sheetName val="전기"/>
      <sheetName val="산출금액내역"/>
      <sheetName val="2000년1차"/>
      <sheetName val="차액보증"/>
      <sheetName val="Eq. Mobilization"/>
      <sheetName val="기계경비(시간당)"/>
      <sheetName val="램머"/>
      <sheetName val="대림경상68억"/>
      <sheetName val="#REF"/>
      <sheetName val="수목데이타 "/>
      <sheetName val="가정 및 결과"/>
      <sheetName val="마산월령동골조물량변경"/>
      <sheetName val="도곡동빌라트보관"/>
      <sheetName val="공사비대비"/>
      <sheetName val="골조물량"/>
      <sheetName val="동바리外"/>
      <sheetName val="공사비총괄표"/>
      <sheetName val="내역총괄표 "/>
      <sheetName val="D급현장 (2)_x0000__x0000__x0000__x0000__x0000__x0000__x0000__x0000__x0000__x0009__x0000_飰ঊ_x0000__x0004__x0000__x0000__x0000__x0000__x0000__x0000_ϸঈ"/>
      <sheetName val="투입"/>
      <sheetName val="수입"/>
      <sheetName val="pier(각형)"/>
      <sheetName val="부산제일극장"/>
      <sheetName val="D급현장 (2)_x0000__x0009_飰ঊ_x0004__x0000_ϸঈ餘ঊn_x0000__x0011_[유림콘도.XLS]"/>
      <sheetName val="와동25-3(변경)"/>
      <sheetName val="Sheet2 (2)"/>
      <sheetName val="손익차9월2"/>
      <sheetName val="삭제금지단가"/>
      <sheetName val="신대방33(적용)"/>
      <sheetName val="D급현장 (2)_x0000__x0000__x0000__x0000__x0000__x0000__x0000__x0000__x0000_ _x0000_飰ঊ_x0000__x0004__x0000__x0000__x0000__x0000__x0000__x0000_ϸঈ"/>
      <sheetName val="D급현장 (2)_x0000_ 飰ঊ_x0004__x0000_ϸঈ餘ঊn_x0000__x0011_[유림콘도.XLS]"/>
      <sheetName val="명세표"/>
      <sheetName val="0"/>
      <sheetName val="목록"/>
      <sheetName val="단위세대 개요"/>
      <sheetName val="데이타"/>
      <sheetName val="SG"/>
      <sheetName val="MIJIBI"/>
      <sheetName val="일위대가-01"/>
      <sheetName val="빗물받이(910-510-410)"/>
      <sheetName val="총투입계"/>
      <sheetName val="파일의이용"/>
      <sheetName val="내역_FILE"/>
      <sheetName val="공사단가"/>
      <sheetName val="WELDING"/>
      <sheetName val="실행철강하도"/>
      <sheetName val="목표세부명세"/>
      <sheetName val="OE"/>
      <sheetName val="시장성초안camera"/>
      <sheetName val="청산공사"/>
      <sheetName val="ETC"/>
      <sheetName val="마감LIST-1"/>
      <sheetName val="경비"/>
      <sheetName val="1.약산개요입력"/>
      <sheetName val="기본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
      <sheetName val="CF검증"/>
      <sheetName val="이익율검증"/>
      <sheetName val="BS"/>
      <sheetName val="PL_CF"/>
      <sheetName val="보고서 기초자료"/>
      <sheetName val="장기대여금등"/>
      <sheetName val="Debt (old)"/>
      <sheetName val="Debt(이자)"/>
      <sheetName val="Debt(new)"/>
      <sheetName val="영업자산 (old)"/>
      <sheetName val="최대가능규모"/>
      <sheetName val="기본가정"/>
      <sheetName val="차입금"/>
      <sheetName val="원금회수"/>
      <sheetName val="할부확인"/>
      <sheetName val="신차"/>
      <sheetName val="중고차"/>
      <sheetName val="내구재"/>
      <sheetName val="할부-주택"/>
      <sheetName val="할부-수요자"/>
      <sheetName val="일반-자동차"/>
      <sheetName val="일반-주택"/>
      <sheetName val="개인대출"/>
      <sheetName val="서울보증보험"/>
      <sheetName val="한국철도차량"/>
      <sheetName val="금융리스채권"/>
      <sheetName val="선급리스자산"/>
      <sheetName val="대출전용카드"/>
      <sheetName val="금융리스채권RV"/>
      <sheetName val="일반관리비"/>
      <sheetName val="이슈"/>
      <sheetName val="시험용"/>
    </sheetNames>
    <sheetDataSet>
      <sheetData sheetId="0">
        <row r="3">
          <cell r="C3">
            <v>1000000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골조"/>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Sheet4"/>
      <sheetName val="공기"/>
      <sheetName val="새공통(97년3월)"/>
      <sheetName val="공사개요"/>
      <sheetName val="파일공사"/>
      <sheetName val="물량산출"/>
      <sheetName val="면적대비"/>
      <sheetName val="apt골조"/>
      <sheetName val="Sheet2"/>
      <sheetName val="Sheet3"/>
      <sheetName val="도곡동빌라트보관"/>
      <sheetName val="공사비대비"/>
      <sheetName val="Sheet5"/>
      <sheetName val="Sheet6"/>
      <sheetName val="전기"/>
      <sheetName val="12.27"/>
      <sheetName val="12.23"/>
      <sheetName val="12.16"/>
      <sheetName val="12.9"/>
      <sheetName val="12.1"/>
      <sheetName val="11.25"/>
      <sheetName val="예비2"/>
      <sheetName val="11.18"/>
      <sheetName val="10월 4"/>
      <sheetName val="10월 3"/>
      <sheetName val="사진"/>
      <sheetName val="Sheet1"/>
      <sheetName val="마산월령동골조물량변경"/>
      <sheetName val="공사현황"/>
      <sheetName val="직원투입계획"/>
      <sheetName val="현채투입계획"/>
      <sheetName val="산출내역서"/>
      <sheetName val="일용노임단가"/>
      <sheetName val="일위대가표"/>
      <sheetName val="현장현황"/>
      <sheetName val="#REF"/>
      <sheetName val="임대계획"/>
      <sheetName val="구의33고"/>
      <sheetName val="공통부대비"/>
      <sheetName val="갑지"/>
      <sheetName val="TOWER 10TON"/>
      <sheetName val="TOWER 12TON"/>
      <sheetName val="상반기손익차2총괄"/>
      <sheetName val="공통비총괄표"/>
      <sheetName val="경산"/>
      <sheetName val="내역"/>
      <sheetName val="노임단가"/>
      <sheetName val="P.M 별"/>
      <sheetName val="총괄표"/>
      <sheetName val="배수내역"/>
      <sheetName val="금융비용"/>
      <sheetName val="기초코드"/>
      <sheetName val="주요공사"/>
      <sheetName val="DHEQSUPT"/>
      <sheetName val="결과조달"/>
      <sheetName val="공무공A"/>
      <sheetName val="현장"/>
      <sheetName val="대비"/>
      <sheetName val="9811"/>
      <sheetName val="기초일위"/>
      <sheetName val="시설일위"/>
      <sheetName val="조명일위"/>
      <sheetName val="납부서"/>
      <sheetName val="MixBed"/>
      <sheetName val="CondPol"/>
      <sheetName val="노임이"/>
      <sheetName val="금액내역서"/>
      <sheetName val="3단계"/>
      <sheetName val="2단계"/>
      <sheetName val="수입"/>
      <sheetName val="2.대외공문"/>
      <sheetName val="공문"/>
      <sheetName val="Eq. Mobilization"/>
      <sheetName val="70%"/>
      <sheetName val="기계"/>
      <sheetName val="정화조"/>
      <sheetName val="조경"/>
      <sheetName val="토목"/>
      <sheetName val="코드"/>
      <sheetName val="SCHEDULE"/>
      <sheetName val="ELECTRIC"/>
      <sheetName val="CTEMCOST"/>
      <sheetName val="골조시행"/>
      <sheetName val="본사공가현황"/>
      <sheetName val="실행"/>
      <sheetName val="적상기초자료"/>
      <sheetName val="D-623D"/>
      <sheetName val="9509"/>
      <sheetName val="내역(중앙)"/>
      <sheetName val="M-EQPT-Z"/>
      <sheetName val="관람석제출"/>
      <sheetName val="집계표"/>
      <sheetName val="CB"/>
      <sheetName val="자재(원원+원대)"/>
      <sheetName val="청산공사"/>
      <sheetName val="입찰보고"/>
      <sheetName val="공통비총퐛"/>
      <sheetName val="대여현황"/>
      <sheetName val="단가비교표"/>
      <sheetName val="현장관리비"/>
      <sheetName val="하수급견적대비"/>
      <sheetName val="매립"/>
      <sheetName val="W-현원가"/>
      <sheetName val="공사비집계"/>
      <sheetName val="날개벽"/>
      <sheetName val="내역_FILE"/>
      <sheetName val="Total"/>
      <sheetName val="TRE TABLE"/>
      <sheetName val="Sheet2 (2)"/>
      <sheetName val="직재"/>
      <sheetName val="냉천부속동"/>
      <sheetName val="회사99"/>
      <sheetName val="물량내역"/>
      <sheetName val="연돌일위집계"/>
      <sheetName val="일위대가(가설)"/>
      <sheetName val="와동25-3(변경)"/>
      <sheetName val="도근좌표"/>
      <sheetName val="연결임시"/>
      <sheetName val="연습"/>
      <sheetName val="01"/>
      <sheetName val="공사비예산서(토목분)"/>
      <sheetName val="가격조사서"/>
      <sheetName val="터파기및재료"/>
      <sheetName val="Sheet15"/>
      <sheetName val="입찰"/>
      <sheetName val="현경"/>
      <sheetName val="식재인부"/>
      <sheetName val="유림총괄"/>
      <sheetName val="노무비"/>
      <sheetName val="투입비분석표"/>
      <sheetName val="면접시간확인"/>
      <sheetName val="재집"/>
      <sheetName val="총괄내역서"/>
      <sheetName val="입력"/>
      <sheetName val="3.설계예산내역서(예산서)"/>
      <sheetName val="2.예정공정표"/>
      <sheetName val="설계내역서"/>
      <sheetName val="문10"/>
      <sheetName val="원가계산서"/>
      <sheetName val="방수"/>
      <sheetName val="신대방33(적용)"/>
      <sheetName val="예가표"/>
      <sheetName val="차액보증"/>
      <sheetName val="예총"/>
      <sheetName val="소방기계"/>
      <sheetName val="데이타"/>
      <sheetName val="내역서"/>
      <sheetName val="단면 (2)"/>
      <sheetName val="10월실적마감"/>
      <sheetName val="7월실적마감"/>
      <sheetName val="8월실적마감"/>
      <sheetName val="9월실적마감"/>
      <sheetName val="14 장비소요계획"/>
      <sheetName val="갑지(추정)"/>
      <sheetName val="월별수입"/>
      <sheetName val="6PILE  (돌출)"/>
      <sheetName val="에너지동"/>
      <sheetName val="구조물공"/>
      <sheetName val="부대공"/>
      <sheetName val="배수공"/>
      <sheetName val="토공"/>
      <sheetName val="포장공"/>
      <sheetName val="토목주소"/>
      <sheetName val="프랜트면허"/>
      <sheetName val="정보"/>
      <sheetName val="실행대비"/>
      <sheetName val="BOJUNGGM"/>
      <sheetName val="원가계산서(남측)"/>
      <sheetName val="형틀공사"/>
      <sheetName val="경영상태"/>
      <sheetName val="매각(6)"/>
      <sheetName val="백분율"/>
      <sheetName val="잡비"/>
      <sheetName val="J直材4"/>
      <sheetName val="교통대책내역"/>
      <sheetName val="2.형틀공사집계"/>
      <sheetName val="설직재-1"/>
      <sheetName val="수량산출"/>
      <sheetName val="현금흐름(SPC)"/>
      <sheetName val="단가"/>
      <sheetName val="집계"/>
      <sheetName val="다곡2교"/>
      <sheetName val="관급"/>
      <sheetName val="JIB CRANE,HOIST"/>
      <sheetName val="3.공통공사대비"/>
      <sheetName val="2.ㄱ)교량"/>
      <sheetName val="집계표(육상)"/>
      <sheetName val="지급자재"/>
      <sheetName val="1차 내역서"/>
      <sheetName val="수목데이타 "/>
      <sheetName val="간접비"/>
      <sheetName val="현금흐름"/>
      <sheetName val="마감사양"/>
      <sheetName val="돈암사업"/>
      <sheetName val="몰탈콘크리트"/>
      <sheetName val="철근집계"/>
      <sheetName val="입찰안"/>
      <sheetName val="일위대가(계측기설치)"/>
      <sheetName val="산거각호표"/>
      <sheetName val="수주현황2월"/>
      <sheetName val="BID"/>
      <sheetName val="손익차9월2"/>
      <sheetName val="업무분장"/>
      <sheetName val="Sheet17"/>
      <sheetName val="2000년1차"/>
      <sheetName val="일위대가"/>
      <sheetName val="cp1"/>
      <sheetName val="도급,하도급 예정금액"/>
      <sheetName val="실행간접비용"/>
      <sheetName val="1.취수장"/>
      <sheetName val="4차원가계산서"/>
      <sheetName val="3.바닥판  "/>
      <sheetName val="DATE"/>
      <sheetName val="방배동내역(리라)"/>
      <sheetName val="부대공사총괄"/>
      <sheetName val="현장경비"/>
      <sheetName val="건축공사집계표"/>
      <sheetName val="N賃率-職"/>
      <sheetName val="교각1"/>
      <sheetName val="SG"/>
      <sheetName val="첨부1"/>
      <sheetName val="단가산출2"/>
      <sheetName val="대치판정"/>
      <sheetName val="전장품(관리용)"/>
      <sheetName val="건축내역"/>
      <sheetName val="BASIC (2)"/>
      <sheetName val="부서현황"/>
      <sheetName val="9GNG운반"/>
      <sheetName val="적점"/>
      <sheetName val="목표세부명세"/>
      <sheetName val="ADmin"/>
      <sheetName val="실행내역"/>
      <sheetName val="공정"/>
      <sheetName val="대비표"/>
      <sheetName val="실행(ALT1)"/>
      <sheetName val="공량산출서"/>
      <sheetName val="변경내역"/>
      <sheetName val="배수내역 (2)"/>
      <sheetName val="관로토공"/>
      <sheetName val="마포토정"/>
      <sheetName val="부대tu"/>
      <sheetName val="직노"/>
      <sheetName val="친환경주택"/>
      <sheetName val="설비(제출)"/>
      <sheetName val="소비자가"/>
      <sheetName val="공통비(전체)"/>
      <sheetName val="1ST"/>
      <sheetName val="자동제어"/>
      <sheetName val="청구"/>
      <sheetName val="1.우편집중내역서"/>
      <sheetName val="2차공사"/>
      <sheetName val="대림경상68억"/>
      <sheetName val="해외(원화)"/>
      <sheetName val="기초목"/>
      <sheetName val="우,오수"/>
      <sheetName val="금액순"/>
      <sheetName val="부산제일극장"/>
      <sheetName val="기초1"/>
      <sheetName val="일위목록"/>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스포회원매출"/>
      <sheetName val="주간자금수지"/>
    </sheetNames>
    <sheetDataSet>
      <sheetData sheetId="0" refreshError="1"/>
      <sheetData sheetId="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노무비"/>
      <sheetName val="유림골조"/>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경산"/>
      <sheetName val="퍼스트"/>
      <sheetName val="Macro2"/>
      <sheetName val="Macro1"/>
      <sheetName val="개수정렬"/>
      <sheetName val="현장관리비"/>
      <sheetName val="2공구산출내역"/>
      <sheetName val="기성내역"/>
      <sheetName val="터파기및재료"/>
      <sheetName val="엘리베이터설치공사"/>
      <sheetName val="J"/>
      <sheetName val="인부신상자료"/>
      <sheetName val="1유리"/>
      <sheetName val="을"/>
      <sheetName val="1,2공구원가계산서"/>
      <sheetName val="1공구산출내역서"/>
      <sheetName val="집계표2"/>
      <sheetName val="단위단가"/>
      <sheetName val="#REF"/>
      <sheetName val="단가적용"/>
      <sheetName val="산출내역서집계표"/>
      <sheetName val="여과지동"/>
      <sheetName val="기초자료"/>
      <sheetName val="결과조달"/>
      <sheetName val="DANGA"/>
      <sheetName val="일위대가"/>
      <sheetName val="토공유동표(전체.당초)"/>
      <sheetName val="원도급"/>
      <sheetName val="하도급"/>
      <sheetName val="산출내역서"/>
      <sheetName val="포장공"/>
      <sheetName val="b_balju"/>
      <sheetName val="가스"/>
      <sheetName val="단가"/>
      <sheetName val="원가계산서"/>
      <sheetName val="목차"/>
      <sheetName val="실행철강하도"/>
      <sheetName val="이티입력"/>
      <sheetName val="일위"/>
      <sheetName val="22인공"/>
      <sheetName val="주방환기"/>
      <sheetName val="투찰내역"/>
      <sheetName val="const."/>
      <sheetName val="관급"/>
      <sheetName val="노무비 근거"/>
      <sheetName val="자재단가"/>
      <sheetName val="개요"/>
      <sheetName val="내역"/>
      <sheetName val="공내역"/>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Sheet1"/>
      <sheetName val="Sheet2"/>
      <sheetName val="Sheet3"/>
      <sheetName val="노임단가"/>
      <sheetName val="일위목록"/>
      <sheetName val="wall"/>
      <sheetName val="횡배수관집현황(2공구)"/>
      <sheetName val="노무비"/>
      <sheetName val="별표 "/>
      <sheetName val="유림골조"/>
      <sheetName val="돈암사업"/>
      <sheetName val="1차 내역서"/>
      <sheetName val="을지"/>
      <sheetName val="DATE"/>
      <sheetName val="수목표준대가"/>
      <sheetName val="정부노임단가"/>
      <sheetName val="매각(6)"/>
      <sheetName val="마산월령동골조물량변경"/>
      <sheetName val="공통비총괄표"/>
      <sheetName val="예산명세서"/>
      <sheetName val="설계명세서"/>
      <sheetName val="자료입력"/>
      <sheetName val="공통부대비"/>
      <sheetName val="사업부배부A"/>
      <sheetName val="상반기손익차2총괄"/>
      <sheetName val="매입가격"/>
      <sheetName val="공사비"/>
      <sheetName val="경산"/>
      <sheetName val="설비2차"/>
      <sheetName val="간접비총괄"/>
      <sheetName val="Sheet2 (2)"/>
      <sheetName val="일위대가표"/>
      <sheetName val="P.M 별"/>
      <sheetName val="캔개발배경"/>
      <sheetName val="시장"/>
      <sheetName val="일정표"/>
      <sheetName val="2공구산출내역"/>
      <sheetName val="계약동호배치도"/>
      <sheetName val="대비"/>
      <sheetName val="COST"/>
      <sheetName val="교통대책내역"/>
      <sheetName val="COVER"/>
      <sheetName val="N賃率-職"/>
      <sheetName val="도급견적가"/>
      <sheetName val="건물"/>
      <sheetName val="노임이"/>
      <sheetName val="2.대외공문"/>
      <sheetName val="냉천부속동"/>
      <sheetName val="시설물기초"/>
      <sheetName val="JUCKEYK"/>
      <sheetName val="견적서"/>
      <sheetName val="CTEMCOST"/>
      <sheetName val="공통비(전체)"/>
      <sheetName val="배수내역"/>
      <sheetName val="Total"/>
      <sheetName val="FRP PIPING 일위대가"/>
      <sheetName val="내역서"/>
      <sheetName val="내역서2안"/>
      <sheetName val="2.1  노무비 평균단가산출"/>
      <sheetName val="내역"/>
      <sheetName val="데이타"/>
      <sheetName val="참조자료"/>
      <sheetName val="패널"/>
      <sheetName val="3단계"/>
      <sheetName val="2단계"/>
      <sheetName val="원가계산서(남측)"/>
      <sheetName val="공사손익"/>
      <sheetName val="고자현황"/>
      <sheetName val="2000년1차"/>
      <sheetName val="6호기"/>
      <sheetName val="일위대가목차"/>
      <sheetName val="수목단가"/>
      <sheetName val="시설수량표"/>
      <sheetName val="식재수량표"/>
      <sheetName val="자재단가"/>
      <sheetName val="2.냉난방설비공사"/>
      <sheetName val="단가조사"/>
      <sheetName val="9509"/>
      <sheetName val="입찰안"/>
      <sheetName val="7. 현장관리비 "/>
      <sheetName val="6. 안전관리비"/>
      <sheetName val="집계표"/>
      <sheetName val="내   역"/>
      <sheetName val="주요공사"/>
      <sheetName val="VXXXXXXX"/>
      <sheetName val="단가표"/>
      <sheetName val="Sheet1 (2)"/>
      <sheetName val="기계공사"/>
      <sheetName val="단면 (2)"/>
      <sheetName val="cp1"/>
      <sheetName val="내역서(기존내역-수정금지)"/>
      <sheetName val="전체내역서"/>
      <sheetName val="ITEM"/>
      <sheetName val="일반부표"/>
      <sheetName val="코드"/>
      <sheetName val="기계"/>
      <sheetName val="주관사업"/>
      <sheetName val="변경내역"/>
      <sheetName val="총요약서"/>
      <sheetName val="설직재-1"/>
      <sheetName val="소일위대가코드표"/>
      <sheetName val="대전(세창동)"/>
      <sheetName val="영업소실적"/>
      <sheetName val="마감사양"/>
      <sheetName val="미수금현황"/>
      <sheetName val="유림총괄"/>
      <sheetName val="0_갑지"/>
      <sheetName val="8_현장관리비"/>
      <sheetName val="7_안전관리비"/>
      <sheetName val="건축내역"/>
      <sheetName val="공사비예산서_토목분_"/>
      <sheetName val="01"/>
      <sheetName val="부표총괄"/>
      <sheetName val="기초목"/>
      <sheetName val="국산화"/>
      <sheetName val="경비"/>
      <sheetName val="00노임기준"/>
      <sheetName val="일위대가"/>
      <sheetName val="교각별철근수량집계표"/>
      <sheetName val="구조물공"/>
      <sheetName val="부대공"/>
      <sheetName val="배수공"/>
      <sheetName val="토공"/>
      <sheetName val="포장공"/>
      <sheetName val="연결임시"/>
      <sheetName val="토공(우물통,기타) "/>
      <sheetName val="교량하부공"/>
      <sheetName val="내역서01"/>
      <sheetName val="단가 (2)"/>
      <sheetName val="골조시행"/>
      <sheetName val="급여관련자료"/>
      <sheetName val="평가데이터"/>
      <sheetName val="하수급견적대비"/>
      <sheetName val="청천내"/>
      <sheetName val="협력업체"/>
      <sheetName val="설계내역서"/>
      <sheetName val="진주방향"/>
      <sheetName val="98지급계획"/>
      <sheetName val="분당임차변경"/>
      <sheetName val="예산서"/>
      <sheetName val="물량내역서"/>
      <sheetName val="Sens&amp;Anal"/>
      <sheetName val="금액결정"/>
      <sheetName val="마찰손실"/>
      <sheetName val="원가계산 (2)"/>
      <sheetName val="수주실적0709"/>
      <sheetName val="부대공Ⅱ"/>
      <sheetName val="단가기준"/>
      <sheetName val="국내총괄"/>
      <sheetName val="15100"/>
      <sheetName val="시중노임단가"/>
      <sheetName val="반포2차"/>
      <sheetName val="6PILE  (돌출)"/>
      <sheetName val="변압기 및 발전기 용량"/>
      <sheetName val="작업년월"/>
      <sheetName val="금액내역서"/>
      <sheetName val="세부내역"/>
      <sheetName val="시중노임(공사)"/>
      <sheetName val="납부내역"/>
      <sheetName val="빈"/>
      <sheetName val="현장현황"/>
      <sheetName val="실행내역"/>
      <sheetName val="직노"/>
      <sheetName val="예가표"/>
      <sheetName val="적상기초자료"/>
      <sheetName val="DATA"/>
      <sheetName val="세금자료"/>
      <sheetName val="요율"/>
      <sheetName val="물량내역"/>
      <sheetName val="ABUT수량-A1"/>
      <sheetName val="식재가격"/>
      <sheetName val="식재총괄"/>
      <sheetName val="TRE TABLE"/>
      <sheetName val="자  재"/>
      <sheetName val="건축외주"/>
      <sheetName val="인상효1"/>
      <sheetName val="설계명세서(전송장비분)"/>
      <sheetName val="사업비총괄표"/>
      <sheetName val="요약&amp;결과"/>
      <sheetName val="대여현황"/>
      <sheetName val="보고"/>
      <sheetName val="수입"/>
      <sheetName val="산출근거"/>
      <sheetName val="입주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tion"/>
      <sheetName val="잔존년수"/>
      <sheetName val="CashFlow"/>
      <sheetName val="CashFlow(중간집계)"/>
      <sheetName val="담보평가"/>
      <sheetName val="LoanList"/>
      <sheetName val="법원비용"/>
      <sheetName val="청구채권액"/>
      <sheetName val="경락률"/>
      <sheetName val="경매회차하락률"/>
      <sheetName val="차주별평가결과"/>
      <sheetName val="정리계획CF평가"/>
      <sheetName val="항고구분"/>
      <sheetName val="X-3 ENG"/>
      <sheetName val="기대회수율산정"/>
      <sheetName val="기대회수Schedule"/>
      <sheetName val="점수확인"/>
      <sheetName val="sheet1"/>
      <sheetName val="원데이타(1)"/>
      <sheetName val="여담"/>
      <sheetName val="99년(원본) "/>
      <sheetName val="WPL"/>
      <sheetName val="10월"/>
      <sheetName val="업체명"/>
      <sheetName val="사업수지"/>
      <sheetName val="주요항목별"/>
      <sheetName val="자금입금"/>
      <sheetName val="Cashflow판(특별인가)"/>
      <sheetName val="대구경북"/>
      <sheetName val="통장출금액"/>
      <sheetName val="MH_생산"/>
      <sheetName val="장외on2"/>
      <sheetName val="제조원가"/>
      <sheetName val="Sheet4"/>
      <sheetName val="보고"/>
      <sheetName val="명세"/>
      <sheetName val="회사정보"/>
      <sheetName val="손익분석"/>
      <sheetName val="공통가설"/>
      <sheetName val="XREF"/>
      <sheetName val="전행순위"/>
      <sheetName val="전체"/>
      <sheetName val="현금흐름(SPC)"/>
      <sheetName val="Variable"/>
      <sheetName val="수입"/>
      <sheetName val="020114"/>
      <sheetName val="0111월"/>
      <sheetName val="계정code"/>
      <sheetName val="3-2.담보정보(물건별)"/>
      <sheetName val="정산표"/>
    </sheetNames>
    <sheetDataSet>
      <sheetData sheetId="0" refreshError="1"/>
      <sheetData sheetId="1" refreshError="1"/>
      <sheetData sheetId="2" refreshError="1"/>
      <sheetData sheetId="3" refreshError="1">
        <row r="9">
          <cell r="C9" t="str">
            <v>담보유무</v>
          </cell>
          <cell r="D9" t="str">
            <v>항고고려후 배당기일</v>
          </cell>
          <cell r="E9" t="str">
            <v>일수</v>
          </cell>
          <cell r="F9" t="str">
            <v>적용연수</v>
          </cell>
          <cell r="G9" t="str">
            <v>실지 배당액</v>
          </cell>
          <cell r="H9" t="str">
            <v>당행회수 경매비용</v>
          </cell>
          <cell r="I9" t="str">
            <v>실지배당액 현가</v>
          </cell>
          <cell r="J9" t="str">
            <v>당행회수 경매비용의 현가</v>
          </cell>
          <cell r="K9" t="str">
            <v>실지배당액 총계</v>
          </cell>
          <cell r="L9" t="str">
            <v>가중된 배당 일수</v>
          </cell>
          <cell r="M9" t="str">
            <v>추심기일</v>
          </cell>
        </row>
        <row r="10">
          <cell r="C10">
            <v>1</v>
          </cell>
          <cell r="D10" t="e">
            <v>#N/A</v>
          </cell>
          <cell r="E10" t="e">
            <v>#N/A</v>
          </cell>
          <cell r="F10" t="e">
            <v>#N/A</v>
          </cell>
          <cell r="G10">
            <v>0</v>
          </cell>
          <cell r="I10" t="e">
            <v>#N/A</v>
          </cell>
          <cell r="K10">
            <v>0</v>
          </cell>
          <cell r="L10">
            <v>0</v>
          </cell>
          <cell r="M10">
            <v>37269</v>
          </cell>
        </row>
        <row r="11">
          <cell r="C11">
            <v>1</v>
          </cell>
          <cell r="D11">
            <v>31</v>
          </cell>
          <cell r="E11">
            <v>0</v>
          </cell>
          <cell r="F11">
            <v>1</v>
          </cell>
          <cell r="G11">
            <v>0</v>
          </cell>
          <cell r="I11">
            <v>0</v>
          </cell>
          <cell r="K11">
            <v>0</v>
          </cell>
          <cell r="L11">
            <v>0</v>
          </cell>
          <cell r="M11">
            <v>37269</v>
          </cell>
        </row>
        <row r="12">
          <cell r="C12">
            <v>1</v>
          </cell>
          <cell r="D12">
            <v>31</v>
          </cell>
          <cell r="E12">
            <v>0</v>
          </cell>
          <cell r="F12">
            <v>1</v>
          </cell>
          <cell r="G12">
            <v>0</v>
          </cell>
          <cell r="I12">
            <v>0</v>
          </cell>
          <cell r="K12">
            <v>0</v>
          </cell>
          <cell r="L12">
            <v>0</v>
          </cell>
          <cell r="M12">
            <v>37269</v>
          </cell>
        </row>
        <row r="13">
          <cell r="C13">
            <v>4</v>
          </cell>
          <cell r="D13">
            <v>31</v>
          </cell>
          <cell r="E13">
            <v>0</v>
          </cell>
          <cell r="F13">
            <v>1</v>
          </cell>
          <cell r="G13">
            <v>0</v>
          </cell>
          <cell r="I13">
            <v>0</v>
          </cell>
          <cell r="K13">
            <v>0</v>
          </cell>
          <cell r="L13">
            <v>0</v>
          </cell>
          <cell r="M13">
            <v>37269</v>
          </cell>
        </row>
        <row r="14">
          <cell r="D14">
            <v>31</v>
          </cell>
          <cell r="E14">
            <v>0</v>
          </cell>
          <cell r="F14">
            <v>1</v>
          </cell>
          <cell r="G14">
            <v>0</v>
          </cell>
          <cell r="I14">
            <v>0</v>
          </cell>
          <cell r="K14">
            <v>0</v>
          </cell>
          <cell r="L14">
            <v>0</v>
          </cell>
          <cell r="M14">
            <v>37269</v>
          </cell>
        </row>
        <row r="15">
          <cell r="C15">
            <v>5</v>
          </cell>
          <cell r="D15">
            <v>31</v>
          </cell>
          <cell r="E15">
            <v>0</v>
          </cell>
          <cell r="F15">
            <v>1</v>
          </cell>
          <cell r="G15">
            <v>0</v>
          </cell>
          <cell r="I15">
            <v>0</v>
          </cell>
          <cell r="K15">
            <v>0</v>
          </cell>
          <cell r="L15">
            <v>0</v>
          </cell>
          <cell r="M15">
            <v>37269</v>
          </cell>
        </row>
        <row r="16">
          <cell r="C16">
            <v>6</v>
          </cell>
          <cell r="D16">
            <v>31</v>
          </cell>
          <cell r="E16">
            <v>0</v>
          </cell>
          <cell r="F16">
            <v>1</v>
          </cell>
          <cell r="G16">
            <v>0</v>
          </cell>
          <cell r="I16">
            <v>0</v>
          </cell>
          <cell r="K16">
            <v>0</v>
          </cell>
          <cell r="L16">
            <v>0</v>
          </cell>
          <cell r="M16">
            <v>37269</v>
          </cell>
        </row>
        <row r="17">
          <cell r="C17">
            <v>6</v>
          </cell>
          <cell r="D17" t="e">
            <v>#N/A</v>
          </cell>
          <cell r="E17" t="e">
            <v>#N/A</v>
          </cell>
          <cell r="F17" t="e">
            <v>#N/A</v>
          </cell>
          <cell r="G17">
            <v>0</v>
          </cell>
          <cell r="I17" t="e">
            <v>#N/A</v>
          </cell>
          <cell r="K17">
            <v>0</v>
          </cell>
          <cell r="L17">
            <v>0</v>
          </cell>
          <cell r="M17">
            <v>37269</v>
          </cell>
        </row>
        <row r="18">
          <cell r="C18">
            <v>6</v>
          </cell>
          <cell r="D18">
            <v>31</v>
          </cell>
          <cell r="E18">
            <v>0</v>
          </cell>
          <cell r="F18">
            <v>1</v>
          </cell>
          <cell r="G18">
            <v>0</v>
          </cell>
          <cell r="I18">
            <v>0</v>
          </cell>
          <cell r="K18">
            <v>0</v>
          </cell>
          <cell r="L18">
            <v>0</v>
          </cell>
          <cell r="M18">
            <v>37269</v>
          </cell>
        </row>
        <row r="19">
          <cell r="C19">
            <v>7</v>
          </cell>
          <cell r="D19">
            <v>31</v>
          </cell>
          <cell r="E19">
            <v>0</v>
          </cell>
          <cell r="F19">
            <v>1</v>
          </cell>
          <cell r="G19">
            <v>0</v>
          </cell>
          <cell r="I19">
            <v>0</v>
          </cell>
          <cell r="K19">
            <v>0</v>
          </cell>
          <cell r="L19">
            <v>0</v>
          </cell>
          <cell r="M19">
            <v>37269</v>
          </cell>
        </row>
        <row r="20">
          <cell r="C20">
            <v>8</v>
          </cell>
          <cell r="D20">
            <v>31</v>
          </cell>
          <cell r="E20">
            <v>0</v>
          </cell>
          <cell r="F20">
            <v>1</v>
          </cell>
          <cell r="G20">
            <v>0</v>
          </cell>
          <cell r="I20">
            <v>0</v>
          </cell>
          <cell r="K20">
            <v>0</v>
          </cell>
          <cell r="L20">
            <v>0</v>
          </cell>
          <cell r="M20">
            <v>37269</v>
          </cell>
        </row>
        <row r="21">
          <cell r="C21">
            <v>8</v>
          </cell>
          <cell r="D21">
            <v>31</v>
          </cell>
          <cell r="E21">
            <v>0</v>
          </cell>
          <cell r="F21">
            <v>1</v>
          </cell>
          <cell r="G21">
            <v>0</v>
          </cell>
          <cell r="I21">
            <v>0</v>
          </cell>
          <cell r="K21">
            <v>0</v>
          </cell>
          <cell r="L21">
            <v>0</v>
          </cell>
          <cell r="M21">
            <v>37269</v>
          </cell>
        </row>
        <row r="22">
          <cell r="C22">
            <v>8</v>
          </cell>
          <cell r="D22">
            <v>31</v>
          </cell>
          <cell r="E22">
            <v>0</v>
          </cell>
          <cell r="F22">
            <v>1</v>
          </cell>
          <cell r="G22">
            <v>0</v>
          </cell>
          <cell r="I22">
            <v>0</v>
          </cell>
          <cell r="K22">
            <v>0</v>
          </cell>
          <cell r="L22">
            <v>0</v>
          </cell>
          <cell r="M22">
            <v>37269</v>
          </cell>
        </row>
        <row r="23">
          <cell r="C23">
            <v>8</v>
          </cell>
          <cell r="D23">
            <v>31</v>
          </cell>
          <cell r="E23">
            <v>0</v>
          </cell>
          <cell r="F23">
            <v>1</v>
          </cell>
          <cell r="G23">
            <v>0</v>
          </cell>
          <cell r="I23">
            <v>0</v>
          </cell>
          <cell r="K23">
            <v>0</v>
          </cell>
          <cell r="L23">
            <v>0</v>
          </cell>
          <cell r="M23">
            <v>37269</v>
          </cell>
        </row>
        <row r="24">
          <cell r="C24">
            <v>8</v>
          </cell>
          <cell r="D24">
            <v>31</v>
          </cell>
          <cell r="E24">
            <v>0</v>
          </cell>
          <cell r="F24">
            <v>1</v>
          </cell>
          <cell r="G24">
            <v>0</v>
          </cell>
          <cell r="I24">
            <v>0</v>
          </cell>
          <cell r="K24">
            <v>0</v>
          </cell>
          <cell r="L24">
            <v>0</v>
          </cell>
          <cell r="M24">
            <v>37269</v>
          </cell>
        </row>
        <row r="25">
          <cell r="C25">
            <v>10</v>
          </cell>
          <cell r="D25">
            <v>31</v>
          </cell>
          <cell r="E25">
            <v>0</v>
          </cell>
          <cell r="F25">
            <v>1</v>
          </cell>
          <cell r="G25">
            <v>0</v>
          </cell>
          <cell r="I25">
            <v>0</v>
          </cell>
          <cell r="K25">
            <v>0</v>
          </cell>
          <cell r="L25">
            <v>0</v>
          </cell>
          <cell r="M25">
            <v>37269</v>
          </cell>
        </row>
        <row r="26">
          <cell r="C26">
            <v>10</v>
          </cell>
          <cell r="D26">
            <v>31</v>
          </cell>
          <cell r="E26">
            <v>0</v>
          </cell>
          <cell r="F26">
            <v>1</v>
          </cell>
          <cell r="G26">
            <v>0</v>
          </cell>
          <cell r="I26">
            <v>0</v>
          </cell>
          <cell r="K26">
            <v>0</v>
          </cell>
          <cell r="L26">
            <v>0</v>
          </cell>
          <cell r="M26">
            <v>37269</v>
          </cell>
        </row>
        <row r="27">
          <cell r="C27">
            <v>13</v>
          </cell>
          <cell r="D27">
            <v>31</v>
          </cell>
          <cell r="E27">
            <v>0</v>
          </cell>
          <cell r="F27">
            <v>1</v>
          </cell>
          <cell r="G27">
            <v>0</v>
          </cell>
          <cell r="I27">
            <v>0</v>
          </cell>
          <cell r="K27">
            <v>0</v>
          </cell>
          <cell r="L27">
            <v>0</v>
          </cell>
          <cell r="M27">
            <v>37269</v>
          </cell>
        </row>
        <row r="28">
          <cell r="C28">
            <v>13</v>
          </cell>
          <cell r="D28">
            <v>31</v>
          </cell>
          <cell r="E28">
            <v>0</v>
          </cell>
          <cell r="F28">
            <v>1</v>
          </cell>
          <cell r="G28">
            <v>0</v>
          </cell>
          <cell r="I28">
            <v>0</v>
          </cell>
          <cell r="K28">
            <v>0</v>
          </cell>
          <cell r="L28">
            <v>0</v>
          </cell>
          <cell r="M28">
            <v>37269</v>
          </cell>
        </row>
        <row r="29">
          <cell r="C29">
            <v>17</v>
          </cell>
          <cell r="D29">
            <v>31</v>
          </cell>
          <cell r="E29">
            <v>0</v>
          </cell>
          <cell r="F29">
            <v>1</v>
          </cell>
          <cell r="G29">
            <v>0</v>
          </cell>
          <cell r="I29">
            <v>0</v>
          </cell>
          <cell r="K29">
            <v>0</v>
          </cell>
          <cell r="L29">
            <v>0</v>
          </cell>
          <cell r="M29">
            <v>37269</v>
          </cell>
        </row>
        <row r="30">
          <cell r="C30">
            <v>18</v>
          </cell>
          <cell r="D30">
            <v>31</v>
          </cell>
          <cell r="E30">
            <v>0</v>
          </cell>
          <cell r="F30">
            <v>1</v>
          </cell>
          <cell r="G30">
            <v>0</v>
          </cell>
          <cell r="I30">
            <v>0</v>
          </cell>
          <cell r="K30">
            <v>0</v>
          </cell>
          <cell r="L30">
            <v>0</v>
          </cell>
          <cell r="M30">
            <v>37269</v>
          </cell>
        </row>
        <row r="31">
          <cell r="C31">
            <v>19</v>
          </cell>
          <cell r="D31" t="e">
            <v>#N/A</v>
          </cell>
          <cell r="E31" t="e">
            <v>#N/A</v>
          </cell>
          <cell r="F31" t="e">
            <v>#N/A</v>
          </cell>
          <cell r="G31" t="e">
            <v>#N/A</v>
          </cell>
          <cell r="I31" t="e">
            <v>#N/A</v>
          </cell>
          <cell r="K31" t="e">
            <v>#N/A</v>
          </cell>
          <cell r="L31" t="e">
            <v>#N/A</v>
          </cell>
          <cell r="M31" t="e">
            <v>#N/A</v>
          </cell>
        </row>
        <row r="32">
          <cell r="C32">
            <v>21</v>
          </cell>
          <cell r="D32" t="e">
            <v>#N/A</v>
          </cell>
          <cell r="E32" t="e">
            <v>#N/A</v>
          </cell>
          <cell r="F32" t="e">
            <v>#N/A</v>
          </cell>
          <cell r="G32" t="e">
            <v>#N/A</v>
          </cell>
          <cell r="I32" t="e">
            <v>#N/A</v>
          </cell>
          <cell r="K32" t="e">
            <v>#N/A</v>
          </cell>
          <cell r="L32" t="e">
            <v>#N/A</v>
          </cell>
          <cell r="M32" t="e">
            <v>#N/A</v>
          </cell>
        </row>
        <row r="33">
          <cell r="C33">
            <v>22</v>
          </cell>
          <cell r="D33" t="e">
            <v>#N/A</v>
          </cell>
          <cell r="E33" t="e">
            <v>#N/A</v>
          </cell>
          <cell r="F33" t="e">
            <v>#N/A</v>
          </cell>
          <cell r="G33" t="e">
            <v>#VALUE!</v>
          </cell>
          <cell r="I33" t="e">
            <v>#N/A</v>
          </cell>
          <cell r="K33" t="e">
            <v>#VALUE!</v>
          </cell>
          <cell r="L33" t="e">
            <v>#VALUE!</v>
          </cell>
          <cell r="M33" t="e">
            <v>#VALUE!</v>
          </cell>
        </row>
        <row r="34">
          <cell r="C34">
            <v>25</v>
          </cell>
          <cell r="D34" t="e">
            <v>#N/A</v>
          </cell>
          <cell r="E34" t="e">
            <v>#N/A</v>
          </cell>
          <cell r="F34" t="e">
            <v>#N/A</v>
          </cell>
          <cell r="G34" t="e">
            <v>#N/A</v>
          </cell>
          <cell r="I34" t="e">
            <v>#N/A</v>
          </cell>
          <cell r="K34" t="e">
            <v>#N/A</v>
          </cell>
          <cell r="L34" t="e">
            <v>#N/A</v>
          </cell>
          <cell r="M34" t="e">
            <v>#N/A</v>
          </cell>
        </row>
        <row r="35">
          <cell r="C35">
            <v>25</v>
          </cell>
          <cell r="D35" t="e">
            <v>#N/A</v>
          </cell>
          <cell r="E35" t="e">
            <v>#N/A</v>
          </cell>
          <cell r="F35" t="e">
            <v>#N/A</v>
          </cell>
          <cell r="G35" t="e">
            <v>#N/A</v>
          </cell>
          <cell r="I35" t="e">
            <v>#N/A</v>
          </cell>
          <cell r="K35" t="e">
            <v>#N/A</v>
          </cell>
          <cell r="L35" t="e">
            <v>#N/A</v>
          </cell>
          <cell r="M35" t="e">
            <v>#N/A</v>
          </cell>
        </row>
        <row r="36">
          <cell r="C36">
            <v>25</v>
          </cell>
          <cell r="D36" t="e">
            <v>#N/A</v>
          </cell>
          <cell r="E36" t="e">
            <v>#N/A</v>
          </cell>
          <cell r="F36" t="e">
            <v>#N/A</v>
          </cell>
          <cell r="G36" t="e">
            <v>#N/A</v>
          </cell>
          <cell r="I36" t="e">
            <v>#N/A</v>
          </cell>
          <cell r="K36" t="e">
            <v>#N/A</v>
          </cell>
          <cell r="L36" t="e">
            <v>#N/A</v>
          </cell>
          <cell r="M36" t="e">
            <v>#N/A</v>
          </cell>
        </row>
        <row r="37">
          <cell r="C37">
            <v>27</v>
          </cell>
          <cell r="D37" t="e">
            <v>#N/A</v>
          </cell>
          <cell r="E37" t="e">
            <v>#N/A</v>
          </cell>
          <cell r="F37" t="e">
            <v>#N/A</v>
          </cell>
          <cell r="G37" t="e">
            <v>#N/A</v>
          </cell>
          <cell r="I37" t="e">
            <v>#N/A</v>
          </cell>
          <cell r="K37" t="e">
            <v>#N/A</v>
          </cell>
          <cell r="L37" t="e">
            <v>#N/A</v>
          </cell>
          <cell r="M37" t="e">
            <v>#N/A</v>
          </cell>
        </row>
        <row r="38">
          <cell r="C38">
            <v>28</v>
          </cell>
          <cell r="D38" t="e">
            <v>#N/A</v>
          </cell>
          <cell r="E38" t="e">
            <v>#N/A</v>
          </cell>
          <cell r="F38" t="e">
            <v>#N/A</v>
          </cell>
          <cell r="G38" t="e">
            <v>#N/A</v>
          </cell>
          <cell r="I38" t="e">
            <v>#N/A</v>
          </cell>
          <cell r="K38" t="e">
            <v>#N/A</v>
          </cell>
          <cell r="L38" t="e">
            <v>#N/A</v>
          </cell>
          <cell r="M38" t="e">
            <v>#N/A</v>
          </cell>
        </row>
        <row r="39">
          <cell r="C39">
            <v>30</v>
          </cell>
          <cell r="D39" t="e">
            <v>#N/A</v>
          </cell>
          <cell r="E39" t="e">
            <v>#N/A</v>
          </cell>
          <cell r="F39" t="e">
            <v>#N/A</v>
          </cell>
          <cell r="G39" t="e">
            <v>#VALUE!</v>
          </cell>
          <cell r="I39" t="e">
            <v>#N/A</v>
          </cell>
          <cell r="K39" t="e">
            <v>#VALUE!</v>
          </cell>
          <cell r="L39" t="e">
            <v>#VALUE!</v>
          </cell>
          <cell r="M39" t="e">
            <v>#VALUE!</v>
          </cell>
        </row>
        <row r="40">
          <cell r="C40">
            <v>33</v>
          </cell>
          <cell r="D40" t="e">
            <v>#N/A</v>
          </cell>
          <cell r="E40" t="e">
            <v>#N/A</v>
          </cell>
          <cell r="F40" t="e">
            <v>#N/A</v>
          </cell>
          <cell r="G40" t="e">
            <v>#N/A</v>
          </cell>
          <cell r="I40" t="e">
            <v>#N/A</v>
          </cell>
          <cell r="K40" t="e">
            <v>#N/A</v>
          </cell>
          <cell r="L40" t="e">
            <v>#N/A</v>
          </cell>
          <cell r="M40" t="e">
            <v>#N/A</v>
          </cell>
        </row>
        <row r="41">
          <cell r="C41">
            <v>33</v>
          </cell>
          <cell r="D41" t="e">
            <v>#N/A</v>
          </cell>
          <cell r="E41" t="e">
            <v>#N/A</v>
          </cell>
          <cell r="F41" t="e">
            <v>#N/A</v>
          </cell>
          <cell r="G41" t="e">
            <v>#N/A</v>
          </cell>
          <cell r="I41" t="e">
            <v>#N/A</v>
          </cell>
          <cell r="K41" t="e">
            <v>#N/A</v>
          </cell>
          <cell r="L41" t="e">
            <v>#N/A</v>
          </cell>
          <cell r="M41" t="e">
            <v>#N/A</v>
          </cell>
        </row>
        <row r="42">
          <cell r="C42">
            <v>35</v>
          </cell>
          <cell r="D42" t="e">
            <v>#N/A</v>
          </cell>
          <cell r="E42" t="e">
            <v>#N/A</v>
          </cell>
          <cell r="F42" t="e">
            <v>#N/A</v>
          </cell>
          <cell r="G42" t="e">
            <v>#N/A</v>
          </cell>
          <cell r="I42" t="e">
            <v>#N/A</v>
          </cell>
          <cell r="K42" t="e">
            <v>#N/A</v>
          </cell>
          <cell r="L42" t="e">
            <v>#N/A</v>
          </cell>
          <cell r="M42" t="e">
            <v>#N/A</v>
          </cell>
        </row>
        <row r="43">
          <cell r="C43">
            <v>35</v>
          </cell>
          <cell r="D43" t="e">
            <v>#N/A</v>
          </cell>
          <cell r="E43" t="e">
            <v>#N/A</v>
          </cell>
          <cell r="F43" t="e">
            <v>#N/A</v>
          </cell>
          <cell r="G43" t="e">
            <v>#N/A</v>
          </cell>
          <cell r="I43" t="e">
            <v>#N/A</v>
          </cell>
          <cell r="K43" t="e">
            <v>#N/A</v>
          </cell>
          <cell r="L43" t="e">
            <v>#N/A</v>
          </cell>
          <cell r="M43" t="e">
            <v>#N/A</v>
          </cell>
        </row>
        <row r="44">
          <cell r="C44">
            <v>35</v>
          </cell>
          <cell r="D44" t="e">
            <v>#N/A</v>
          </cell>
          <cell r="E44" t="e">
            <v>#N/A</v>
          </cell>
          <cell r="F44" t="e">
            <v>#N/A</v>
          </cell>
          <cell r="G44" t="e">
            <v>#VALUE!</v>
          </cell>
          <cell r="I44" t="e">
            <v>#N/A</v>
          </cell>
          <cell r="K44" t="e">
            <v>#N/A</v>
          </cell>
          <cell r="L44" t="e">
            <v>#VALUE!</v>
          </cell>
          <cell r="M44" t="e">
            <v>#N/A</v>
          </cell>
        </row>
        <row r="45">
          <cell r="C45">
            <v>37</v>
          </cell>
          <cell r="D45" t="e">
            <v>#N/A</v>
          </cell>
          <cell r="E45" t="e">
            <v>#N/A</v>
          </cell>
          <cell r="F45" t="e">
            <v>#N/A</v>
          </cell>
          <cell r="G45" t="e">
            <v>#N/A</v>
          </cell>
          <cell r="I45" t="e">
            <v>#N/A</v>
          </cell>
          <cell r="K45" t="e">
            <v>#N/A</v>
          </cell>
          <cell r="L45" t="e">
            <v>#N/A</v>
          </cell>
          <cell r="M45" t="e">
            <v>#N/A</v>
          </cell>
        </row>
        <row r="46">
          <cell r="C46">
            <v>39</v>
          </cell>
          <cell r="D46" t="e">
            <v>#N/A</v>
          </cell>
          <cell r="E46" t="e">
            <v>#N/A</v>
          </cell>
          <cell r="F46" t="e">
            <v>#N/A</v>
          </cell>
          <cell r="G46" t="e">
            <v>#N/A</v>
          </cell>
          <cell r="I46" t="e">
            <v>#N/A</v>
          </cell>
          <cell r="K46" t="e">
            <v>#N/A</v>
          </cell>
          <cell r="L46" t="e">
            <v>#N/A</v>
          </cell>
          <cell r="M46" t="e">
            <v>#N/A</v>
          </cell>
        </row>
        <row r="47">
          <cell r="C47">
            <v>41</v>
          </cell>
          <cell r="D47" t="e">
            <v>#N/A</v>
          </cell>
          <cell r="E47" t="e">
            <v>#N/A</v>
          </cell>
          <cell r="F47" t="e">
            <v>#N/A</v>
          </cell>
          <cell r="G47" t="e">
            <v>#N/A</v>
          </cell>
          <cell r="I47" t="e">
            <v>#N/A</v>
          </cell>
          <cell r="K47" t="e">
            <v>#N/A</v>
          </cell>
          <cell r="L47" t="e">
            <v>#N/A</v>
          </cell>
          <cell r="M47" t="e">
            <v>#N/A</v>
          </cell>
        </row>
        <row r="48">
          <cell r="C48">
            <v>41</v>
          </cell>
          <cell r="D48" t="e">
            <v>#N/A</v>
          </cell>
          <cell r="E48" t="e">
            <v>#N/A</v>
          </cell>
          <cell r="F48" t="e">
            <v>#N/A</v>
          </cell>
          <cell r="G48" t="e">
            <v>#N/A</v>
          </cell>
          <cell r="I48" t="e">
            <v>#N/A</v>
          </cell>
          <cell r="K48" t="e">
            <v>#N/A</v>
          </cell>
          <cell r="L48" t="e">
            <v>#N/A</v>
          </cell>
          <cell r="M48" t="e">
            <v>#N/A</v>
          </cell>
        </row>
        <row r="49">
          <cell r="C49">
            <v>42</v>
          </cell>
          <cell r="D49" t="e">
            <v>#N/A</v>
          </cell>
          <cell r="E49" t="e">
            <v>#N/A</v>
          </cell>
          <cell r="F49" t="e">
            <v>#N/A</v>
          </cell>
          <cell r="G49" t="e">
            <v>#N/A</v>
          </cell>
          <cell r="I49" t="e">
            <v>#N/A</v>
          </cell>
          <cell r="K49" t="e">
            <v>#N/A</v>
          </cell>
          <cell r="L49" t="e">
            <v>#N/A</v>
          </cell>
          <cell r="M49" t="e">
            <v>#N/A</v>
          </cell>
        </row>
        <row r="50">
          <cell r="C50">
            <v>43</v>
          </cell>
          <cell r="D50" t="e">
            <v>#N/A</v>
          </cell>
          <cell r="E50" t="e">
            <v>#N/A</v>
          </cell>
          <cell r="F50" t="e">
            <v>#N/A</v>
          </cell>
          <cell r="G50" t="e">
            <v>#N/A</v>
          </cell>
          <cell r="I50" t="e">
            <v>#N/A</v>
          </cell>
          <cell r="K50" t="e">
            <v>#N/A</v>
          </cell>
          <cell r="L50" t="e">
            <v>#N/A</v>
          </cell>
          <cell r="M50" t="e">
            <v>#N/A</v>
          </cell>
        </row>
        <row r="51">
          <cell r="C51">
            <v>43</v>
          </cell>
          <cell r="D51" t="e">
            <v>#N/A</v>
          </cell>
          <cell r="E51" t="e">
            <v>#N/A</v>
          </cell>
          <cell r="F51" t="e">
            <v>#N/A</v>
          </cell>
          <cell r="G51" t="e">
            <v>#N/A</v>
          </cell>
          <cell r="I51" t="e">
            <v>#N/A</v>
          </cell>
          <cell r="K51" t="e">
            <v>#N/A</v>
          </cell>
          <cell r="L51" t="e">
            <v>#N/A</v>
          </cell>
          <cell r="M51" t="e">
            <v>#N/A</v>
          </cell>
        </row>
        <row r="52">
          <cell r="C52">
            <v>44</v>
          </cell>
          <cell r="D52" t="e">
            <v>#N/A</v>
          </cell>
          <cell r="E52" t="e">
            <v>#N/A</v>
          </cell>
          <cell r="F52" t="e">
            <v>#N/A</v>
          </cell>
          <cell r="G52" t="e">
            <v>#N/A</v>
          </cell>
          <cell r="I52" t="e">
            <v>#N/A</v>
          </cell>
          <cell r="K52" t="e">
            <v>#N/A</v>
          </cell>
          <cell r="L52" t="e">
            <v>#N/A</v>
          </cell>
          <cell r="M52" t="e">
            <v>#N/A</v>
          </cell>
        </row>
        <row r="53">
          <cell r="C53">
            <v>45</v>
          </cell>
          <cell r="D53" t="e">
            <v>#N/A</v>
          </cell>
          <cell r="E53" t="e">
            <v>#N/A</v>
          </cell>
          <cell r="F53" t="e">
            <v>#N/A</v>
          </cell>
          <cell r="G53" t="e">
            <v>#N/A</v>
          </cell>
          <cell r="I53" t="e">
            <v>#N/A</v>
          </cell>
          <cell r="K53" t="e">
            <v>#N/A</v>
          </cell>
          <cell r="L53" t="e">
            <v>#N/A</v>
          </cell>
          <cell r="M53" t="e">
            <v>#N/A</v>
          </cell>
        </row>
        <row r="54">
          <cell r="C54">
            <v>45</v>
          </cell>
          <cell r="D54" t="e">
            <v>#N/A</v>
          </cell>
          <cell r="E54" t="e">
            <v>#N/A</v>
          </cell>
          <cell r="F54" t="e">
            <v>#N/A</v>
          </cell>
          <cell r="G54" t="e">
            <v>#N/A</v>
          </cell>
          <cell r="I54" t="e">
            <v>#N/A</v>
          </cell>
          <cell r="K54" t="e">
            <v>#N/A</v>
          </cell>
          <cell r="L54" t="e">
            <v>#N/A</v>
          </cell>
          <cell r="M54" t="e">
            <v>#N/A</v>
          </cell>
        </row>
        <row r="55">
          <cell r="C55">
            <v>48</v>
          </cell>
          <cell r="D55" t="e">
            <v>#N/A</v>
          </cell>
          <cell r="E55" t="e">
            <v>#N/A</v>
          </cell>
          <cell r="F55" t="e">
            <v>#N/A</v>
          </cell>
          <cell r="G55" t="e">
            <v>#N/A</v>
          </cell>
          <cell r="I55" t="e">
            <v>#N/A</v>
          </cell>
          <cell r="K55" t="e">
            <v>#N/A</v>
          </cell>
          <cell r="L55" t="e">
            <v>#N/A</v>
          </cell>
          <cell r="M55" t="e">
            <v>#N/A</v>
          </cell>
        </row>
        <row r="56">
          <cell r="C56">
            <v>48</v>
          </cell>
          <cell r="D56" t="e">
            <v>#N/A</v>
          </cell>
          <cell r="E56" t="e">
            <v>#N/A</v>
          </cell>
          <cell r="F56" t="e">
            <v>#N/A</v>
          </cell>
          <cell r="G56" t="e">
            <v>#N/A</v>
          </cell>
          <cell r="I56" t="e">
            <v>#N/A</v>
          </cell>
          <cell r="K56" t="e">
            <v>#N/A</v>
          </cell>
          <cell r="L56" t="e">
            <v>#N/A</v>
          </cell>
          <cell r="M56" t="e">
            <v>#N/A</v>
          </cell>
        </row>
        <row r="57">
          <cell r="C57">
            <v>48</v>
          </cell>
          <cell r="D57" t="e">
            <v>#N/A</v>
          </cell>
          <cell r="E57" t="e">
            <v>#N/A</v>
          </cell>
          <cell r="F57" t="e">
            <v>#N/A</v>
          </cell>
          <cell r="G57" t="e">
            <v>#N/A</v>
          </cell>
          <cell r="I57" t="e">
            <v>#N/A</v>
          </cell>
          <cell r="K57" t="e">
            <v>#N/A</v>
          </cell>
          <cell r="L57" t="e">
            <v>#N/A</v>
          </cell>
          <cell r="M57" t="e">
            <v>#N/A</v>
          </cell>
        </row>
        <row r="58">
          <cell r="C58">
            <v>48</v>
          </cell>
          <cell r="D58" t="e">
            <v>#N/A</v>
          </cell>
          <cell r="E58" t="e">
            <v>#N/A</v>
          </cell>
          <cell r="F58" t="e">
            <v>#N/A</v>
          </cell>
          <cell r="G58" t="e">
            <v>#N/A</v>
          </cell>
          <cell r="I58" t="e">
            <v>#N/A</v>
          </cell>
          <cell r="K58" t="e">
            <v>#N/A</v>
          </cell>
          <cell r="L58" t="e">
            <v>#N/A</v>
          </cell>
          <cell r="M58" t="e">
            <v>#N/A</v>
          </cell>
        </row>
        <row r="59">
          <cell r="C59">
            <v>52</v>
          </cell>
          <cell r="D59" t="e">
            <v>#N/A</v>
          </cell>
          <cell r="E59" t="e">
            <v>#N/A</v>
          </cell>
          <cell r="F59" t="e">
            <v>#N/A</v>
          </cell>
          <cell r="G59" t="e">
            <v>#VALUE!</v>
          </cell>
          <cell r="I59" t="e">
            <v>#N/A</v>
          </cell>
          <cell r="K59" t="e">
            <v>#VALUE!</v>
          </cell>
          <cell r="L59" t="e">
            <v>#VALUE!</v>
          </cell>
          <cell r="M59" t="e">
            <v>#VALUE!</v>
          </cell>
        </row>
        <row r="60">
          <cell r="C60">
            <v>20</v>
          </cell>
          <cell r="D60" t="e">
            <v>#N/A</v>
          </cell>
          <cell r="E60" t="e">
            <v>#N/A</v>
          </cell>
          <cell r="F60" t="e">
            <v>#N/A</v>
          </cell>
          <cell r="G60" t="e">
            <v>#VALUE!</v>
          </cell>
          <cell r="I60" t="e">
            <v>#N/A</v>
          </cell>
          <cell r="K60" t="e">
            <v>#VALUE!</v>
          </cell>
          <cell r="L60" t="e">
            <v>#VALUE!</v>
          </cell>
          <cell r="M60" t="e">
            <v>#VALUE!</v>
          </cell>
        </row>
        <row r="61">
          <cell r="C61">
            <v>26</v>
          </cell>
          <cell r="D61" t="e">
            <v>#N/A</v>
          </cell>
          <cell r="E61" t="e">
            <v>#N/A</v>
          </cell>
          <cell r="F61" t="e">
            <v>#N/A</v>
          </cell>
          <cell r="G61" t="e">
            <v>#N/A</v>
          </cell>
          <cell r="I61" t="e">
            <v>#N/A</v>
          </cell>
          <cell r="K61" t="e">
            <v>#N/A</v>
          </cell>
          <cell r="L61" t="e">
            <v>#N/A</v>
          </cell>
          <cell r="M61" t="e">
            <v>#N/A</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row r="7">
          <cell r="B7" t="str">
            <v>차주번호</v>
          </cell>
          <cell r="C7" t="str">
            <v>채무자</v>
          </cell>
          <cell r="D7" t="str">
            <v>OPB</v>
          </cell>
          <cell r="E7" t="str">
            <v>평가액</v>
          </cell>
          <cell r="F7" t="str">
            <v>평가율</v>
          </cell>
          <cell r="G7" t="str">
            <v>분 류</v>
          </cell>
        </row>
        <row r="8">
          <cell r="B8">
            <v>1</v>
          </cell>
          <cell r="C8" t="str">
            <v>㈜화목</v>
          </cell>
          <cell r="D8">
            <v>3546057400</v>
          </cell>
          <cell r="E8">
            <v>1348540592.5750403</v>
          </cell>
          <cell r="F8">
            <v>0.38029293958271526</v>
          </cell>
          <cell r="G8" t="str">
            <v>화의</v>
          </cell>
        </row>
        <row r="9">
          <cell r="B9">
            <v>4</v>
          </cell>
          <cell r="C9" t="str">
            <v>금용종합건설</v>
          </cell>
          <cell r="D9">
            <v>4778742657</v>
          </cell>
          <cell r="E9">
            <v>1401976888.0758922</v>
          </cell>
          <cell r="F9">
            <v>0.29337777501415518</v>
          </cell>
          <cell r="G9" t="str">
            <v>화의</v>
          </cell>
        </row>
        <row r="10">
          <cell r="B10">
            <v>5</v>
          </cell>
          <cell r="C10" t="str">
            <v>삼희산업</v>
          </cell>
          <cell r="D10">
            <v>386411576</v>
          </cell>
          <cell r="E10">
            <v>136099858.60019323</v>
          </cell>
          <cell r="F10">
            <v>0.35221475507812744</v>
          </cell>
          <cell r="G10" t="str">
            <v>화의</v>
          </cell>
        </row>
        <row r="11">
          <cell r="B11">
            <v>10</v>
          </cell>
          <cell r="C11" t="str">
            <v>㈜동성종합건설</v>
          </cell>
          <cell r="D11">
            <v>9911755095</v>
          </cell>
          <cell r="E11">
            <v>4180582937.6500268</v>
          </cell>
          <cell r="F11">
            <v>0.42178028992654676</v>
          </cell>
          <cell r="G11" t="str">
            <v>화의</v>
          </cell>
        </row>
        <row r="12">
          <cell r="B12">
            <v>13</v>
          </cell>
          <cell r="C12" t="str">
            <v>㈜청전</v>
          </cell>
          <cell r="D12">
            <v>7153479048</v>
          </cell>
          <cell r="E12">
            <v>2491805626.9017086</v>
          </cell>
          <cell r="F12">
            <v>0.34833479069158357</v>
          </cell>
          <cell r="G12" t="str">
            <v>화의</v>
          </cell>
        </row>
        <row r="13">
          <cell r="B13">
            <v>17</v>
          </cell>
          <cell r="C13" t="str">
            <v>㈜제이컴</v>
          </cell>
          <cell r="D13">
            <v>604569292</v>
          </cell>
          <cell r="E13">
            <v>230686083.97482273</v>
          </cell>
          <cell r="F13">
            <v>0.38157095808105107</v>
          </cell>
          <cell r="G13" t="str">
            <v>화의</v>
          </cell>
        </row>
        <row r="14">
          <cell r="B14">
            <v>18</v>
          </cell>
          <cell r="C14" t="str">
            <v>대산건설㈜</v>
          </cell>
          <cell r="D14">
            <v>23108572700</v>
          </cell>
          <cell r="E14">
            <v>6869804716.3403988</v>
          </cell>
          <cell r="F14">
            <v>0.2972838178075965</v>
          </cell>
          <cell r="G14" t="str">
            <v>화의</v>
          </cell>
        </row>
        <row r="15">
          <cell r="B15">
            <v>22</v>
          </cell>
          <cell r="C15" t="str">
            <v>㈜해동</v>
          </cell>
          <cell r="D15">
            <v>987359452</v>
          </cell>
          <cell r="E15">
            <v>353781012.69062585</v>
          </cell>
          <cell r="F15">
            <v>0.3583102506123837</v>
          </cell>
          <cell r="G15" t="str">
            <v>화의</v>
          </cell>
        </row>
        <row r="16">
          <cell r="B16">
            <v>23</v>
          </cell>
          <cell r="C16" t="str">
            <v>중부리스</v>
          </cell>
          <cell r="D16">
            <v>24708637275.802002</v>
          </cell>
          <cell r="E16">
            <v>6882838944.3246336</v>
          </cell>
          <cell r="F16">
            <v>0.27856003823671932</v>
          </cell>
          <cell r="G16" t="str">
            <v>화의</v>
          </cell>
        </row>
        <row r="17">
          <cell r="B17">
            <v>30</v>
          </cell>
          <cell r="C17" t="str">
            <v>대동기공㈜</v>
          </cell>
          <cell r="D17">
            <v>1550214633</v>
          </cell>
          <cell r="E17">
            <v>397833538.811566</v>
          </cell>
          <cell r="F17">
            <v>0.2566312627572559</v>
          </cell>
          <cell r="G17" t="str">
            <v>화의</v>
          </cell>
        </row>
        <row r="18">
          <cell r="B18">
            <v>33</v>
          </cell>
          <cell r="C18" t="str">
            <v>삼익건설㈜</v>
          </cell>
          <cell r="D18">
            <v>193697756915</v>
          </cell>
          <cell r="E18">
            <v>59101013614.401299</v>
          </cell>
          <cell r="F18">
            <v>0.30511976264307739</v>
          </cell>
          <cell r="G18" t="str">
            <v>화의</v>
          </cell>
        </row>
        <row r="19">
          <cell r="B19">
            <v>35</v>
          </cell>
          <cell r="C19" t="str">
            <v>우양지질</v>
          </cell>
          <cell r="D19">
            <v>1530737140</v>
          </cell>
          <cell r="E19">
            <v>620287589.55509329</v>
          </cell>
          <cell r="F19">
            <v>0.4052214931918966</v>
          </cell>
          <cell r="G19" t="str">
            <v>화의</v>
          </cell>
        </row>
        <row r="20">
          <cell r="B20">
            <v>39</v>
          </cell>
          <cell r="C20" t="str">
            <v>삼광유리공업㈜</v>
          </cell>
          <cell r="D20">
            <v>2827385725</v>
          </cell>
          <cell r="E20">
            <v>952396107.00910568</v>
          </cell>
          <cell r="F20">
            <v>0.33684689661829065</v>
          </cell>
          <cell r="G20" t="str">
            <v>화의</v>
          </cell>
        </row>
        <row r="21">
          <cell r="B21">
            <v>41</v>
          </cell>
          <cell r="C21" t="str">
            <v>동양기공㈜</v>
          </cell>
          <cell r="D21">
            <v>12656892626</v>
          </cell>
          <cell r="E21">
            <v>4225069035.4873805</v>
          </cell>
          <cell r="F21">
            <v>0.3338156655297978</v>
          </cell>
          <cell r="G21" t="str">
            <v>화의</v>
          </cell>
        </row>
        <row r="22">
          <cell r="B22">
            <v>42</v>
          </cell>
          <cell r="C22" t="str">
            <v>㈜핵심텔레텍</v>
          </cell>
          <cell r="D22">
            <v>4409171165</v>
          </cell>
          <cell r="E22">
            <v>1791097648.9463861</v>
          </cell>
          <cell r="F22">
            <v>0.40622093856644054</v>
          </cell>
          <cell r="G22" t="str">
            <v>화의</v>
          </cell>
        </row>
        <row r="23">
          <cell r="B23">
            <v>44</v>
          </cell>
          <cell r="C23" t="str">
            <v>세광주택㈜</v>
          </cell>
          <cell r="D23">
            <v>277060225</v>
          </cell>
          <cell r="E23">
            <v>93638182.506401896</v>
          </cell>
          <cell r="F23">
            <v>0.33797049903645282</v>
          </cell>
          <cell r="G23" t="str">
            <v>화의</v>
          </cell>
        </row>
        <row r="24">
          <cell r="B24">
            <v>45</v>
          </cell>
          <cell r="C24" t="str">
            <v>영진약품공업㈜</v>
          </cell>
          <cell r="D24">
            <v>11717662814</v>
          </cell>
          <cell r="E24">
            <v>4429170403.473361</v>
          </cell>
          <cell r="F24">
            <v>0.37799094186099019</v>
          </cell>
          <cell r="G24" t="str">
            <v>화의</v>
          </cell>
        </row>
        <row r="25">
          <cell r="B25">
            <v>48</v>
          </cell>
          <cell r="C25" t="str">
            <v>유아전자㈜</v>
          </cell>
          <cell r="D25">
            <v>1432613800</v>
          </cell>
          <cell r="E25">
            <v>537171238.57659447</v>
          </cell>
          <cell r="F25">
            <v>0.37495886091324437</v>
          </cell>
          <cell r="G25" t="str">
            <v>화의</v>
          </cell>
        </row>
        <row r="26">
          <cell r="B26">
            <v>52</v>
          </cell>
          <cell r="C26" t="str">
            <v>원진주택</v>
          </cell>
          <cell r="D26">
            <v>2177000853</v>
          </cell>
          <cell r="E26">
            <v>816446615.48791409</v>
          </cell>
          <cell r="F26">
            <v>0.37503274946485016</v>
          </cell>
          <cell r="G26" t="str">
            <v>화의</v>
          </cell>
        </row>
        <row r="27">
          <cell r="B27">
            <v>27</v>
          </cell>
          <cell r="C27" t="str">
            <v>신한</v>
          </cell>
          <cell r="D27">
            <v>3466079605</v>
          </cell>
          <cell r="E27">
            <v>983679003.89246404</v>
          </cell>
          <cell r="F27">
            <v>0.28380161911845764</v>
          </cell>
          <cell r="G27" t="str">
            <v>화의</v>
          </cell>
        </row>
        <row r="28">
          <cell r="B28">
            <v>20</v>
          </cell>
          <cell r="C28" t="str">
            <v>우아미</v>
          </cell>
          <cell r="D28">
            <v>37672796632</v>
          </cell>
          <cell r="E28">
            <v>7299167990.9352665</v>
          </cell>
          <cell r="F28">
            <v>0.1937516893751183</v>
          </cell>
          <cell r="G28" t="str">
            <v>화의</v>
          </cell>
        </row>
        <row r="29">
          <cell r="B29">
            <v>26</v>
          </cell>
          <cell r="C29" t="str">
            <v>신성통상</v>
          </cell>
          <cell r="D29">
            <v>11907163643</v>
          </cell>
          <cell r="E29">
            <v>10187040090.082409</v>
          </cell>
          <cell r="F29">
            <v>0.8555387660327638</v>
          </cell>
          <cell r="G29" t="str">
            <v>법정</v>
          </cell>
        </row>
        <row r="30">
          <cell r="B30">
            <v>3</v>
          </cell>
          <cell r="C30" t="str">
            <v>통일중공업</v>
          </cell>
          <cell r="D30">
            <v>7813987225</v>
          </cell>
          <cell r="E30">
            <v>1076726136.2403123</v>
          </cell>
          <cell r="F30">
            <v>0.13779471417555489</v>
          </cell>
          <cell r="G30" t="str">
            <v>법정</v>
          </cell>
        </row>
        <row r="31">
          <cell r="B31">
            <v>6</v>
          </cell>
          <cell r="C31" t="str">
            <v>한국티타늄공업㈜</v>
          </cell>
          <cell r="D31">
            <v>66946227985</v>
          </cell>
          <cell r="E31">
            <v>41070285837.435623</v>
          </cell>
          <cell r="F31">
            <v>0.61348170126385382</v>
          </cell>
          <cell r="G31" t="str">
            <v>법정</v>
          </cell>
        </row>
        <row r="32">
          <cell r="B32">
            <v>7</v>
          </cell>
          <cell r="C32" t="str">
            <v>㈜일신석재</v>
          </cell>
          <cell r="D32">
            <v>13500000000</v>
          </cell>
          <cell r="E32">
            <v>8344681035.8288565</v>
          </cell>
          <cell r="F32">
            <v>0.61812452117250793</v>
          </cell>
          <cell r="G32" t="str">
            <v>법정</v>
          </cell>
        </row>
        <row r="33">
          <cell r="B33">
            <v>8</v>
          </cell>
          <cell r="C33" t="str">
            <v>진덕산업㈜</v>
          </cell>
          <cell r="D33">
            <v>33957277439</v>
          </cell>
          <cell r="E33">
            <v>19956586806.977955</v>
          </cell>
          <cell r="F33">
            <v>0.58769690364097849</v>
          </cell>
          <cell r="G33" t="str">
            <v>법정</v>
          </cell>
        </row>
        <row r="34">
          <cell r="B34">
            <v>19</v>
          </cell>
          <cell r="C34" t="str">
            <v>㈜대한주물</v>
          </cell>
          <cell r="D34">
            <v>8127053238</v>
          </cell>
          <cell r="E34">
            <v>5105644668.4485054</v>
          </cell>
          <cell r="F34">
            <v>0.6282282789259741</v>
          </cell>
          <cell r="G34" t="str">
            <v>법정</v>
          </cell>
        </row>
        <row r="35">
          <cell r="B35">
            <v>21</v>
          </cell>
          <cell r="C35" t="str">
            <v>㈜성림산업</v>
          </cell>
          <cell r="D35">
            <v>162255131</v>
          </cell>
          <cell r="E35">
            <v>166781369.67693031</v>
          </cell>
          <cell r="F35">
            <v>1.0278958122867023</v>
          </cell>
          <cell r="G35" t="str">
            <v>법정</v>
          </cell>
        </row>
        <row r="36">
          <cell r="B36">
            <v>25</v>
          </cell>
          <cell r="C36" t="str">
            <v>고려서적㈜</v>
          </cell>
          <cell r="D36">
            <v>2158973427</v>
          </cell>
          <cell r="E36">
            <v>3605441891.8745861</v>
          </cell>
          <cell r="F36">
            <v>1.6699797444401738</v>
          </cell>
          <cell r="G36" t="str">
            <v>법정</v>
          </cell>
        </row>
        <row r="37">
          <cell r="B37">
            <v>28</v>
          </cell>
          <cell r="C37" t="str">
            <v>경남모직㈜</v>
          </cell>
          <cell r="D37">
            <v>32091306814</v>
          </cell>
          <cell r="E37">
            <v>14928731991.943975</v>
          </cell>
          <cell r="F37">
            <v>0.46519551473769333</v>
          </cell>
          <cell r="G37" t="str">
            <v>법정</v>
          </cell>
        </row>
        <row r="38">
          <cell r="B38">
            <v>37</v>
          </cell>
          <cell r="C38" t="str">
            <v>㈜한국표준기기</v>
          </cell>
          <cell r="D38">
            <v>2448657781.0000005</v>
          </cell>
          <cell r="E38">
            <v>1680427899.3528576</v>
          </cell>
          <cell r="F38">
            <v>0.68626490495809189</v>
          </cell>
          <cell r="G38" t="str">
            <v>법정</v>
          </cell>
        </row>
        <row r="39">
          <cell r="B39">
            <v>43</v>
          </cell>
          <cell r="C39" t="str">
            <v>㈜대농</v>
          </cell>
          <cell r="D39">
            <v>4760728411.8291998</v>
          </cell>
          <cell r="E39">
            <v>6039678277.909874</v>
          </cell>
          <cell r="F39">
            <v>0.50951617349108791</v>
          </cell>
          <cell r="G39" t="str">
            <v>법정</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대금리"/>
      <sheetName val="check"/>
      <sheetName val="확인서"/>
      <sheetName val="별제권_정리담보권1"/>
      <sheetName val="별제권_정리담보권2"/>
      <sheetName val="별제권_정리담보권"/>
      <sheetName val="화의채권_정리채권"/>
      <sheetName val="전체 통합"/>
      <sheetName val="계약서상Schedule"/>
      <sheetName val="대상회사"/>
      <sheetName val="KUNGDEVI"/>
      <sheetName val="동서가구"/>
      <sheetName val="CashFlow(중간집계)"/>
      <sheetName val="정리계획CF평가"/>
      <sheetName val="2.대외공문"/>
      <sheetName val="Variables"/>
      <sheetName val="Assumption"/>
    </sheetNames>
    <sheetDataSet>
      <sheetData sheetId="0" refreshError="1"/>
      <sheetData sheetId="1" refreshError="1"/>
      <sheetData sheetId="2" refreshError="1"/>
      <sheetData sheetId="3" refreshError="1">
        <row r="24">
          <cell r="T24">
            <v>0</v>
          </cell>
        </row>
        <row r="25">
          <cell r="T25">
            <v>0</v>
          </cell>
        </row>
        <row r="26">
          <cell r="T26">
            <v>0</v>
          </cell>
        </row>
        <row r="27">
          <cell r="T27">
            <v>0</v>
          </cell>
        </row>
        <row r="28">
          <cell r="T28">
            <v>0</v>
          </cell>
        </row>
        <row r="29">
          <cell r="T29">
            <v>0</v>
          </cell>
        </row>
        <row r="30">
          <cell r="T30">
            <v>0</v>
          </cell>
        </row>
        <row r="31">
          <cell r="T31">
            <v>0</v>
          </cell>
        </row>
        <row r="32">
          <cell r="T32">
            <v>0</v>
          </cell>
        </row>
        <row r="33">
          <cell r="T33">
            <v>0</v>
          </cell>
        </row>
        <row r="34">
          <cell r="T34">
            <v>0</v>
          </cell>
        </row>
        <row r="35">
          <cell r="T35">
            <v>0</v>
          </cell>
        </row>
        <row r="36">
          <cell r="T36">
            <v>0</v>
          </cell>
        </row>
        <row r="37">
          <cell r="T37">
            <v>0</v>
          </cell>
        </row>
        <row r="38">
          <cell r="T38">
            <v>0</v>
          </cell>
        </row>
        <row r="39">
          <cell r="T39">
            <v>0</v>
          </cell>
        </row>
        <row r="40">
          <cell r="T40">
            <v>0</v>
          </cell>
        </row>
        <row r="41">
          <cell r="T41">
            <v>0</v>
          </cell>
        </row>
        <row r="42">
          <cell r="T42">
            <v>0</v>
          </cell>
        </row>
        <row r="43">
          <cell r="T43">
            <v>0</v>
          </cell>
        </row>
        <row r="44">
          <cell r="T44">
            <v>0</v>
          </cell>
        </row>
        <row r="46">
          <cell r="T46">
            <v>0</v>
          </cell>
        </row>
        <row r="47">
          <cell r="T47">
            <v>0</v>
          </cell>
        </row>
        <row r="48">
          <cell r="T48">
            <v>0</v>
          </cell>
        </row>
        <row r="49">
          <cell r="T49">
            <v>0</v>
          </cell>
        </row>
        <row r="50">
          <cell r="T50">
            <v>0</v>
          </cell>
        </row>
        <row r="51">
          <cell r="T51">
            <v>0</v>
          </cell>
        </row>
        <row r="52">
          <cell r="T52">
            <v>0</v>
          </cell>
        </row>
        <row r="53">
          <cell r="T53">
            <v>0</v>
          </cell>
        </row>
        <row r="54">
          <cell r="T54">
            <v>0</v>
          </cell>
        </row>
        <row r="55">
          <cell r="T55">
            <v>0</v>
          </cell>
        </row>
        <row r="56">
          <cell r="T56">
            <v>0</v>
          </cell>
        </row>
        <row r="57">
          <cell r="T57">
            <v>0</v>
          </cell>
        </row>
        <row r="58">
          <cell r="T58">
            <v>0</v>
          </cell>
        </row>
        <row r="59">
          <cell r="T59">
            <v>0</v>
          </cell>
        </row>
        <row r="60">
          <cell r="T60">
            <v>0</v>
          </cell>
        </row>
        <row r="61">
          <cell r="T61">
            <v>0</v>
          </cell>
        </row>
        <row r="62">
          <cell r="T62">
            <v>0</v>
          </cell>
        </row>
        <row r="63">
          <cell r="T63">
            <v>0</v>
          </cell>
        </row>
        <row r="64">
          <cell r="T64">
            <v>0</v>
          </cell>
        </row>
        <row r="65">
          <cell r="T65">
            <v>0</v>
          </cell>
        </row>
        <row r="66">
          <cell r="T66">
            <v>0</v>
          </cell>
        </row>
        <row r="67">
          <cell r="T67">
            <v>0</v>
          </cell>
        </row>
        <row r="68">
          <cell r="T68">
            <v>0</v>
          </cell>
        </row>
        <row r="69">
          <cell r="T69">
            <v>627829000</v>
          </cell>
        </row>
        <row r="70">
          <cell r="T70">
            <v>0</v>
          </cell>
        </row>
        <row r="71">
          <cell r="T71">
            <v>0</v>
          </cell>
        </row>
        <row r="72">
          <cell r="T72">
            <v>0</v>
          </cell>
        </row>
        <row r="73">
          <cell r="T73">
            <v>0</v>
          </cell>
        </row>
        <row r="74">
          <cell r="T74">
            <v>0</v>
          </cell>
        </row>
        <row r="75">
          <cell r="T75">
            <v>0</v>
          </cell>
        </row>
        <row r="76">
          <cell r="T76">
            <v>0</v>
          </cell>
        </row>
        <row r="77">
          <cell r="T77">
            <v>0</v>
          </cell>
        </row>
        <row r="78">
          <cell r="T78">
            <v>0</v>
          </cell>
        </row>
        <row r="79">
          <cell r="T79">
            <v>0</v>
          </cell>
        </row>
        <row r="80">
          <cell r="T80">
            <v>0</v>
          </cell>
        </row>
        <row r="81">
          <cell r="T81">
            <v>627829000</v>
          </cell>
        </row>
        <row r="82">
          <cell r="T82">
            <v>0</v>
          </cell>
        </row>
        <row r="83">
          <cell r="T83">
            <v>0</v>
          </cell>
        </row>
        <row r="84">
          <cell r="T84">
            <v>0</v>
          </cell>
        </row>
        <row r="85">
          <cell r="T85">
            <v>0</v>
          </cell>
        </row>
        <row r="86">
          <cell r="T86">
            <v>0</v>
          </cell>
        </row>
        <row r="87">
          <cell r="T87">
            <v>0</v>
          </cell>
        </row>
        <row r="88">
          <cell r="T88">
            <v>0</v>
          </cell>
        </row>
        <row r="89">
          <cell r="T89">
            <v>0</v>
          </cell>
        </row>
        <row r="90">
          <cell r="T90">
            <v>0</v>
          </cell>
        </row>
        <row r="91">
          <cell r="T91">
            <v>0</v>
          </cell>
        </row>
        <row r="92">
          <cell r="T92">
            <v>0</v>
          </cell>
        </row>
        <row r="93">
          <cell r="T93">
            <v>627829000</v>
          </cell>
        </row>
        <row r="94">
          <cell r="T94">
            <v>0</v>
          </cell>
        </row>
        <row r="95">
          <cell r="T95">
            <v>0</v>
          </cell>
        </row>
        <row r="96">
          <cell r="T96">
            <v>0</v>
          </cell>
        </row>
        <row r="97">
          <cell r="T97">
            <v>0</v>
          </cell>
        </row>
        <row r="98">
          <cell r="T98">
            <v>0</v>
          </cell>
        </row>
        <row r="99">
          <cell r="T99">
            <v>0</v>
          </cell>
        </row>
        <row r="100">
          <cell r="T100">
            <v>0</v>
          </cell>
        </row>
        <row r="101">
          <cell r="T101">
            <v>0</v>
          </cell>
        </row>
        <row r="102">
          <cell r="T102">
            <v>0</v>
          </cell>
        </row>
        <row r="103">
          <cell r="T103">
            <v>0</v>
          </cell>
        </row>
        <row r="104">
          <cell r="T104">
            <v>0</v>
          </cell>
        </row>
        <row r="105">
          <cell r="T105">
            <v>627829000</v>
          </cell>
        </row>
        <row r="106">
          <cell r="T106">
            <v>0</v>
          </cell>
        </row>
        <row r="107">
          <cell r="T107">
            <v>0</v>
          </cell>
        </row>
        <row r="108">
          <cell r="T108">
            <v>0</v>
          </cell>
        </row>
        <row r="109">
          <cell r="T109">
            <v>0</v>
          </cell>
        </row>
        <row r="110">
          <cell r="T110">
            <v>0</v>
          </cell>
        </row>
        <row r="111">
          <cell r="T111">
            <v>0</v>
          </cell>
        </row>
        <row r="112">
          <cell r="T112">
            <v>0</v>
          </cell>
        </row>
        <row r="113">
          <cell r="T113">
            <v>0</v>
          </cell>
        </row>
        <row r="114">
          <cell r="T114">
            <v>0</v>
          </cell>
        </row>
        <row r="115">
          <cell r="T115">
            <v>0</v>
          </cell>
        </row>
        <row r="116">
          <cell r="T116">
            <v>0</v>
          </cell>
        </row>
        <row r="117">
          <cell r="T117">
            <v>627829000</v>
          </cell>
        </row>
        <row r="118">
          <cell r="T118">
            <v>0</v>
          </cell>
        </row>
        <row r="119">
          <cell r="T119">
            <v>0</v>
          </cell>
        </row>
        <row r="120">
          <cell r="T120">
            <v>0</v>
          </cell>
        </row>
        <row r="121">
          <cell r="T121">
            <v>0</v>
          </cell>
        </row>
        <row r="122">
          <cell r="T122">
            <v>0</v>
          </cell>
        </row>
        <row r="123">
          <cell r="T123">
            <v>0</v>
          </cell>
        </row>
        <row r="124">
          <cell r="T124">
            <v>0</v>
          </cell>
        </row>
        <row r="125">
          <cell r="T125">
            <v>0</v>
          </cell>
        </row>
        <row r="126">
          <cell r="T126">
            <v>0</v>
          </cell>
        </row>
        <row r="127">
          <cell r="T127">
            <v>0</v>
          </cell>
        </row>
        <row r="128">
          <cell r="T128">
            <v>0</v>
          </cell>
        </row>
        <row r="129">
          <cell r="T129">
            <v>642956930</v>
          </cell>
        </row>
        <row r="130">
          <cell r="T130">
            <v>0</v>
          </cell>
        </row>
        <row r="131">
          <cell r="T131">
            <v>0</v>
          </cell>
        </row>
        <row r="132">
          <cell r="T132">
            <v>0</v>
          </cell>
        </row>
        <row r="133">
          <cell r="T133">
            <v>0</v>
          </cell>
        </row>
        <row r="134">
          <cell r="T134">
            <v>0</v>
          </cell>
        </row>
        <row r="135">
          <cell r="T135">
            <v>0</v>
          </cell>
        </row>
        <row r="136">
          <cell r="T136">
            <v>0</v>
          </cell>
        </row>
        <row r="137">
          <cell r="T137">
            <v>0</v>
          </cell>
        </row>
        <row r="138">
          <cell r="T138">
            <v>0</v>
          </cell>
        </row>
        <row r="139">
          <cell r="T139">
            <v>0</v>
          </cell>
        </row>
        <row r="140">
          <cell r="T140">
            <v>0</v>
          </cell>
        </row>
        <row r="141">
          <cell r="T141">
            <v>0</v>
          </cell>
        </row>
        <row r="142">
          <cell r="T142">
            <v>0</v>
          </cell>
        </row>
        <row r="143">
          <cell r="T143">
            <v>0</v>
          </cell>
        </row>
        <row r="144">
          <cell r="T144">
            <v>0</v>
          </cell>
        </row>
        <row r="145">
          <cell r="T145">
            <v>0</v>
          </cell>
        </row>
        <row r="146">
          <cell r="T146">
            <v>0</v>
          </cell>
        </row>
        <row r="147">
          <cell r="T147">
            <v>0</v>
          </cell>
        </row>
        <row r="148">
          <cell r="T148">
            <v>0</v>
          </cell>
        </row>
        <row r="149">
          <cell r="T149">
            <v>0</v>
          </cell>
        </row>
        <row r="150">
          <cell r="T150">
            <v>0</v>
          </cell>
        </row>
        <row r="151">
          <cell r="T151">
            <v>0</v>
          </cell>
        </row>
        <row r="152">
          <cell r="T152">
            <v>0</v>
          </cell>
        </row>
        <row r="153">
          <cell r="T153">
            <v>0</v>
          </cell>
        </row>
        <row r="154">
          <cell r="T154">
            <v>0</v>
          </cell>
        </row>
        <row r="155">
          <cell r="T155">
            <v>0</v>
          </cell>
        </row>
        <row r="156">
          <cell r="T156">
            <v>0</v>
          </cell>
        </row>
        <row r="157">
          <cell r="T157">
            <v>0</v>
          </cell>
        </row>
        <row r="158">
          <cell r="T158">
            <v>0</v>
          </cell>
        </row>
        <row r="159">
          <cell r="T159">
            <v>0</v>
          </cell>
        </row>
        <row r="160">
          <cell r="T160">
            <v>0</v>
          </cell>
        </row>
        <row r="161">
          <cell r="T161">
            <v>0</v>
          </cell>
        </row>
        <row r="162">
          <cell r="T162">
            <v>0</v>
          </cell>
        </row>
        <row r="163">
          <cell r="T163">
            <v>0</v>
          </cell>
        </row>
        <row r="164">
          <cell r="T164">
            <v>0</v>
          </cell>
        </row>
        <row r="165">
          <cell r="T165">
            <v>0</v>
          </cell>
        </row>
        <row r="166">
          <cell r="T166">
            <v>0</v>
          </cell>
        </row>
        <row r="167">
          <cell r="T167">
            <v>0</v>
          </cell>
        </row>
        <row r="168">
          <cell r="T168">
            <v>0</v>
          </cell>
        </row>
        <row r="169">
          <cell r="T169">
            <v>0</v>
          </cell>
        </row>
        <row r="170">
          <cell r="T170">
            <v>0</v>
          </cell>
        </row>
        <row r="171">
          <cell r="T171">
            <v>0</v>
          </cell>
        </row>
        <row r="172">
          <cell r="T172">
            <v>0</v>
          </cell>
        </row>
        <row r="173">
          <cell r="T173">
            <v>0</v>
          </cell>
        </row>
        <row r="174">
          <cell r="T174">
            <v>0</v>
          </cell>
        </row>
        <row r="175">
          <cell r="T175">
            <v>0</v>
          </cell>
        </row>
        <row r="176">
          <cell r="T176">
            <v>0</v>
          </cell>
        </row>
        <row r="177">
          <cell r="T177">
            <v>0</v>
          </cell>
        </row>
        <row r="178">
          <cell r="T178">
            <v>0</v>
          </cell>
        </row>
        <row r="179">
          <cell r="T179">
            <v>0</v>
          </cell>
        </row>
        <row r="180">
          <cell r="T180">
            <v>0</v>
          </cell>
        </row>
        <row r="181">
          <cell r="T181">
            <v>0</v>
          </cell>
        </row>
        <row r="182">
          <cell r="T182">
            <v>0</v>
          </cell>
        </row>
        <row r="183">
          <cell r="T183">
            <v>0</v>
          </cell>
        </row>
        <row r="184">
          <cell r="T184">
            <v>0</v>
          </cell>
        </row>
        <row r="185">
          <cell r="T185">
            <v>0</v>
          </cell>
        </row>
        <row r="186">
          <cell r="T186">
            <v>0</v>
          </cell>
        </row>
        <row r="187">
          <cell r="T187">
            <v>0</v>
          </cell>
        </row>
        <row r="188">
          <cell r="T188">
            <v>0</v>
          </cell>
        </row>
        <row r="189">
          <cell r="T189">
            <v>0</v>
          </cell>
        </row>
        <row r="190">
          <cell r="T190">
            <v>0</v>
          </cell>
        </row>
        <row r="191">
          <cell r="T191">
            <v>0</v>
          </cell>
        </row>
        <row r="192">
          <cell r="T192">
            <v>0</v>
          </cell>
        </row>
        <row r="193">
          <cell r="T193">
            <v>0</v>
          </cell>
        </row>
        <row r="194">
          <cell r="T194">
            <v>0</v>
          </cell>
        </row>
        <row r="195">
          <cell r="T195">
            <v>0</v>
          </cell>
        </row>
        <row r="196">
          <cell r="T196">
            <v>0</v>
          </cell>
        </row>
        <row r="197">
          <cell r="T197">
            <v>0</v>
          </cell>
        </row>
        <row r="198">
          <cell r="T198">
            <v>0</v>
          </cell>
        </row>
        <row r="199">
          <cell r="T199">
            <v>0</v>
          </cell>
        </row>
        <row r="200">
          <cell r="T200">
            <v>0</v>
          </cell>
        </row>
        <row r="201">
          <cell r="T201">
            <v>0</v>
          </cell>
        </row>
        <row r="202">
          <cell r="T202">
            <v>0</v>
          </cell>
        </row>
        <row r="203">
          <cell r="T203">
            <v>0</v>
          </cell>
        </row>
        <row r="204">
          <cell r="T204">
            <v>0</v>
          </cell>
        </row>
        <row r="205">
          <cell r="T205">
            <v>0</v>
          </cell>
        </row>
        <row r="206">
          <cell r="T206">
            <v>0</v>
          </cell>
        </row>
        <row r="207">
          <cell r="T207">
            <v>0</v>
          </cell>
        </row>
        <row r="208">
          <cell r="T208">
            <v>0</v>
          </cell>
        </row>
        <row r="209">
          <cell r="T209">
            <v>0</v>
          </cell>
        </row>
        <row r="210">
          <cell r="T210">
            <v>0</v>
          </cell>
        </row>
        <row r="211">
          <cell r="T211">
            <v>0</v>
          </cell>
        </row>
        <row r="212">
          <cell r="T212">
            <v>0</v>
          </cell>
        </row>
        <row r="213">
          <cell r="T21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림골조"/>
      <sheetName val="NEW비교"/>
      <sheetName val="의뢰"/>
      <sheetName val="견적조건"/>
      <sheetName val="품의서"/>
      <sheetName val="새공통(97년3월)"/>
      <sheetName val="건축"/>
      <sheetName val="24평(계단식-TOWER)"/>
      <sheetName val="24평(계단식)"/>
      <sheetName val="32평"/>
      <sheetName val="43평"/>
      <sheetName val="48평"/>
      <sheetName val="동DATA"/>
      <sheetName val="파일본수"/>
      <sheetName val="파일공사"/>
      <sheetName val="SERVICE"/>
      <sheetName val="부대건축"/>
      <sheetName val="전기"/>
      <sheetName val="설비"/>
      <sheetName val="토공사및 흙막이공사"/>
      <sheetName val="옥외"/>
      <sheetName val="물가상승1"/>
      <sheetName val="써100 (A4)"/>
      <sheetName val="제출표지"/>
      <sheetName val="CashFlow(중간집계)"/>
      <sheetName val="정리계획CF평가"/>
      <sheetName val="삭제금지단가"/>
      <sheetName val="손익차9월2"/>
      <sheetName val="유림총괄"/>
      <sheetName val="Sheet4"/>
      <sheetName val="차액보증"/>
      <sheetName val="청산공사"/>
      <sheetName val="내역"/>
      <sheetName val="재료비"/>
      <sheetName val="경비"/>
      <sheetName val="표지"/>
      <sheetName val="목차"/>
      <sheetName val="설계조건"/>
      <sheetName val="열관류율"/>
      <sheetName val="First"/>
      <sheetName val="Front"/>
      <sheetName val="wall"/>
      <sheetName val="집계표"/>
      <sheetName val="부하계산서"/>
      <sheetName val="F.C.U ZONE집계"/>
      <sheetName val="A.H.U ZONE별집계"/>
      <sheetName val="PAC 집계"/>
      <sheetName val="난방부하집계(청소년수련관)"/>
      <sheetName val="냉온수기"/>
      <sheetName val="보일러&amp;응축수탱크"/>
      <sheetName val="열교환기"/>
      <sheetName val="공조기선정"/>
      <sheetName val="공조기리턴휀"/>
      <sheetName val="FAN"/>
      <sheetName val="저수조(교육,사이버)"/>
      <sheetName val="저수조(청소년)"/>
      <sheetName val="급탕탱크"/>
      <sheetName val="급수펌프"/>
      <sheetName val="펌프"/>
      <sheetName val="1.가스소비량"/>
      <sheetName val="환산길이"/>
      <sheetName val="1-3.가스관경계산-1"/>
      <sheetName val="1-4.가스관경계산-2"/>
      <sheetName val="1-5.가스관경계산-3"/>
      <sheetName val="1-6.가스관경계산-4 "/>
      <sheetName val="1-7.가스관경계산-5"/>
      <sheetName val="1-7.가스차압산출"/>
      <sheetName val="form"/>
      <sheetName val="ZONE"/>
      <sheetName val="DATA"/>
      <sheetName val="공조기"/>
      <sheetName val="공조기휀"/>
      <sheetName val="AHU집계"/>
      <sheetName val="Sheet1"/>
      <sheetName val="Sheet2"/>
      <sheetName val="Sheet3"/>
      <sheetName val="PE거푸집(1.2)"/>
      <sheetName val="일위대가"/>
      <sheetName val="1.견적서목록"/>
      <sheetName val="SF적재계산"/>
      <sheetName val="FAX1"/>
      <sheetName val="주소록"/>
      <sheetName val="Module1"/>
      <sheetName val="Module2"/>
      <sheetName val="MM"/>
      <sheetName val="견적표지"/>
      <sheetName val="견적서"/>
      <sheetName val="부하계산서 (영문)"/>
      <sheetName val="PEND-ITEM"/>
      <sheetName val="PEND-ITEM (2)"/>
      <sheetName val="PEND-99"/>
      <sheetName val="0000"/>
      <sheetName val="설계자료"/>
      <sheetName val="Sheet7"/>
      <sheetName val="Sheet8"/>
      <sheetName val="Sheet9"/>
      <sheetName val="Sheet10"/>
      <sheetName val="Sheet11"/>
      <sheetName val="Sheet12"/>
      <sheetName val="Sheet13"/>
      <sheetName val="Sheet14"/>
      <sheetName val="Sheet15"/>
      <sheetName val="Sheet6"/>
      <sheetName val="Sheet16"/>
      <sheetName val="VXXXXXX"/>
      <sheetName val="목록"/>
      <sheetName val="파일정리"/>
      <sheetName val="견적표지(종)"/>
      <sheetName val="견적표지 (횡)"/>
      <sheetName val="1"/>
      <sheetName val="화물선취"/>
      <sheetName val="부하집계표 (2안)"/>
      <sheetName val="부하계산서 "/>
      <sheetName val="동결부하계산서"/>
      <sheetName val="UNIT COOLER 선정표"/>
      <sheetName val="ACCUMULALOR (2안)"/>
      <sheetName val="동력집계표 (2안)"/>
      <sheetName val="cooling tower (2)"/>
      <sheetName val="cooling water pump"/>
      <sheetName val="DEFROEST PUMP"/>
      <sheetName val="기기선정표 (2안)"/>
      <sheetName val="부하집계표"/>
      <sheetName val="동력집계표"/>
      <sheetName val="ACCUMULALOR"/>
      <sheetName val="cooling tower"/>
      <sheetName val="기기선정표"/>
      <sheetName val="부하집계표 (2)"/>
      <sheetName val="주차장환기량"/>
      <sheetName val="송풍기272대형(지하2층)"/>
      <sheetName val="송풍기272대형(지하1층)"/>
      <sheetName val="송풍기268대형(지하1층)"/>
      <sheetName val="덕트 및 배기그릴선정"/>
      <sheetName val="OCT.FDN"/>
      <sheetName val="WIND"/>
      <sheetName val="SEISMIC"/>
      <sheetName val="SIZE"/>
      <sheetName val="EXT.CHECK"/>
      <sheetName val="DESIGN"/>
      <sheetName val="Demolition(Total)"/>
      <sheetName val="D-147E"/>
      <sheetName val="D-126E"/>
      <sheetName val="V-128E"/>
      <sheetName val="FL-123E1"/>
      <sheetName val="D-120E"/>
      <sheetName val="D-131E"/>
      <sheetName val="T-127E1"/>
      <sheetName val="Trench1"/>
      <sheetName val="Trench2"/>
      <sheetName val="Trench3"/>
      <sheetName val="P-147E1"/>
      <sheetName val="P-124E"/>
      <sheetName val="P-127E1,E2 "/>
      <sheetName val="P-121E"/>
      <sheetName val="P-122E"/>
      <sheetName val="P-120E1,E2"/>
      <sheetName val="P-123E1,E2 "/>
      <sheetName val="P-128E "/>
      <sheetName val="PAC"/>
      <sheetName val="Sheet3-1"/>
      <sheetName val="물가자료비교"/>
      <sheetName val="3사단가비교"/>
      <sheetName val="대동"/>
      <sheetName val="성림"/>
      <sheetName val="금강"/>
      <sheetName val="bid"/>
      <sheetName val="#REF"/>
      <sheetName val="xxxxxx"/>
      <sheetName val="（２）"/>
      <sheetName val="（３） "/>
      <sheetName val="97년-98년"/>
      <sheetName val="Sheet5"/>
      <sheetName val="주간업무보고"/>
      <sheetName val="주간업무보고4월첫째"/>
      <sheetName val="부재중업무보고"/>
      <sheetName val="주간업무보고4월네째"/>
      <sheetName val="3"/>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2)"/>
      <sheetName val="목차(1)"/>
      <sheetName val="1-1"/>
      <sheetName val="1-2"/>
      <sheetName val="1-3"/>
      <sheetName val="1-4"/>
      <sheetName val="1-5"/>
      <sheetName val="1-6"/>
      <sheetName val="1-7"/>
      <sheetName val="1-8"/>
      <sheetName val="1-9"/>
      <sheetName val="1-10"/>
      <sheetName val="1-11"/>
      <sheetName val="지침"/>
      <sheetName val="일정"/>
      <sheetName val="단위"/>
      <sheetName val="갱비산출근거"/>
      <sheetName val="양식목차"/>
      <sheetName val="1-1.손익(부문별)"/>
      <sheetName val="1-2.손익(월별)"/>
      <sheetName val="2-1.판관비(부문)"/>
      <sheetName val="2-2.판관비(월별)"/>
      <sheetName val="3-1.수익비용(부문별)"/>
      <sheetName val="3-2.수익비용(월별)"/>
      <sheetName val="4-1.투자(부문)"/>
      <sheetName val="4-2.투자(월별)"/>
      <sheetName val="5-1.인원(부문)"/>
      <sheetName val="5-2.인원(월별)"/>
      <sheetName val="6.산출근거"/>
      <sheetName val="7.현금흐름"/>
      <sheetName val="마케팅1"/>
      <sheetName val="마케팅1 (2)"/>
      <sheetName val="마케팅1 (3)"/>
      <sheetName val="마케팅1 (4)"/>
      <sheetName val="구판관비"/>
      <sheetName val="01 1담당매출계획27.8$"/>
      <sheetName val="01매출계획식자재"/>
      <sheetName val="01매출계획 선용품"/>
      <sheetName val="증감내역"/>
      <sheetName val="99~01년승선현황"/>
      <sheetName val="1월"/>
      <sheetName val="2월"/>
      <sheetName val="3월"/>
      <sheetName val="4월"/>
      <sheetName val="5월"/>
      <sheetName val="6월"/>
      <sheetName val="상반기"/>
      <sheetName val="7월"/>
      <sheetName val="9월"/>
      <sheetName val="8월"/>
      <sheetName val="10월"/>
      <sheetName val="11월"/>
      <sheetName val="12월"/>
      <sheetName val="하반기"/>
      <sheetName val="총계"/>
      <sheetName val="울산총계"/>
      <sheetName val="울산1월"/>
      <sheetName val="울산2월"/>
      <sheetName val="울산3월"/>
      <sheetName val="울산4월"/>
      <sheetName val="울산5월"/>
      <sheetName val="울산6월"/>
      <sheetName val="울산7월"/>
      <sheetName val="울산8월"/>
      <sheetName val="울산9월"/>
      <sheetName val="울산10월"/>
      <sheetName val="울산11월"/>
      <sheetName val="울산12월"/>
      <sheetName val="성남총계"/>
      <sheetName val="성남1월"/>
      <sheetName val="성남2월"/>
      <sheetName val="성남3월"/>
      <sheetName val="성남4월"/>
      <sheetName val="성남5월"/>
      <sheetName val="성남6월"/>
      <sheetName val="성남7월"/>
      <sheetName val="성남8월"/>
      <sheetName val="성남9월"/>
      <sheetName val="성남10월"/>
      <sheetName val="성남11월"/>
      <sheetName val="성남12월"/>
      <sheetName val="요약장"/>
      <sheetName val="부도어음수표"/>
      <sheetName val="악성채권"/>
      <sheetName val="작업전원본"/>
      <sheetName val="작업악성채권직원판매제외(거래선별종합)"/>
      <sheetName val="작업악성채권직원판매제외(거래선별) "/>
      <sheetName val="작업악성채권직원판매제외 (담당별종합)"/>
      <sheetName val="작업악성채권직원판매제외 (담당별)"/>
      <sheetName val="별첨1"/>
      <sheetName val="별첨2"/>
      <sheetName val="별첨3"/>
      <sheetName val="별첨4"/>
      <sheetName val="백1"/>
      <sheetName val="백2"/>
      <sheetName val="백3"/>
      <sheetName val="월별매출01"/>
      <sheetName val="식품"/>
      <sheetName val="포함"/>
      <sheetName val="울산점"/>
      <sheetName val="일반관리비"/>
      <sheetName val="카메라"/>
      <sheetName val="판촉비예산 "/>
      <sheetName val="전산투자예산"/>
      <sheetName val="인테리어.시설"/>
      <sheetName val="파 3층 특설 장치장식비"/>
      <sheetName val="갑"/>
      <sheetName val="2"/>
      <sheetName val="4"/>
      <sheetName val="5"/>
      <sheetName val="6"/>
      <sheetName val="7"/>
      <sheetName val="채권총괄표(H&amp;S집계)"/>
      <sheetName val="표지(03년11월)"/>
      <sheetName val="총괄 (03년11월)h&amp;s"/>
      <sheetName val="총괄 (03년11월)여행"/>
      <sheetName val="세부내용 (03년11월)여행"/>
      <sheetName val="개인 세부내용 (03년11월)여행"/>
      <sheetName val="서울일반상품"/>
      <sheetName val="서울상품권"/>
      <sheetName val="동구일반상품 "/>
      <sheetName val="동구미수금"/>
      <sheetName val="금강산"/>
      <sheetName val="임대"/>
      <sheetName val="본사"/>
      <sheetName val="ꀀ"/>
      <sheetName val="영업2파트"/>
      <sheetName val="영업활동현황"/>
      <sheetName val="성과보고표지"/>
      <sheetName val="성과보고양식"/>
      <sheetName val="건축(주상복합)"/>
      <sheetName val="옥외및기타"/>
      <sheetName val="파일공사(APT)"/>
      <sheetName val="파일공사(부대동)"/>
      <sheetName val="의뢰서"/>
      <sheetName val="공통비"/>
      <sheetName val="총괄"/>
      <sheetName val="남양시작동자105노65기1.3화1.2"/>
      <sheetName val="일위대가(가설)"/>
      <sheetName val="물가자료"/>
      <sheetName val="Y-WORK"/>
      <sheetName val="97 사업추정(WEKI)"/>
      <sheetName val="단중표"/>
      <sheetName val="터파기및재료"/>
      <sheetName val="1차설계변경내역"/>
      <sheetName val="직노"/>
      <sheetName val="기계설비"/>
      <sheetName val="단가비교표"/>
      <sheetName val="대비"/>
      <sheetName val="2공구산출내역"/>
      <sheetName val="사업성"/>
      <sheetName val="수입"/>
      <sheetName val="5사남"/>
      <sheetName val="대여현황"/>
      <sheetName val="금액순"/>
      <sheetName val="안산기계장치"/>
      <sheetName val="관람석제출"/>
      <sheetName val="내역서"/>
      <sheetName val="Baby일위대가"/>
      <sheetName val="별제권_정리담보권1"/>
      <sheetName val="현금흐름표"/>
      <sheetName val="분양가"/>
      <sheetName val="내역서2안"/>
      <sheetName val="회사정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efreshError="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개요"/>
      <sheetName val="사업수지"/>
      <sheetName val="Cashflow"/>
      <sheetName val="Backdata"/>
    </sheetNames>
    <sheetDataSet>
      <sheetData sheetId="0" refreshError="1"/>
      <sheetData sheetId="1">
        <row r="4">
          <cell r="J4">
            <v>38748746.575000003</v>
          </cell>
        </row>
        <row r="5">
          <cell r="J5">
            <v>991690.28750000009</v>
          </cell>
        </row>
        <row r="7">
          <cell r="J7">
            <v>3357507.9999999995</v>
          </cell>
        </row>
        <row r="8">
          <cell r="J8">
            <v>8102740.7999999998</v>
          </cell>
        </row>
        <row r="9">
          <cell r="J9">
            <v>5765483.6250000009</v>
          </cell>
        </row>
        <row r="10">
          <cell r="J10">
            <v>7198008.6749999998</v>
          </cell>
        </row>
      </sheetData>
      <sheetData sheetId="2" refreshError="1"/>
      <sheetData sheetId="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양식24"/>
      <sheetName val="양식25"/>
      <sheetName val="양식26"/>
      <sheetName val="양식27"/>
      <sheetName val="양식28"/>
      <sheetName val="양식29"/>
      <sheetName val="양식30"/>
      <sheetName val="양식31"/>
      <sheetName val="ROI(CI)"/>
      <sheetName val="결과"/>
      <sheetName val="재무가정"/>
      <sheetName val="물가지수"/>
      <sheetName val="s-curve"/>
      <sheetName val="총사업비산정내역"/>
      <sheetName val="총사업비(분기별)"/>
      <sheetName val="총사업비(연도별)"/>
      <sheetName val="총투자비(분기별)"/>
      <sheetName val="총투자비(연도별)"/>
      <sheetName val="재원조달"/>
      <sheetName val="차입금상환"/>
      <sheetName val="차입금상환-연도별"/>
      <sheetName val="시설임대료"/>
      <sheetName val="보험"/>
      <sheetName val="운영비용"/>
      <sheetName val="추정대차대조표-계정별내역"/>
      <sheetName val="추정대차대조표"/>
      <sheetName val="추정손익계산서-계정별내역"/>
      <sheetName val="추정손익계산서"/>
      <sheetName val="추정현금흐름표"/>
      <sheetName val="자금수지표"/>
      <sheetName val="재무제표_연도별"/>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4">
          <cell r="H14">
            <v>39082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동"/>
      <sheetName val="동탄지구 수지분석"/>
      <sheetName val="입찰예정토지"/>
      <sheetName val="붙이기"/>
      <sheetName val="입찰예정토지 (3)"/>
      <sheetName val="입찰예정토지풍성"/>
      <sheetName val="동탄 택지 당첨 준비사항"/>
      <sheetName val="3-1블럭 수지분석"/>
      <sheetName val="택지 매입시 금융비용"/>
      <sheetName val="cash"/>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퇴직보험"/>
      <sheetName val="퇴충총괄"/>
      <sheetName val="관리별정촉탁"/>
      <sheetName val="관리별정촉탁-기초data"/>
      <sheetName val="생산직"/>
      <sheetName val="오순선,김민규"/>
      <sheetName val="생산직-기초data"/>
    </sheetNames>
    <sheetDataSet>
      <sheetData sheetId="0" refreshError="1"/>
      <sheetData sheetId="1" refreshError="1"/>
      <sheetData sheetId="2" refreshError="1"/>
      <sheetData sheetId="3" refreshError="1"/>
      <sheetData sheetId="4">
        <row r="5">
          <cell r="A5" t="str">
            <v>소결</v>
          </cell>
          <cell r="B5" t="str">
            <v>후처리반</v>
          </cell>
          <cell r="C5" t="str">
            <v>SACM0077</v>
          </cell>
          <cell r="D5" t="str">
            <v>조원</v>
          </cell>
          <cell r="E5" t="str">
            <v>정학식</v>
          </cell>
          <cell r="F5">
            <v>33910</v>
          </cell>
          <cell r="G5">
            <v>1633060</v>
          </cell>
          <cell r="H5">
            <v>1300260</v>
          </cell>
          <cell r="I5">
            <v>1507910</v>
          </cell>
          <cell r="J5">
            <v>1694940</v>
          </cell>
          <cell r="K5">
            <v>1436150</v>
          </cell>
          <cell r="L5">
            <v>1401080</v>
          </cell>
          <cell r="M5">
            <v>1477882</v>
          </cell>
          <cell r="N5">
            <v>403810</v>
          </cell>
          <cell r="O5">
            <v>807630</v>
          </cell>
          <cell r="P5">
            <v>100000</v>
          </cell>
          <cell r="Q5">
            <v>407530</v>
          </cell>
          <cell r="R5">
            <v>1222590</v>
          </cell>
          <cell r="S5">
            <v>2941560</v>
          </cell>
          <cell r="T5">
            <v>487784.16666666669</v>
          </cell>
          <cell r="U5">
            <v>969370</v>
          </cell>
        </row>
        <row r="6">
          <cell r="B6" t="str">
            <v>후처리반</v>
          </cell>
          <cell r="C6" t="str">
            <v>SACM0113</v>
          </cell>
          <cell r="D6" t="str">
            <v>반장</v>
          </cell>
          <cell r="E6" t="str">
            <v>김한기</v>
          </cell>
          <cell r="F6">
            <v>29199</v>
          </cell>
          <cell r="G6">
            <v>2095850</v>
          </cell>
          <cell r="H6">
            <v>2061240</v>
          </cell>
          <cell r="I6">
            <v>2012210</v>
          </cell>
          <cell r="J6">
            <v>2134930</v>
          </cell>
          <cell r="K6">
            <v>2135650</v>
          </cell>
          <cell r="L6">
            <v>2173730</v>
          </cell>
          <cell r="M6">
            <v>2101405</v>
          </cell>
          <cell r="N6">
            <v>580450</v>
          </cell>
          <cell r="O6">
            <v>1160910</v>
          </cell>
          <cell r="P6">
            <v>100000</v>
          </cell>
          <cell r="Q6">
            <v>585770</v>
          </cell>
          <cell r="R6">
            <v>1757300</v>
          </cell>
          <cell r="S6">
            <v>4184430</v>
          </cell>
          <cell r="T6">
            <v>693864.16666666663</v>
          </cell>
          <cell r="U6">
            <v>1378489</v>
          </cell>
        </row>
        <row r="7">
          <cell r="B7" t="str">
            <v>후처리반</v>
          </cell>
          <cell r="C7" t="str">
            <v>SACM0123</v>
          </cell>
          <cell r="D7" t="str">
            <v>조장</v>
          </cell>
          <cell r="E7" t="str">
            <v>남덕희</v>
          </cell>
          <cell r="F7">
            <v>30060</v>
          </cell>
          <cell r="G7">
            <v>1734850</v>
          </cell>
          <cell r="H7">
            <v>1627330</v>
          </cell>
          <cell r="I7">
            <v>1767780</v>
          </cell>
          <cell r="J7">
            <v>1786650</v>
          </cell>
          <cell r="K7">
            <v>1608850</v>
          </cell>
          <cell r="L7">
            <v>1667750</v>
          </cell>
          <cell r="M7">
            <v>1651060</v>
          </cell>
          <cell r="N7">
            <v>547250</v>
          </cell>
          <cell r="O7">
            <v>1094500</v>
          </cell>
          <cell r="P7">
            <v>100000</v>
          </cell>
          <cell r="Q7">
            <v>547250</v>
          </cell>
          <cell r="R7">
            <v>1641750</v>
          </cell>
          <cell r="S7">
            <v>3930750</v>
          </cell>
          <cell r="T7">
            <v>655125</v>
          </cell>
          <cell r="U7">
            <v>1137297</v>
          </cell>
        </row>
        <row r="8">
          <cell r="B8" t="str">
            <v>후처리반</v>
          </cell>
          <cell r="C8" t="str">
            <v>SACM0126</v>
          </cell>
          <cell r="D8" t="str">
            <v>조장</v>
          </cell>
          <cell r="E8" t="str">
            <v>이규일</v>
          </cell>
          <cell r="F8">
            <v>30961</v>
          </cell>
          <cell r="G8">
            <v>2249520</v>
          </cell>
          <cell r="H8">
            <v>2067190</v>
          </cell>
          <cell r="I8">
            <v>2013370</v>
          </cell>
          <cell r="J8">
            <v>2087120</v>
          </cell>
          <cell r="K8">
            <v>2100850</v>
          </cell>
          <cell r="L8">
            <v>2019740</v>
          </cell>
          <cell r="M8">
            <v>2024253</v>
          </cell>
          <cell r="N8">
            <v>554690</v>
          </cell>
          <cell r="O8">
            <v>1109380</v>
          </cell>
          <cell r="P8">
            <v>100000</v>
          </cell>
          <cell r="Q8">
            <v>558410</v>
          </cell>
          <cell r="R8">
            <v>1675220</v>
          </cell>
          <cell r="S8">
            <v>3997700</v>
          </cell>
          <cell r="T8">
            <v>663805</v>
          </cell>
          <cell r="U8">
            <v>1325618</v>
          </cell>
        </row>
        <row r="9">
          <cell r="B9" t="str">
            <v>후처리반</v>
          </cell>
          <cell r="C9" t="str">
            <v>SACM0162</v>
          </cell>
          <cell r="D9" t="str">
            <v>조원</v>
          </cell>
          <cell r="E9" t="str">
            <v>김기대</v>
          </cell>
          <cell r="F9">
            <v>34227</v>
          </cell>
          <cell r="G9">
            <v>1216110</v>
          </cell>
          <cell r="H9">
            <v>1474270</v>
          </cell>
          <cell r="I9">
            <v>1301830</v>
          </cell>
          <cell r="J9">
            <v>1569900</v>
          </cell>
          <cell r="K9">
            <v>1451030</v>
          </cell>
          <cell r="L9">
            <v>1346210</v>
          </cell>
          <cell r="M9">
            <v>1424067</v>
          </cell>
          <cell r="N9">
            <v>399030</v>
          </cell>
          <cell r="O9">
            <v>798060</v>
          </cell>
          <cell r="P9">
            <v>100000</v>
          </cell>
          <cell r="Q9">
            <v>399030</v>
          </cell>
          <cell r="R9">
            <v>1197090</v>
          </cell>
          <cell r="S9">
            <v>2893210</v>
          </cell>
          <cell r="T9">
            <v>482201.66666666669</v>
          </cell>
          <cell r="U9">
            <v>940078</v>
          </cell>
        </row>
        <row r="10">
          <cell r="B10" t="str">
            <v>후처리반</v>
          </cell>
          <cell r="C10" t="str">
            <v>SACM0314</v>
          </cell>
          <cell r="D10" t="str">
            <v>조원</v>
          </cell>
          <cell r="E10" t="str">
            <v>김영길</v>
          </cell>
          <cell r="F10">
            <v>36465</v>
          </cell>
          <cell r="K10">
            <v>1333920</v>
          </cell>
          <cell r="L10">
            <v>1214220</v>
          </cell>
          <cell r="M10">
            <v>830915</v>
          </cell>
          <cell r="Q10">
            <v>0</v>
          </cell>
          <cell r="R10">
            <v>320670</v>
          </cell>
          <cell r="S10">
            <v>320670</v>
          </cell>
          <cell r="T10">
            <v>0</v>
          </cell>
          <cell r="U10">
            <v>0</v>
          </cell>
        </row>
        <row r="11">
          <cell r="B11" t="str">
            <v>후처리반</v>
          </cell>
          <cell r="C11" t="str">
            <v>SACW0004</v>
          </cell>
          <cell r="D11" t="str">
            <v>조원</v>
          </cell>
          <cell r="E11" t="str">
            <v>유제선</v>
          </cell>
          <cell r="F11">
            <v>33522</v>
          </cell>
          <cell r="G11">
            <v>1220060</v>
          </cell>
          <cell r="H11">
            <v>1095230</v>
          </cell>
          <cell r="I11">
            <v>1177170</v>
          </cell>
          <cell r="J11">
            <v>1136680</v>
          </cell>
          <cell r="K11">
            <v>1136230</v>
          </cell>
          <cell r="L11">
            <v>1054970</v>
          </cell>
          <cell r="M11">
            <v>1085178</v>
          </cell>
          <cell r="N11">
            <v>367690</v>
          </cell>
          <cell r="O11">
            <v>735380</v>
          </cell>
          <cell r="P11">
            <v>100000</v>
          </cell>
          <cell r="Q11">
            <v>367690</v>
          </cell>
          <cell r="R11">
            <v>1103070</v>
          </cell>
          <cell r="S11">
            <v>2673830</v>
          </cell>
          <cell r="T11">
            <v>445638.33333333331</v>
          </cell>
          <cell r="U11">
            <v>754923</v>
          </cell>
        </row>
        <row r="12">
          <cell r="B12" t="str">
            <v>후처리반</v>
          </cell>
          <cell r="C12" t="str">
            <v>SACW0005</v>
          </cell>
          <cell r="D12" t="str">
            <v>조장</v>
          </cell>
          <cell r="E12" t="str">
            <v>이영애</v>
          </cell>
          <cell r="F12">
            <v>33532</v>
          </cell>
          <cell r="G12">
            <v>1200430</v>
          </cell>
          <cell r="H12">
            <v>1378880</v>
          </cell>
          <cell r="I12">
            <v>1394840</v>
          </cell>
          <cell r="J12">
            <v>1308400</v>
          </cell>
          <cell r="K12">
            <v>1191030</v>
          </cell>
          <cell r="L12">
            <v>1197440</v>
          </cell>
          <cell r="M12">
            <v>1205501</v>
          </cell>
          <cell r="N12">
            <v>389470</v>
          </cell>
          <cell r="O12">
            <v>778940</v>
          </cell>
          <cell r="P12">
            <v>100000</v>
          </cell>
          <cell r="Q12">
            <v>389470</v>
          </cell>
          <cell r="R12">
            <v>1168410</v>
          </cell>
          <cell r="S12">
            <v>2826290</v>
          </cell>
          <cell r="T12">
            <v>471048.33333333331</v>
          </cell>
          <cell r="U12">
            <v>826791</v>
          </cell>
        </row>
        <row r="13">
          <cell r="B13" t="str">
            <v>후처리반</v>
          </cell>
          <cell r="C13" t="str">
            <v>SACW0007</v>
          </cell>
          <cell r="D13" t="str">
            <v>조원</v>
          </cell>
          <cell r="E13" t="str">
            <v>윤영순</v>
          </cell>
          <cell r="F13">
            <v>33550</v>
          </cell>
          <cell r="G13">
            <v>1194120</v>
          </cell>
          <cell r="H13">
            <v>1232070</v>
          </cell>
          <cell r="I13">
            <v>1310220</v>
          </cell>
          <cell r="J13">
            <v>1165070</v>
          </cell>
          <cell r="K13">
            <v>1113180</v>
          </cell>
          <cell r="L13">
            <v>1065050</v>
          </cell>
          <cell r="M13">
            <v>1090207</v>
          </cell>
          <cell r="N13">
            <v>367690</v>
          </cell>
          <cell r="O13">
            <v>735380</v>
          </cell>
          <cell r="P13">
            <v>100000</v>
          </cell>
          <cell r="Q13">
            <v>367690</v>
          </cell>
          <cell r="R13">
            <v>1103070</v>
          </cell>
          <cell r="S13">
            <v>2673830</v>
          </cell>
          <cell r="T13">
            <v>445638.33333333331</v>
          </cell>
          <cell r="U13">
            <v>757403</v>
          </cell>
        </row>
        <row r="14">
          <cell r="B14" t="str">
            <v>후처리반</v>
          </cell>
          <cell r="C14" t="str">
            <v>SACW0009</v>
          </cell>
          <cell r="D14" t="str">
            <v>조원</v>
          </cell>
          <cell r="E14" t="str">
            <v>박향숙</v>
          </cell>
          <cell r="F14">
            <v>33833</v>
          </cell>
          <cell r="G14">
            <v>1101010</v>
          </cell>
          <cell r="H14">
            <v>1149860</v>
          </cell>
          <cell r="I14">
            <v>1219010</v>
          </cell>
          <cell r="J14">
            <v>1147190</v>
          </cell>
          <cell r="K14">
            <v>1015070</v>
          </cell>
          <cell r="L14">
            <v>1056680</v>
          </cell>
          <cell r="M14">
            <v>1049654</v>
          </cell>
          <cell r="N14">
            <v>358920</v>
          </cell>
          <cell r="O14">
            <v>717840</v>
          </cell>
          <cell r="P14">
            <v>100000</v>
          </cell>
          <cell r="Q14">
            <v>358920</v>
          </cell>
          <cell r="R14">
            <v>1076760</v>
          </cell>
          <cell r="S14">
            <v>2612440</v>
          </cell>
          <cell r="T14">
            <v>435406.66666666663</v>
          </cell>
          <cell r="U14">
            <v>732359</v>
          </cell>
        </row>
        <row r="15">
          <cell r="B15" t="str">
            <v>후처리반</v>
          </cell>
          <cell r="C15" t="str">
            <v>SACW0011</v>
          </cell>
          <cell r="D15" t="str">
            <v>조원</v>
          </cell>
          <cell r="E15" t="str">
            <v>송경득</v>
          </cell>
          <cell r="F15">
            <v>33929</v>
          </cell>
          <cell r="G15">
            <v>1118660</v>
          </cell>
          <cell r="H15">
            <v>1095210</v>
          </cell>
          <cell r="I15">
            <v>1146520</v>
          </cell>
          <cell r="J15">
            <v>1149950</v>
          </cell>
          <cell r="K15">
            <v>1054270</v>
          </cell>
          <cell r="L15">
            <v>1023180</v>
          </cell>
          <cell r="M15">
            <v>1052413</v>
          </cell>
          <cell r="N15">
            <v>355200</v>
          </cell>
          <cell r="O15">
            <v>710410</v>
          </cell>
          <cell r="P15">
            <v>100000</v>
          </cell>
          <cell r="Q15">
            <v>358920</v>
          </cell>
          <cell r="R15">
            <v>1076760</v>
          </cell>
          <cell r="S15">
            <v>2601290</v>
          </cell>
          <cell r="T15">
            <v>431072.5</v>
          </cell>
          <cell r="U15">
            <v>731582</v>
          </cell>
        </row>
        <row r="16">
          <cell r="B16" t="str">
            <v>후처리반</v>
          </cell>
          <cell r="C16" t="str">
            <v>SACW0012</v>
          </cell>
          <cell r="D16" t="str">
            <v>조원</v>
          </cell>
          <cell r="E16" t="str">
            <v>곽  언</v>
          </cell>
          <cell r="F16">
            <v>33929</v>
          </cell>
          <cell r="G16">
            <v>1219850</v>
          </cell>
          <cell r="H16">
            <v>1188440</v>
          </cell>
          <cell r="I16">
            <v>1282700</v>
          </cell>
          <cell r="J16">
            <v>1282130</v>
          </cell>
          <cell r="K16">
            <v>1119830</v>
          </cell>
          <cell r="L16">
            <v>1084570</v>
          </cell>
          <cell r="M16">
            <v>1136912</v>
          </cell>
          <cell r="N16">
            <v>355200</v>
          </cell>
          <cell r="O16">
            <v>710410</v>
          </cell>
          <cell r="P16">
            <v>100000</v>
          </cell>
          <cell r="Q16">
            <v>358920</v>
          </cell>
          <cell r="R16">
            <v>1076760</v>
          </cell>
          <cell r="S16">
            <v>2601290</v>
          </cell>
          <cell r="T16">
            <v>431072.5</v>
          </cell>
          <cell r="U16">
            <v>773253</v>
          </cell>
        </row>
        <row r="17">
          <cell r="B17" t="str">
            <v>후처리반</v>
          </cell>
          <cell r="C17" t="str">
            <v>SACW0013</v>
          </cell>
          <cell r="D17" t="str">
            <v>조원</v>
          </cell>
          <cell r="E17" t="str">
            <v>김옥희</v>
          </cell>
          <cell r="F17">
            <v>33941</v>
          </cell>
          <cell r="G17">
            <v>1246100</v>
          </cell>
          <cell r="H17">
            <v>1153750</v>
          </cell>
          <cell r="I17">
            <v>1274360</v>
          </cell>
          <cell r="J17">
            <v>1156740</v>
          </cell>
          <cell r="K17">
            <v>1054680</v>
          </cell>
          <cell r="L17">
            <v>1016500</v>
          </cell>
          <cell r="M17">
            <v>1052583</v>
          </cell>
          <cell r="N17">
            <v>355200</v>
          </cell>
          <cell r="O17">
            <v>710410</v>
          </cell>
          <cell r="P17">
            <v>100000</v>
          </cell>
          <cell r="Q17">
            <v>358920</v>
          </cell>
          <cell r="R17">
            <v>1076760</v>
          </cell>
          <cell r="S17">
            <v>2601290</v>
          </cell>
          <cell r="T17">
            <v>431072.5</v>
          </cell>
          <cell r="U17">
            <v>731666</v>
          </cell>
        </row>
        <row r="18">
          <cell r="B18" t="str">
            <v>후처리반</v>
          </cell>
          <cell r="C18" t="str">
            <v>SACW0019</v>
          </cell>
          <cell r="D18" t="str">
            <v>조원</v>
          </cell>
          <cell r="E18" t="str">
            <v>이은정</v>
          </cell>
          <cell r="F18">
            <v>34835</v>
          </cell>
          <cell r="G18">
            <v>1071090</v>
          </cell>
          <cell r="H18">
            <v>1144360</v>
          </cell>
          <cell r="I18">
            <v>1146460</v>
          </cell>
          <cell r="J18">
            <v>1152070</v>
          </cell>
          <cell r="K18">
            <v>1057230</v>
          </cell>
          <cell r="L18">
            <v>1024000</v>
          </cell>
          <cell r="M18">
            <v>1054337</v>
          </cell>
          <cell r="N18">
            <v>326780</v>
          </cell>
          <cell r="O18">
            <v>653560</v>
          </cell>
          <cell r="P18">
            <v>100000</v>
          </cell>
          <cell r="Q18">
            <v>326780</v>
          </cell>
          <cell r="R18">
            <v>980340</v>
          </cell>
          <cell r="S18">
            <v>2387460</v>
          </cell>
          <cell r="T18">
            <v>397910</v>
          </cell>
          <cell r="U18">
            <v>716177</v>
          </cell>
        </row>
        <row r="19">
          <cell r="B19" t="str">
            <v>소결반</v>
          </cell>
          <cell r="C19" t="str">
            <v>SACM0069</v>
          </cell>
          <cell r="D19" t="str">
            <v>조장</v>
          </cell>
          <cell r="E19" t="str">
            <v>김진식</v>
          </cell>
          <cell r="F19">
            <v>33900</v>
          </cell>
          <cell r="G19">
            <v>1675040</v>
          </cell>
          <cell r="H19">
            <v>1673000</v>
          </cell>
          <cell r="I19">
            <v>1601450</v>
          </cell>
          <cell r="J19">
            <v>2009960</v>
          </cell>
          <cell r="K19">
            <v>1694290</v>
          </cell>
          <cell r="L19">
            <v>1590570</v>
          </cell>
          <cell r="M19">
            <v>1726572</v>
          </cell>
          <cell r="N19">
            <v>428780</v>
          </cell>
          <cell r="O19">
            <v>857560</v>
          </cell>
          <cell r="P19">
            <v>100000</v>
          </cell>
          <cell r="Q19">
            <v>432500</v>
          </cell>
          <cell r="R19">
            <v>1297500</v>
          </cell>
          <cell r="S19">
            <v>3116340</v>
          </cell>
          <cell r="T19">
            <v>516909.99999999994</v>
          </cell>
          <cell r="U19">
            <v>1106375</v>
          </cell>
        </row>
        <row r="20">
          <cell r="B20" t="str">
            <v>소결반</v>
          </cell>
          <cell r="C20" t="str">
            <v>SACM0125</v>
          </cell>
          <cell r="D20" t="str">
            <v>조장</v>
          </cell>
          <cell r="E20" t="str">
            <v>배성환</v>
          </cell>
          <cell r="F20">
            <v>31926</v>
          </cell>
          <cell r="G20">
            <v>2342960</v>
          </cell>
          <cell r="H20">
            <v>2321490</v>
          </cell>
          <cell r="I20">
            <v>2600510</v>
          </cell>
          <cell r="J20">
            <v>2589330</v>
          </cell>
          <cell r="K20">
            <v>2219850</v>
          </cell>
          <cell r="L20">
            <v>2192400</v>
          </cell>
          <cell r="M20">
            <v>2283124</v>
          </cell>
          <cell r="N20">
            <v>529190</v>
          </cell>
          <cell r="O20">
            <v>1058380</v>
          </cell>
          <cell r="P20">
            <v>100000</v>
          </cell>
          <cell r="Q20">
            <v>529190</v>
          </cell>
          <cell r="R20">
            <v>1587570</v>
          </cell>
          <cell r="S20">
            <v>3804330</v>
          </cell>
          <cell r="T20">
            <v>634055</v>
          </cell>
          <cell r="U20">
            <v>1438609</v>
          </cell>
        </row>
        <row r="21">
          <cell r="B21" t="str">
            <v>소결반</v>
          </cell>
          <cell r="C21" t="str">
            <v>SACM0177</v>
          </cell>
          <cell r="D21" t="str">
            <v>조원</v>
          </cell>
          <cell r="E21" t="str">
            <v>김진욱</v>
          </cell>
          <cell r="F21">
            <v>34395</v>
          </cell>
          <cell r="G21">
            <v>1973260</v>
          </cell>
          <cell r="H21">
            <v>1575290</v>
          </cell>
          <cell r="I21">
            <v>1885800</v>
          </cell>
          <cell r="J21">
            <v>1955080</v>
          </cell>
          <cell r="K21">
            <v>1703440</v>
          </cell>
          <cell r="L21">
            <v>1562070</v>
          </cell>
          <cell r="M21">
            <v>1702366</v>
          </cell>
          <cell r="N21">
            <v>379910</v>
          </cell>
          <cell r="O21">
            <v>759810</v>
          </cell>
          <cell r="P21">
            <v>100000</v>
          </cell>
          <cell r="Q21">
            <v>379910</v>
          </cell>
          <cell r="R21">
            <v>1139720</v>
          </cell>
          <cell r="S21">
            <v>2759350</v>
          </cell>
          <cell r="T21">
            <v>459889.16666666669</v>
          </cell>
          <cell r="U21">
            <v>1066318</v>
          </cell>
        </row>
        <row r="22">
          <cell r="B22" t="str">
            <v>소결반</v>
          </cell>
          <cell r="C22" t="str">
            <v>SACM0261</v>
          </cell>
          <cell r="D22" t="str">
            <v>조원</v>
          </cell>
          <cell r="E22" t="str">
            <v>이희승</v>
          </cell>
          <cell r="F22">
            <v>35145</v>
          </cell>
          <cell r="G22">
            <v>1529680</v>
          </cell>
          <cell r="H22">
            <v>1351270</v>
          </cell>
          <cell r="I22">
            <v>1428120</v>
          </cell>
          <cell r="J22">
            <v>1556260</v>
          </cell>
          <cell r="K22">
            <v>1405130</v>
          </cell>
          <cell r="L22">
            <v>1353990</v>
          </cell>
          <cell r="M22">
            <v>1407189</v>
          </cell>
          <cell r="N22">
            <v>355470</v>
          </cell>
          <cell r="O22">
            <v>710940</v>
          </cell>
          <cell r="P22">
            <v>100000</v>
          </cell>
          <cell r="Q22">
            <v>355470</v>
          </cell>
          <cell r="R22">
            <v>1066410</v>
          </cell>
          <cell r="S22">
            <v>2588290</v>
          </cell>
          <cell r="T22">
            <v>431381.66666666669</v>
          </cell>
          <cell r="U22">
            <v>906692</v>
          </cell>
        </row>
        <row r="23">
          <cell r="B23" t="str">
            <v>소결반</v>
          </cell>
          <cell r="C23" t="str">
            <v>SACM0283</v>
          </cell>
          <cell r="D23" t="str">
            <v>조원</v>
          </cell>
          <cell r="E23" t="str">
            <v>김재종</v>
          </cell>
          <cell r="F23">
            <v>35649</v>
          </cell>
          <cell r="G23">
            <v>1070600</v>
          </cell>
          <cell r="H23">
            <v>966420</v>
          </cell>
          <cell r="I23">
            <v>1111210</v>
          </cell>
          <cell r="J23">
            <v>1064500</v>
          </cell>
          <cell r="K23">
            <v>1284370</v>
          </cell>
          <cell r="L23">
            <v>941730</v>
          </cell>
          <cell r="M23">
            <v>1073022</v>
          </cell>
          <cell r="N23">
            <v>346970</v>
          </cell>
          <cell r="O23">
            <v>693940</v>
          </cell>
          <cell r="P23">
            <v>100000</v>
          </cell>
          <cell r="Q23">
            <v>346970</v>
          </cell>
          <cell r="R23">
            <v>1040910</v>
          </cell>
          <cell r="S23">
            <v>2528790</v>
          </cell>
          <cell r="T23">
            <v>421465</v>
          </cell>
          <cell r="U23">
            <v>737007</v>
          </cell>
        </row>
        <row r="24">
          <cell r="B24" t="str">
            <v>성형반</v>
          </cell>
          <cell r="C24" t="str">
            <v>SACM0068</v>
          </cell>
          <cell r="D24" t="str">
            <v>조장</v>
          </cell>
          <cell r="E24" t="str">
            <v>정동식</v>
          </cell>
          <cell r="F24">
            <v>33900</v>
          </cell>
          <cell r="G24">
            <v>1524240</v>
          </cell>
          <cell r="H24">
            <v>1570820</v>
          </cell>
          <cell r="I24">
            <v>1886900</v>
          </cell>
          <cell r="J24">
            <v>1855460</v>
          </cell>
          <cell r="K24">
            <v>1805350</v>
          </cell>
          <cell r="L24">
            <v>1517690</v>
          </cell>
          <cell r="M24">
            <v>1688641</v>
          </cell>
          <cell r="N24">
            <v>429580</v>
          </cell>
          <cell r="O24">
            <v>859160</v>
          </cell>
          <cell r="P24">
            <v>100000</v>
          </cell>
          <cell r="Q24">
            <v>433300</v>
          </cell>
          <cell r="R24">
            <v>1299890</v>
          </cell>
          <cell r="S24">
            <v>3121930</v>
          </cell>
          <cell r="T24">
            <v>517843.33333333337</v>
          </cell>
          <cell r="U24">
            <v>1088129</v>
          </cell>
        </row>
        <row r="25">
          <cell r="B25" t="str">
            <v>성형반</v>
          </cell>
          <cell r="C25" t="str">
            <v>SACM0074</v>
          </cell>
          <cell r="D25" t="str">
            <v>조장</v>
          </cell>
          <cell r="E25" t="str">
            <v>김대용</v>
          </cell>
          <cell r="F25">
            <v>33906</v>
          </cell>
          <cell r="G25">
            <v>1603500</v>
          </cell>
          <cell r="H25">
            <v>1394570</v>
          </cell>
          <cell r="I25">
            <v>1524830</v>
          </cell>
          <cell r="J25">
            <v>1583430</v>
          </cell>
          <cell r="K25">
            <v>1327810</v>
          </cell>
          <cell r="L25">
            <v>1412080</v>
          </cell>
          <cell r="M25">
            <v>1409778</v>
          </cell>
          <cell r="N25">
            <v>430380</v>
          </cell>
          <cell r="O25">
            <v>860750</v>
          </cell>
          <cell r="P25">
            <v>100000</v>
          </cell>
          <cell r="Q25">
            <v>434090</v>
          </cell>
          <cell r="R25">
            <v>1302280</v>
          </cell>
          <cell r="S25">
            <v>3127500</v>
          </cell>
          <cell r="T25">
            <v>518770.83333333326</v>
          </cell>
          <cell r="U25">
            <v>951065</v>
          </cell>
        </row>
        <row r="26">
          <cell r="B26" t="str">
            <v>성형반</v>
          </cell>
          <cell r="C26" t="str">
            <v>SACM0081</v>
          </cell>
          <cell r="D26" t="str">
            <v>조원</v>
          </cell>
          <cell r="E26" t="str">
            <v>이성수</v>
          </cell>
          <cell r="F26">
            <v>33918</v>
          </cell>
          <cell r="G26">
            <v>1386870</v>
          </cell>
          <cell r="H26">
            <v>1395730</v>
          </cell>
          <cell r="I26">
            <v>1728580</v>
          </cell>
          <cell r="J26">
            <v>1976490</v>
          </cell>
          <cell r="K26">
            <v>1862700</v>
          </cell>
          <cell r="L26">
            <v>1576110</v>
          </cell>
          <cell r="M26">
            <v>1765859</v>
          </cell>
          <cell r="N26">
            <v>420550</v>
          </cell>
          <cell r="O26">
            <v>841090</v>
          </cell>
          <cell r="P26">
            <v>100000</v>
          </cell>
          <cell r="Q26">
            <v>424270</v>
          </cell>
          <cell r="R26">
            <v>1272800</v>
          </cell>
          <cell r="S26">
            <v>3058710</v>
          </cell>
          <cell r="T26">
            <v>507302.49999999994</v>
          </cell>
          <cell r="U26">
            <v>1121011</v>
          </cell>
        </row>
        <row r="27">
          <cell r="B27" t="str">
            <v>성형반</v>
          </cell>
          <cell r="C27" t="str">
            <v>SACM0108</v>
          </cell>
          <cell r="D27" t="str">
            <v>조장</v>
          </cell>
          <cell r="E27" t="str">
            <v>김두성</v>
          </cell>
          <cell r="F27">
            <v>30821</v>
          </cell>
          <cell r="G27">
            <v>2211190</v>
          </cell>
          <cell r="H27">
            <v>2145390</v>
          </cell>
          <cell r="I27">
            <v>2059610</v>
          </cell>
          <cell r="J27">
            <v>2451850</v>
          </cell>
          <cell r="K27">
            <v>2538440</v>
          </cell>
          <cell r="L27">
            <v>2207240</v>
          </cell>
          <cell r="M27">
            <v>2347021</v>
          </cell>
          <cell r="N27">
            <v>558410</v>
          </cell>
          <cell r="O27">
            <v>1116810</v>
          </cell>
          <cell r="P27">
            <v>100000</v>
          </cell>
          <cell r="Q27">
            <v>558410</v>
          </cell>
          <cell r="R27">
            <v>1675220</v>
          </cell>
          <cell r="S27">
            <v>4008850</v>
          </cell>
          <cell r="T27">
            <v>668139.16666666663</v>
          </cell>
          <cell r="U27">
            <v>1486928</v>
          </cell>
        </row>
        <row r="28">
          <cell r="B28" t="str">
            <v>성형반</v>
          </cell>
          <cell r="C28" t="str">
            <v>SACM0117</v>
          </cell>
          <cell r="D28" t="str">
            <v>조장</v>
          </cell>
          <cell r="E28" t="str">
            <v>송채섭</v>
          </cell>
          <cell r="F28">
            <v>31809</v>
          </cell>
          <cell r="G28">
            <v>2066590</v>
          </cell>
          <cell r="H28">
            <v>1889140</v>
          </cell>
          <cell r="I28">
            <v>1989300</v>
          </cell>
          <cell r="J28">
            <v>2248240</v>
          </cell>
          <cell r="K28">
            <v>2119600</v>
          </cell>
          <cell r="L28">
            <v>1708670</v>
          </cell>
          <cell r="M28">
            <v>1981471</v>
          </cell>
          <cell r="N28">
            <v>535560</v>
          </cell>
          <cell r="O28">
            <v>1071130</v>
          </cell>
          <cell r="P28">
            <v>100000</v>
          </cell>
          <cell r="Q28">
            <v>535560</v>
          </cell>
          <cell r="R28">
            <v>1606690</v>
          </cell>
          <cell r="S28">
            <v>3848940</v>
          </cell>
          <cell r="T28">
            <v>641492.5</v>
          </cell>
          <cell r="U28">
            <v>1293516</v>
          </cell>
        </row>
        <row r="29">
          <cell r="B29" t="str">
            <v>성형반</v>
          </cell>
          <cell r="C29" t="str">
            <v>SACM0118</v>
          </cell>
          <cell r="D29" t="str">
            <v>조장</v>
          </cell>
          <cell r="E29" t="str">
            <v>박성환</v>
          </cell>
          <cell r="F29">
            <v>31926</v>
          </cell>
          <cell r="G29">
            <v>1974120</v>
          </cell>
          <cell r="H29">
            <v>1864180</v>
          </cell>
          <cell r="I29">
            <v>1975580</v>
          </cell>
          <cell r="J29">
            <v>1938620</v>
          </cell>
          <cell r="K29">
            <v>2163740</v>
          </cell>
          <cell r="L29">
            <v>1994340</v>
          </cell>
          <cell r="M29">
            <v>1988054</v>
          </cell>
          <cell r="N29">
            <v>537950</v>
          </cell>
          <cell r="O29">
            <v>1075910</v>
          </cell>
          <cell r="P29">
            <v>100000</v>
          </cell>
          <cell r="Q29">
            <v>537950</v>
          </cell>
          <cell r="R29">
            <v>1613860</v>
          </cell>
          <cell r="S29">
            <v>3865670</v>
          </cell>
          <cell r="T29">
            <v>644280.83333333337</v>
          </cell>
          <cell r="U29">
            <v>1298138</v>
          </cell>
        </row>
        <row r="30">
          <cell r="B30" t="str">
            <v>성형반</v>
          </cell>
          <cell r="C30" t="str">
            <v>SACM0119</v>
          </cell>
          <cell r="D30" t="str">
            <v>조장</v>
          </cell>
          <cell r="E30" t="str">
            <v>권경원</v>
          </cell>
          <cell r="F30">
            <v>31820</v>
          </cell>
          <cell r="G30">
            <v>2083440</v>
          </cell>
          <cell r="H30">
            <v>1830230</v>
          </cell>
          <cell r="I30">
            <v>1764320</v>
          </cell>
          <cell r="J30">
            <v>2097470</v>
          </cell>
          <cell r="K30">
            <v>1953600</v>
          </cell>
          <cell r="L30">
            <v>1935240</v>
          </cell>
          <cell r="M30">
            <v>1952058</v>
          </cell>
          <cell r="N30">
            <v>524410</v>
          </cell>
          <cell r="O30">
            <v>1048810</v>
          </cell>
          <cell r="P30">
            <v>100000</v>
          </cell>
          <cell r="Q30">
            <v>524410</v>
          </cell>
          <cell r="R30">
            <v>1573220</v>
          </cell>
          <cell r="S30">
            <v>3770850</v>
          </cell>
          <cell r="T30">
            <v>628472.5</v>
          </cell>
          <cell r="U30">
            <v>1272590</v>
          </cell>
        </row>
        <row r="31">
          <cell r="B31" t="str">
            <v>성형반</v>
          </cell>
          <cell r="C31" t="str">
            <v>SACM0135</v>
          </cell>
          <cell r="D31" t="str">
            <v>조원</v>
          </cell>
          <cell r="E31" t="str">
            <v>채수용</v>
          </cell>
          <cell r="F31">
            <v>34032</v>
          </cell>
          <cell r="G31">
            <v>1546180</v>
          </cell>
          <cell r="H31">
            <v>1357130</v>
          </cell>
          <cell r="I31">
            <v>1517020</v>
          </cell>
          <cell r="J31">
            <v>1479820</v>
          </cell>
          <cell r="K31">
            <v>1541040</v>
          </cell>
          <cell r="L31">
            <v>1378940</v>
          </cell>
          <cell r="M31">
            <v>1434717</v>
          </cell>
          <cell r="N31">
            <v>404610</v>
          </cell>
          <cell r="O31">
            <v>809220</v>
          </cell>
          <cell r="P31">
            <v>100000</v>
          </cell>
          <cell r="Q31">
            <v>404610</v>
          </cell>
          <cell r="R31">
            <v>1213830</v>
          </cell>
          <cell r="S31">
            <v>2932270</v>
          </cell>
          <cell r="T31">
            <v>488711.66666666669</v>
          </cell>
          <cell r="U31">
            <v>948540</v>
          </cell>
        </row>
        <row r="32">
          <cell r="B32" t="str">
            <v>성형반</v>
          </cell>
          <cell r="C32" t="str">
            <v>SACM0137</v>
          </cell>
          <cell r="D32" t="str">
            <v>조원</v>
          </cell>
          <cell r="E32" t="str">
            <v>임철수</v>
          </cell>
          <cell r="F32">
            <v>34034</v>
          </cell>
          <cell r="G32">
            <v>1061540</v>
          </cell>
          <cell r="H32">
            <v>1055510</v>
          </cell>
          <cell r="I32">
            <v>1321620</v>
          </cell>
          <cell r="J32">
            <v>1227310</v>
          </cell>
          <cell r="K32">
            <v>1163780</v>
          </cell>
          <cell r="L32">
            <v>1093910</v>
          </cell>
          <cell r="M32">
            <v>1136413</v>
          </cell>
          <cell r="N32">
            <v>374330</v>
          </cell>
          <cell r="O32">
            <v>748660</v>
          </cell>
          <cell r="P32">
            <v>100000</v>
          </cell>
          <cell r="Q32">
            <v>374330</v>
          </cell>
          <cell r="R32">
            <v>1122990</v>
          </cell>
          <cell r="S32">
            <v>2720310</v>
          </cell>
          <cell r="T32">
            <v>453385</v>
          </cell>
          <cell r="U32">
            <v>784010</v>
          </cell>
        </row>
        <row r="33">
          <cell r="B33" t="str">
            <v>성형반</v>
          </cell>
          <cell r="C33" t="str">
            <v>SACM0147</v>
          </cell>
          <cell r="D33" t="str">
            <v>조원</v>
          </cell>
          <cell r="E33" t="str">
            <v>문충헌</v>
          </cell>
          <cell r="F33">
            <v>34121</v>
          </cell>
          <cell r="G33">
            <v>1378740</v>
          </cell>
          <cell r="H33">
            <v>1443010</v>
          </cell>
          <cell r="I33">
            <v>1427350</v>
          </cell>
          <cell r="J33">
            <v>1463440</v>
          </cell>
          <cell r="K33">
            <v>1458430</v>
          </cell>
          <cell r="L33">
            <v>1284940</v>
          </cell>
          <cell r="M33">
            <v>1371786</v>
          </cell>
          <cell r="N33">
            <v>397440</v>
          </cell>
          <cell r="O33">
            <v>794880</v>
          </cell>
          <cell r="P33">
            <v>100000</v>
          </cell>
          <cell r="Q33">
            <v>397440</v>
          </cell>
          <cell r="R33">
            <v>1192320</v>
          </cell>
          <cell r="S33">
            <v>2882080</v>
          </cell>
          <cell r="T33">
            <v>480346.66666666663</v>
          </cell>
          <cell r="U33">
            <v>913380</v>
          </cell>
        </row>
        <row r="34">
          <cell r="B34" t="str">
            <v>성형반</v>
          </cell>
          <cell r="C34" t="str">
            <v>SACM0174</v>
          </cell>
          <cell r="D34" t="str">
            <v>조원</v>
          </cell>
          <cell r="E34" t="str">
            <v>정헌영</v>
          </cell>
          <cell r="F34">
            <v>34379</v>
          </cell>
          <cell r="G34">
            <v>1433740</v>
          </cell>
          <cell r="H34">
            <v>1294990</v>
          </cell>
          <cell r="I34">
            <v>1209720</v>
          </cell>
          <cell r="J34">
            <v>1416810</v>
          </cell>
          <cell r="K34">
            <v>1386890</v>
          </cell>
          <cell r="L34">
            <v>1462370</v>
          </cell>
          <cell r="M34">
            <v>1391110</v>
          </cell>
          <cell r="N34">
            <v>375920</v>
          </cell>
          <cell r="O34">
            <v>751840</v>
          </cell>
          <cell r="P34">
            <v>100000</v>
          </cell>
          <cell r="Q34">
            <v>375920</v>
          </cell>
          <cell r="R34">
            <v>1127760</v>
          </cell>
          <cell r="S34">
            <v>2731440</v>
          </cell>
          <cell r="T34">
            <v>455240</v>
          </cell>
          <cell r="U34">
            <v>910529</v>
          </cell>
        </row>
        <row r="35">
          <cell r="B35" t="str">
            <v>성형반</v>
          </cell>
          <cell r="C35" t="str">
            <v>SACM0228</v>
          </cell>
          <cell r="D35" t="str">
            <v>조원</v>
          </cell>
          <cell r="E35" t="str">
            <v>전병문</v>
          </cell>
          <cell r="F35">
            <v>34845</v>
          </cell>
          <cell r="G35">
            <v>1369150</v>
          </cell>
          <cell r="H35">
            <v>1239030</v>
          </cell>
          <cell r="I35">
            <v>1489190</v>
          </cell>
          <cell r="J35">
            <v>1300620</v>
          </cell>
          <cell r="K35">
            <v>1194400</v>
          </cell>
          <cell r="L35">
            <v>1251030</v>
          </cell>
          <cell r="M35">
            <v>1221538</v>
          </cell>
          <cell r="N35">
            <v>366630</v>
          </cell>
          <cell r="O35">
            <v>733250</v>
          </cell>
          <cell r="P35">
            <v>100000</v>
          </cell>
          <cell r="Q35">
            <v>370610</v>
          </cell>
          <cell r="R35">
            <v>1111830</v>
          </cell>
          <cell r="S35">
            <v>2682320</v>
          </cell>
          <cell r="T35">
            <v>444395.83333333337</v>
          </cell>
          <cell r="U35">
            <v>821556</v>
          </cell>
        </row>
        <row r="36">
          <cell r="B36" t="str">
            <v>성형반</v>
          </cell>
          <cell r="C36" t="str">
            <v>SACM0248</v>
          </cell>
          <cell r="D36" t="str">
            <v>조원</v>
          </cell>
          <cell r="E36" t="str">
            <v>심하섭</v>
          </cell>
          <cell r="F36">
            <v>35047</v>
          </cell>
          <cell r="G36">
            <v>1262900</v>
          </cell>
          <cell r="H36">
            <v>1307780</v>
          </cell>
          <cell r="I36">
            <v>1478350</v>
          </cell>
          <cell r="J36">
            <v>1532790</v>
          </cell>
          <cell r="K36">
            <v>1414110</v>
          </cell>
          <cell r="L36">
            <v>1308900</v>
          </cell>
          <cell r="M36">
            <v>1387761</v>
          </cell>
          <cell r="N36">
            <v>363440</v>
          </cell>
          <cell r="O36">
            <v>726880</v>
          </cell>
          <cell r="P36">
            <v>100000</v>
          </cell>
          <cell r="Q36">
            <v>363440</v>
          </cell>
          <cell r="R36">
            <v>1090320</v>
          </cell>
          <cell r="S36">
            <v>2644080</v>
          </cell>
          <cell r="T36">
            <v>440680</v>
          </cell>
          <cell r="U36">
            <v>901697</v>
          </cell>
        </row>
        <row r="37">
          <cell r="B37" t="str">
            <v>성형반</v>
          </cell>
          <cell r="C37" t="str">
            <v>SACM0252</v>
          </cell>
          <cell r="D37" t="str">
            <v>조원</v>
          </cell>
          <cell r="E37" t="str">
            <v>김범제</v>
          </cell>
          <cell r="F37">
            <v>35135</v>
          </cell>
          <cell r="G37">
            <v>1220390</v>
          </cell>
          <cell r="H37">
            <v>1192890</v>
          </cell>
          <cell r="I37">
            <v>1328140</v>
          </cell>
          <cell r="J37">
            <v>1232730</v>
          </cell>
          <cell r="K37">
            <v>1228430</v>
          </cell>
          <cell r="L37">
            <v>1178890</v>
          </cell>
          <cell r="M37">
            <v>1186973</v>
          </cell>
          <cell r="N37">
            <v>353080</v>
          </cell>
          <cell r="O37">
            <v>706160</v>
          </cell>
          <cell r="P37">
            <v>100000</v>
          </cell>
          <cell r="Q37">
            <v>353080</v>
          </cell>
          <cell r="R37">
            <v>1059240</v>
          </cell>
          <cell r="S37">
            <v>2571560</v>
          </cell>
          <cell r="T37">
            <v>428593.33333333337</v>
          </cell>
          <cell r="U37">
            <v>796718</v>
          </cell>
        </row>
        <row r="38">
          <cell r="B38" t="str">
            <v>성형반</v>
          </cell>
          <cell r="C38" t="str">
            <v>SACM0256</v>
          </cell>
          <cell r="D38" t="str">
            <v>조원</v>
          </cell>
          <cell r="E38" t="str">
            <v>이봉구#</v>
          </cell>
          <cell r="F38">
            <v>35142</v>
          </cell>
          <cell r="G38">
            <v>1366040</v>
          </cell>
          <cell r="H38">
            <v>1251260</v>
          </cell>
          <cell r="I38">
            <v>1331810</v>
          </cell>
          <cell r="J38">
            <v>1455730</v>
          </cell>
          <cell r="K38">
            <v>1273630</v>
          </cell>
          <cell r="L38">
            <v>1229140</v>
          </cell>
          <cell r="M38">
            <v>1290815</v>
          </cell>
          <cell r="N38">
            <v>355470</v>
          </cell>
          <cell r="O38">
            <v>710940</v>
          </cell>
          <cell r="P38">
            <v>100000</v>
          </cell>
          <cell r="Q38">
            <v>355470</v>
          </cell>
          <cell r="R38">
            <v>1066410</v>
          </cell>
          <cell r="S38">
            <v>2588290</v>
          </cell>
          <cell r="T38">
            <v>431381.66666666669</v>
          </cell>
          <cell r="U38">
            <v>849302</v>
          </cell>
        </row>
        <row r="39">
          <cell r="B39" t="str">
            <v>성형반</v>
          </cell>
          <cell r="C39" t="str">
            <v>SACM0265</v>
          </cell>
          <cell r="D39" t="str">
            <v>조원</v>
          </cell>
          <cell r="E39" t="str">
            <v>김선봉</v>
          </cell>
          <cell r="F39">
            <v>35158</v>
          </cell>
          <cell r="G39">
            <v>1149190</v>
          </cell>
          <cell r="H39">
            <v>1052810</v>
          </cell>
          <cell r="I39">
            <v>1498220</v>
          </cell>
          <cell r="J39">
            <v>1422980</v>
          </cell>
          <cell r="K39">
            <v>1249880</v>
          </cell>
          <cell r="L39">
            <v>1117660</v>
          </cell>
          <cell r="M39">
            <v>1236039</v>
          </cell>
          <cell r="N39">
            <v>352280</v>
          </cell>
          <cell r="O39">
            <v>704560</v>
          </cell>
          <cell r="P39">
            <v>100000</v>
          </cell>
          <cell r="Q39">
            <v>352280</v>
          </cell>
          <cell r="R39">
            <v>1056840</v>
          </cell>
          <cell r="S39">
            <v>2565960</v>
          </cell>
          <cell r="T39">
            <v>427660</v>
          </cell>
          <cell r="U39">
            <v>820454</v>
          </cell>
        </row>
        <row r="40">
          <cell r="B40" t="str">
            <v>성형반</v>
          </cell>
          <cell r="C40" t="str">
            <v>SACM0303</v>
          </cell>
          <cell r="D40" t="str">
            <v>조원</v>
          </cell>
          <cell r="E40" t="str">
            <v>김재동</v>
          </cell>
          <cell r="F40">
            <v>36362</v>
          </cell>
          <cell r="G40">
            <v>284690</v>
          </cell>
          <cell r="H40">
            <v>1073980</v>
          </cell>
          <cell r="I40">
            <v>1138810</v>
          </cell>
          <cell r="J40">
            <v>692990</v>
          </cell>
          <cell r="K40">
            <v>0</v>
          </cell>
          <cell r="L40">
            <v>0</v>
          </cell>
          <cell r="M40">
            <v>225975</v>
          </cell>
          <cell r="P40">
            <v>50000</v>
          </cell>
          <cell r="Q40">
            <v>0</v>
          </cell>
          <cell r="R40">
            <v>0</v>
          </cell>
          <cell r="S40">
            <v>50000</v>
          </cell>
          <cell r="T40">
            <v>8333.3333333333339</v>
          </cell>
          <cell r="U40">
            <v>0</v>
          </cell>
        </row>
        <row r="41">
          <cell r="B41" t="str">
            <v>성형반</v>
          </cell>
          <cell r="C41" t="str">
            <v>SACM0309</v>
          </cell>
          <cell r="D41" t="str">
            <v>조원</v>
          </cell>
          <cell r="E41" t="str">
            <v>곽노정</v>
          </cell>
          <cell r="F41">
            <v>36412</v>
          </cell>
          <cell r="I41">
            <v>778730</v>
          </cell>
          <cell r="J41">
            <v>1105210</v>
          </cell>
          <cell r="K41">
            <v>1058080</v>
          </cell>
          <cell r="L41">
            <v>938990</v>
          </cell>
          <cell r="M41">
            <v>1011613</v>
          </cell>
          <cell r="P41">
            <v>50000</v>
          </cell>
          <cell r="Q41">
            <v>119980</v>
          </cell>
          <cell r="R41">
            <v>539910</v>
          </cell>
          <cell r="S41">
            <v>709890</v>
          </cell>
          <cell r="T41">
            <v>8333.3333333333339</v>
          </cell>
          <cell r="U41">
            <v>0</v>
          </cell>
        </row>
        <row r="42">
          <cell r="B42" t="str">
            <v>성형반</v>
          </cell>
          <cell r="C42" t="str">
            <v>SACM0313</v>
          </cell>
          <cell r="D42" t="str">
            <v>조원</v>
          </cell>
          <cell r="E42" t="str">
            <v>김호남</v>
          </cell>
          <cell r="F42">
            <v>36423</v>
          </cell>
          <cell r="I42">
            <v>363570</v>
          </cell>
          <cell r="J42">
            <v>1154130</v>
          </cell>
          <cell r="K42">
            <v>1065480</v>
          </cell>
          <cell r="L42">
            <v>967530</v>
          </cell>
          <cell r="M42">
            <v>1039285</v>
          </cell>
          <cell r="Q42">
            <v>119980</v>
          </cell>
          <cell r="R42">
            <v>539910</v>
          </cell>
          <cell r="S42">
            <v>659890</v>
          </cell>
          <cell r="T42">
            <v>0</v>
          </cell>
          <cell r="U42">
            <v>0</v>
          </cell>
        </row>
        <row r="43">
          <cell r="B43" t="str">
            <v>가공반</v>
          </cell>
          <cell r="C43" t="str">
            <v>SACM0122</v>
          </cell>
          <cell r="D43" t="str">
            <v>조장</v>
          </cell>
          <cell r="E43" t="str">
            <v>이정오</v>
          </cell>
          <cell r="F43">
            <v>31840</v>
          </cell>
          <cell r="G43">
            <v>2052850</v>
          </cell>
          <cell r="H43">
            <v>1656510</v>
          </cell>
          <cell r="I43">
            <v>1811860</v>
          </cell>
          <cell r="J43">
            <v>1757610</v>
          </cell>
          <cell r="K43">
            <v>1766610</v>
          </cell>
          <cell r="L43">
            <v>1675240</v>
          </cell>
          <cell r="M43">
            <v>1695476</v>
          </cell>
          <cell r="N43">
            <v>539550</v>
          </cell>
          <cell r="O43">
            <v>1079090</v>
          </cell>
          <cell r="P43">
            <v>100000</v>
          </cell>
          <cell r="Q43">
            <v>539550</v>
          </cell>
          <cell r="R43">
            <v>1618640</v>
          </cell>
          <cell r="S43">
            <v>3876830</v>
          </cell>
          <cell r="T43">
            <v>646135.83333333326</v>
          </cell>
          <cell r="U43">
            <v>1154767</v>
          </cell>
        </row>
        <row r="44">
          <cell r="B44" t="str">
            <v>가공반</v>
          </cell>
          <cell r="C44" t="str">
            <v>SACM0127</v>
          </cell>
          <cell r="D44" t="str">
            <v>조원</v>
          </cell>
          <cell r="E44" t="str">
            <v>강현민</v>
          </cell>
          <cell r="F44">
            <v>33534</v>
          </cell>
          <cell r="G44">
            <v>1645730</v>
          </cell>
          <cell r="H44">
            <v>1709680</v>
          </cell>
          <cell r="I44">
            <v>1611950</v>
          </cell>
          <cell r="J44">
            <v>1455060</v>
          </cell>
          <cell r="K44">
            <v>1518490</v>
          </cell>
          <cell r="L44">
            <v>1368070</v>
          </cell>
          <cell r="M44">
            <v>1415746</v>
          </cell>
          <cell r="N44">
            <v>467300</v>
          </cell>
          <cell r="O44">
            <v>934590</v>
          </cell>
          <cell r="P44">
            <v>100000</v>
          </cell>
          <cell r="Q44">
            <v>467300</v>
          </cell>
          <cell r="R44">
            <v>1401890</v>
          </cell>
          <cell r="S44">
            <v>3371080</v>
          </cell>
          <cell r="T44">
            <v>561844.16666666674</v>
          </cell>
          <cell r="U44">
            <v>975250</v>
          </cell>
        </row>
        <row r="45">
          <cell r="B45" t="str">
            <v>가공반</v>
          </cell>
          <cell r="C45" t="str">
            <v>SACM0281</v>
          </cell>
          <cell r="D45" t="str">
            <v>조원</v>
          </cell>
          <cell r="E45" t="str">
            <v>이희준</v>
          </cell>
          <cell r="F45">
            <v>35648</v>
          </cell>
          <cell r="G45">
            <v>1091820</v>
          </cell>
          <cell r="H45">
            <v>964680</v>
          </cell>
          <cell r="I45">
            <v>1301940</v>
          </cell>
          <cell r="J45">
            <v>1252050</v>
          </cell>
          <cell r="K45">
            <v>1203900</v>
          </cell>
          <cell r="L45">
            <v>1176440</v>
          </cell>
          <cell r="M45">
            <v>1184475</v>
          </cell>
          <cell r="N45">
            <v>339800</v>
          </cell>
          <cell r="O45">
            <v>679590</v>
          </cell>
          <cell r="P45">
            <v>100000</v>
          </cell>
          <cell r="Q45">
            <v>339800</v>
          </cell>
          <cell r="R45">
            <v>1019390</v>
          </cell>
          <cell r="S45">
            <v>2478580</v>
          </cell>
          <cell r="T45">
            <v>413094.16666666663</v>
          </cell>
          <cell r="U45">
            <v>787842</v>
          </cell>
        </row>
        <row r="46">
          <cell r="B46" t="str">
            <v>소결소계</v>
          </cell>
          <cell r="G46">
            <v>56605160</v>
          </cell>
          <cell r="H46">
            <v>54544880</v>
          </cell>
          <cell r="I46">
            <v>59718870</v>
          </cell>
          <cell r="J46">
            <v>62047740</v>
          </cell>
          <cell r="K46">
            <v>59409440</v>
          </cell>
          <cell r="L46">
            <v>55769300</v>
          </cell>
          <cell r="M46">
            <v>57791244</v>
          </cell>
          <cell r="N46">
            <v>15528390</v>
          </cell>
          <cell r="O46">
            <v>31056760</v>
          </cell>
          <cell r="P46">
            <v>3800000</v>
          </cell>
          <cell r="Q46">
            <v>15811120</v>
          </cell>
          <cell r="R46">
            <v>48113900</v>
          </cell>
          <cell r="S46">
            <v>114310170</v>
          </cell>
          <cell r="T46">
            <v>18749776.666666668</v>
          </cell>
          <cell r="U46">
            <v>36205429</v>
          </cell>
        </row>
        <row r="47">
          <cell r="A47" t="str">
            <v>마찰</v>
          </cell>
          <cell r="B47" t="str">
            <v>후공정</v>
          </cell>
          <cell r="C47" t="str">
            <v>SACM0223</v>
          </cell>
          <cell r="D47" t="str">
            <v>조원</v>
          </cell>
          <cell r="E47" t="str">
            <v>정재진</v>
          </cell>
          <cell r="F47">
            <v>34821</v>
          </cell>
          <cell r="G47">
            <v>1238700</v>
          </cell>
          <cell r="H47">
            <v>1290800</v>
          </cell>
          <cell r="I47">
            <v>1245920</v>
          </cell>
          <cell r="J47">
            <v>1116090</v>
          </cell>
          <cell r="K47">
            <v>1101550</v>
          </cell>
          <cell r="L47">
            <v>904420</v>
          </cell>
          <cell r="M47">
            <v>1018063</v>
          </cell>
          <cell r="N47">
            <v>360250</v>
          </cell>
          <cell r="O47">
            <v>720500</v>
          </cell>
          <cell r="P47">
            <v>100000</v>
          </cell>
          <cell r="Q47">
            <v>360250</v>
          </cell>
          <cell r="R47">
            <v>1080750</v>
          </cell>
          <cell r="S47">
            <v>2621750</v>
          </cell>
          <cell r="T47">
            <v>436958.33333333331</v>
          </cell>
          <cell r="U47">
            <v>717545</v>
          </cell>
        </row>
        <row r="48">
          <cell r="B48" t="str">
            <v>후공정</v>
          </cell>
          <cell r="C48" t="str">
            <v>SACM0317</v>
          </cell>
          <cell r="D48" t="str">
            <v>조원</v>
          </cell>
          <cell r="E48" t="str">
            <v>송범호</v>
          </cell>
          <cell r="F48">
            <v>36465</v>
          </cell>
          <cell r="K48">
            <v>910490</v>
          </cell>
          <cell r="L48">
            <v>935430</v>
          </cell>
          <cell r="M48">
            <v>601930</v>
          </cell>
          <cell r="Q48">
            <v>0</v>
          </cell>
          <cell r="R48">
            <v>304740</v>
          </cell>
          <cell r="S48">
            <v>304740</v>
          </cell>
          <cell r="T48">
            <v>0</v>
          </cell>
          <cell r="U48">
            <v>0</v>
          </cell>
        </row>
        <row r="49">
          <cell r="B49" t="str">
            <v>후공정</v>
          </cell>
          <cell r="C49" t="str">
            <v>SACW0008</v>
          </cell>
          <cell r="D49" t="str">
            <v>반장보</v>
          </cell>
          <cell r="E49" t="str">
            <v>한경영</v>
          </cell>
          <cell r="F49">
            <v>33826</v>
          </cell>
          <cell r="G49">
            <v>1602730</v>
          </cell>
          <cell r="H49">
            <v>1349440</v>
          </cell>
          <cell r="I49">
            <v>1471500</v>
          </cell>
          <cell r="J49">
            <v>1406600</v>
          </cell>
          <cell r="K49">
            <v>1304860</v>
          </cell>
          <cell r="L49">
            <v>1221590</v>
          </cell>
          <cell r="M49">
            <v>1282516</v>
          </cell>
          <cell r="N49">
            <v>394520</v>
          </cell>
          <cell r="O49">
            <v>789030</v>
          </cell>
          <cell r="P49">
            <v>100000</v>
          </cell>
          <cell r="Q49">
            <v>394520</v>
          </cell>
          <cell r="R49">
            <v>1183550</v>
          </cell>
          <cell r="S49">
            <v>2861620</v>
          </cell>
          <cell r="T49">
            <v>476934.16666666663</v>
          </cell>
          <cell r="U49">
            <v>867674</v>
          </cell>
        </row>
        <row r="50">
          <cell r="B50" t="str">
            <v>후공정</v>
          </cell>
          <cell r="C50" t="str">
            <v>SACW0014</v>
          </cell>
          <cell r="D50" t="str">
            <v>조원</v>
          </cell>
          <cell r="E50" t="str">
            <v>최명숙</v>
          </cell>
          <cell r="F50">
            <v>34214</v>
          </cell>
          <cell r="G50">
            <v>1359620</v>
          </cell>
          <cell r="H50">
            <v>1259090</v>
          </cell>
          <cell r="I50">
            <v>1324600</v>
          </cell>
          <cell r="J50">
            <v>1309110</v>
          </cell>
          <cell r="K50">
            <v>1167130</v>
          </cell>
          <cell r="L50">
            <v>1115320</v>
          </cell>
          <cell r="M50">
            <v>1171161</v>
          </cell>
          <cell r="N50">
            <v>348030</v>
          </cell>
          <cell r="O50">
            <v>696060</v>
          </cell>
          <cell r="P50">
            <v>100000</v>
          </cell>
          <cell r="Q50">
            <v>348030</v>
          </cell>
          <cell r="R50">
            <v>1044090</v>
          </cell>
          <cell r="S50">
            <v>2536210</v>
          </cell>
          <cell r="T50">
            <v>422701.66666666663</v>
          </cell>
          <cell r="U50">
            <v>786014</v>
          </cell>
        </row>
        <row r="51">
          <cell r="B51" t="str">
            <v>후공정</v>
          </cell>
          <cell r="C51" t="str">
            <v>SACW0015</v>
          </cell>
          <cell r="D51" t="str">
            <v>조원</v>
          </cell>
          <cell r="E51" t="str">
            <v>장영란</v>
          </cell>
          <cell r="F51">
            <v>34394</v>
          </cell>
          <cell r="G51">
            <v>1122510</v>
          </cell>
          <cell r="H51">
            <v>1099320</v>
          </cell>
          <cell r="I51">
            <v>1111360</v>
          </cell>
          <cell r="J51">
            <v>1189290</v>
          </cell>
          <cell r="K51">
            <v>1068580</v>
          </cell>
          <cell r="L51">
            <v>1017870</v>
          </cell>
          <cell r="M51">
            <v>1068176</v>
          </cell>
          <cell r="N51">
            <v>340060</v>
          </cell>
          <cell r="O51">
            <v>680130</v>
          </cell>
          <cell r="P51">
            <v>100000</v>
          </cell>
          <cell r="Q51">
            <v>340060</v>
          </cell>
          <cell r="R51">
            <v>1020190</v>
          </cell>
          <cell r="S51">
            <v>2480440</v>
          </cell>
          <cell r="T51">
            <v>413409.16666666663</v>
          </cell>
          <cell r="U51">
            <v>730645</v>
          </cell>
        </row>
        <row r="52">
          <cell r="B52" t="str">
            <v>후공정</v>
          </cell>
          <cell r="C52" t="str">
            <v>SACW0016</v>
          </cell>
          <cell r="D52" t="str">
            <v>조원</v>
          </cell>
          <cell r="E52" t="str">
            <v>김동순</v>
          </cell>
          <cell r="F52">
            <v>34486</v>
          </cell>
          <cell r="G52">
            <v>1198460</v>
          </cell>
          <cell r="H52">
            <v>1132110</v>
          </cell>
          <cell r="I52">
            <v>1198490</v>
          </cell>
          <cell r="J52">
            <v>1218970</v>
          </cell>
          <cell r="K52">
            <v>1086710</v>
          </cell>
          <cell r="L52">
            <v>1077740</v>
          </cell>
          <cell r="M52">
            <v>1103289</v>
          </cell>
          <cell r="N52">
            <v>339270</v>
          </cell>
          <cell r="O52">
            <v>678530</v>
          </cell>
          <cell r="P52">
            <v>100000</v>
          </cell>
          <cell r="Q52">
            <v>339270</v>
          </cell>
          <cell r="R52">
            <v>1017800</v>
          </cell>
          <cell r="S52">
            <v>2474870</v>
          </cell>
          <cell r="T52">
            <v>412475.83333333337</v>
          </cell>
          <cell r="U52">
            <v>747500</v>
          </cell>
        </row>
        <row r="53">
          <cell r="B53" t="str">
            <v>후공정</v>
          </cell>
          <cell r="C53" t="str">
            <v>SACW0017</v>
          </cell>
          <cell r="D53" t="str">
            <v>조원</v>
          </cell>
          <cell r="E53" t="str">
            <v>김경숙</v>
          </cell>
          <cell r="F53">
            <v>34799</v>
          </cell>
          <cell r="G53">
            <v>1237360</v>
          </cell>
          <cell r="H53">
            <v>1184240</v>
          </cell>
          <cell r="I53">
            <v>1170100</v>
          </cell>
          <cell r="J53">
            <v>1192230</v>
          </cell>
          <cell r="K53">
            <v>1121040</v>
          </cell>
          <cell r="L53">
            <v>1009680</v>
          </cell>
          <cell r="M53">
            <v>1083571</v>
          </cell>
          <cell r="N53">
            <v>326780</v>
          </cell>
          <cell r="O53">
            <v>653560</v>
          </cell>
          <cell r="P53">
            <v>100000</v>
          </cell>
          <cell r="Q53">
            <v>326780</v>
          </cell>
          <cell r="R53">
            <v>980340</v>
          </cell>
          <cell r="S53">
            <v>2387460</v>
          </cell>
          <cell r="T53">
            <v>397910</v>
          </cell>
          <cell r="U53">
            <v>730593</v>
          </cell>
        </row>
        <row r="54">
          <cell r="B54" t="str">
            <v>후공정</v>
          </cell>
          <cell r="C54" t="str">
            <v>SACW0018</v>
          </cell>
          <cell r="D54" t="str">
            <v>조원</v>
          </cell>
          <cell r="E54" t="str">
            <v>강순이</v>
          </cell>
          <cell r="F54">
            <v>34835</v>
          </cell>
          <cell r="G54">
            <v>1022860</v>
          </cell>
          <cell r="H54">
            <v>1068980</v>
          </cell>
          <cell r="I54">
            <v>1060950</v>
          </cell>
          <cell r="J54">
            <v>1074400</v>
          </cell>
          <cell r="K54">
            <v>931270</v>
          </cell>
          <cell r="L54">
            <v>945190</v>
          </cell>
          <cell r="M54">
            <v>962237</v>
          </cell>
          <cell r="N54">
            <v>326780</v>
          </cell>
          <cell r="O54">
            <v>653560</v>
          </cell>
          <cell r="P54">
            <v>100000</v>
          </cell>
          <cell r="Q54">
            <v>326780</v>
          </cell>
          <cell r="R54">
            <v>980340</v>
          </cell>
          <cell r="S54">
            <v>2387460</v>
          </cell>
          <cell r="T54">
            <v>397910</v>
          </cell>
          <cell r="U54">
            <v>670757</v>
          </cell>
        </row>
        <row r="55">
          <cell r="B55" t="str">
            <v>후공정</v>
          </cell>
          <cell r="C55" t="str">
            <v>SACW0022</v>
          </cell>
          <cell r="D55" t="str">
            <v>조원</v>
          </cell>
          <cell r="E55" t="str">
            <v>이덕희</v>
          </cell>
          <cell r="F55">
            <v>34836</v>
          </cell>
          <cell r="G55">
            <v>1031950</v>
          </cell>
          <cell r="H55">
            <v>966930</v>
          </cell>
          <cell r="I55">
            <v>1074580</v>
          </cell>
          <cell r="J55">
            <v>1010120</v>
          </cell>
          <cell r="K55">
            <v>950000</v>
          </cell>
          <cell r="L55">
            <v>881140</v>
          </cell>
          <cell r="M55">
            <v>926498</v>
          </cell>
          <cell r="N55">
            <v>326780</v>
          </cell>
          <cell r="O55">
            <v>653560</v>
          </cell>
          <cell r="P55">
            <v>100000</v>
          </cell>
          <cell r="Q55">
            <v>326780</v>
          </cell>
          <cell r="R55">
            <v>980340</v>
          </cell>
          <cell r="S55">
            <v>2387460</v>
          </cell>
          <cell r="T55">
            <v>397910</v>
          </cell>
          <cell r="U55">
            <v>653133</v>
          </cell>
        </row>
        <row r="56">
          <cell r="B56" t="str">
            <v>후공정</v>
          </cell>
          <cell r="C56" t="str">
            <v>SACW0024</v>
          </cell>
          <cell r="D56" t="str">
            <v>조원</v>
          </cell>
          <cell r="E56" t="str">
            <v>이춘자</v>
          </cell>
          <cell r="F56">
            <v>34927</v>
          </cell>
          <cell r="G56">
            <v>1147110</v>
          </cell>
          <cell r="H56">
            <v>1096880</v>
          </cell>
          <cell r="I56">
            <v>1132100</v>
          </cell>
          <cell r="J56">
            <v>1113900</v>
          </cell>
          <cell r="K56">
            <v>1064940</v>
          </cell>
          <cell r="L56">
            <v>999670</v>
          </cell>
          <cell r="M56">
            <v>1036471</v>
          </cell>
          <cell r="N56">
            <v>326780</v>
          </cell>
          <cell r="O56">
            <v>653560</v>
          </cell>
          <cell r="P56">
            <v>100000</v>
          </cell>
          <cell r="Q56">
            <v>326780</v>
          </cell>
          <cell r="R56">
            <v>980340</v>
          </cell>
          <cell r="S56">
            <v>2387460</v>
          </cell>
          <cell r="T56">
            <v>397910</v>
          </cell>
          <cell r="U56">
            <v>707366</v>
          </cell>
        </row>
        <row r="57">
          <cell r="B57" t="str">
            <v>후공정</v>
          </cell>
          <cell r="C57" t="str">
            <v>SACW0025</v>
          </cell>
          <cell r="D57" t="str">
            <v>조원</v>
          </cell>
          <cell r="E57" t="str">
            <v>이봉구</v>
          </cell>
          <cell r="F57">
            <v>34998</v>
          </cell>
          <cell r="G57">
            <v>1054570</v>
          </cell>
          <cell r="H57">
            <v>1076050</v>
          </cell>
          <cell r="I57">
            <v>1157700</v>
          </cell>
          <cell r="J57">
            <v>1125490</v>
          </cell>
          <cell r="K57">
            <v>1038870</v>
          </cell>
          <cell r="L57">
            <v>1021060</v>
          </cell>
          <cell r="M57">
            <v>1038724</v>
          </cell>
          <cell r="N57">
            <v>326780</v>
          </cell>
          <cell r="O57">
            <v>653560</v>
          </cell>
          <cell r="P57">
            <v>100000</v>
          </cell>
          <cell r="Q57">
            <v>326780</v>
          </cell>
          <cell r="R57">
            <v>980340</v>
          </cell>
          <cell r="S57">
            <v>2387460</v>
          </cell>
          <cell r="T57">
            <v>397910</v>
          </cell>
          <cell r="U57">
            <v>708477</v>
          </cell>
        </row>
        <row r="58">
          <cell r="B58" t="str">
            <v>후공정</v>
          </cell>
          <cell r="C58" t="str">
            <v>SACW0026</v>
          </cell>
          <cell r="D58" t="str">
            <v>조원</v>
          </cell>
          <cell r="E58" t="str">
            <v>남금순</v>
          </cell>
          <cell r="F58">
            <v>36390</v>
          </cell>
          <cell r="H58">
            <v>451800</v>
          </cell>
          <cell r="I58">
            <v>962880</v>
          </cell>
          <cell r="J58">
            <v>970720</v>
          </cell>
          <cell r="K58">
            <v>912380</v>
          </cell>
          <cell r="L58">
            <v>929570</v>
          </cell>
          <cell r="M58">
            <v>917175</v>
          </cell>
          <cell r="P58">
            <v>100000</v>
          </cell>
          <cell r="Q58">
            <v>118600</v>
          </cell>
          <cell r="R58">
            <v>533700</v>
          </cell>
          <cell r="S58">
            <v>752300</v>
          </cell>
          <cell r="T58">
            <v>16666.666666666668</v>
          </cell>
          <cell r="U58">
            <v>0</v>
          </cell>
        </row>
        <row r="59">
          <cell r="B59" t="str">
            <v>후공정</v>
          </cell>
          <cell r="C59" t="str">
            <v>SACW0027</v>
          </cell>
          <cell r="D59" t="str">
            <v>조원</v>
          </cell>
          <cell r="E59" t="str">
            <v>김선좌</v>
          </cell>
          <cell r="F59">
            <v>36423</v>
          </cell>
          <cell r="I59">
            <v>384130</v>
          </cell>
          <cell r="J59">
            <v>920720</v>
          </cell>
          <cell r="K59">
            <v>858130</v>
          </cell>
          <cell r="L59">
            <v>762880</v>
          </cell>
          <cell r="M59">
            <v>828825</v>
          </cell>
          <cell r="Q59">
            <v>110100</v>
          </cell>
          <cell r="R59">
            <v>495450</v>
          </cell>
          <cell r="S59">
            <v>605550</v>
          </cell>
          <cell r="T59">
            <v>0</v>
          </cell>
          <cell r="U59">
            <v>0</v>
          </cell>
        </row>
        <row r="60">
          <cell r="B60" t="str">
            <v>전처리</v>
          </cell>
          <cell r="C60" t="str">
            <v>SACM0067</v>
          </cell>
          <cell r="D60" t="str">
            <v>조원</v>
          </cell>
          <cell r="E60" t="str">
            <v>김명호</v>
          </cell>
          <cell r="F60">
            <v>33898</v>
          </cell>
          <cell r="G60">
            <v>1111350</v>
          </cell>
          <cell r="H60">
            <v>1165470</v>
          </cell>
          <cell r="I60">
            <v>1190940</v>
          </cell>
          <cell r="J60">
            <v>1286600</v>
          </cell>
          <cell r="K60">
            <v>1106860</v>
          </cell>
          <cell r="L60">
            <v>1180400</v>
          </cell>
          <cell r="M60">
            <v>1165389</v>
          </cell>
          <cell r="N60">
            <v>377520</v>
          </cell>
          <cell r="O60">
            <v>755030</v>
          </cell>
          <cell r="P60">
            <v>100000</v>
          </cell>
          <cell r="Q60">
            <v>381240</v>
          </cell>
          <cell r="R60">
            <v>1143710</v>
          </cell>
          <cell r="S60">
            <v>2757500</v>
          </cell>
          <cell r="T60">
            <v>457100.83333333337</v>
          </cell>
          <cell r="U60">
            <v>800132</v>
          </cell>
        </row>
        <row r="61">
          <cell r="B61" t="str">
            <v>전처리</v>
          </cell>
          <cell r="C61" t="str">
            <v>SACM0194</v>
          </cell>
          <cell r="D61" t="str">
            <v>조원</v>
          </cell>
          <cell r="E61" t="str">
            <v>허종욱</v>
          </cell>
          <cell r="F61">
            <v>34562</v>
          </cell>
          <cell r="G61">
            <v>1193280</v>
          </cell>
          <cell r="H61">
            <v>1131900</v>
          </cell>
          <cell r="I61">
            <v>1138450</v>
          </cell>
          <cell r="J61">
            <v>1298940</v>
          </cell>
          <cell r="K61">
            <v>1159740</v>
          </cell>
          <cell r="L61">
            <v>1113440</v>
          </cell>
          <cell r="M61">
            <v>1164822</v>
          </cell>
          <cell r="N61">
            <v>379110</v>
          </cell>
          <cell r="O61">
            <v>758220</v>
          </cell>
          <cell r="P61">
            <v>100000</v>
          </cell>
          <cell r="Q61">
            <v>379110</v>
          </cell>
          <cell r="R61">
            <v>1137330</v>
          </cell>
          <cell r="S61">
            <v>2753770</v>
          </cell>
          <cell r="T61">
            <v>458961.66666666669</v>
          </cell>
          <cell r="U61">
            <v>800770</v>
          </cell>
        </row>
        <row r="62">
          <cell r="B62" t="str">
            <v>전처리</v>
          </cell>
          <cell r="C62" t="str">
            <v>SACM0247</v>
          </cell>
          <cell r="D62" t="str">
            <v>조원</v>
          </cell>
          <cell r="E62" t="str">
            <v>정만종</v>
          </cell>
          <cell r="F62">
            <v>35042</v>
          </cell>
          <cell r="G62">
            <v>1253480</v>
          </cell>
          <cell r="H62">
            <v>1237880</v>
          </cell>
          <cell r="I62">
            <v>1270610</v>
          </cell>
          <cell r="J62">
            <v>1292040</v>
          </cell>
          <cell r="K62">
            <v>1288850</v>
          </cell>
          <cell r="L62">
            <v>1210650</v>
          </cell>
          <cell r="M62">
            <v>1236372</v>
          </cell>
          <cell r="N62">
            <v>365030</v>
          </cell>
          <cell r="O62">
            <v>730060</v>
          </cell>
          <cell r="P62">
            <v>100000</v>
          </cell>
          <cell r="Q62">
            <v>365030</v>
          </cell>
          <cell r="R62">
            <v>1095090</v>
          </cell>
          <cell r="S62">
            <v>2655210</v>
          </cell>
          <cell r="T62">
            <v>442535</v>
          </cell>
          <cell r="U62">
            <v>827954</v>
          </cell>
        </row>
        <row r="63">
          <cell r="B63" t="str">
            <v>도장</v>
          </cell>
          <cell r="C63" t="str">
            <v>SACM0307</v>
          </cell>
          <cell r="D63" t="str">
            <v>조원</v>
          </cell>
          <cell r="E63" t="str">
            <v>이병학</v>
          </cell>
          <cell r="F63">
            <v>36388</v>
          </cell>
          <cell r="H63">
            <v>482180</v>
          </cell>
          <cell r="I63">
            <v>1082610</v>
          </cell>
          <cell r="J63">
            <v>1198110</v>
          </cell>
          <cell r="K63">
            <v>1045160</v>
          </cell>
          <cell r="L63">
            <v>1184020</v>
          </cell>
          <cell r="M63">
            <v>1117595</v>
          </cell>
          <cell r="P63">
            <v>50000</v>
          </cell>
          <cell r="Q63">
            <v>138360</v>
          </cell>
          <cell r="R63">
            <v>622640</v>
          </cell>
          <cell r="S63">
            <v>811000</v>
          </cell>
          <cell r="T63">
            <v>8333.3333333333339</v>
          </cell>
          <cell r="U63">
            <v>0</v>
          </cell>
        </row>
        <row r="64">
          <cell r="B64" t="str">
            <v>SHOT</v>
          </cell>
          <cell r="C64" t="str">
            <v>SACM0316</v>
          </cell>
          <cell r="D64" t="str">
            <v>조원</v>
          </cell>
          <cell r="E64" t="str">
            <v>박병호</v>
          </cell>
          <cell r="F64">
            <v>36465</v>
          </cell>
          <cell r="K64">
            <v>967920</v>
          </cell>
          <cell r="L64">
            <v>1017820</v>
          </cell>
          <cell r="M64">
            <v>647524</v>
          </cell>
          <cell r="Q64">
            <v>0</v>
          </cell>
          <cell r="R64">
            <v>310310</v>
          </cell>
          <cell r="S64">
            <v>310310</v>
          </cell>
          <cell r="T64">
            <v>0</v>
          </cell>
          <cell r="U64">
            <v>0</v>
          </cell>
        </row>
        <row r="65">
          <cell r="B65" t="str">
            <v>MIXER</v>
          </cell>
          <cell r="C65" t="str">
            <v>SACM0259</v>
          </cell>
          <cell r="D65" t="str">
            <v>조원</v>
          </cell>
          <cell r="E65" t="str">
            <v>조기봉</v>
          </cell>
          <cell r="F65">
            <v>35144</v>
          </cell>
          <cell r="G65">
            <v>1356290</v>
          </cell>
          <cell r="H65">
            <v>1324600</v>
          </cell>
          <cell r="I65">
            <v>1642800</v>
          </cell>
          <cell r="J65">
            <v>1381840</v>
          </cell>
          <cell r="K65">
            <v>1364910</v>
          </cell>
          <cell r="L65">
            <v>1209930</v>
          </cell>
          <cell r="M65">
            <v>1290222</v>
          </cell>
          <cell r="N65">
            <v>355470</v>
          </cell>
          <cell r="O65">
            <v>710940</v>
          </cell>
          <cell r="P65">
            <v>100000</v>
          </cell>
          <cell r="Q65">
            <v>355470</v>
          </cell>
          <cell r="R65">
            <v>1066410</v>
          </cell>
          <cell r="S65">
            <v>2588290</v>
          </cell>
          <cell r="T65">
            <v>431381.66666666669</v>
          </cell>
          <cell r="U65">
            <v>849010</v>
          </cell>
        </row>
        <row r="66">
          <cell r="B66" t="str">
            <v>MIXER</v>
          </cell>
          <cell r="C66" t="str">
            <v>SACM0291</v>
          </cell>
          <cell r="D66" t="str">
            <v>조원</v>
          </cell>
          <cell r="E66" t="str">
            <v>이성규#</v>
          </cell>
          <cell r="F66">
            <v>36104</v>
          </cell>
          <cell r="G66">
            <v>1343150</v>
          </cell>
          <cell r="H66">
            <v>1404850</v>
          </cell>
          <cell r="I66">
            <v>1401310</v>
          </cell>
          <cell r="J66">
            <v>1385570</v>
          </cell>
          <cell r="K66">
            <v>1362100</v>
          </cell>
          <cell r="L66">
            <v>1243140</v>
          </cell>
          <cell r="M66">
            <v>1301351</v>
          </cell>
          <cell r="N66">
            <v>321200</v>
          </cell>
          <cell r="O66">
            <v>642410</v>
          </cell>
          <cell r="P66">
            <v>100000</v>
          </cell>
          <cell r="Q66">
            <v>333420</v>
          </cell>
          <cell r="R66">
            <v>1000260</v>
          </cell>
          <cell r="S66">
            <v>2397290</v>
          </cell>
          <cell r="T66">
            <v>391405.83333333331</v>
          </cell>
          <cell r="U66">
            <v>834784</v>
          </cell>
        </row>
        <row r="67">
          <cell r="B67" t="str">
            <v>MIXER</v>
          </cell>
          <cell r="C67" t="str">
            <v>SACM0296</v>
          </cell>
          <cell r="D67" t="str">
            <v>조원</v>
          </cell>
          <cell r="E67" t="str">
            <v>윤장헌</v>
          </cell>
          <cell r="F67">
            <v>36269</v>
          </cell>
          <cell r="G67">
            <v>1251640</v>
          </cell>
          <cell r="H67">
            <v>1230360</v>
          </cell>
          <cell r="I67">
            <v>1328790</v>
          </cell>
          <cell r="J67">
            <v>1504850</v>
          </cell>
          <cell r="K67">
            <v>1301380</v>
          </cell>
          <cell r="L67">
            <v>1073450</v>
          </cell>
          <cell r="M67">
            <v>1265113</v>
          </cell>
          <cell r="N67">
            <v>135180</v>
          </cell>
          <cell r="O67">
            <v>270350</v>
          </cell>
          <cell r="P67">
            <v>100000</v>
          </cell>
          <cell r="Q67">
            <v>202760</v>
          </cell>
          <cell r="R67">
            <v>743470</v>
          </cell>
          <cell r="S67">
            <v>1451760</v>
          </cell>
          <cell r="T67">
            <v>174370.83333333334</v>
          </cell>
          <cell r="U67">
            <v>0</v>
          </cell>
        </row>
        <row r="68">
          <cell r="B68" t="str">
            <v>MIXER</v>
          </cell>
          <cell r="C68" t="str">
            <v>SACM0302</v>
          </cell>
          <cell r="D68" t="str">
            <v>조원</v>
          </cell>
          <cell r="E68" t="str">
            <v>한광민</v>
          </cell>
          <cell r="F68">
            <v>36325</v>
          </cell>
          <cell r="G68">
            <v>1048880</v>
          </cell>
          <cell r="H68">
            <v>1004730</v>
          </cell>
          <cell r="I68">
            <v>1164530</v>
          </cell>
          <cell r="J68">
            <v>1270930</v>
          </cell>
          <cell r="K68">
            <v>1084650</v>
          </cell>
          <cell r="L68">
            <v>1151920</v>
          </cell>
          <cell r="M68">
            <v>1143750</v>
          </cell>
          <cell r="O68">
            <v>237410</v>
          </cell>
          <cell r="P68">
            <v>100000</v>
          </cell>
          <cell r="Q68">
            <v>190810</v>
          </cell>
          <cell r="R68">
            <v>699640</v>
          </cell>
          <cell r="S68">
            <v>1227860</v>
          </cell>
          <cell r="T68">
            <v>155155.83333333334</v>
          </cell>
          <cell r="U68">
            <v>0</v>
          </cell>
        </row>
        <row r="69">
          <cell r="B69" t="str">
            <v>MIXER</v>
          </cell>
          <cell r="C69" t="str">
            <v>SACM0306</v>
          </cell>
          <cell r="D69" t="str">
            <v>조원</v>
          </cell>
          <cell r="E69" t="str">
            <v>이연덕</v>
          </cell>
          <cell r="F69">
            <v>36385</v>
          </cell>
          <cell r="H69">
            <v>701890</v>
          </cell>
          <cell r="I69">
            <v>1027010</v>
          </cell>
          <cell r="J69">
            <v>959310</v>
          </cell>
          <cell r="K69">
            <v>1058000</v>
          </cell>
          <cell r="L69">
            <v>1099230</v>
          </cell>
          <cell r="M69">
            <v>1016263</v>
          </cell>
          <cell r="P69">
            <v>50000</v>
          </cell>
          <cell r="Q69">
            <v>128480</v>
          </cell>
          <cell r="R69">
            <v>578160</v>
          </cell>
          <cell r="S69">
            <v>756640</v>
          </cell>
          <cell r="T69">
            <v>8333.3333333333339</v>
          </cell>
          <cell r="U69">
            <v>0</v>
          </cell>
        </row>
        <row r="70">
          <cell r="B70" t="str">
            <v>DP  PRESS</v>
          </cell>
          <cell r="C70" t="str">
            <v>SACM0004</v>
          </cell>
          <cell r="D70" t="str">
            <v>반장보</v>
          </cell>
          <cell r="E70" t="str">
            <v>홍용권</v>
          </cell>
          <cell r="F70">
            <v>33350</v>
          </cell>
          <cell r="G70">
            <v>1673680</v>
          </cell>
          <cell r="H70">
            <v>1649360</v>
          </cell>
          <cell r="I70">
            <v>1491180</v>
          </cell>
          <cell r="J70">
            <v>1613040</v>
          </cell>
          <cell r="K70">
            <v>1632080</v>
          </cell>
          <cell r="L70">
            <v>1278830</v>
          </cell>
          <cell r="M70">
            <v>1475201</v>
          </cell>
          <cell r="N70">
            <v>445520</v>
          </cell>
          <cell r="O70">
            <v>891030</v>
          </cell>
          <cell r="P70">
            <v>100000</v>
          </cell>
          <cell r="Q70">
            <v>445520</v>
          </cell>
          <cell r="R70">
            <v>1336550</v>
          </cell>
          <cell r="S70">
            <v>3218620</v>
          </cell>
          <cell r="T70">
            <v>536434.16666666674</v>
          </cell>
          <cell r="U70">
            <v>992039</v>
          </cell>
        </row>
        <row r="71">
          <cell r="B71" t="str">
            <v>DP  PRESS</v>
          </cell>
          <cell r="C71" t="str">
            <v>SACM0184</v>
          </cell>
          <cell r="D71" t="str">
            <v>조장</v>
          </cell>
          <cell r="E71" t="str">
            <v>송상용</v>
          </cell>
          <cell r="F71">
            <v>34422</v>
          </cell>
          <cell r="G71">
            <v>1431250</v>
          </cell>
          <cell r="H71">
            <v>1285830</v>
          </cell>
          <cell r="I71">
            <v>1542550</v>
          </cell>
          <cell r="J71">
            <v>1623620</v>
          </cell>
          <cell r="K71">
            <v>1404090</v>
          </cell>
          <cell r="L71">
            <v>1304030</v>
          </cell>
          <cell r="M71">
            <v>1412524</v>
          </cell>
          <cell r="N71">
            <v>404880</v>
          </cell>
          <cell r="O71">
            <v>809750</v>
          </cell>
          <cell r="P71">
            <v>100000</v>
          </cell>
          <cell r="Q71">
            <v>404880</v>
          </cell>
          <cell r="R71">
            <v>1214630</v>
          </cell>
          <cell r="S71">
            <v>2934140</v>
          </cell>
          <cell r="T71">
            <v>489020.83333333337</v>
          </cell>
          <cell r="U71">
            <v>937748</v>
          </cell>
        </row>
        <row r="72">
          <cell r="B72" t="str">
            <v>DP  PRESS</v>
          </cell>
          <cell r="C72" t="str">
            <v>SACM0205</v>
          </cell>
          <cell r="D72" t="str">
            <v>조원</v>
          </cell>
          <cell r="E72" t="str">
            <v>김태일#</v>
          </cell>
          <cell r="F72">
            <v>34783</v>
          </cell>
          <cell r="G72">
            <v>1423760</v>
          </cell>
          <cell r="H72">
            <v>1286970</v>
          </cell>
          <cell r="I72">
            <v>1104820</v>
          </cell>
          <cell r="J72">
            <v>1410020</v>
          </cell>
          <cell r="K72">
            <v>1212380</v>
          </cell>
          <cell r="L72">
            <v>1144400</v>
          </cell>
          <cell r="M72">
            <v>1228304</v>
          </cell>
          <cell r="N72">
            <v>363440</v>
          </cell>
          <cell r="O72">
            <v>726880</v>
          </cell>
          <cell r="P72">
            <v>100000</v>
          </cell>
          <cell r="Q72">
            <v>363440</v>
          </cell>
          <cell r="R72">
            <v>1090320</v>
          </cell>
          <cell r="S72">
            <v>2644080</v>
          </cell>
          <cell r="T72">
            <v>440680</v>
          </cell>
          <cell r="U72">
            <v>823061</v>
          </cell>
        </row>
        <row r="73">
          <cell r="B73" t="str">
            <v>DP  PRESS</v>
          </cell>
          <cell r="C73" t="str">
            <v>SACM0226</v>
          </cell>
          <cell r="D73" t="str">
            <v>조원</v>
          </cell>
          <cell r="E73" t="str">
            <v>김용덕</v>
          </cell>
          <cell r="F73">
            <v>34828</v>
          </cell>
          <cell r="G73">
            <v>1287610</v>
          </cell>
          <cell r="H73">
            <v>1272400</v>
          </cell>
          <cell r="I73">
            <v>1250880</v>
          </cell>
          <cell r="J73">
            <v>1254090</v>
          </cell>
          <cell r="K73">
            <v>1106230</v>
          </cell>
          <cell r="L73">
            <v>1065190</v>
          </cell>
          <cell r="M73">
            <v>1117014</v>
          </cell>
          <cell r="N73">
            <v>370610</v>
          </cell>
          <cell r="O73">
            <v>741220</v>
          </cell>
          <cell r="P73">
            <v>100000</v>
          </cell>
          <cell r="Q73">
            <v>370610</v>
          </cell>
          <cell r="R73">
            <v>1111830</v>
          </cell>
          <cell r="S73">
            <v>2694270</v>
          </cell>
          <cell r="T73">
            <v>449045</v>
          </cell>
          <cell r="U73">
            <v>772303</v>
          </cell>
        </row>
        <row r="74">
          <cell r="B74" t="str">
            <v>DP  PRESS</v>
          </cell>
          <cell r="C74" t="str">
            <v>SACM0237</v>
          </cell>
          <cell r="D74" t="str">
            <v>조원</v>
          </cell>
          <cell r="E74" t="str">
            <v>김갑용</v>
          </cell>
          <cell r="F74">
            <v>34918</v>
          </cell>
          <cell r="G74">
            <v>1327500</v>
          </cell>
          <cell r="H74">
            <v>1214290</v>
          </cell>
          <cell r="I74">
            <v>1336770</v>
          </cell>
          <cell r="J74">
            <v>1466740</v>
          </cell>
          <cell r="K74">
            <v>1379700</v>
          </cell>
          <cell r="L74">
            <v>1196400</v>
          </cell>
          <cell r="M74">
            <v>1318317</v>
          </cell>
          <cell r="N74">
            <v>363440</v>
          </cell>
          <cell r="O74">
            <v>726880</v>
          </cell>
          <cell r="P74">
            <v>100000</v>
          </cell>
          <cell r="Q74">
            <v>363440</v>
          </cell>
          <cell r="R74">
            <v>1090320</v>
          </cell>
          <cell r="S74">
            <v>2644080</v>
          </cell>
          <cell r="T74">
            <v>440680</v>
          </cell>
          <cell r="U74">
            <v>867451</v>
          </cell>
        </row>
        <row r="75">
          <cell r="B75" t="str">
            <v>DP  PRESS</v>
          </cell>
          <cell r="C75" t="str">
            <v>SACM0279</v>
          </cell>
          <cell r="D75" t="str">
            <v>조원</v>
          </cell>
          <cell r="E75" t="str">
            <v>유선규</v>
          </cell>
          <cell r="F75">
            <v>35648</v>
          </cell>
          <cell r="G75">
            <v>1185640</v>
          </cell>
          <cell r="H75">
            <v>1097620</v>
          </cell>
          <cell r="I75">
            <v>1335720</v>
          </cell>
          <cell r="J75">
            <v>1223770</v>
          </cell>
          <cell r="K75">
            <v>1219940</v>
          </cell>
          <cell r="L75">
            <v>1119060</v>
          </cell>
          <cell r="M75">
            <v>1161773</v>
          </cell>
          <cell r="N75">
            <v>339800</v>
          </cell>
          <cell r="O75">
            <v>679590</v>
          </cell>
          <cell r="P75">
            <v>100000</v>
          </cell>
          <cell r="Q75">
            <v>339800</v>
          </cell>
          <cell r="R75">
            <v>1019390</v>
          </cell>
          <cell r="S75">
            <v>2478580</v>
          </cell>
          <cell r="T75">
            <v>413094.16666666663</v>
          </cell>
          <cell r="U75">
            <v>776647</v>
          </cell>
        </row>
        <row r="76">
          <cell r="B76" t="str">
            <v>DP  PRESS</v>
          </cell>
          <cell r="C76" t="str">
            <v>SACM0318</v>
          </cell>
          <cell r="D76" t="str">
            <v>조원</v>
          </cell>
          <cell r="E76" t="str">
            <v>이재일</v>
          </cell>
          <cell r="F76">
            <v>36465</v>
          </cell>
          <cell r="K76">
            <v>1027210</v>
          </cell>
          <cell r="L76">
            <v>869300</v>
          </cell>
          <cell r="M76">
            <v>618427</v>
          </cell>
          <cell r="Q76">
            <v>0</v>
          </cell>
          <cell r="R76">
            <v>297560</v>
          </cell>
          <cell r="S76">
            <v>297560</v>
          </cell>
          <cell r="T76">
            <v>0</v>
          </cell>
          <cell r="U76">
            <v>0</v>
          </cell>
        </row>
        <row r="77">
          <cell r="B77" t="str">
            <v>D/P 연마</v>
          </cell>
          <cell r="C77" t="str">
            <v>SACM0055</v>
          </cell>
          <cell r="D77" t="str">
            <v>조장</v>
          </cell>
          <cell r="E77" t="str">
            <v>오순선</v>
          </cell>
          <cell r="F77">
            <v>33878</v>
          </cell>
          <cell r="G77">
            <v>899790</v>
          </cell>
          <cell r="H77">
            <v>899790</v>
          </cell>
          <cell r="I77">
            <v>899790</v>
          </cell>
          <cell r="J77">
            <v>899790</v>
          </cell>
          <cell r="K77">
            <v>899790</v>
          </cell>
          <cell r="L77">
            <v>899790</v>
          </cell>
          <cell r="M77">
            <v>899790</v>
          </cell>
          <cell r="O77" t="str">
            <v>휴      직      자       1년  평균상여(98.5-99.4)</v>
          </cell>
          <cell r="S77">
            <v>0</v>
          </cell>
          <cell r="T77">
            <v>508025</v>
          </cell>
          <cell r="U77">
            <v>694265</v>
          </cell>
        </row>
        <row r="78">
          <cell r="B78" t="str">
            <v>D/P 연마</v>
          </cell>
          <cell r="C78" t="str">
            <v>SACM0140</v>
          </cell>
          <cell r="D78" t="str">
            <v>조원</v>
          </cell>
          <cell r="E78" t="str">
            <v>김종열</v>
          </cell>
          <cell r="F78">
            <v>34081</v>
          </cell>
          <cell r="G78">
            <v>1210770</v>
          </cell>
          <cell r="H78">
            <v>1364070</v>
          </cell>
          <cell r="I78">
            <v>1035560</v>
          </cell>
          <cell r="J78">
            <v>1371050</v>
          </cell>
          <cell r="K78">
            <v>1138150</v>
          </cell>
          <cell r="L78">
            <v>1138070</v>
          </cell>
          <cell r="M78">
            <v>1189327</v>
          </cell>
          <cell r="N78">
            <v>401420</v>
          </cell>
          <cell r="O78">
            <v>802840</v>
          </cell>
          <cell r="P78">
            <v>100000</v>
          </cell>
          <cell r="Q78">
            <v>401420</v>
          </cell>
          <cell r="R78">
            <v>1204260</v>
          </cell>
          <cell r="S78">
            <v>2909940</v>
          </cell>
          <cell r="T78">
            <v>484990</v>
          </cell>
          <cell r="U78">
            <v>825691</v>
          </cell>
        </row>
        <row r="79">
          <cell r="B79" t="str">
            <v>D/P 연마</v>
          </cell>
          <cell r="C79" t="str">
            <v>SACM0217</v>
          </cell>
          <cell r="D79" t="str">
            <v>조원</v>
          </cell>
          <cell r="E79" t="str">
            <v>채진군</v>
          </cell>
          <cell r="F79">
            <v>34803</v>
          </cell>
          <cell r="G79">
            <v>1174210</v>
          </cell>
          <cell r="H79">
            <v>1017130</v>
          </cell>
          <cell r="I79">
            <v>986250</v>
          </cell>
          <cell r="J79">
            <v>1143020</v>
          </cell>
          <cell r="K79">
            <v>1188880</v>
          </cell>
          <cell r="L79">
            <v>1039300</v>
          </cell>
          <cell r="M79">
            <v>1099304</v>
          </cell>
          <cell r="N79">
            <v>358660</v>
          </cell>
          <cell r="O79">
            <v>717310</v>
          </cell>
          <cell r="P79">
            <v>100000</v>
          </cell>
          <cell r="Q79">
            <v>358660</v>
          </cell>
          <cell r="R79">
            <v>1075970</v>
          </cell>
          <cell r="S79">
            <v>2610600</v>
          </cell>
          <cell r="T79">
            <v>435097.5</v>
          </cell>
          <cell r="U79">
            <v>756691</v>
          </cell>
        </row>
        <row r="80">
          <cell r="B80" t="str">
            <v>D/P 연마</v>
          </cell>
          <cell r="C80" t="str">
            <v>SACM0234</v>
          </cell>
          <cell r="D80" t="str">
            <v>조원</v>
          </cell>
          <cell r="E80" t="str">
            <v>김풍수</v>
          </cell>
          <cell r="F80">
            <v>34886</v>
          </cell>
          <cell r="G80">
            <v>1330330</v>
          </cell>
          <cell r="H80">
            <v>1203820</v>
          </cell>
          <cell r="I80">
            <v>1297050</v>
          </cell>
          <cell r="J80">
            <v>1372010</v>
          </cell>
          <cell r="K80">
            <v>1254970</v>
          </cell>
          <cell r="L80">
            <v>1224580</v>
          </cell>
          <cell r="M80">
            <v>1255943</v>
          </cell>
          <cell r="N80">
            <v>363440</v>
          </cell>
          <cell r="O80">
            <v>726880</v>
          </cell>
          <cell r="P80">
            <v>100000</v>
          </cell>
          <cell r="Q80">
            <v>363440</v>
          </cell>
          <cell r="R80">
            <v>1090320</v>
          </cell>
          <cell r="S80">
            <v>2644080</v>
          </cell>
          <cell r="T80">
            <v>440680</v>
          </cell>
          <cell r="U80">
            <v>836691</v>
          </cell>
        </row>
        <row r="81">
          <cell r="B81" t="str">
            <v>D/P 연마</v>
          </cell>
          <cell r="C81" t="str">
            <v>SACM0305</v>
          </cell>
          <cell r="D81" t="str">
            <v>조원</v>
          </cell>
          <cell r="E81" t="str">
            <v>김윤연</v>
          </cell>
          <cell r="F81">
            <v>36385</v>
          </cell>
          <cell r="H81">
            <v>517820</v>
          </cell>
          <cell r="I81">
            <v>794170</v>
          </cell>
          <cell r="J81">
            <v>1055890</v>
          </cell>
          <cell r="K81">
            <v>914290</v>
          </cell>
          <cell r="L81">
            <v>926140</v>
          </cell>
          <cell r="M81">
            <v>944452</v>
          </cell>
          <cell r="P81">
            <v>50000</v>
          </cell>
          <cell r="Q81">
            <v>127210</v>
          </cell>
          <cell r="R81">
            <v>572430</v>
          </cell>
          <cell r="S81">
            <v>749640</v>
          </cell>
          <cell r="T81">
            <v>8333.3333333333339</v>
          </cell>
          <cell r="U81">
            <v>0</v>
          </cell>
        </row>
        <row r="82">
          <cell r="B82" t="str">
            <v>BL PRESS</v>
          </cell>
          <cell r="C82" t="str">
            <v>SACM0092</v>
          </cell>
          <cell r="D82" t="str">
            <v>조장</v>
          </cell>
          <cell r="E82" t="str">
            <v>김영환</v>
          </cell>
          <cell r="F82">
            <v>33929</v>
          </cell>
          <cell r="G82">
            <v>1725090</v>
          </cell>
          <cell r="H82">
            <v>1353760</v>
          </cell>
          <cell r="I82">
            <v>1483590</v>
          </cell>
          <cell r="J82">
            <v>1726180</v>
          </cell>
          <cell r="K82">
            <v>1648100</v>
          </cell>
          <cell r="L82">
            <v>1499780</v>
          </cell>
          <cell r="M82">
            <v>1589367</v>
          </cell>
          <cell r="N82">
            <v>430380</v>
          </cell>
          <cell r="O82">
            <v>860750</v>
          </cell>
          <cell r="P82">
            <v>100000</v>
          </cell>
          <cell r="Q82">
            <v>434090</v>
          </cell>
          <cell r="R82">
            <v>1302280</v>
          </cell>
          <cell r="S82">
            <v>3127500</v>
          </cell>
          <cell r="T82">
            <v>518770.83333333326</v>
          </cell>
          <cell r="U82">
            <v>1039630</v>
          </cell>
        </row>
        <row r="83">
          <cell r="B83" t="str">
            <v>BL PRESS</v>
          </cell>
          <cell r="C83" t="str">
            <v>SACM0110</v>
          </cell>
          <cell r="D83" t="str">
            <v>반장보</v>
          </cell>
          <cell r="E83" t="str">
            <v>채수정</v>
          </cell>
          <cell r="F83">
            <v>28571</v>
          </cell>
          <cell r="G83">
            <v>2207940</v>
          </cell>
          <cell r="H83">
            <v>2354550</v>
          </cell>
          <cell r="I83">
            <v>2329230</v>
          </cell>
          <cell r="J83">
            <v>2264550</v>
          </cell>
          <cell r="K83">
            <v>2167980</v>
          </cell>
          <cell r="L83">
            <v>2000620</v>
          </cell>
          <cell r="M83">
            <v>2097766</v>
          </cell>
          <cell r="N83">
            <v>609410</v>
          </cell>
          <cell r="O83">
            <v>1218810</v>
          </cell>
          <cell r="P83">
            <v>100000</v>
          </cell>
          <cell r="Q83">
            <v>609410</v>
          </cell>
          <cell r="R83">
            <v>1828220</v>
          </cell>
          <cell r="S83">
            <v>4365850</v>
          </cell>
          <cell r="T83">
            <v>727639.16666666674</v>
          </cell>
          <cell r="U83">
            <v>1393350</v>
          </cell>
        </row>
        <row r="84">
          <cell r="B84" t="str">
            <v>BL PRESS</v>
          </cell>
          <cell r="C84" t="str">
            <v>SACM0186</v>
          </cell>
          <cell r="D84" t="str">
            <v>조원</v>
          </cell>
          <cell r="E84" t="str">
            <v>김동식</v>
          </cell>
          <cell r="F84">
            <v>34445</v>
          </cell>
          <cell r="G84">
            <v>1161700</v>
          </cell>
          <cell r="H84">
            <v>1059420</v>
          </cell>
          <cell r="I84">
            <v>1113140</v>
          </cell>
          <cell r="J84">
            <v>1192710</v>
          </cell>
          <cell r="K84">
            <v>1078660</v>
          </cell>
          <cell r="L84">
            <v>980970</v>
          </cell>
          <cell r="M84">
            <v>1060546</v>
          </cell>
          <cell r="N84">
            <v>377520</v>
          </cell>
          <cell r="O84">
            <v>755030</v>
          </cell>
          <cell r="P84">
            <v>100000</v>
          </cell>
          <cell r="Q84">
            <v>377520</v>
          </cell>
          <cell r="R84">
            <v>1132550</v>
          </cell>
          <cell r="S84">
            <v>2742620</v>
          </cell>
          <cell r="T84">
            <v>457100.83333333337</v>
          </cell>
          <cell r="U84">
            <v>748429</v>
          </cell>
        </row>
        <row r="85">
          <cell r="B85" t="str">
            <v>BL PRESS</v>
          </cell>
          <cell r="C85" t="str">
            <v>SACM0246</v>
          </cell>
          <cell r="D85" t="str">
            <v>조원</v>
          </cell>
          <cell r="E85" t="str">
            <v>황동찬</v>
          </cell>
          <cell r="F85">
            <v>35016</v>
          </cell>
          <cell r="G85">
            <v>1461540</v>
          </cell>
          <cell r="H85">
            <v>1376490</v>
          </cell>
          <cell r="I85">
            <v>1370300</v>
          </cell>
          <cell r="J85">
            <v>1567300</v>
          </cell>
          <cell r="K85">
            <v>1497070</v>
          </cell>
          <cell r="L85">
            <v>1393010</v>
          </cell>
          <cell r="M85">
            <v>1453493</v>
          </cell>
          <cell r="N85">
            <v>385750</v>
          </cell>
          <cell r="O85">
            <v>771500</v>
          </cell>
          <cell r="P85">
            <v>100000</v>
          </cell>
          <cell r="Q85">
            <v>385750</v>
          </cell>
          <cell r="R85">
            <v>1157250</v>
          </cell>
          <cell r="S85">
            <v>2800250</v>
          </cell>
          <cell r="T85">
            <v>466708.33333333337</v>
          </cell>
          <cell r="U85">
            <v>946949</v>
          </cell>
        </row>
        <row r="86">
          <cell r="B86" t="str">
            <v>BL PRESS</v>
          </cell>
          <cell r="C86" t="str">
            <v>SACM0311</v>
          </cell>
          <cell r="D86" t="str">
            <v>조원</v>
          </cell>
          <cell r="E86" t="str">
            <v>여운상</v>
          </cell>
          <cell r="F86">
            <v>36412</v>
          </cell>
          <cell r="I86">
            <v>721860</v>
          </cell>
          <cell r="J86">
            <v>1225620</v>
          </cell>
          <cell r="K86">
            <v>1056300</v>
          </cell>
          <cell r="L86">
            <v>1135490</v>
          </cell>
          <cell r="M86">
            <v>1114373</v>
          </cell>
          <cell r="P86">
            <v>50000</v>
          </cell>
          <cell r="Q86">
            <v>124760</v>
          </cell>
          <cell r="R86">
            <v>561440</v>
          </cell>
          <cell r="S86">
            <v>736200</v>
          </cell>
          <cell r="T86">
            <v>8333.3333333333339</v>
          </cell>
          <cell r="U86">
            <v>0</v>
          </cell>
        </row>
        <row r="87">
          <cell r="B87" t="str">
            <v>BL PRESS</v>
          </cell>
          <cell r="C87" t="str">
            <v>SACM0315</v>
          </cell>
          <cell r="D87" t="str">
            <v>조원</v>
          </cell>
          <cell r="E87" t="str">
            <v>김주영</v>
          </cell>
          <cell r="F87">
            <v>36465</v>
          </cell>
          <cell r="K87">
            <v>1167010</v>
          </cell>
          <cell r="L87">
            <v>1166660</v>
          </cell>
          <cell r="M87">
            <v>760979</v>
          </cell>
          <cell r="Q87">
            <v>0</v>
          </cell>
          <cell r="R87">
            <v>312700</v>
          </cell>
          <cell r="S87">
            <v>312700</v>
          </cell>
          <cell r="T87">
            <v>0</v>
          </cell>
          <cell r="U87">
            <v>0</v>
          </cell>
        </row>
        <row r="88">
          <cell r="B88" t="str">
            <v>B/L 연마</v>
          </cell>
          <cell r="C88" t="str">
            <v>SACM0253</v>
          </cell>
          <cell r="D88" t="str">
            <v>조원</v>
          </cell>
          <cell r="E88" t="str">
            <v>김정명</v>
          </cell>
          <cell r="F88">
            <v>35135</v>
          </cell>
          <cell r="G88">
            <v>1184880</v>
          </cell>
          <cell r="H88">
            <v>1108030</v>
          </cell>
          <cell r="I88">
            <v>1167460</v>
          </cell>
          <cell r="J88">
            <v>1267320</v>
          </cell>
          <cell r="K88">
            <v>1152010</v>
          </cell>
          <cell r="L88">
            <v>1010290</v>
          </cell>
          <cell r="M88">
            <v>1118354</v>
          </cell>
          <cell r="N88">
            <v>356270</v>
          </cell>
          <cell r="O88">
            <v>712530</v>
          </cell>
          <cell r="P88">
            <v>100000</v>
          </cell>
          <cell r="Q88">
            <v>356270</v>
          </cell>
          <cell r="R88">
            <v>1068800</v>
          </cell>
          <cell r="S88">
            <v>2593870</v>
          </cell>
          <cell r="T88">
            <v>432309.16666666663</v>
          </cell>
          <cell r="U88">
            <v>764711</v>
          </cell>
        </row>
        <row r="89">
          <cell r="B89" t="str">
            <v>B/L 연마</v>
          </cell>
          <cell r="C89" t="str">
            <v>SACM0274</v>
          </cell>
          <cell r="D89" t="str">
            <v>조원</v>
          </cell>
          <cell r="E89" t="str">
            <v>정상교</v>
          </cell>
          <cell r="F89">
            <v>35320</v>
          </cell>
          <cell r="G89">
            <v>1145110</v>
          </cell>
          <cell r="H89">
            <v>1265480</v>
          </cell>
          <cell r="I89">
            <v>1386900</v>
          </cell>
          <cell r="J89">
            <v>1465690</v>
          </cell>
          <cell r="K89">
            <v>1445520</v>
          </cell>
          <cell r="L89">
            <v>1161060</v>
          </cell>
          <cell r="M89">
            <v>1327914</v>
          </cell>
          <cell r="N89">
            <v>350160</v>
          </cell>
          <cell r="O89">
            <v>704560</v>
          </cell>
          <cell r="P89">
            <v>100000</v>
          </cell>
          <cell r="Q89">
            <v>352280</v>
          </cell>
          <cell r="R89">
            <v>1056840</v>
          </cell>
          <cell r="S89">
            <v>2563840</v>
          </cell>
          <cell r="T89">
            <v>427660</v>
          </cell>
          <cell r="U89">
            <v>865763</v>
          </cell>
        </row>
        <row r="90">
          <cell r="B90" t="str">
            <v>마찰소계</v>
          </cell>
          <cell r="G90">
            <v>42404740</v>
          </cell>
          <cell r="H90">
            <v>42986330</v>
          </cell>
          <cell r="I90">
            <v>47188580</v>
          </cell>
          <cell r="J90">
            <v>50368240</v>
          </cell>
          <cell r="K90">
            <v>50845880</v>
          </cell>
          <cell r="L90">
            <v>47858530</v>
          </cell>
          <cell r="M90">
            <v>48630205</v>
          </cell>
          <cell r="N90">
            <v>11270240</v>
          </cell>
          <cell r="O90">
            <v>22782030</v>
          </cell>
          <cell r="P90">
            <v>3500000</v>
          </cell>
          <cell r="Q90">
            <v>12297910</v>
          </cell>
          <cell r="R90">
            <v>39502650</v>
          </cell>
          <cell r="S90">
            <v>89352830</v>
          </cell>
          <cell r="T90">
            <v>14380875.833333332</v>
          </cell>
          <cell r="U90">
            <v>25473773</v>
          </cell>
        </row>
        <row r="91">
          <cell r="A91" t="str">
            <v>공통</v>
          </cell>
          <cell r="B91" t="str">
            <v>품질관리팀</v>
          </cell>
          <cell r="C91" t="str">
            <v>SACM0033</v>
          </cell>
          <cell r="D91" t="str">
            <v>조장</v>
          </cell>
          <cell r="E91" t="str">
            <v>김연웅</v>
          </cell>
          <cell r="F91">
            <v>33786</v>
          </cell>
          <cell r="G91">
            <v>1096210</v>
          </cell>
          <cell r="H91">
            <v>1099630</v>
          </cell>
          <cell r="I91">
            <v>1086780</v>
          </cell>
          <cell r="J91">
            <v>1050770</v>
          </cell>
          <cell r="K91">
            <v>1037590</v>
          </cell>
          <cell r="L91">
            <v>1119520</v>
          </cell>
          <cell r="M91">
            <v>1046048</v>
          </cell>
          <cell r="N91">
            <v>424530</v>
          </cell>
          <cell r="O91">
            <v>849060</v>
          </cell>
          <cell r="P91">
            <v>100000</v>
          </cell>
          <cell r="Q91">
            <v>424530</v>
          </cell>
          <cell r="R91">
            <v>1273590</v>
          </cell>
          <cell r="S91">
            <v>3071710</v>
          </cell>
          <cell r="T91">
            <v>511951.66666666663</v>
          </cell>
          <cell r="U91">
            <v>768329</v>
          </cell>
        </row>
        <row r="92">
          <cell r="B92" t="str">
            <v>품질관리팀</v>
          </cell>
          <cell r="C92" t="str">
            <v>SACM0089</v>
          </cell>
          <cell r="D92" t="str">
            <v>조장</v>
          </cell>
          <cell r="E92" t="str">
            <v>이상영</v>
          </cell>
          <cell r="F92">
            <v>33900</v>
          </cell>
          <cell r="G92">
            <v>1397340</v>
          </cell>
          <cell r="H92">
            <v>1384080</v>
          </cell>
          <cell r="I92">
            <v>1485120</v>
          </cell>
          <cell r="J92">
            <v>1586400</v>
          </cell>
          <cell r="K92">
            <v>1551960</v>
          </cell>
          <cell r="L92">
            <v>1459760</v>
          </cell>
          <cell r="M92">
            <v>1499387</v>
          </cell>
          <cell r="N92">
            <v>471020</v>
          </cell>
          <cell r="O92">
            <v>942030</v>
          </cell>
          <cell r="P92">
            <v>100000</v>
          </cell>
          <cell r="Q92">
            <v>474740</v>
          </cell>
          <cell r="R92">
            <v>1424210</v>
          </cell>
          <cell r="S92">
            <v>3412000</v>
          </cell>
          <cell r="T92">
            <v>566184.16666666663</v>
          </cell>
          <cell r="U92">
            <v>1018638</v>
          </cell>
        </row>
        <row r="93">
          <cell r="B93" t="str">
            <v>품질관리팀</v>
          </cell>
          <cell r="C93" t="str">
            <v>SACM0121</v>
          </cell>
          <cell r="D93" t="str">
            <v>반장보</v>
          </cell>
          <cell r="E93" t="str">
            <v>박성환#</v>
          </cell>
          <cell r="F93">
            <v>32378</v>
          </cell>
          <cell r="G93">
            <v>1817540</v>
          </cell>
          <cell r="H93">
            <v>1595500</v>
          </cell>
          <cell r="I93">
            <v>1884230</v>
          </cell>
          <cell r="J93">
            <v>1894550</v>
          </cell>
          <cell r="K93">
            <v>1777110</v>
          </cell>
          <cell r="L93">
            <v>1732800</v>
          </cell>
          <cell r="M93">
            <v>1762324</v>
          </cell>
          <cell r="N93">
            <v>535830</v>
          </cell>
          <cell r="O93">
            <v>1071660</v>
          </cell>
          <cell r="P93">
            <v>100000</v>
          </cell>
          <cell r="Q93">
            <v>535830</v>
          </cell>
          <cell r="R93">
            <v>1607490</v>
          </cell>
          <cell r="S93">
            <v>3850810</v>
          </cell>
          <cell r="T93">
            <v>641801.66666666674</v>
          </cell>
          <cell r="U93">
            <v>1185596</v>
          </cell>
        </row>
        <row r="94">
          <cell r="B94" t="str">
            <v>품질관리팀</v>
          </cell>
          <cell r="C94" t="str">
            <v>SACM0128</v>
          </cell>
          <cell r="D94" t="str">
            <v>조장</v>
          </cell>
          <cell r="E94" t="str">
            <v>임진수</v>
          </cell>
          <cell r="F94">
            <v>31661</v>
          </cell>
          <cell r="G94">
            <v>1501790</v>
          </cell>
          <cell r="H94">
            <v>1468610</v>
          </cell>
          <cell r="I94">
            <v>1532230</v>
          </cell>
          <cell r="J94">
            <v>1631760</v>
          </cell>
          <cell r="K94">
            <v>1655790</v>
          </cell>
          <cell r="L94">
            <v>1614340</v>
          </cell>
          <cell r="M94">
            <v>1598442</v>
          </cell>
          <cell r="N94">
            <v>535560</v>
          </cell>
          <cell r="O94">
            <v>1071130</v>
          </cell>
          <cell r="P94">
            <v>100000</v>
          </cell>
          <cell r="Q94">
            <v>535560</v>
          </cell>
          <cell r="R94">
            <v>1606690</v>
          </cell>
          <cell r="S94">
            <v>3848940</v>
          </cell>
          <cell r="T94">
            <v>641492.5</v>
          </cell>
          <cell r="U94">
            <v>1104625</v>
          </cell>
        </row>
        <row r="95">
          <cell r="B95" t="str">
            <v>품질관리팀</v>
          </cell>
          <cell r="C95" t="str">
            <v>SACM0143</v>
          </cell>
          <cell r="D95" t="str">
            <v>조원</v>
          </cell>
          <cell r="E95" t="str">
            <v>김근덕</v>
          </cell>
          <cell r="F95">
            <v>34099</v>
          </cell>
          <cell r="G95">
            <v>1571590</v>
          </cell>
          <cell r="H95">
            <v>1384640</v>
          </cell>
          <cell r="I95">
            <v>1471930</v>
          </cell>
          <cell r="J95">
            <v>1581850</v>
          </cell>
          <cell r="K95">
            <v>1644770</v>
          </cell>
          <cell r="L95">
            <v>1546750</v>
          </cell>
          <cell r="M95">
            <v>1556534</v>
          </cell>
          <cell r="N95">
            <v>391060</v>
          </cell>
          <cell r="O95">
            <v>782130</v>
          </cell>
          <cell r="P95">
            <v>100000</v>
          </cell>
          <cell r="Q95">
            <v>391060</v>
          </cell>
          <cell r="R95">
            <v>1173190</v>
          </cell>
          <cell r="S95">
            <v>2837440</v>
          </cell>
          <cell r="T95">
            <v>472909.16666666669</v>
          </cell>
          <cell r="U95">
            <v>1000821</v>
          </cell>
        </row>
        <row r="96">
          <cell r="B96" t="str">
            <v>품질관리팀</v>
          </cell>
          <cell r="C96" t="str">
            <v>SACM0160</v>
          </cell>
          <cell r="D96" t="str">
            <v>조원</v>
          </cell>
          <cell r="E96" t="str">
            <v>이종홍</v>
          </cell>
          <cell r="F96">
            <v>34213</v>
          </cell>
          <cell r="G96">
            <v>1152170</v>
          </cell>
          <cell r="H96">
            <v>920240</v>
          </cell>
          <cell r="I96">
            <v>1094470</v>
          </cell>
          <cell r="J96">
            <v>1066780</v>
          </cell>
          <cell r="K96">
            <v>992670</v>
          </cell>
          <cell r="L96">
            <v>1015690</v>
          </cell>
          <cell r="M96">
            <v>1002763</v>
          </cell>
          <cell r="N96">
            <v>387080</v>
          </cell>
          <cell r="O96">
            <v>774160</v>
          </cell>
          <cell r="P96">
            <v>100000</v>
          </cell>
          <cell r="Q96">
            <v>387080</v>
          </cell>
          <cell r="R96">
            <v>1161240</v>
          </cell>
          <cell r="S96">
            <v>2809560</v>
          </cell>
          <cell r="T96">
            <v>468260</v>
          </cell>
          <cell r="U96">
            <v>725436</v>
          </cell>
        </row>
        <row r="97">
          <cell r="B97" t="str">
            <v>품질관리팀</v>
          </cell>
          <cell r="C97" t="str">
            <v>SACM0169</v>
          </cell>
          <cell r="D97" t="str">
            <v>조원</v>
          </cell>
          <cell r="E97" t="str">
            <v>정광수</v>
          </cell>
          <cell r="F97">
            <v>34267</v>
          </cell>
          <cell r="G97">
            <v>1091330</v>
          </cell>
          <cell r="H97">
            <v>1083810</v>
          </cell>
          <cell r="I97">
            <v>1194290</v>
          </cell>
          <cell r="J97">
            <v>1099450</v>
          </cell>
          <cell r="K97">
            <v>1099930</v>
          </cell>
          <cell r="L97">
            <v>1064780</v>
          </cell>
          <cell r="M97">
            <v>1064400</v>
          </cell>
          <cell r="N97">
            <v>390270</v>
          </cell>
          <cell r="O97">
            <v>780530</v>
          </cell>
          <cell r="P97">
            <v>100000</v>
          </cell>
          <cell r="Q97">
            <v>390270</v>
          </cell>
          <cell r="R97">
            <v>1170800</v>
          </cell>
          <cell r="S97">
            <v>2831870</v>
          </cell>
          <cell r="T97">
            <v>471975.83333333331</v>
          </cell>
          <cell r="U97">
            <v>757665</v>
          </cell>
        </row>
        <row r="98">
          <cell r="B98" t="str">
            <v>품질관리팀</v>
          </cell>
          <cell r="C98" t="str">
            <v>SACM0277</v>
          </cell>
          <cell r="D98" t="str">
            <v>조원</v>
          </cell>
          <cell r="E98" t="str">
            <v>김진수</v>
          </cell>
          <cell r="F98">
            <v>35646</v>
          </cell>
          <cell r="G98">
            <v>1080460</v>
          </cell>
          <cell r="H98">
            <v>1185000</v>
          </cell>
          <cell r="I98">
            <v>1282740</v>
          </cell>
          <cell r="J98">
            <v>1353720</v>
          </cell>
          <cell r="K98">
            <v>1210540</v>
          </cell>
          <cell r="L98">
            <v>1218630</v>
          </cell>
          <cell r="M98">
            <v>1233551</v>
          </cell>
          <cell r="N98">
            <v>339800</v>
          </cell>
          <cell r="O98">
            <v>679590</v>
          </cell>
          <cell r="P98">
            <v>100000</v>
          </cell>
          <cell r="Q98">
            <v>339800</v>
          </cell>
          <cell r="R98">
            <v>1019390</v>
          </cell>
          <cell r="S98">
            <v>2478580</v>
          </cell>
          <cell r="T98">
            <v>413094.16666666663</v>
          </cell>
          <cell r="U98">
            <v>812044</v>
          </cell>
        </row>
        <row r="99">
          <cell r="B99" t="str">
            <v>품질관리팀</v>
          </cell>
          <cell r="C99" t="str">
            <v>SACM0278</v>
          </cell>
          <cell r="D99" t="str">
            <v>조원</v>
          </cell>
          <cell r="E99" t="str">
            <v>조병문</v>
          </cell>
          <cell r="F99">
            <v>35646</v>
          </cell>
          <cell r="G99">
            <v>1002800</v>
          </cell>
          <cell r="H99">
            <v>1023980</v>
          </cell>
          <cell r="I99">
            <v>1023150</v>
          </cell>
          <cell r="J99">
            <v>1088830</v>
          </cell>
          <cell r="K99">
            <v>1020330</v>
          </cell>
          <cell r="L99">
            <v>956900</v>
          </cell>
          <cell r="M99">
            <v>999802</v>
          </cell>
          <cell r="N99">
            <v>339800</v>
          </cell>
          <cell r="O99">
            <v>679590</v>
          </cell>
          <cell r="P99">
            <v>100000</v>
          </cell>
          <cell r="Q99">
            <v>339800</v>
          </cell>
          <cell r="R99">
            <v>1019390</v>
          </cell>
          <cell r="S99">
            <v>2478580</v>
          </cell>
          <cell r="T99">
            <v>413094.16666666663</v>
          </cell>
          <cell r="U99">
            <v>696771</v>
          </cell>
        </row>
        <row r="100">
          <cell r="B100" t="str">
            <v>품질관리팀</v>
          </cell>
          <cell r="C100" t="str">
            <v>SACM0286</v>
          </cell>
          <cell r="D100" t="str">
            <v>조원</v>
          </cell>
          <cell r="E100" t="str">
            <v>정장수</v>
          </cell>
          <cell r="F100">
            <v>35997</v>
          </cell>
          <cell r="G100">
            <v>782430</v>
          </cell>
          <cell r="H100">
            <v>785890</v>
          </cell>
          <cell r="I100">
            <v>936250</v>
          </cell>
          <cell r="J100">
            <v>911520</v>
          </cell>
          <cell r="K100">
            <v>841720</v>
          </cell>
          <cell r="L100">
            <v>855470</v>
          </cell>
          <cell r="M100">
            <v>850666</v>
          </cell>
          <cell r="N100">
            <v>333420</v>
          </cell>
          <cell r="O100">
            <v>666840</v>
          </cell>
          <cell r="P100">
            <v>100000</v>
          </cell>
          <cell r="Q100">
            <v>333420</v>
          </cell>
          <cell r="R100">
            <v>1000260</v>
          </cell>
          <cell r="S100">
            <v>2433940</v>
          </cell>
          <cell r="T100">
            <v>405656.66666666669</v>
          </cell>
          <cell r="U100">
            <v>619556</v>
          </cell>
        </row>
        <row r="101">
          <cell r="B101" t="str">
            <v>생산관리팀</v>
          </cell>
          <cell r="C101" t="str">
            <v>SACM0111</v>
          </cell>
          <cell r="D101" t="str">
            <v>반장보</v>
          </cell>
          <cell r="E101" t="str">
            <v>조광석</v>
          </cell>
          <cell r="F101">
            <v>30508</v>
          </cell>
          <cell r="G101">
            <v>1855640</v>
          </cell>
          <cell r="H101">
            <v>1724140</v>
          </cell>
          <cell r="I101">
            <v>1978150</v>
          </cell>
          <cell r="J101">
            <v>1810710</v>
          </cell>
          <cell r="K101">
            <v>1627120</v>
          </cell>
          <cell r="L101">
            <v>1728590</v>
          </cell>
          <cell r="M101">
            <v>1684702</v>
          </cell>
          <cell r="N101">
            <v>560270</v>
          </cell>
          <cell r="O101">
            <v>1120530</v>
          </cell>
          <cell r="P101">
            <v>100000</v>
          </cell>
          <cell r="Q101">
            <v>560270</v>
          </cell>
          <cell r="R101">
            <v>1680800</v>
          </cell>
          <cell r="S101">
            <v>4021870</v>
          </cell>
          <cell r="T101">
            <v>670309.16666666674</v>
          </cell>
          <cell r="U101">
            <v>1161375</v>
          </cell>
        </row>
        <row r="102">
          <cell r="B102" t="str">
            <v>생산관리팀</v>
          </cell>
          <cell r="C102" t="str">
            <v>SACM0141</v>
          </cell>
          <cell r="D102" t="str">
            <v>반장</v>
          </cell>
          <cell r="E102" t="str">
            <v>장대성</v>
          </cell>
          <cell r="F102">
            <v>31878</v>
          </cell>
          <cell r="G102">
            <v>2096640</v>
          </cell>
          <cell r="H102">
            <v>1714170</v>
          </cell>
          <cell r="I102">
            <v>1822550</v>
          </cell>
          <cell r="J102">
            <v>1719070</v>
          </cell>
          <cell r="K102">
            <v>1585490</v>
          </cell>
          <cell r="L102">
            <v>1555810</v>
          </cell>
          <cell r="M102">
            <v>1584903</v>
          </cell>
          <cell r="N102">
            <v>555220</v>
          </cell>
          <cell r="O102">
            <v>1110440</v>
          </cell>
          <cell r="P102">
            <v>100000</v>
          </cell>
          <cell r="Q102">
            <v>555220</v>
          </cell>
          <cell r="R102">
            <v>1665660</v>
          </cell>
          <cell r="S102">
            <v>3986540</v>
          </cell>
          <cell r="T102">
            <v>664423.33333333337</v>
          </cell>
          <cell r="U102">
            <v>1109257</v>
          </cell>
        </row>
        <row r="103">
          <cell r="B103" t="str">
            <v>생산관리팀</v>
          </cell>
          <cell r="C103" t="str">
            <v>SACM0161</v>
          </cell>
          <cell r="D103" t="str">
            <v>조원</v>
          </cell>
          <cell r="E103" t="str">
            <v>도성록</v>
          </cell>
          <cell r="F103">
            <v>34218</v>
          </cell>
          <cell r="G103">
            <v>1314820</v>
          </cell>
          <cell r="H103">
            <v>1024430</v>
          </cell>
          <cell r="I103">
            <v>1207050</v>
          </cell>
          <cell r="J103">
            <v>1107760</v>
          </cell>
          <cell r="K103">
            <v>1076470</v>
          </cell>
          <cell r="L103">
            <v>1211380</v>
          </cell>
          <cell r="M103">
            <v>1107264</v>
          </cell>
          <cell r="N103">
            <v>392660</v>
          </cell>
          <cell r="O103">
            <v>785310</v>
          </cell>
          <cell r="P103">
            <v>100000</v>
          </cell>
          <cell r="Q103">
            <v>392660</v>
          </cell>
          <cell r="R103">
            <v>1177970</v>
          </cell>
          <cell r="S103">
            <v>2848600</v>
          </cell>
          <cell r="T103">
            <v>474764.16666666669</v>
          </cell>
          <cell r="U103">
            <v>780178</v>
          </cell>
        </row>
        <row r="104">
          <cell r="B104" t="str">
            <v>생산관리팀</v>
          </cell>
          <cell r="C104" t="str">
            <v>SACM0241</v>
          </cell>
          <cell r="D104" t="str">
            <v>조원</v>
          </cell>
          <cell r="E104" t="str">
            <v>정길수</v>
          </cell>
          <cell r="F104">
            <v>34981</v>
          </cell>
          <cell r="G104">
            <v>1189670</v>
          </cell>
          <cell r="H104">
            <v>956620</v>
          </cell>
          <cell r="I104">
            <v>973270</v>
          </cell>
          <cell r="J104">
            <v>921520</v>
          </cell>
          <cell r="K104">
            <v>903500</v>
          </cell>
          <cell r="L104">
            <v>978170</v>
          </cell>
          <cell r="M104">
            <v>914084</v>
          </cell>
          <cell r="N104">
            <v>363440</v>
          </cell>
          <cell r="O104">
            <v>726880</v>
          </cell>
          <cell r="P104">
            <v>100000</v>
          </cell>
          <cell r="Q104">
            <v>367420</v>
          </cell>
          <cell r="R104">
            <v>1102260</v>
          </cell>
          <cell r="S104">
            <v>2660000</v>
          </cell>
          <cell r="T104">
            <v>440680</v>
          </cell>
          <cell r="U104">
            <v>668103</v>
          </cell>
        </row>
        <row r="105">
          <cell r="B105" t="str">
            <v>생산관리팀</v>
          </cell>
          <cell r="C105" t="str">
            <v>SACM0280</v>
          </cell>
          <cell r="D105" t="str">
            <v>조원</v>
          </cell>
          <cell r="E105" t="str">
            <v>이기성</v>
          </cell>
          <cell r="F105">
            <v>35648</v>
          </cell>
          <cell r="G105">
            <v>1053130</v>
          </cell>
          <cell r="H105">
            <v>1020890</v>
          </cell>
          <cell r="I105">
            <v>1051270</v>
          </cell>
          <cell r="J105">
            <v>966470</v>
          </cell>
          <cell r="K105">
            <v>919680</v>
          </cell>
          <cell r="L105">
            <v>897430</v>
          </cell>
          <cell r="M105">
            <v>907689</v>
          </cell>
          <cell r="N105">
            <v>342990</v>
          </cell>
          <cell r="O105">
            <v>707220</v>
          </cell>
          <cell r="P105">
            <v>100000</v>
          </cell>
          <cell r="Q105">
            <v>353610</v>
          </cell>
          <cell r="R105">
            <v>1060830</v>
          </cell>
          <cell r="S105">
            <v>2564650</v>
          </cell>
          <cell r="T105">
            <v>429211.66666666663</v>
          </cell>
          <cell r="U105">
            <v>659293</v>
          </cell>
        </row>
        <row r="106">
          <cell r="B106" t="str">
            <v>노동조합</v>
          </cell>
          <cell r="C106" t="str">
            <v>SACM0065</v>
          </cell>
          <cell r="D106" t="str">
            <v>위원장</v>
          </cell>
          <cell r="E106" t="str">
            <v>백중형</v>
          </cell>
          <cell r="F106">
            <v>33894</v>
          </cell>
          <cell r="G106">
            <v>1246830</v>
          </cell>
          <cell r="H106">
            <v>1246830</v>
          </cell>
          <cell r="I106">
            <v>1246830</v>
          </cell>
          <cell r="J106">
            <v>1256230</v>
          </cell>
          <cell r="K106">
            <v>1256230</v>
          </cell>
          <cell r="L106">
            <v>1256230</v>
          </cell>
          <cell r="M106">
            <v>1228921</v>
          </cell>
          <cell r="N106">
            <v>484240</v>
          </cell>
          <cell r="O106">
            <v>968470</v>
          </cell>
          <cell r="P106">
            <v>100000</v>
          </cell>
          <cell r="Q106">
            <v>487950</v>
          </cell>
          <cell r="R106">
            <v>1486820</v>
          </cell>
          <cell r="S106">
            <v>3527480</v>
          </cell>
          <cell r="T106">
            <v>581607.5</v>
          </cell>
          <cell r="U106">
            <v>892863</v>
          </cell>
        </row>
        <row r="107">
          <cell r="B107" t="str">
            <v>금형치공구팀</v>
          </cell>
          <cell r="C107" t="str">
            <v>SACM0120</v>
          </cell>
          <cell r="D107" t="str">
            <v>조장</v>
          </cell>
          <cell r="E107" t="str">
            <v>김영현</v>
          </cell>
          <cell r="F107">
            <v>31943</v>
          </cell>
          <cell r="G107">
            <v>1662550</v>
          </cell>
          <cell r="H107">
            <v>1691840</v>
          </cell>
          <cell r="I107">
            <v>1619580</v>
          </cell>
          <cell r="J107">
            <v>1669520</v>
          </cell>
          <cell r="K107">
            <v>1644210</v>
          </cell>
          <cell r="L107">
            <v>1732390</v>
          </cell>
          <cell r="M107">
            <v>1645474</v>
          </cell>
          <cell r="N107">
            <v>539550</v>
          </cell>
          <cell r="O107">
            <v>1079090</v>
          </cell>
          <cell r="P107">
            <v>100000</v>
          </cell>
          <cell r="Q107">
            <v>539550</v>
          </cell>
          <cell r="R107">
            <v>1618640</v>
          </cell>
          <cell r="S107">
            <v>3876830</v>
          </cell>
          <cell r="T107">
            <v>646135.83333333326</v>
          </cell>
          <cell r="U107">
            <v>1130109</v>
          </cell>
        </row>
        <row r="108">
          <cell r="B108" t="str">
            <v>금형치공구팀</v>
          </cell>
          <cell r="C108" t="str">
            <v>SACM0144</v>
          </cell>
          <cell r="D108" t="str">
            <v>조장</v>
          </cell>
          <cell r="E108" t="str">
            <v>손기수</v>
          </cell>
          <cell r="F108">
            <v>34110</v>
          </cell>
          <cell r="G108">
            <v>1445730</v>
          </cell>
          <cell r="H108">
            <v>1546500</v>
          </cell>
          <cell r="I108">
            <v>1508380</v>
          </cell>
          <cell r="J108">
            <v>1696950</v>
          </cell>
          <cell r="K108">
            <v>1580210</v>
          </cell>
          <cell r="L108">
            <v>1671330</v>
          </cell>
          <cell r="M108">
            <v>1613638</v>
          </cell>
          <cell r="N108">
            <v>436750</v>
          </cell>
          <cell r="O108">
            <v>873500</v>
          </cell>
          <cell r="P108">
            <v>100000</v>
          </cell>
          <cell r="Q108">
            <v>436750</v>
          </cell>
          <cell r="R108">
            <v>1310250</v>
          </cell>
          <cell r="S108">
            <v>3157250</v>
          </cell>
          <cell r="T108">
            <v>526208.33333333337</v>
          </cell>
          <cell r="U108">
            <v>1055267</v>
          </cell>
        </row>
        <row r="109">
          <cell r="B109" t="str">
            <v>금형치공구팀</v>
          </cell>
          <cell r="C109" t="str">
            <v>SACM0167</v>
          </cell>
          <cell r="D109" t="str">
            <v>조장</v>
          </cell>
          <cell r="E109" t="str">
            <v>이진해</v>
          </cell>
          <cell r="F109">
            <v>34260</v>
          </cell>
          <cell r="G109">
            <v>1108420</v>
          </cell>
          <cell r="H109">
            <v>1090120</v>
          </cell>
          <cell r="I109">
            <v>1163760</v>
          </cell>
          <cell r="J109">
            <v>1318080</v>
          </cell>
          <cell r="K109">
            <v>1119740</v>
          </cell>
          <cell r="L109">
            <v>1030570</v>
          </cell>
          <cell r="M109">
            <v>1130997</v>
          </cell>
          <cell r="N109">
            <v>424800</v>
          </cell>
          <cell r="O109">
            <v>849590</v>
          </cell>
          <cell r="P109">
            <v>100000</v>
          </cell>
          <cell r="Q109">
            <v>424800</v>
          </cell>
          <cell r="R109">
            <v>1274390</v>
          </cell>
          <cell r="S109">
            <v>3073580</v>
          </cell>
          <cell r="T109">
            <v>512260.83333333326</v>
          </cell>
          <cell r="U109">
            <v>810374</v>
          </cell>
        </row>
        <row r="110">
          <cell r="B110" t="str">
            <v>금형치공구팀</v>
          </cell>
          <cell r="C110" t="str">
            <v>SACM0294</v>
          </cell>
          <cell r="D110" t="str">
            <v>조원</v>
          </cell>
          <cell r="E110" t="str">
            <v>고진호</v>
          </cell>
          <cell r="F110">
            <v>36200</v>
          </cell>
          <cell r="G110">
            <v>1043930</v>
          </cell>
          <cell r="H110">
            <v>1035330</v>
          </cell>
          <cell r="I110">
            <v>1329740</v>
          </cell>
          <cell r="J110">
            <v>1304640</v>
          </cell>
          <cell r="K110">
            <v>945720</v>
          </cell>
          <cell r="L110">
            <v>1065180</v>
          </cell>
          <cell r="M110">
            <v>1081154</v>
          </cell>
          <cell r="N110">
            <v>222370</v>
          </cell>
          <cell r="O110">
            <v>444730</v>
          </cell>
          <cell r="P110">
            <v>100000</v>
          </cell>
          <cell r="Q110">
            <v>370610</v>
          </cell>
          <cell r="R110">
            <v>1111830</v>
          </cell>
          <cell r="S110">
            <v>2249540</v>
          </cell>
          <cell r="T110">
            <v>276092.5</v>
          </cell>
          <cell r="U110">
            <v>0</v>
          </cell>
        </row>
        <row r="111">
          <cell r="B111" t="str">
            <v>금형치공구팀</v>
          </cell>
          <cell r="C111" t="str">
            <v>SACM0295</v>
          </cell>
          <cell r="D111" t="str">
            <v>조원</v>
          </cell>
          <cell r="E111" t="str">
            <v>김현승</v>
          </cell>
          <cell r="F111">
            <v>36213</v>
          </cell>
          <cell r="G111">
            <v>828330</v>
          </cell>
          <cell r="H111">
            <v>784200</v>
          </cell>
          <cell r="I111">
            <v>894820</v>
          </cell>
          <cell r="J111">
            <v>929860</v>
          </cell>
          <cell r="K111">
            <v>841360</v>
          </cell>
          <cell r="L111">
            <v>804380</v>
          </cell>
          <cell r="M111">
            <v>839870</v>
          </cell>
          <cell r="N111">
            <v>191290</v>
          </cell>
          <cell r="O111">
            <v>382580</v>
          </cell>
          <cell r="P111">
            <v>100000</v>
          </cell>
          <cell r="Q111">
            <v>318810</v>
          </cell>
          <cell r="R111">
            <v>956440</v>
          </cell>
          <cell r="S111">
            <v>1949120</v>
          </cell>
          <cell r="T111">
            <v>239838.33333333334</v>
          </cell>
          <cell r="U111">
            <v>0</v>
          </cell>
        </row>
        <row r="112">
          <cell r="B112" t="str">
            <v>금형치공구팀</v>
          </cell>
          <cell r="C112" t="str">
            <v>SACM0300</v>
          </cell>
          <cell r="D112" t="str">
            <v>조원</v>
          </cell>
          <cell r="E112" t="str">
            <v>김여환</v>
          </cell>
          <cell r="F112">
            <v>36313</v>
          </cell>
          <cell r="G112">
            <v>919830</v>
          </cell>
          <cell r="H112">
            <v>898430</v>
          </cell>
          <cell r="I112">
            <v>830640</v>
          </cell>
          <cell r="J112">
            <v>1059440</v>
          </cell>
          <cell r="K112">
            <v>1063640</v>
          </cell>
          <cell r="L112">
            <v>918830</v>
          </cell>
          <cell r="M112">
            <v>991927</v>
          </cell>
          <cell r="O112">
            <v>265460</v>
          </cell>
          <cell r="P112">
            <v>100000</v>
          </cell>
          <cell r="Q112">
            <v>211850</v>
          </cell>
          <cell r="R112">
            <v>776770</v>
          </cell>
          <cell r="S112">
            <v>1354080</v>
          </cell>
          <cell r="T112">
            <v>171518.33333333331</v>
          </cell>
          <cell r="U112">
            <v>0</v>
          </cell>
        </row>
        <row r="113">
          <cell r="B113" t="str">
            <v>금형치공구팀</v>
          </cell>
          <cell r="C113" t="str">
            <v>SACM0310</v>
          </cell>
          <cell r="D113" t="str">
            <v>조원</v>
          </cell>
          <cell r="E113" t="str">
            <v>양권모</v>
          </cell>
          <cell r="F113">
            <v>36412</v>
          </cell>
          <cell r="I113">
            <v>544160</v>
          </cell>
          <cell r="J113">
            <v>839960</v>
          </cell>
          <cell r="K113">
            <v>813770</v>
          </cell>
          <cell r="L113">
            <v>871860</v>
          </cell>
          <cell r="M113">
            <v>823562</v>
          </cell>
          <cell r="P113">
            <v>50000</v>
          </cell>
          <cell r="Q113">
            <v>119980</v>
          </cell>
          <cell r="R113">
            <v>539910</v>
          </cell>
          <cell r="S113">
            <v>709890</v>
          </cell>
          <cell r="T113">
            <v>8333.3333333333339</v>
          </cell>
          <cell r="U113">
            <v>0</v>
          </cell>
        </row>
        <row r="114">
          <cell r="B114" t="str">
            <v>공무환경팀</v>
          </cell>
          <cell r="C114" t="str">
            <v>SACM0116</v>
          </cell>
          <cell r="D114" t="str">
            <v>반장</v>
          </cell>
          <cell r="E114" t="str">
            <v>박상규</v>
          </cell>
          <cell r="F114">
            <v>31765</v>
          </cell>
          <cell r="G114">
            <v>1847650</v>
          </cell>
          <cell r="H114">
            <v>2016010</v>
          </cell>
          <cell r="I114">
            <v>2248110</v>
          </cell>
          <cell r="J114">
            <v>2050820</v>
          </cell>
          <cell r="K114">
            <v>1972550</v>
          </cell>
          <cell r="L114">
            <v>1932890</v>
          </cell>
          <cell r="M114">
            <v>1942259</v>
          </cell>
          <cell r="N114">
            <v>595060</v>
          </cell>
          <cell r="O114">
            <v>1190130</v>
          </cell>
          <cell r="P114">
            <v>100000</v>
          </cell>
          <cell r="Q114">
            <v>595060</v>
          </cell>
          <cell r="R114">
            <v>1785190</v>
          </cell>
          <cell r="S114">
            <v>4265440</v>
          </cell>
          <cell r="T114">
            <v>710909.16666666663</v>
          </cell>
          <cell r="U114">
            <v>1308412</v>
          </cell>
        </row>
        <row r="115">
          <cell r="B115" t="str">
            <v>공무환경팀</v>
          </cell>
          <cell r="C115" t="str">
            <v>SACM0131</v>
          </cell>
          <cell r="D115" t="str">
            <v>조원</v>
          </cell>
          <cell r="E115" t="str">
            <v>허봉구</v>
          </cell>
          <cell r="F115">
            <v>33989</v>
          </cell>
          <cell r="G115">
            <v>1473140</v>
          </cell>
          <cell r="H115">
            <v>1242510</v>
          </cell>
          <cell r="I115">
            <v>1543570</v>
          </cell>
          <cell r="J115">
            <v>1363110</v>
          </cell>
          <cell r="K115">
            <v>1306000</v>
          </cell>
          <cell r="L115">
            <v>1495530</v>
          </cell>
          <cell r="M115">
            <v>1358035</v>
          </cell>
          <cell r="N115">
            <v>395840</v>
          </cell>
          <cell r="O115">
            <v>791690</v>
          </cell>
          <cell r="P115">
            <v>100000</v>
          </cell>
          <cell r="Q115">
            <v>395840</v>
          </cell>
          <cell r="R115">
            <v>1187530</v>
          </cell>
          <cell r="S115">
            <v>2870900</v>
          </cell>
          <cell r="T115">
            <v>478485.83333333331</v>
          </cell>
          <cell r="U115">
            <v>905682</v>
          </cell>
        </row>
        <row r="116">
          <cell r="B116" t="str">
            <v>공무환경팀</v>
          </cell>
          <cell r="C116" t="str">
            <v>SACM0142</v>
          </cell>
          <cell r="D116" t="str">
            <v>반장보</v>
          </cell>
          <cell r="E116" t="str">
            <v>신관범</v>
          </cell>
          <cell r="F116">
            <v>34095</v>
          </cell>
          <cell r="G116">
            <v>1787380</v>
          </cell>
          <cell r="H116">
            <v>1879060</v>
          </cell>
          <cell r="I116">
            <v>1937230</v>
          </cell>
          <cell r="J116">
            <v>1866170</v>
          </cell>
          <cell r="K116">
            <v>1782610</v>
          </cell>
          <cell r="L116">
            <v>1747360</v>
          </cell>
          <cell r="M116">
            <v>1759611</v>
          </cell>
          <cell r="N116">
            <v>515910</v>
          </cell>
          <cell r="O116">
            <v>1074310</v>
          </cell>
          <cell r="P116">
            <v>100000</v>
          </cell>
          <cell r="Q116">
            <v>537160</v>
          </cell>
          <cell r="R116">
            <v>1611470</v>
          </cell>
          <cell r="S116">
            <v>3838850</v>
          </cell>
          <cell r="T116">
            <v>643347.5</v>
          </cell>
          <cell r="U116">
            <v>1185021</v>
          </cell>
        </row>
        <row r="117">
          <cell r="B117" t="str">
            <v>공무환경팀</v>
          </cell>
          <cell r="C117" t="str">
            <v>SACM0164</v>
          </cell>
          <cell r="D117" t="str">
            <v>조원</v>
          </cell>
          <cell r="E117" t="str">
            <v>장재성</v>
          </cell>
          <cell r="F117">
            <v>34229</v>
          </cell>
          <cell r="G117">
            <v>1020840</v>
          </cell>
          <cell r="H117">
            <v>976160</v>
          </cell>
          <cell r="I117">
            <v>1205740</v>
          </cell>
          <cell r="J117">
            <v>1124860</v>
          </cell>
          <cell r="K117">
            <v>1164270</v>
          </cell>
          <cell r="L117">
            <v>916250</v>
          </cell>
          <cell r="M117">
            <v>1045233</v>
          </cell>
          <cell r="N117">
            <v>396640</v>
          </cell>
          <cell r="O117">
            <v>793280</v>
          </cell>
          <cell r="P117">
            <v>100000</v>
          </cell>
          <cell r="Q117">
            <v>396640</v>
          </cell>
          <cell r="R117">
            <v>1189920</v>
          </cell>
          <cell r="S117">
            <v>2876480</v>
          </cell>
          <cell r="T117">
            <v>479413.33333333337</v>
          </cell>
          <cell r="U117">
            <v>751880</v>
          </cell>
        </row>
        <row r="118">
          <cell r="B118" t="str">
            <v>공무환경팀</v>
          </cell>
          <cell r="C118" t="str">
            <v>SACM0166</v>
          </cell>
          <cell r="D118" t="str">
            <v>조원</v>
          </cell>
          <cell r="E118" t="str">
            <v>정하준</v>
          </cell>
          <cell r="F118">
            <v>34229</v>
          </cell>
          <cell r="G118">
            <v>899840</v>
          </cell>
          <cell r="H118">
            <v>837930</v>
          </cell>
          <cell r="I118">
            <v>919560</v>
          </cell>
          <cell r="J118">
            <v>1187050</v>
          </cell>
          <cell r="K118">
            <v>1177430</v>
          </cell>
          <cell r="L118">
            <v>1069500</v>
          </cell>
          <cell r="M118">
            <v>1119776</v>
          </cell>
          <cell r="N118">
            <v>390270</v>
          </cell>
          <cell r="O118">
            <v>780530</v>
          </cell>
          <cell r="P118">
            <v>100000</v>
          </cell>
          <cell r="Q118">
            <v>390270</v>
          </cell>
          <cell r="R118">
            <v>1170800</v>
          </cell>
          <cell r="S118">
            <v>2831870</v>
          </cell>
          <cell r="T118">
            <v>471975.83333333331</v>
          </cell>
          <cell r="U118">
            <v>784974</v>
          </cell>
        </row>
        <row r="119">
          <cell r="B119" t="str">
            <v>공무환경팀</v>
          </cell>
          <cell r="C119" t="str">
            <v>SACM0187</v>
          </cell>
          <cell r="D119" t="str">
            <v>조장</v>
          </cell>
          <cell r="E119" t="str">
            <v>이형철</v>
          </cell>
          <cell r="F119">
            <v>34449</v>
          </cell>
          <cell r="G119">
            <v>1343880</v>
          </cell>
          <cell r="H119">
            <v>1445400</v>
          </cell>
          <cell r="I119">
            <v>1441320</v>
          </cell>
          <cell r="J119">
            <v>1377370</v>
          </cell>
          <cell r="K119">
            <v>1179800</v>
          </cell>
          <cell r="L119">
            <v>1306060</v>
          </cell>
          <cell r="M119">
            <v>1259749</v>
          </cell>
          <cell r="N119">
            <v>400090</v>
          </cell>
          <cell r="O119">
            <v>800190</v>
          </cell>
          <cell r="P119">
            <v>100000</v>
          </cell>
          <cell r="Q119">
            <v>400090</v>
          </cell>
          <cell r="R119">
            <v>1200280</v>
          </cell>
          <cell r="S119">
            <v>2900650</v>
          </cell>
          <cell r="T119">
            <v>483444.16666666663</v>
          </cell>
          <cell r="U119">
            <v>859657</v>
          </cell>
        </row>
        <row r="120">
          <cell r="B120" t="str">
            <v>공무환경팀</v>
          </cell>
          <cell r="C120" t="str">
            <v>SACM0239</v>
          </cell>
          <cell r="D120" t="str">
            <v>조원</v>
          </cell>
          <cell r="E120" t="str">
            <v>김민규</v>
          </cell>
          <cell r="F120">
            <v>34986</v>
          </cell>
          <cell r="G120">
            <v>1374033</v>
          </cell>
          <cell r="H120">
            <v>1374033</v>
          </cell>
          <cell r="I120">
            <v>1374033</v>
          </cell>
          <cell r="J120">
            <v>1374033</v>
          </cell>
          <cell r="K120">
            <v>1374033</v>
          </cell>
          <cell r="L120">
            <v>1374033</v>
          </cell>
          <cell r="M120">
            <v>1374033</v>
          </cell>
          <cell r="O120" t="str">
            <v>휴      직      자       1년  평균상여(98.7-99.6)</v>
          </cell>
          <cell r="S120">
            <v>0</v>
          </cell>
          <cell r="T120">
            <v>438231</v>
          </cell>
          <cell r="U120">
            <v>893719</v>
          </cell>
        </row>
        <row r="121">
          <cell r="B121" t="str">
            <v>공무환경팀</v>
          </cell>
          <cell r="C121" t="str">
            <v>SACM0270</v>
          </cell>
          <cell r="D121" t="str">
            <v>조원</v>
          </cell>
          <cell r="E121" t="str">
            <v>김경래</v>
          </cell>
          <cell r="F121">
            <v>35205</v>
          </cell>
          <cell r="G121">
            <v>1327390</v>
          </cell>
          <cell r="H121">
            <v>1029520</v>
          </cell>
          <cell r="I121">
            <v>957520</v>
          </cell>
          <cell r="J121">
            <v>1490390</v>
          </cell>
          <cell r="K121">
            <v>1281390</v>
          </cell>
          <cell r="L121">
            <v>1298120</v>
          </cell>
          <cell r="M121">
            <v>1327141</v>
          </cell>
          <cell r="N121">
            <v>381770</v>
          </cell>
          <cell r="O121">
            <v>784780</v>
          </cell>
          <cell r="P121">
            <v>100000</v>
          </cell>
          <cell r="Q121">
            <v>392390</v>
          </cell>
          <cell r="R121">
            <v>1177170</v>
          </cell>
          <cell r="S121">
            <v>2836110</v>
          </cell>
          <cell r="T121">
            <v>474455</v>
          </cell>
          <cell r="U121">
            <v>888458</v>
          </cell>
        </row>
        <row r="122">
          <cell r="B122" t="str">
            <v>공무환경팀</v>
          </cell>
          <cell r="C122" t="str">
            <v>SACM0272</v>
          </cell>
          <cell r="D122" t="str">
            <v>조원</v>
          </cell>
          <cell r="E122" t="str">
            <v>김윤태#</v>
          </cell>
          <cell r="F122">
            <v>35303</v>
          </cell>
          <cell r="G122">
            <v>1590370</v>
          </cell>
          <cell r="H122">
            <v>1584140</v>
          </cell>
          <cell r="I122">
            <v>1803280</v>
          </cell>
          <cell r="J122">
            <v>1297690</v>
          </cell>
          <cell r="K122">
            <v>1351210</v>
          </cell>
          <cell r="L122">
            <v>1507390</v>
          </cell>
          <cell r="M122">
            <v>1355312</v>
          </cell>
          <cell r="N122">
            <v>353080</v>
          </cell>
          <cell r="O122">
            <v>706160</v>
          </cell>
          <cell r="P122">
            <v>100000</v>
          </cell>
          <cell r="Q122">
            <v>353080</v>
          </cell>
          <cell r="R122">
            <v>1059240</v>
          </cell>
          <cell r="S122">
            <v>2571560</v>
          </cell>
          <cell r="T122">
            <v>428593.33333333337</v>
          </cell>
          <cell r="U122">
            <v>879734</v>
          </cell>
        </row>
        <row r="123">
          <cell r="B123" t="str">
            <v>공무환경팀</v>
          </cell>
          <cell r="C123" t="str">
            <v>SACM0273</v>
          </cell>
          <cell r="D123" t="str">
            <v>조원</v>
          </cell>
          <cell r="E123" t="str">
            <v>김영동</v>
          </cell>
          <cell r="F123">
            <v>35317</v>
          </cell>
          <cell r="G123">
            <v>1322380</v>
          </cell>
          <cell r="H123">
            <v>1504800</v>
          </cell>
          <cell r="I123">
            <v>1872270</v>
          </cell>
          <cell r="J123">
            <v>1161710</v>
          </cell>
          <cell r="K123">
            <v>1018020</v>
          </cell>
          <cell r="L123">
            <v>941450</v>
          </cell>
          <cell r="M123">
            <v>1017776</v>
          </cell>
          <cell r="N123">
            <v>368490</v>
          </cell>
          <cell r="O123">
            <v>741220</v>
          </cell>
          <cell r="P123">
            <v>100000</v>
          </cell>
          <cell r="Q123">
            <v>370610</v>
          </cell>
          <cell r="R123">
            <v>1111830</v>
          </cell>
          <cell r="S123">
            <v>2692150</v>
          </cell>
          <cell r="T123">
            <v>449045</v>
          </cell>
          <cell r="U123">
            <v>723364</v>
          </cell>
        </row>
        <row r="124">
          <cell r="B124" t="str">
            <v>공무환경팀</v>
          </cell>
          <cell r="C124" t="str">
            <v>SACM0287</v>
          </cell>
          <cell r="D124" t="str">
            <v>조원</v>
          </cell>
          <cell r="E124" t="str">
            <v>조성배</v>
          </cell>
          <cell r="F124">
            <v>36069</v>
          </cell>
          <cell r="G124">
            <v>1104250</v>
          </cell>
          <cell r="H124">
            <v>1214630</v>
          </cell>
          <cell r="I124">
            <v>891930</v>
          </cell>
          <cell r="J124">
            <v>1225260</v>
          </cell>
          <cell r="K124">
            <v>1263140</v>
          </cell>
          <cell r="L124">
            <v>1247400</v>
          </cell>
          <cell r="M124">
            <v>1218196</v>
          </cell>
          <cell r="N124">
            <v>321200</v>
          </cell>
          <cell r="O124">
            <v>663660</v>
          </cell>
          <cell r="P124">
            <v>100000</v>
          </cell>
          <cell r="Q124">
            <v>344050</v>
          </cell>
          <cell r="R124">
            <v>1032140</v>
          </cell>
          <cell r="S124">
            <v>2461050</v>
          </cell>
          <cell r="T124">
            <v>403801.66666666663</v>
          </cell>
          <cell r="U124">
            <v>799889</v>
          </cell>
        </row>
        <row r="125">
          <cell r="B125" t="str">
            <v>공무환경팀</v>
          </cell>
          <cell r="C125" t="str">
            <v>SACM0308</v>
          </cell>
          <cell r="D125" t="str">
            <v>조원</v>
          </cell>
          <cell r="E125" t="str">
            <v>윤재준</v>
          </cell>
          <cell r="F125">
            <v>36388</v>
          </cell>
          <cell r="H125">
            <v>501230</v>
          </cell>
          <cell r="I125">
            <v>946540</v>
          </cell>
          <cell r="J125">
            <v>1120720</v>
          </cell>
          <cell r="K125">
            <v>933530</v>
          </cell>
          <cell r="L125">
            <v>1191170</v>
          </cell>
          <cell r="M125">
            <v>1058289</v>
          </cell>
          <cell r="P125">
            <v>50000</v>
          </cell>
          <cell r="Q125">
            <v>138040</v>
          </cell>
          <cell r="R125">
            <v>621200</v>
          </cell>
          <cell r="S125">
            <v>809240</v>
          </cell>
          <cell r="T125">
            <v>8333.3333333333339</v>
          </cell>
          <cell r="U125">
            <v>0</v>
          </cell>
        </row>
        <row r="126">
          <cell r="B126" t="str">
            <v>공무환경팀</v>
          </cell>
          <cell r="C126" t="str">
            <v>SACM0312</v>
          </cell>
          <cell r="D126" t="str">
            <v>조원</v>
          </cell>
          <cell r="E126" t="str">
            <v>이영찬</v>
          </cell>
          <cell r="F126">
            <v>36412</v>
          </cell>
          <cell r="I126">
            <v>668340</v>
          </cell>
          <cell r="J126">
            <v>1077290</v>
          </cell>
          <cell r="K126">
            <v>963170</v>
          </cell>
          <cell r="L126">
            <v>956880</v>
          </cell>
          <cell r="M126">
            <v>977393</v>
          </cell>
          <cell r="P126">
            <v>50000</v>
          </cell>
          <cell r="Q126">
            <v>129540</v>
          </cell>
          <cell r="R126">
            <v>582950</v>
          </cell>
          <cell r="S126">
            <v>762490</v>
          </cell>
          <cell r="T126">
            <v>8333.3333333333339</v>
          </cell>
          <cell r="U126">
            <v>0</v>
          </cell>
        </row>
        <row r="127">
          <cell r="B127" t="str">
            <v>생산공통소계</v>
          </cell>
          <cell r="G127">
            <v>43350333</v>
          </cell>
          <cell r="H127">
            <v>42270303</v>
          </cell>
          <cell r="I127">
            <v>46970833</v>
          </cell>
          <cell r="J127">
            <v>47582313</v>
          </cell>
          <cell r="K127">
            <v>44976703</v>
          </cell>
          <cell r="L127">
            <v>45290823</v>
          </cell>
          <cell r="M127">
            <v>44980905</v>
          </cell>
          <cell r="N127">
            <v>12780300</v>
          </cell>
          <cell r="O127">
            <v>25936470</v>
          </cell>
          <cell r="P127">
            <v>3350000</v>
          </cell>
          <cell r="Q127">
            <v>13734340</v>
          </cell>
          <cell r="R127">
            <v>41948540</v>
          </cell>
          <cell r="S127">
            <v>97749650</v>
          </cell>
          <cell r="T127">
            <v>16126171.83333334</v>
          </cell>
          <cell r="U127">
            <v>26937090</v>
          </cell>
        </row>
        <row r="128">
          <cell r="A128" t="str">
            <v>소결개발</v>
          </cell>
          <cell r="B128" t="str">
            <v>소결영업팀</v>
          </cell>
          <cell r="C128" t="str">
            <v>SACM0107</v>
          </cell>
          <cell r="D128" t="str">
            <v>반장</v>
          </cell>
          <cell r="E128" t="str">
            <v>모병주</v>
          </cell>
          <cell r="F128">
            <v>29999</v>
          </cell>
          <cell r="G128">
            <v>2002150</v>
          </cell>
          <cell r="H128">
            <v>1912600</v>
          </cell>
          <cell r="I128">
            <v>1846830</v>
          </cell>
          <cell r="J128">
            <v>2081830</v>
          </cell>
          <cell r="K128">
            <v>1829290</v>
          </cell>
          <cell r="L128">
            <v>1889800</v>
          </cell>
          <cell r="M128">
            <v>1891604</v>
          </cell>
          <cell r="N128">
            <v>579060</v>
          </cell>
          <cell r="O128">
            <v>1158120</v>
          </cell>
          <cell r="P128">
            <v>100000</v>
          </cell>
          <cell r="Q128">
            <v>579060</v>
          </cell>
          <cell r="R128">
            <v>1737180</v>
          </cell>
          <cell r="S128">
            <v>4153420</v>
          </cell>
          <cell r="T128">
            <v>692236.66666666663</v>
          </cell>
          <cell r="U128">
            <v>1274223</v>
          </cell>
        </row>
        <row r="129">
          <cell r="A129" t="str">
            <v>소결영업</v>
          </cell>
          <cell r="B129" t="str">
            <v>소결영업팀</v>
          </cell>
          <cell r="C129" t="str">
            <v>SACM0165</v>
          </cell>
          <cell r="D129" t="str">
            <v>조원</v>
          </cell>
          <cell r="E129" t="str">
            <v>오병수</v>
          </cell>
          <cell r="F129">
            <v>34229</v>
          </cell>
          <cell r="G129">
            <v>1027990</v>
          </cell>
          <cell r="H129">
            <v>933770</v>
          </cell>
          <cell r="I129">
            <v>899930</v>
          </cell>
          <cell r="J129">
            <v>1024790</v>
          </cell>
          <cell r="K129">
            <v>1040840</v>
          </cell>
          <cell r="L129">
            <v>976310</v>
          </cell>
          <cell r="M129">
            <v>991937</v>
          </cell>
          <cell r="N129">
            <v>384090</v>
          </cell>
          <cell r="O129">
            <v>768180</v>
          </cell>
          <cell r="P129">
            <v>100000</v>
          </cell>
          <cell r="Q129">
            <v>384090</v>
          </cell>
          <cell r="R129">
            <v>1152270</v>
          </cell>
          <cell r="S129">
            <v>2788630</v>
          </cell>
          <cell r="T129">
            <v>464771.66666666669</v>
          </cell>
          <cell r="U129">
            <v>718377</v>
          </cell>
        </row>
        <row r="130">
          <cell r="B130" t="str">
            <v>소결영업소계</v>
          </cell>
          <cell r="G130">
            <v>3030140</v>
          </cell>
          <cell r="H130">
            <v>2846370</v>
          </cell>
          <cell r="I130">
            <v>2746760</v>
          </cell>
          <cell r="J130">
            <v>3106620</v>
          </cell>
          <cell r="K130">
            <v>2870130</v>
          </cell>
          <cell r="L130">
            <v>2866110</v>
          </cell>
          <cell r="M130">
            <v>2883541</v>
          </cell>
          <cell r="N130">
            <v>963150</v>
          </cell>
          <cell r="O130">
            <v>1926300</v>
          </cell>
          <cell r="P130">
            <v>200000</v>
          </cell>
          <cell r="Q130">
            <v>963150</v>
          </cell>
          <cell r="R130">
            <v>2889450</v>
          </cell>
          <cell r="S130">
            <v>6942050</v>
          </cell>
          <cell r="T130">
            <v>1157008.3333333333</v>
          </cell>
          <cell r="U130">
            <v>1992600</v>
          </cell>
        </row>
        <row r="131">
          <cell r="A131" t="str">
            <v>마찰영업</v>
          </cell>
          <cell r="B131" t="str">
            <v>마찰영업팀</v>
          </cell>
          <cell r="C131" t="str">
            <v>SACM0153</v>
          </cell>
          <cell r="D131" t="str">
            <v>조장</v>
          </cell>
          <cell r="E131" t="str">
            <v>김태관</v>
          </cell>
          <cell r="F131">
            <v>34155</v>
          </cell>
          <cell r="G131">
            <v>1202760</v>
          </cell>
          <cell r="H131">
            <v>1357910</v>
          </cell>
          <cell r="I131">
            <v>1078180</v>
          </cell>
          <cell r="J131">
            <v>1401450</v>
          </cell>
          <cell r="K131">
            <v>1162260</v>
          </cell>
          <cell r="L131">
            <v>1255940</v>
          </cell>
          <cell r="M131">
            <v>1245538</v>
          </cell>
          <cell r="N131">
            <v>419420</v>
          </cell>
          <cell r="O131">
            <v>838840</v>
          </cell>
          <cell r="P131">
            <v>100000</v>
          </cell>
          <cell r="Q131">
            <v>419420</v>
          </cell>
          <cell r="R131">
            <v>1258260</v>
          </cell>
          <cell r="S131">
            <v>3035940</v>
          </cell>
          <cell r="T131">
            <v>505989.99999999994</v>
          </cell>
          <cell r="U131">
            <v>863767</v>
          </cell>
        </row>
        <row r="132">
          <cell r="B132" t="str">
            <v>마찰영업소계</v>
          </cell>
          <cell r="G132">
            <v>1202760</v>
          </cell>
          <cell r="H132">
            <v>1357910</v>
          </cell>
          <cell r="I132">
            <v>1078180</v>
          </cell>
          <cell r="J132">
            <v>1401450</v>
          </cell>
          <cell r="K132">
            <v>1162260</v>
          </cell>
          <cell r="L132">
            <v>1255940</v>
          </cell>
          <cell r="M132">
            <v>1245538</v>
          </cell>
          <cell r="N132">
            <v>419420</v>
          </cell>
          <cell r="O132">
            <v>838840</v>
          </cell>
          <cell r="P132">
            <v>100000</v>
          </cell>
          <cell r="Q132">
            <v>419420</v>
          </cell>
          <cell r="R132">
            <v>1258260</v>
          </cell>
          <cell r="S132">
            <v>3035940</v>
          </cell>
          <cell r="T132">
            <v>505989.99999999994</v>
          </cell>
          <cell r="U132">
            <v>863767</v>
          </cell>
        </row>
        <row r="133">
          <cell r="A133" t="str">
            <v>마찰개발</v>
          </cell>
          <cell r="B133" t="str">
            <v>마찰재개발팀</v>
          </cell>
          <cell r="C133" t="str">
            <v>SACM0002</v>
          </cell>
          <cell r="D133" t="str">
            <v>반장보</v>
          </cell>
          <cell r="E133" t="str">
            <v>임규보</v>
          </cell>
          <cell r="F133">
            <v>33336</v>
          </cell>
          <cell r="G133">
            <v>1147540</v>
          </cell>
          <cell r="H133">
            <v>1172330</v>
          </cell>
          <cell r="I133">
            <v>1377600</v>
          </cell>
          <cell r="J133">
            <v>1412140</v>
          </cell>
          <cell r="K133">
            <v>1273020</v>
          </cell>
          <cell r="L133">
            <v>1405760</v>
          </cell>
          <cell r="M133">
            <v>1333996</v>
          </cell>
          <cell r="N133">
            <v>451090</v>
          </cell>
          <cell r="O133">
            <v>902190</v>
          </cell>
          <cell r="P133">
            <v>100000</v>
          </cell>
          <cell r="Q133">
            <v>451090</v>
          </cell>
          <cell r="R133">
            <v>1353280</v>
          </cell>
          <cell r="S133">
            <v>3257650</v>
          </cell>
          <cell r="T133">
            <v>542944.16666666674</v>
          </cell>
          <cell r="U133">
            <v>925614</v>
          </cell>
        </row>
        <row r="134">
          <cell r="B134" t="str">
            <v>마찰재개발팀</v>
          </cell>
          <cell r="C134" t="str">
            <v>SACM0175</v>
          </cell>
          <cell r="D134" t="str">
            <v>조장</v>
          </cell>
          <cell r="E134" t="str">
            <v>박준경</v>
          </cell>
          <cell r="F134">
            <v>34381</v>
          </cell>
          <cell r="G134">
            <v>1063320</v>
          </cell>
          <cell r="H134">
            <v>1082100</v>
          </cell>
          <cell r="I134">
            <v>1216670</v>
          </cell>
          <cell r="J134">
            <v>1110880</v>
          </cell>
          <cell r="K134">
            <v>1047200</v>
          </cell>
          <cell r="L134">
            <v>1006380</v>
          </cell>
          <cell r="M134">
            <v>1031889</v>
          </cell>
          <cell r="N134">
            <v>401690</v>
          </cell>
          <cell r="O134">
            <v>803380</v>
          </cell>
          <cell r="P134">
            <v>100000</v>
          </cell>
          <cell r="Q134">
            <v>401690</v>
          </cell>
          <cell r="R134">
            <v>1205070</v>
          </cell>
          <cell r="S134">
            <v>2911830</v>
          </cell>
          <cell r="T134">
            <v>485305</v>
          </cell>
          <cell r="U134">
            <v>748205</v>
          </cell>
        </row>
        <row r="135">
          <cell r="B135" t="str">
            <v>마찰재개발팀</v>
          </cell>
          <cell r="C135" t="str">
            <v>SACM0199</v>
          </cell>
          <cell r="D135" t="str">
            <v>조장</v>
          </cell>
          <cell r="E135" t="str">
            <v>박  윤</v>
          </cell>
          <cell r="F135">
            <v>34582</v>
          </cell>
          <cell r="G135">
            <v>1131870</v>
          </cell>
          <cell r="H135">
            <v>1112050</v>
          </cell>
          <cell r="I135">
            <v>1080320</v>
          </cell>
          <cell r="J135">
            <v>1083440</v>
          </cell>
          <cell r="K135">
            <v>1074820</v>
          </cell>
          <cell r="L135">
            <v>1061400</v>
          </cell>
          <cell r="M135">
            <v>1049889</v>
          </cell>
          <cell r="N135">
            <v>401950</v>
          </cell>
          <cell r="O135">
            <v>811340</v>
          </cell>
          <cell r="P135">
            <v>100000</v>
          </cell>
          <cell r="Q135">
            <v>405670</v>
          </cell>
          <cell r="R135">
            <v>1217010</v>
          </cell>
          <cell r="S135">
            <v>2935970</v>
          </cell>
          <cell r="T135">
            <v>489948.33333333331</v>
          </cell>
          <cell r="U135">
            <v>759372</v>
          </cell>
        </row>
        <row r="136">
          <cell r="B136" t="str">
            <v>마찰재개발팀</v>
          </cell>
          <cell r="C136" t="str">
            <v>SACM0225</v>
          </cell>
          <cell r="D136" t="str">
            <v>조원</v>
          </cell>
          <cell r="E136" t="str">
            <v>윤재덕</v>
          </cell>
          <cell r="F136">
            <v>34827</v>
          </cell>
          <cell r="G136">
            <v>885160</v>
          </cell>
          <cell r="H136">
            <v>915320</v>
          </cell>
          <cell r="I136">
            <v>963230</v>
          </cell>
          <cell r="J136">
            <v>941340</v>
          </cell>
          <cell r="K136">
            <v>928920</v>
          </cell>
          <cell r="L136">
            <v>1051840</v>
          </cell>
          <cell r="M136">
            <v>952859</v>
          </cell>
          <cell r="N136">
            <v>360250</v>
          </cell>
          <cell r="O136">
            <v>720500</v>
          </cell>
          <cell r="P136">
            <v>100000</v>
          </cell>
          <cell r="Q136">
            <v>360250</v>
          </cell>
          <cell r="R136">
            <v>1080750</v>
          </cell>
          <cell r="S136">
            <v>2621750</v>
          </cell>
          <cell r="T136">
            <v>436958.33333333331</v>
          </cell>
          <cell r="U136">
            <v>685389</v>
          </cell>
        </row>
        <row r="137">
          <cell r="B137" t="str">
            <v>마찰재개발팀</v>
          </cell>
          <cell r="C137" t="str">
            <v>SACM0238</v>
          </cell>
          <cell r="D137" t="str">
            <v>조원</v>
          </cell>
          <cell r="E137" t="str">
            <v>변용수</v>
          </cell>
          <cell r="F137">
            <v>34918</v>
          </cell>
          <cell r="G137">
            <v>964820</v>
          </cell>
          <cell r="H137">
            <v>1087890</v>
          </cell>
          <cell r="I137">
            <v>1077940</v>
          </cell>
          <cell r="J137">
            <v>1257240</v>
          </cell>
          <cell r="K137">
            <v>1033040</v>
          </cell>
          <cell r="L137">
            <v>823580</v>
          </cell>
          <cell r="M137">
            <v>1015389</v>
          </cell>
          <cell r="N137">
            <v>363440</v>
          </cell>
          <cell r="O137">
            <v>726880</v>
          </cell>
          <cell r="P137">
            <v>100000</v>
          </cell>
          <cell r="Q137">
            <v>363440</v>
          </cell>
          <cell r="R137">
            <v>1090320</v>
          </cell>
          <cell r="S137">
            <v>2644080</v>
          </cell>
          <cell r="T137">
            <v>440680</v>
          </cell>
          <cell r="U137">
            <v>718061</v>
          </cell>
        </row>
        <row r="138">
          <cell r="B138" t="str">
            <v>마찰재개발팀</v>
          </cell>
          <cell r="C138" t="str">
            <v>SACM0297</v>
          </cell>
          <cell r="D138" t="str">
            <v>조원</v>
          </cell>
          <cell r="E138" t="str">
            <v>박학칠</v>
          </cell>
          <cell r="F138">
            <v>36292</v>
          </cell>
          <cell r="G138">
            <v>872450</v>
          </cell>
          <cell r="H138">
            <v>803350</v>
          </cell>
          <cell r="I138">
            <v>890250</v>
          </cell>
          <cell r="J138">
            <v>1090480</v>
          </cell>
          <cell r="K138">
            <v>948340</v>
          </cell>
          <cell r="L138">
            <v>960650</v>
          </cell>
          <cell r="M138">
            <v>978088</v>
          </cell>
          <cell r="N138">
            <v>129540</v>
          </cell>
          <cell r="O138">
            <v>276090</v>
          </cell>
          <cell r="P138">
            <v>100000</v>
          </cell>
          <cell r="Q138">
            <v>207070</v>
          </cell>
          <cell r="R138">
            <v>759240</v>
          </cell>
          <cell r="S138">
            <v>1471940</v>
          </cell>
          <cell r="T138">
            <v>177719.16666666669</v>
          </cell>
          <cell r="U138">
            <v>0</v>
          </cell>
        </row>
        <row r="139">
          <cell r="B139" t="str">
            <v>마찰재개발팀</v>
          </cell>
          <cell r="C139" t="str">
            <v>SACM0304</v>
          </cell>
          <cell r="D139" t="str">
            <v>조원</v>
          </cell>
          <cell r="E139" t="str">
            <v>박순태</v>
          </cell>
          <cell r="F139">
            <v>36362</v>
          </cell>
          <cell r="G139">
            <v>228580</v>
          </cell>
          <cell r="H139">
            <v>908860</v>
          </cell>
          <cell r="I139">
            <v>1113470</v>
          </cell>
          <cell r="J139">
            <v>1045460</v>
          </cell>
          <cell r="K139">
            <v>876560</v>
          </cell>
          <cell r="L139">
            <v>930380</v>
          </cell>
          <cell r="M139">
            <v>930130</v>
          </cell>
          <cell r="P139">
            <v>50000</v>
          </cell>
          <cell r="Q139">
            <v>130080</v>
          </cell>
          <cell r="R139">
            <v>585340</v>
          </cell>
          <cell r="S139">
            <v>765420</v>
          </cell>
          <cell r="T139">
            <v>8333.3333333333339</v>
          </cell>
          <cell r="U139">
            <v>0</v>
          </cell>
        </row>
      </sheetData>
      <sheetData sheetId="5" refreshError="1"/>
      <sheetData sheetId="6"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tion"/>
      <sheetName val="CashFlow"/>
      <sheetName val="CashFlow(중간집계)"/>
      <sheetName val="담보평가"/>
      <sheetName val="LoanList"/>
      <sheetName val="법원비용"/>
      <sheetName val="청구채권액"/>
      <sheetName val="경락률"/>
      <sheetName val="경매회차하락률"/>
      <sheetName val="항고구분"/>
      <sheetName val="주식 등 질권 "/>
      <sheetName val="차주별평가결과"/>
      <sheetName val="매출.물동명세"/>
      <sheetName val="별제권_정리담보권1"/>
      <sheetName val="Sheet1"/>
      <sheetName val="대차대조표"/>
      <sheetName val="RECIMAKE"/>
      <sheetName val="대여현황"/>
      <sheetName val="대전-교대(A1-A2)"/>
      <sheetName val="콤보박스와 리스트박스의 연결"/>
      <sheetName val="신공"/>
      <sheetName val="당사수지"/>
      <sheetName val="단가"/>
      <sheetName val="분당임차변경"/>
      <sheetName val="basic_info"/>
      <sheetName val="기본 FACTOR"/>
      <sheetName val="공통가설"/>
      <sheetName val="현금흐름(SPC)"/>
      <sheetName val="대처방안"/>
      <sheetName val="정리계획CF평가"/>
      <sheetName val="단위수량"/>
    </sheetNames>
    <sheetDataSet>
      <sheetData sheetId="0" refreshError="1"/>
      <sheetData sheetId="1" refreshError="1"/>
      <sheetData sheetId="2" refreshError="1"/>
      <sheetData sheetId="3" refreshError="1">
        <row r="9">
          <cell r="B9" t="str">
            <v>일련번호</v>
          </cell>
          <cell r="BN9" t="str">
            <v>항고고려후 배당기일</v>
          </cell>
          <cell r="BR9" t="str">
            <v>실지 배당액</v>
          </cell>
        </row>
        <row r="10">
          <cell r="B10">
            <v>1</v>
          </cell>
          <cell r="BN10">
            <v>37180</v>
          </cell>
          <cell r="BR10">
            <v>0</v>
          </cell>
        </row>
        <row r="11">
          <cell r="B11">
            <v>2</v>
          </cell>
          <cell r="BN11">
            <v>37180</v>
          </cell>
          <cell r="BR11" t="e">
            <v>#VALUE!</v>
          </cell>
        </row>
        <row r="12">
          <cell r="B12">
            <v>3</v>
          </cell>
          <cell r="BN12">
            <v>37180</v>
          </cell>
          <cell r="BR12" t="e">
            <v>#VALUE!</v>
          </cell>
        </row>
        <row r="13">
          <cell r="B13">
            <v>4</v>
          </cell>
          <cell r="BN13">
            <v>37180</v>
          </cell>
          <cell r="BR13" t="e">
            <v>#VALUE!</v>
          </cell>
        </row>
        <row r="14">
          <cell r="B14">
            <v>5</v>
          </cell>
          <cell r="BN14">
            <v>37180</v>
          </cell>
          <cell r="BR14" t="e">
            <v>#VALUE!</v>
          </cell>
        </row>
        <row r="15">
          <cell r="B15">
            <v>6</v>
          </cell>
          <cell r="BN15">
            <v>37180</v>
          </cell>
          <cell r="BR15" t="e">
            <v>#VALUE!</v>
          </cell>
        </row>
        <row r="16">
          <cell r="B16">
            <v>7</v>
          </cell>
          <cell r="BN16">
            <v>37180</v>
          </cell>
          <cell r="BR16" t="e">
            <v>#VALUE!</v>
          </cell>
        </row>
        <row r="17">
          <cell r="B17">
            <v>8</v>
          </cell>
          <cell r="BN17">
            <v>37180</v>
          </cell>
          <cell r="BR17">
            <v>0</v>
          </cell>
        </row>
        <row r="18">
          <cell r="B18">
            <v>9</v>
          </cell>
          <cell r="BN18">
            <v>37180</v>
          </cell>
          <cell r="BR18">
            <v>0</v>
          </cell>
        </row>
        <row r="19">
          <cell r="B19">
            <v>10</v>
          </cell>
          <cell r="BN19">
            <v>37180</v>
          </cell>
          <cell r="BR19">
            <v>0</v>
          </cell>
        </row>
        <row r="20">
          <cell r="B20">
            <v>11</v>
          </cell>
          <cell r="BN20">
            <v>37180</v>
          </cell>
          <cell r="BR20">
            <v>1161469.1719119998</v>
          </cell>
        </row>
        <row r="21">
          <cell r="B21">
            <v>12</v>
          </cell>
          <cell r="BN21">
            <v>37180</v>
          </cell>
          <cell r="BR21">
            <v>4095637.56</v>
          </cell>
        </row>
        <row r="22">
          <cell r="B22">
            <v>13</v>
          </cell>
          <cell r="BN22">
            <v>37180</v>
          </cell>
          <cell r="BR22">
            <v>0</v>
          </cell>
        </row>
        <row r="23">
          <cell r="B23">
            <v>14</v>
          </cell>
          <cell r="BN23">
            <v>37180</v>
          </cell>
          <cell r="BR23">
            <v>56145.484863999998</v>
          </cell>
        </row>
        <row r="24">
          <cell r="B24">
            <v>15</v>
          </cell>
          <cell r="BN24">
            <v>37180</v>
          </cell>
          <cell r="BR24">
            <v>0</v>
          </cell>
        </row>
        <row r="25">
          <cell r="B25">
            <v>16</v>
          </cell>
          <cell r="BN25">
            <v>37180</v>
          </cell>
          <cell r="BR25">
            <v>0</v>
          </cell>
        </row>
        <row r="26">
          <cell r="B26">
            <v>17</v>
          </cell>
          <cell r="BN26">
            <v>37180</v>
          </cell>
          <cell r="BR26">
            <v>0</v>
          </cell>
        </row>
        <row r="27">
          <cell r="B27">
            <v>18</v>
          </cell>
          <cell r="BN27">
            <v>37180</v>
          </cell>
          <cell r="BR27">
            <v>0</v>
          </cell>
        </row>
        <row r="28">
          <cell r="B28">
            <v>19</v>
          </cell>
          <cell r="BN28">
            <v>37180</v>
          </cell>
          <cell r="BR28">
            <v>2818863.0995839997</v>
          </cell>
        </row>
        <row r="29">
          <cell r="B29">
            <v>20</v>
          </cell>
          <cell r="BN29">
            <v>37180</v>
          </cell>
          <cell r="BR29">
            <v>0</v>
          </cell>
        </row>
        <row r="30">
          <cell r="B30">
            <v>21</v>
          </cell>
          <cell r="BN30">
            <v>37180</v>
          </cell>
          <cell r="BR30">
            <v>45554.309556</v>
          </cell>
        </row>
        <row r="31">
          <cell r="B31">
            <v>22</v>
          </cell>
          <cell r="BN31">
            <v>37180</v>
          </cell>
          <cell r="BR31">
            <v>729014.77246720006</v>
          </cell>
        </row>
        <row r="32">
          <cell r="B32">
            <v>23</v>
          </cell>
          <cell r="BN32">
            <v>37270</v>
          </cell>
          <cell r="BR32">
            <v>92127.518827939639</v>
          </cell>
        </row>
        <row r="33">
          <cell r="B33">
            <v>24</v>
          </cell>
          <cell r="BN33">
            <v>37210</v>
          </cell>
          <cell r="BR33">
            <v>112845.8854879705</v>
          </cell>
        </row>
        <row r="34">
          <cell r="B34">
            <v>25</v>
          </cell>
          <cell r="BN34">
            <v>37180</v>
          </cell>
          <cell r="BR34">
            <v>86742.911507285986</v>
          </cell>
        </row>
        <row r="35">
          <cell r="B35">
            <v>26</v>
          </cell>
          <cell r="BN35">
            <v>37180</v>
          </cell>
          <cell r="BR35">
            <v>2359.8608676041222</v>
          </cell>
        </row>
        <row r="36">
          <cell r="B36">
            <v>27</v>
          </cell>
          <cell r="BN36">
            <v>37270</v>
          </cell>
          <cell r="BR36">
            <v>16219.495983609011</v>
          </cell>
        </row>
        <row r="37">
          <cell r="B37">
            <v>28</v>
          </cell>
          <cell r="BN37">
            <v>37270</v>
          </cell>
          <cell r="BR37">
            <v>0</v>
          </cell>
        </row>
        <row r="38">
          <cell r="B38">
            <v>29</v>
          </cell>
          <cell r="BN38">
            <v>37180</v>
          </cell>
          <cell r="BR38">
            <v>173215.91969007917</v>
          </cell>
        </row>
        <row r="39">
          <cell r="B39">
            <v>30</v>
          </cell>
          <cell r="BN39">
            <v>37210</v>
          </cell>
          <cell r="BR39">
            <v>86774.415304303024</v>
          </cell>
        </row>
        <row r="40">
          <cell r="B40">
            <v>31</v>
          </cell>
          <cell r="BN40">
            <v>37180</v>
          </cell>
          <cell r="BR40">
            <v>336844.00311525271</v>
          </cell>
        </row>
        <row r="41">
          <cell r="B41">
            <v>32</v>
          </cell>
          <cell r="BN41">
            <v>37180</v>
          </cell>
          <cell r="BR41">
            <v>28512.362412671755</v>
          </cell>
        </row>
        <row r="42">
          <cell r="B42">
            <v>33</v>
          </cell>
          <cell r="BN42">
            <v>37210</v>
          </cell>
          <cell r="BR42">
            <v>113272.26239192097</v>
          </cell>
        </row>
        <row r="43">
          <cell r="B43">
            <v>34</v>
          </cell>
          <cell r="BN43">
            <v>37210</v>
          </cell>
          <cell r="BR43">
            <v>80579.221402532305</v>
          </cell>
        </row>
        <row r="44">
          <cell r="B44">
            <v>35</v>
          </cell>
          <cell r="BN44">
            <v>37180</v>
          </cell>
          <cell r="BR44">
            <v>267395.80276436138</v>
          </cell>
        </row>
        <row r="45">
          <cell r="B45">
            <v>36</v>
          </cell>
          <cell r="BN45">
            <v>37210</v>
          </cell>
          <cell r="BR45">
            <v>61718.908260334552</v>
          </cell>
        </row>
        <row r="46">
          <cell r="B46">
            <v>37</v>
          </cell>
          <cell r="BN46">
            <v>37180</v>
          </cell>
          <cell r="BR46">
            <v>0</v>
          </cell>
        </row>
        <row r="47">
          <cell r="B47">
            <v>38</v>
          </cell>
          <cell r="BN47">
            <v>37210</v>
          </cell>
          <cell r="BR47">
            <v>205261.96306151725</v>
          </cell>
        </row>
        <row r="48">
          <cell r="B48">
            <v>39</v>
          </cell>
          <cell r="BN48">
            <v>37180</v>
          </cell>
          <cell r="BR48">
            <v>1214746.7029738743</v>
          </cell>
        </row>
        <row r="49">
          <cell r="B49">
            <v>40</v>
          </cell>
          <cell r="BN49" t="e">
            <v>#N/A</v>
          </cell>
          <cell r="BR49" t="e">
            <v>#N/A</v>
          </cell>
        </row>
        <row r="50">
          <cell r="B50">
            <v>41</v>
          </cell>
          <cell r="BN50" t="e">
            <v>#N/A</v>
          </cell>
          <cell r="BR50" t="e">
            <v>#N/A</v>
          </cell>
        </row>
        <row r="51">
          <cell r="B51">
            <v>42</v>
          </cell>
          <cell r="BN51" t="e">
            <v>#N/A</v>
          </cell>
          <cell r="BR51" t="e">
            <v>#N/A</v>
          </cell>
        </row>
        <row r="52">
          <cell r="B52">
            <v>43</v>
          </cell>
          <cell r="BN52">
            <v>37330</v>
          </cell>
          <cell r="BR52">
            <v>328643.97809835232</v>
          </cell>
        </row>
        <row r="53">
          <cell r="B53">
            <v>44</v>
          </cell>
          <cell r="BN53">
            <v>37270</v>
          </cell>
          <cell r="BR53">
            <v>0</v>
          </cell>
        </row>
        <row r="54">
          <cell r="B54">
            <v>45</v>
          </cell>
          <cell r="BN54">
            <v>37270</v>
          </cell>
          <cell r="BR54">
            <v>41113.895020664822</v>
          </cell>
        </row>
        <row r="55">
          <cell r="B55">
            <v>46</v>
          </cell>
          <cell r="BN55">
            <v>37270</v>
          </cell>
          <cell r="BR55">
            <v>203201.47840458149</v>
          </cell>
        </row>
        <row r="56">
          <cell r="B56">
            <v>47</v>
          </cell>
          <cell r="BN56">
            <v>37270</v>
          </cell>
          <cell r="BR56">
            <v>0</v>
          </cell>
        </row>
        <row r="57">
          <cell r="B57">
            <v>48</v>
          </cell>
          <cell r="BN57">
            <v>37240</v>
          </cell>
          <cell r="BR57">
            <v>37986.835927740729</v>
          </cell>
        </row>
        <row r="58">
          <cell r="B58">
            <v>49</v>
          </cell>
          <cell r="BN58">
            <v>37240</v>
          </cell>
          <cell r="BR58">
            <v>92005.458712783264</v>
          </cell>
        </row>
        <row r="59">
          <cell r="B59">
            <v>50</v>
          </cell>
          <cell r="BN59">
            <v>37270</v>
          </cell>
          <cell r="BR59">
            <v>9432.0156145989677</v>
          </cell>
        </row>
        <row r="60">
          <cell r="B60">
            <v>51</v>
          </cell>
          <cell r="BN60">
            <v>37180</v>
          </cell>
          <cell r="BR60">
            <v>29247.085521412839</v>
          </cell>
        </row>
        <row r="61">
          <cell r="B61">
            <v>52</v>
          </cell>
          <cell r="BN61">
            <v>37240</v>
          </cell>
          <cell r="BR61">
            <v>0</v>
          </cell>
        </row>
        <row r="62">
          <cell r="B62">
            <v>53</v>
          </cell>
          <cell r="BN62" t="e">
            <v>#N/A</v>
          </cell>
          <cell r="BR62" t="e">
            <v>#N/A</v>
          </cell>
        </row>
        <row r="63">
          <cell r="B63">
            <v>54</v>
          </cell>
          <cell r="BN63">
            <v>37300</v>
          </cell>
          <cell r="BR63">
            <v>577423.38521496544</v>
          </cell>
        </row>
        <row r="64">
          <cell r="B64">
            <v>55</v>
          </cell>
          <cell r="BN64">
            <v>37180</v>
          </cell>
          <cell r="BR64">
            <v>3370943.9399030027</v>
          </cell>
        </row>
        <row r="65">
          <cell r="B65">
            <v>56</v>
          </cell>
          <cell r="BN65">
            <v>37180</v>
          </cell>
          <cell r="BR65">
            <v>727624.16393425781</v>
          </cell>
        </row>
        <row r="66">
          <cell r="B66">
            <v>57</v>
          </cell>
          <cell r="BN66">
            <v>37180</v>
          </cell>
          <cell r="BR66">
            <v>585626.49660672247</v>
          </cell>
        </row>
        <row r="67">
          <cell r="B67">
            <v>58</v>
          </cell>
          <cell r="BN67">
            <v>37180</v>
          </cell>
          <cell r="BR67">
            <v>18339.961524764054</v>
          </cell>
        </row>
        <row r="68">
          <cell r="B68">
            <v>59</v>
          </cell>
          <cell r="BN68">
            <v>37240</v>
          </cell>
          <cell r="BR68">
            <v>844929.50322670327</v>
          </cell>
        </row>
        <row r="69">
          <cell r="B69">
            <v>60</v>
          </cell>
          <cell r="BN69">
            <v>37240</v>
          </cell>
          <cell r="BR69">
            <v>778969.6013957446</v>
          </cell>
        </row>
        <row r="70">
          <cell r="B70">
            <v>61</v>
          </cell>
          <cell r="BN70">
            <v>37210</v>
          </cell>
          <cell r="BR70">
            <v>0</v>
          </cell>
        </row>
        <row r="71">
          <cell r="B71">
            <v>62</v>
          </cell>
          <cell r="BN71">
            <v>37240</v>
          </cell>
          <cell r="BR71">
            <v>0</v>
          </cell>
        </row>
        <row r="72">
          <cell r="B72">
            <v>63</v>
          </cell>
          <cell r="BN72">
            <v>37210</v>
          </cell>
          <cell r="BR72">
            <v>2508.1840838957205</v>
          </cell>
        </row>
        <row r="73">
          <cell r="B73">
            <v>64</v>
          </cell>
          <cell r="BN73">
            <v>37240</v>
          </cell>
          <cell r="BR73">
            <v>3908695.3766668793</v>
          </cell>
        </row>
        <row r="74">
          <cell r="B74">
            <v>65</v>
          </cell>
          <cell r="BN74">
            <v>37210</v>
          </cell>
          <cell r="BR74">
            <v>80499.94439057172</v>
          </cell>
        </row>
        <row r="75">
          <cell r="B75">
            <v>66</v>
          </cell>
          <cell r="BN75">
            <v>37180</v>
          </cell>
          <cell r="BR75">
            <v>267140.44620504894</v>
          </cell>
        </row>
        <row r="76">
          <cell r="B76">
            <v>67</v>
          </cell>
          <cell r="BN76">
            <v>37210</v>
          </cell>
          <cell r="BR76">
            <v>61657.408046907665</v>
          </cell>
        </row>
        <row r="77">
          <cell r="B77">
            <v>68</v>
          </cell>
          <cell r="BN77">
            <v>37180</v>
          </cell>
          <cell r="BR77">
            <v>0</v>
          </cell>
        </row>
        <row r="78">
          <cell r="B78">
            <v>69</v>
          </cell>
          <cell r="BN78">
            <v>37210</v>
          </cell>
          <cell r="BR78">
            <v>205065.16626277522</v>
          </cell>
        </row>
        <row r="79">
          <cell r="B79">
            <v>70</v>
          </cell>
          <cell r="BN79">
            <v>37180</v>
          </cell>
          <cell r="BR79">
            <v>1213686.796729923</v>
          </cell>
        </row>
        <row r="80">
          <cell r="B80">
            <v>71</v>
          </cell>
          <cell r="BN80" t="e">
            <v>#N/A</v>
          </cell>
          <cell r="BR80" t="e">
            <v>#N/A</v>
          </cell>
        </row>
        <row r="81">
          <cell r="B81">
            <v>72</v>
          </cell>
          <cell r="BN81">
            <v>37210</v>
          </cell>
          <cell r="BR81">
            <v>1777523.7892264158</v>
          </cell>
        </row>
        <row r="82">
          <cell r="B82">
            <v>73</v>
          </cell>
          <cell r="BN82">
            <v>37300</v>
          </cell>
          <cell r="BR82">
            <v>2866543.415172922</v>
          </cell>
        </row>
        <row r="83">
          <cell r="B83">
            <v>74</v>
          </cell>
          <cell r="BN83">
            <v>37270</v>
          </cell>
          <cell r="BR83">
            <v>113753.01250839909</v>
          </cell>
        </row>
        <row r="84">
          <cell r="B84">
            <v>75</v>
          </cell>
          <cell r="BN84">
            <v>37210</v>
          </cell>
          <cell r="BR84">
            <v>1694122.6824740786</v>
          </cell>
        </row>
        <row r="85">
          <cell r="B85">
            <v>76</v>
          </cell>
          <cell r="BN85">
            <v>37180</v>
          </cell>
          <cell r="BR85">
            <v>4748.8846334147765</v>
          </cell>
        </row>
        <row r="86">
          <cell r="B86">
            <v>77</v>
          </cell>
          <cell r="BN86">
            <v>37180</v>
          </cell>
          <cell r="BR86">
            <v>1625329.2082307199</v>
          </cell>
        </row>
        <row r="87">
          <cell r="B87">
            <v>78</v>
          </cell>
          <cell r="BN87">
            <v>37210</v>
          </cell>
          <cell r="BR87">
            <v>666890.45217776741</v>
          </cell>
        </row>
        <row r="88">
          <cell r="B88">
            <v>79</v>
          </cell>
          <cell r="BN88">
            <v>37240</v>
          </cell>
          <cell r="BR88">
            <v>687009.35507695097</v>
          </cell>
        </row>
        <row r="89">
          <cell r="B89">
            <v>80</v>
          </cell>
          <cell r="BN89">
            <v>37240</v>
          </cell>
          <cell r="BR89">
            <v>687043.92029684677</v>
          </cell>
        </row>
        <row r="90">
          <cell r="B90">
            <v>81</v>
          </cell>
          <cell r="BN90">
            <v>37210</v>
          </cell>
          <cell r="BR90">
            <v>1012931.2483186685</v>
          </cell>
        </row>
        <row r="91">
          <cell r="B91">
            <v>82</v>
          </cell>
          <cell r="BN91">
            <v>37240</v>
          </cell>
          <cell r="BR91">
            <v>143941.48841824665</v>
          </cell>
        </row>
        <row r="92">
          <cell r="B92">
            <v>83</v>
          </cell>
          <cell r="BN92">
            <v>37002</v>
          </cell>
          <cell r="BR92">
            <v>1170683.3665694399</v>
          </cell>
        </row>
        <row r="93">
          <cell r="B93">
            <v>84</v>
          </cell>
          <cell r="BN93">
            <v>37180</v>
          </cell>
          <cell r="BR93">
            <v>241628.43119796849</v>
          </cell>
        </row>
        <row r="94">
          <cell r="B94">
            <v>85</v>
          </cell>
          <cell r="BN94">
            <v>37180</v>
          </cell>
          <cell r="BR94">
            <v>64343.527143702988</v>
          </cell>
        </row>
        <row r="95">
          <cell r="B95">
            <v>86</v>
          </cell>
          <cell r="BN95">
            <v>37180</v>
          </cell>
          <cell r="BR95">
            <v>0</v>
          </cell>
        </row>
        <row r="96">
          <cell r="B96">
            <v>87</v>
          </cell>
          <cell r="BN96">
            <v>37180</v>
          </cell>
          <cell r="BR96">
            <v>0</v>
          </cell>
        </row>
        <row r="97">
          <cell r="B97">
            <v>88</v>
          </cell>
          <cell r="BN97">
            <v>37180</v>
          </cell>
          <cell r="BR97">
            <v>0</v>
          </cell>
        </row>
        <row r="98">
          <cell r="B98">
            <v>89</v>
          </cell>
          <cell r="BN98">
            <v>37330</v>
          </cell>
          <cell r="BR98">
            <v>301785.64671391994</v>
          </cell>
        </row>
        <row r="99">
          <cell r="B99">
            <v>90</v>
          </cell>
          <cell r="BN99">
            <v>37270</v>
          </cell>
          <cell r="BR99">
            <v>539120.09331536002</v>
          </cell>
        </row>
        <row r="100">
          <cell r="B100">
            <v>91</v>
          </cell>
          <cell r="BN100">
            <v>37210</v>
          </cell>
          <cell r="BR100">
            <v>873303.64194130269</v>
          </cell>
        </row>
        <row r="101">
          <cell r="B101">
            <v>92</v>
          </cell>
          <cell r="BN101">
            <v>37180</v>
          </cell>
          <cell r="BR101">
            <v>3619449.4850586965</v>
          </cell>
        </row>
        <row r="102">
          <cell r="B102">
            <v>93</v>
          </cell>
          <cell r="BN102">
            <v>37002</v>
          </cell>
          <cell r="BR102">
            <v>277279.44764959998</v>
          </cell>
        </row>
        <row r="103">
          <cell r="B103">
            <v>94</v>
          </cell>
          <cell r="BN103">
            <v>37180</v>
          </cell>
          <cell r="BR103">
            <v>55079.060171125289</v>
          </cell>
        </row>
        <row r="104">
          <cell r="B104">
            <v>95</v>
          </cell>
          <cell r="BN104">
            <v>37180</v>
          </cell>
          <cell r="BR104">
            <v>305035.16530110105</v>
          </cell>
        </row>
        <row r="105">
          <cell r="B105">
            <v>96</v>
          </cell>
          <cell r="BN105">
            <v>37180</v>
          </cell>
          <cell r="BR105">
            <v>4162.0470692085482</v>
          </cell>
        </row>
        <row r="106">
          <cell r="B106">
            <v>97</v>
          </cell>
          <cell r="BN106">
            <v>37180</v>
          </cell>
          <cell r="BR106">
            <v>0</v>
          </cell>
        </row>
        <row r="107">
          <cell r="B107">
            <v>98</v>
          </cell>
          <cell r="BN107">
            <v>37180</v>
          </cell>
          <cell r="BR107">
            <v>101525.36108139085</v>
          </cell>
        </row>
        <row r="108">
          <cell r="B108">
            <v>99</v>
          </cell>
          <cell r="BN108">
            <v>37180</v>
          </cell>
          <cell r="BR108">
            <v>0</v>
          </cell>
        </row>
        <row r="109">
          <cell r="B109">
            <v>100</v>
          </cell>
          <cell r="BN109">
            <v>37180</v>
          </cell>
          <cell r="BR109">
            <v>34140.913087891662</v>
          </cell>
        </row>
        <row r="110">
          <cell r="B110">
            <v>101</v>
          </cell>
          <cell r="BN110">
            <v>37180</v>
          </cell>
          <cell r="BR110">
            <v>8057901.6446892675</v>
          </cell>
        </row>
        <row r="111">
          <cell r="B111">
            <v>102</v>
          </cell>
          <cell r="BN111">
            <v>37180</v>
          </cell>
          <cell r="BR111">
            <v>198683.10630928449</v>
          </cell>
        </row>
        <row r="112">
          <cell r="B112">
            <v>103</v>
          </cell>
          <cell r="BN112">
            <v>37180</v>
          </cell>
          <cell r="BR112">
            <v>0</v>
          </cell>
        </row>
        <row r="113">
          <cell r="B113">
            <v>104</v>
          </cell>
          <cell r="BN113">
            <v>37180</v>
          </cell>
          <cell r="BR113">
            <v>0</v>
          </cell>
        </row>
        <row r="114">
          <cell r="B114">
            <v>105</v>
          </cell>
          <cell r="BN114">
            <v>37180</v>
          </cell>
          <cell r="BR114">
            <v>0</v>
          </cell>
        </row>
        <row r="115">
          <cell r="B115">
            <v>106</v>
          </cell>
          <cell r="BN115">
            <v>37180</v>
          </cell>
          <cell r="BR115">
            <v>0</v>
          </cell>
        </row>
        <row r="116">
          <cell r="B116">
            <v>107</v>
          </cell>
          <cell r="BN116">
            <v>37180</v>
          </cell>
          <cell r="BR116">
            <v>0</v>
          </cell>
        </row>
        <row r="117">
          <cell r="B117">
            <v>108</v>
          </cell>
          <cell r="BN117">
            <v>37180</v>
          </cell>
          <cell r="BR117">
            <v>0</v>
          </cell>
        </row>
        <row r="118">
          <cell r="B118">
            <v>109</v>
          </cell>
          <cell r="BN118">
            <v>37180</v>
          </cell>
          <cell r="BR118">
            <v>0</v>
          </cell>
        </row>
        <row r="119">
          <cell r="B119">
            <v>110</v>
          </cell>
          <cell r="BN119">
            <v>37180</v>
          </cell>
          <cell r="BR119">
            <v>0</v>
          </cell>
        </row>
        <row r="120">
          <cell r="B120">
            <v>111</v>
          </cell>
          <cell r="BN120">
            <v>37180</v>
          </cell>
          <cell r="BR120">
            <v>3289251.7456238824</v>
          </cell>
        </row>
        <row r="121">
          <cell r="B121">
            <v>112</v>
          </cell>
          <cell r="BN121">
            <v>37240</v>
          </cell>
          <cell r="BR121">
            <v>163427.72899999999</v>
          </cell>
        </row>
        <row r="122">
          <cell r="B122">
            <v>113</v>
          </cell>
          <cell r="BN122">
            <v>37180</v>
          </cell>
          <cell r="BR122">
            <v>3280523.6831581872</v>
          </cell>
        </row>
        <row r="123">
          <cell r="B123">
            <v>114</v>
          </cell>
          <cell r="BN123">
            <v>37240</v>
          </cell>
          <cell r="BR123">
            <v>69796.820154792425</v>
          </cell>
        </row>
        <row r="124">
          <cell r="B124">
            <v>115</v>
          </cell>
          <cell r="BN124">
            <v>37180</v>
          </cell>
          <cell r="BR124">
            <v>1065631.2035982178</v>
          </cell>
        </row>
        <row r="125">
          <cell r="B125">
            <v>116</v>
          </cell>
          <cell r="BN125">
            <v>37270</v>
          </cell>
          <cell r="BR125">
            <v>564120.50699999998</v>
          </cell>
        </row>
        <row r="126">
          <cell r="B126">
            <v>117</v>
          </cell>
          <cell r="BN126">
            <v>37180</v>
          </cell>
          <cell r="BR126">
            <v>5780330.2437298102</v>
          </cell>
        </row>
        <row r="127">
          <cell r="B127">
            <v>118</v>
          </cell>
          <cell r="BN127">
            <v>37270</v>
          </cell>
          <cell r="BR127">
            <v>861161.17656234663</v>
          </cell>
        </row>
        <row r="128">
          <cell r="B128">
            <v>119</v>
          </cell>
          <cell r="BN128">
            <v>37210</v>
          </cell>
          <cell r="BR128">
            <v>2909851.8300484284</v>
          </cell>
        </row>
        <row r="129">
          <cell r="B129">
            <v>120</v>
          </cell>
          <cell r="BN129">
            <v>37210</v>
          </cell>
          <cell r="BR129">
            <v>10988613.49726053</v>
          </cell>
        </row>
        <row r="130">
          <cell r="B130">
            <v>121</v>
          </cell>
          <cell r="BN130">
            <v>37180</v>
          </cell>
          <cell r="BR130">
            <v>1413361.0885096171</v>
          </cell>
        </row>
        <row r="131">
          <cell r="B131">
            <v>122</v>
          </cell>
          <cell r="BN131">
            <v>37180</v>
          </cell>
          <cell r="BR131">
            <v>781116.0021927827</v>
          </cell>
        </row>
        <row r="132">
          <cell r="B132">
            <v>123</v>
          </cell>
          <cell r="BN132">
            <v>36950</v>
          </cell>
          <cell r="BR132">
            <v>5608780.9254559996</v>
          </cell>
        </row>
        <row r="133">
          <cell r="B133">
            <v>124</v>
          </cell>
          <cell r="BN133">
            <v>37092</v>
          </cell>
          <cell r="BR133">
            <v>1380357.1451224</v>
          </cell>
        </row>
        <row r="134">
          <cell r="B134">
            <v>125</v>
          </cell>
          <cell r="BN134">
            <v>37240</v>
          </cell>
          <cell r="BR134">
            <v>73344.641097400512</v>
          </cell>
        </row>
        <row r="135">
          <cell r="B135">
            <v>126</v>
          </cell>
          <cell r="BN135">
            <v>37210</v>
          </cell>
          <cell r="BR135">
            <v>39253.395260346661</v>
          </cell>
        </row>
        <row r="136">
          <cell r="B136">
            <v>127</v>
          </cell>
          <cell r="BN136" t="e">
            <v>#N/A</v>
          </cell>
          <cell r="BR136" t="e">
            <v>#N/A</v>
          </cell>
        </row>
        <row r="137">
          <cell r="B137">
            <v>128</v>
          </cell>
          <cell r="BN137">
            <v>37270</v>
          </cell>
          <cell r="BR137">
            <v>36280.899041600009</v>
          </cell>
        </row>
        <row r="138">
          <cell r="B138">
            <v>129</v>
          </cell>
          <cell r="BN138">
            <v>37240</v>
          </cell>
          <cell r="BR138">
            <v>790825.46546304971</v>
          </cell>
        </row>
        <row r="139">
          <cell r="B139">
            <v>130</v>
          </cell>
          <cell r="BN139">
            <v>37210</v>
          </cell>
          <cell r="BR139">
            <v>1894688.1398734306</v>
          </cell>
        </row>
        <row r="140">
          <cell r="B140">
            <v>131</v>
          </cell>
          <cell r="BN140">
            <v>37180</v>
          </cell>
          <cell r="BR140">
            <v>0</v>
          </cell>
        </row>
        <row r="141">
          <cell r="B141">
            <v>132</v>
          </cell>
          <cell r="BN141">
            <v>37050</v>
          </cell>
          <cell r="BR141">
            <v>246206.96769023998</v>
          </cell>
        </row>
        <row r="142">
          <cell r="B142">
            <v>133</v>
          </cell>
          <cell r="BN142">
            <v>37180</v>
          </cell>
          <cell r="BR142">
            <v>2686502.8054057169</v>
          </cell>
        </row>
        <row r="143">
          <cell r="B143">
            <v>134</v>
          </cell>
          <cell r="BN143">
            <v>37210</v>
          </cell>
          <cell r="BR143">
            <v>2575302.0120000001</v>
          </cell>
        </row>
        <row r="144">
          <cell r="B144">
            <v>135</v>
          </cell>
          <cell r="BN144">
            <v>37210</v>
          </cell>
          <cell r="BR144">
            <v>326624.03279999999</v>
          </cell>
        </row>
        <row r="145">
          <cell r="B145">
            <v>136</v>
          </cell>
          <cell r="BN145">
            <v>37180</v>
          </cell>
          <cell r="BR145">
            <v>12328549.760000002</v>
          </cell>
        </row>
        <row r="146">
          <cell r="B146">
            <v>137</v>
          </cell>
          <cell r="BN146">
            <v>37180</v>
          </cell>
          <cell r="BR146">
            <v>14306392.179599999</v>
          </cell>
        </row>
        <row r="147">
          <cell r="B147">
            <v>138</v>
          </cell>
          <cell r="BN147">
            <v>37180</v>
          </cell>
          <cell r="BR147">
            <v>0</v>
          </cell>
        </row>
        <row r="148">
          <cell r="B148">
            <v>139</v>
          </cell>
          <cell r="BN148">
            <v>37180</v>
          </cell>
          <cell r="BR148">
            <v>2868243.1898699999</v>
          </cell>
        </row>
        <row r="149">
          <cell r="B149">
            <v>140</v>
          </cell>
          <cell r="BN149">
            <v>37210</v>
          </cell>
          <cell r="BR149">
            <v>18882241.002106827</v>
          </cell>
        </row>
        <row r="150">
          <cell r="B150">
            <v>141</v>
          </cell>
          <cell r="BN150">
            <v>37180</v>
          </cell>
          <cell r="BR150">
            <v>2562214.3406694047</v>
          </cell>
        </row>
        <row r="151">
          <cell r="B151">
            <v>142</v>
          </cell>
          <cell r="BN151">
            <v>37123</v>
          </cell>
          <cell r="BR151">
            <v>1109326.8949594386</v>
          </cell>
        </row>
        <row r="152">
          <cell r="B152">
            <v>143</v>
          </cell>
          <cell r="BN152">
            <v>37180</v>
          </cell>
          <cell r="BR152">
            <v>243020.60731671983</v>
          </cell>
        </row>
        <row r="153">
          <cell r="B153">
            <v>144</v>
          </cell>
          <cell r="BN153">
            <v>37180</v>
          </cell>
          <cell r="BR153">
            <v>2821212.7786896001</v>
          </cell>
        </row>
        <row r="154">
          <cell r="B154">
            <v>145</v>
          </cell>
          <cell r="BN154">
            <v>37330</v>
          </cell>
          <cell r="BR154">
            <v>1528226.97591968</v>
          </cell>
        </row>
        <row r="155">
          <cell r="B155">
            <v>146</v>
          </cell>
          <cell r="BN155" t="e">
            <v>#N/A</v>
          </cell>
          <cell r="BR155" t="e">
            <v>#N/A</v>
          </cell>
        </row>
        <row r="156">
          <cell r="B156">
            <v>147</v>
          </cell>
          <cell r="BN156">
            <v>37180</v>
          </cell>
          <cell r="BR156">
            <v>109812.58858590294</v>
          </cell>
        </row>
        <row r="157">
          <cell r="B157">
            <v>148</v>
          </cell>
          <cell r="BN157">
            <v>37240</v>
          </cell>
          <cell r="BR157">
            <v>84838.003306394035</v>
          </cell>
        </row>
        <row r="158">
          <cell r="B158">
            <v>149</v>
          </cell>
          <cell r="BN158">
            <v>37180</v>
          </cell>
          <cell r="BR158">
            <v>5440087.4902949585</v>
          </cell>
        </row>
        <row r="159">
          <cell r="B159">
            <v>150</v>
          </cell>
          <cell r="BN159">
            <v>37180</v>
          </cell>
          <cell r="BR159">
            <v>513623.43081274477</v>
          </cell>
        </row>
        <row r="160">
          <cell r="B160">
            <v>151</v>
          </cell>
          <cell r="BN160">
            <v>37180</v>
          </cell>
          <cell r="BR160">
            <v>4205472.1742648343</v>
          </cell>
        </row>
        <row r="161">
          <cell r="B161">
            <v>152</v>
          </cell>
          <cell r="BN161">
            <v>37180</v>
          </cell>
          <cell r="BR161">
            <v>1918398.6483958834</v>
          </cell>
        </row>
        <row r="162">
          <cell r="B162">
            <v>153</v>
          </cell>
          <cell r="BN162">
            <v>37180</v>
          </cell>
          <cell r="BR162">
            <v>93944.76052943882</v>
          </cell>
        </row>
        <row r="163">
          <cell r="B163">
            <v>154</v>
          </cell>
          <cell r="BN163">
            <v>37270</v>
          </cell>
          <cell r="BR163">
            <v>756819.06597968016</v>
          </cell>
        </row>
        <row r="164">
          <cell r="B164">
            <v>155</v>
          </cell>
          <cell r="BN164" t="e">
            <v>#N/A</v>
          </cell>
          <cell r="BR164" t="e">
            <v>#N/A</v>
          </cell>
        </row>
        <row r="165">
          <cell r="B165">
            <v>156</v>
          </cell>
          <cell r="BN165">
            <v>37330</v>
          </cell>
          <cell r="BR165">
            <v>307491.86000393698</v>
          </cell>
        </row>
        <row r="166">
          <cell r="B166">
            <v>157</v>
          </cell>
          <cell r="BN166">
            <v>37360</v>
          </cell>
          <cell r="BR166">
            <v>613922.73143217003</v>
          </cell>
        </row>
        <row r="167">
          <cell r="B167">
            <v>158</v>
          </cell>
          <cell r="BN167">
            <v>37270</v>
          </cell>
          <cell r="BR167">
            <v>7011330.1605472174</v>
          </cell>
        </row>
        <row r="168">
          <cell r="B168">
            <v>159</v>
          </cell>
          <cell r="BN168">
            <v>37210</v>
          </cell>
          <cell r="BR168">
            <v>2992789.0508918888</v>
          </cell>
        </row>
        <row r="169">
          <cell r="B169">
            <v>160</v>
          </cell>
          <cell r="BN169">
            <v>37002</v>
          </cell>
          <cell r="BR169">
            <v>1123193.4405549851</v>
          </cell>
        </row>
        <row r="170">
          <cell r="B170">
            <v>161</v>
          </cell>
          <cell r="BN170">
            <v>37082</v>
          </cell>
          <cell r="BR170">
            <v>705846.07610520208</v>
          </cell>
        </row>
        <row r="171">
          <cell r="B171">
            <v>162</v>
          </cell>
          <cell r="BN171">
            <v>37082</v>
          </cell>
          <cell r="BR171">
            <v>505143.88781544386</v>
          </cell>
        </row>
        <row r="172">
          <cell r="B172">
            <v>163</v>
          </cell>
          <cell r="BN172">
            <v>36979</v>
          </cell>
          <cell r="BR172">
            <v>88401.290462767894</v>
          </cell>
        </row>
        <row r="173">
          <cell r="B173">
            <v>164</v>
          </cell>
          <cell r="BN173">
            <v>36979</v>
          </cell>
          <cell r="BR173">
            <v>40836.053964411803</v>
          </cell>
        </row>
        <row r="174">
          <cell r="B174">
            <v>165</v>
          </cell>
          <cell r="BN174">
            <v>36979</v>
          </cell>
          <cell r="BR174">
            <v>0</v>
          </cell>
        </row>
        <row r="175">
          <cell r="B175">
            <v>166</v>
          </cell>
          <cell r="BN175">
            <v>36979</v>
          </cell>
          <cell r="BR175">
            <v>56207.296920020286</v>
          </cell>
        </row>
        <row r="176">
          <cell r="B176">
            <v>167</v>
          </cell>
          <cell r="BN176">
            <v>37180</v>
          </cell>
          <cell r="BR176">
            <v>379160.68997311994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운영비산정가정"/>
      <sheetName val="관거보수비"/>
      <sheetName val="CCTV조사비"/>
      <sheetName val="운영비 총괄"/>
      <sheetName val="요약"/>
      <sheetName val="민감도"/>
      <sheetName val="인건비&amp;기타경비"/>
      <sheetName val="관거준설비"/>
      <sheetName val="관거점검비"/>
      <sheetName val="기본계획"/>
      <sheetName val="시스템유지보수비"/>
      <sheetName val="벤치마킹"/>
      <sheetName val="성과평가비"/>
      <sheetName val="전력및통신비"/>
      <sheetName val="유형자산 명세"/>
      <sheetName val="대수선비"/>
      <sheetName val="담보평가"/>
    </sheetNames>
    <sheetDataSet>
      <sheetData sheetId="0" refreshError="1">
        <row r="40">
          <cell r="E40">
            <v>1000000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력부분"/>
      <sheetName val="현황표"/>
      <sheetName val="금액"/>
      <sheetName val="색인구역"/>
      <sheetName val="Sheet2"/>
      <sheetName val="Sheet3"/>
      <sheetName val="콤보박스와 리스트박스의 연결"/>
    </sheetNames>
    <sheetDataSet>
      <sheetData sheetId="0">
        <row r="3">
          <cell r="A3" t="str">
            <v>번호</v>
          </cell>
          <cell r="B3" t="str">
            <v>일자</v>
          </cell>
          <cell r="C3" t="str">
            <v>평</v>
          </cell>
          <cell r="D3" t="str">
            <v>층</v>
          </cell>
          <cell r="E3" t="str">
            <v>동</v>
          </cell>
          <cell r="F3" t="str">
            <v>호수</v>
          </cell>
          <cell r="G3" t="str">
            <v>금액</v>
          </cell>
          <cell r="H3" t="str">
            <v>샷시금액</v>
          </cell>
          <cell r="I3" t="str">
            <v>계약금</v>
          </cell>
        </row>
        <row r="4">
          <cell r="A4">
            <v>1</v>
          </cell>
          <cell r="B4">
            <v>37591</v>
          </cell>
          <cell r="C4">
            <v>25</v>
          </cell>
          <cell r="D4">
            <v>2</v>
          </cell>
          <cell r="E4">
            <v>202</v>
          </cell>
          <cell r="F4">
            <v>202</v>
          </cell>
          <cell r="G4">
            <v>12980000</v>
          </cell>
        </row>
        <row r="5">
          <cell r="A5">
            <v>2</v>
          </cell>
          <cell r="B5">
            <v>37591</v>
          </cell>
          <cell r="C5">
            <v>25</v>
          </cell>
          <cell r="D5">
            <v>2</v>
          </cell>
          <cell r="E5">
            <v>202</v>
          </cell>
          <cell r="F5">
            <v>403</v>
          </cell>
          <cell r="G5">
            <v>12980000</v>
          </cell>
          <cell r="H5">
            <v>2390000</v>
          </cell>
          <cell r="I5">
            <v>50000</v>
          </cell>
        </row>
        <row r="6">
          <cell r="A6">
            <v>3</v>
          </cell>
          <cell r="B6">
            <v>37591</v>
          </cell>
          <cell r="C6">
            <v>45</v>
          </cell>
          <cell r="D6">
            <v>1</v>
          </cell>
          <cell r="E6">
            <v>208</v>
          </cell>
          <cell r="F6">
            <v>102</v>
          </cell>
          <cell r="G6">
            <v>26193000</v>
          </cell>
        </row>
        <row r="7">
          <cell r="A7">
            <v>4</v>
          </cell>
          <cell r="B7">
            <v>37591</v>
          </cell>
          <cell r="C7">
            <v>45</v>
          </cell>
          <cell r="D7">
            <v>2</v>
          </cell>
          <cell r="E7">
            <v>207</v>
          </cell>
          <cell r="F7">
            <v>302</v>
          </cell>
          <cell r="G7">
            <v>25185600</v>
          </cell>
          <cell r="H7">
            <v>4690000</v>
          </cell>
          <cell r="I7">
            <v>20000</v>
          </cell>
        </row>
        <row r="8">
          <cell r="A8">
            <v>5</v>
          </cell>
          <cell r="B8">
            <v>37591</v>
          </cell>
          <cell r="C8">
            <v>45</v>
          </cell>
          <cell r="D8">
            <v>5</v>
          </cell>
          <cell r="E8">
            <v>206</v>
          </cell>
          <cell r="F8">
            <v>502</v>
          </cell>
          <cell r="G8">
            <v>26696700</v>
          </cell>
        </row>
        <row r="9">
          <cell r="A9">
            <v>6</v>
          </cell>
          <cell r="B9">
            <v>37591</v>
          </cell>
          <cell r="C9" t="str">
            <v>32A</v>
          </cell>
          <cell r="D9">
            <v>1</v>
          </cell>
          <cell r="E9">
            <v>214</v>
          </cell>
          <cell r="F9">
            <v>101</v>
          </cell>
          <cell r="G9">
            <v>17439700</v>
          </cell>
        </row>
        <row r="10">
          <cell r="A10">
            <v>7</v>
          </cell>
          <cell r="B10">
            <v>37591</v>
          </cell>
          <cell r="C10" t="str">
            <v>32A</v>
          </cell>
          <cell r="D10">
            <v>1</v>
          </cell>
          <cell r="E10">
            <v>201</v>
          </cell>
          <cell r="F10">
            <v>104</v>
          </cell>
          <cell r="G10">
            <v>17439700</v>
          </cell>
        </row>
        <row r="11">
          <cell r="A11">
            <v>8</v>
          </cell>
          <cell r="B11">
            <v>37591</v>
          </cell>
          <cell r="C11" t="str">
            <v>32A</v>
          </cell>
          <cell r="D11">
            <v>1</v>
          </cell>
          <cell r="E11">
            <v>203</v>
          </cell>
          <cell r="F11">
            <v>104</v>
          </cell>
          <cell r="G11">
            <v>17439700</v>
          </cell>
        </row>
        <row r="12">
          <cell r="A12">
            <v>9</v>
          </cell>
          <cell r="B12">
            <v>37591</v>
          </cell>
          <cell r="C12" t="str">
            <v>32A</v>
          </cell>
          <cell r="D12">
            <v>1</v>
          </cell>
          <cell r="E12">
            <v>206</v>
          </cell>
          <cell r="F12">
            <v>104</v>
          </cell>
          <cell r="G12">
            <v>17439700</v>
          </cell>
        </row>
        <row r="13">
          <cell r="A13">
            <v>10</v>
          </cell>
          <cell r="B13">
            <v>37591</v>
          </cell>
          <cell r="C13" t="str">
            <v>32A</v>
          </cell>
          <cell r="D13">
            <v>1</v>
          </cell>
          <cell r="E13">
            <v>209</v>
          </cell>
          <cell r="F13">
            <v>104</v>
          </cell>
          <cell r="G13">
            <v>17439700</v>
          </cell>
        </row>
        <row r="14">
          <cell r="A14">
            <v>11</v>
          </cell>
          <cell r="B14">
            <v>37591</v>
          </cell>
          <cell r="C14" t="str">
            <v>32A</v>
          </cell>
          <cell r="D14">
            <v>1</v>
          </cell>
          <cell r="E14">
            <v>205</v>
          </cell>
          <cell r="F14">
            <v>105</v>
          </cell>
          <cell r="G14">
            <v>17439700</v>
          </cell>
        </row>
        <row r="15">
          <cell r="A15">
            <v>12</v>
          </cell>
          <cell r="B15">
            <v>37591</v>
          </cell>
          <cell r="C15" t="str">
            <v>32A</v>
          </cell>
          <cell r="D15">
            <v>1</v>
          </cell>
          <cell r="E15">
            <v>207</v>
          </cell>
          <cell r="F15">
            <v>105</v>
          </cell>
          <cell r="G15">
            <v>17439700</v>
          </cell>
        </row>
        <row r="16">
          <cell r="A16">
            <v>13</v>
          </cell>
          <cell r="B16">
            <v>37591</v>
          </cell>
          <cell r="C16" t="str">
            <v>32A</v>
          </cell>
          <cell r="D16">
            <v>1</v>
          </cell>
          <cell r="E16">
            <v>208</v>
          </cell>
          <cell r="F16">
            <v>103</v>
          </cell>
          <cell r="G16">
            <v>17439700</v>
          </cell>
          <cell r="H16">
            <v>3780000</v>
          </cell>
          <cell r="I16">
            <v>20000</v>
          </cell>
        </row>
        <row r="17">
          <cell r="A17">
            <v>14</v>
          </cell>
          <cell r="B17">
            <v>37591</v>
          </cell>
          <cell r="C17" t="str">
            <v>32A</v>
          </cell>
          <cell r="D17">
            <v>1</v>
          </cell>
          <cell r="E17">
            <v>209</v>
          </cell>
          <cell r="F17">
            <v>105</v>
          </cell>
          <cell r="G17">
            <v>17439700</v>
          </cell>
        </row>
        <row r="18">
          <cell r="A18">
            <v>15</v>
          </cell>
          <cell r="B18">
            <v>37591</v>
          </cell>
          <cell r="C18" t="str">
            <v>32A</v>
          </cell>
          <cell r="D18">
            <v>2</v>
          </cell>
          <cell r="E18">
            <v>209</v>
          </cell>
          <cell r="F18">
            <v>401</v>
          </cell>
          <cell r="G18">
            <v>16769000</v>
          </cell>
        </row>
        <row r="19">
          <cell r="A19">
            <v>16</v>
          </cell>
          <cell r="B19">
            <v>37591</v>
          </cell>
          <cell r="C19" t="str">
            <v>32A</v>
          </cell>
          <cell r="D19">
            <v>2</v>
          </cell>
          <cell r="E19">
            <v>203</v>
          </cell>
          <cell r="F19">
            <v>207</v>
          </cell>
          <cell r="G19">
            <v>16769000</v>
          </cell>
          <cell r="H19">
            <v>3780000</v>
          </cell>
          <cell r="I19">
            <v>20000</v>
          </cell>
        </row>
        <row r="20">
          <cell r="A20">
            <v>17</v>
          </cell>
          <cell r="B20">
            <v>37591</v>
          </cell>
          <cell r="C20" t="str">
            <v>32A</v>
          </cell>
          <cell r="D20">
            <v>2</v>
          </cell>
          <cell r="E20">
            <v>203</v>
          </cell>
          <cell r="F20">
            <v>406</v>
          </cell>
          <cell r="G20">
            <v>16769000</v>
          </cell>
        </row>
        <row r="21">
          <cell r="A21">
            <v>18</v>
          </cell>
          <cell r="B21">
            <v>37591</v>
          </cell>
          <cell r="C21" t="str">
            <v>32A</v>
          </cell>
          <cell r="D21">
            <v>2</v>
          </cell>
          <cell r="E21">
            <v>204</v>
          </cell>
          <cell r="F21">
            <v>307</v>
          </cell>
          <cell r="G21">
            <v>16769000</v>
          </cell>
          <cell r="H21">
            <v>3780000</v>
          </cell>
          <cell r="I21">
            <v>20000</v>
          </cell>
        </row>
        <row r="22">
          <cell r="A22">
            <v>19</v>
          </cell>
          <cell r="B22">
            <v>37591</v>
          </cell>
          <cell r="C22" t="str">
            <v>32A</v>
          </cell>
          <cell r="D22">
            <v>2</v>
          </cell>
          <cell r="E22">
            <v>208</v>
          </cell>
          <cell r="F22">
            <v>407</v>
          </cell>
          <cell r="G22">
            <v>16769000</v>
          </cell>
          <cell r="H22">
            <v>3780000</v>
          </cell>
          <cell r="I22">
            <v>10000</v>
          </cell>
        </row>
        <row r="23">
          <cell r="A23">
            <v>20</v>
          </cell>
          <cell r="B23">
            <v>37591</v>
          </cell>
          <cell r="C23" t="str">
            <v>32A</v>
          </cell>
          <cell r="D23">
            <v>2</v>
          </cell>
          <cell r="E23">
            <v>209</v>
          </cell>
          <cell r="F23">
            <v>405</v>
          </cell>
          <cell r="G23">
            <v>16769000</v>
          </cell>
        </row>
        <row r="24">
          <cell r="A24">
            <v>21</v>
          </cell>
          <cell r="B24">
            <v>37591</v>
          </cell>
          <cell r="C24" t="str">
            <v>32A</v>
          </cell>
          <cell r="D24">
            <v>2</v>
          </cell>
          <cell r="E24">
            <v>210</v>
          </cell>
          <cell r="F24">
            <v>403</v>
          </cell>
          <cell r="G24">
            <v>16769000</v>
          </cell>
        </row>
        <row r="25">
          <cell r="A25">
            <v>22</v>
          </cell>
          <cell r="B25">
            <v>37591</v>
          </cell>
          <cell r="C25" t="str">
            <v>32A</v>
          </cell>
          <cell r="D25">
            <v>2</v>
          </cell>
          <cell r="E25">
            <v>212</v>
          </cell>
          <cell r="F25">
            <v>302</v>
          </cell>
          <cell r="G25">
            <v>16769000</v>
          </cell>
        </row>
        <row r="26">
          <cell r="A26">
            <v>23</v>
          </cell>
          <cell r="B26">
            <v>37591</v>
          </cell>
          <cell r="C26" t="str">
            <v>32A</v>
          </cell>
          <cell r="D26">
            <v>2</v>
          </cell>
          <cell r="E26">
            <v>213</v>
          </cell>
          <cell r="F26">
            <v>201</v>
          </cell>
          <cell r="G26">
            <v>16769000</v>
          </cell>
        </row>
        <row r="27">
          <cell r="A27">
            <v>24</v>
          </cell>
          <cell r="B27">
            <v>37591</v>
          </cell>
          <cell r="C27" t="str">
            <v>32A</v>
          </cell>
          <cell r="D27">
            <v>2</v>
          </cell>
          <cell r="E27">
            <v>213</v>
          </cell>
          <cell r="F27">
            <v>202</v>
          </cell>
          <cell r="G27">
            <v>16769000</v>
          </cell>
        </row>
        <row r="28">
          <cell r="A28">
            <v>25</v>
          </cell>
          <cell r="B28">
            <v>37591</v>
          </cell>
          <cell r="C28" t="str">
            <v>32A</v>
          </cell>
          <cell r="D28">
            <v>5</v>
          </cell>
          <cell r="E28">
            <v>208</v>
          </cell>
          <cell r="F28">
            <v>507</v>
          </cell>
          <cell r="G28">
            <v>17775100</v>
          </cell>
          <cell r="H28">
            <v>3390000</v>
          </cell>
          <cell r="I28">
            <v>20000</v>
          </cell>
        </row>
        <row r="29">
          <cell r="A29">
            <v>26</v>
          </cell>
          <cell r="B29">
            <v>37591</v>
          </cell>
          <cell r="C29" t="str">
            <v>32A</v>
          </cell>
          <cell r="D29">
            <v>5</v>
          </cell>
          <cell r="E29">
            <v>208</v>
          </cell>
          <cell r="F29">
            <v>506</v>
          </cell>
          <cell r="G29">
            <v>17775100</v>
          </cell>
        </row>
        <row r="30">
          <cell r="A30">
            <v>27</v>
          </cell>
          <cell r="B30">
            <v>37591</v>
          </cell>
          <cell r="C30" t="str">
            <v>32A</v>
          </cell>
          <cell r="D30">
            <v>5</v>
          </cell>
          <cell r="E30">
            <v>205</v>
          </cell>
          <cell r="F30">
            <v>506</v>
          </cell>
          <cell r="G30">
            <v>17775100</v>
          </cell>
        </row>
        <row r="31">
          <cell r="A31">
            <v>28</v>
          </cell>
          <cell r="B31">
            <v>37591</v>
          </cell>
          <cell r="C31" t="str">
            <v>32A</v>
          </cell>
          <cell r="D31">
            <v>5</v>
          </cell>
          <cell r="E31">
            <v>208</v>
          </cell>
          <cell r="F31">
            <v>503</v>
          </cell>
          <cell r="G31">
            <v>17775100</v>
          </cell>
        </row>
        <row r="32">
          <cell r="A32">
            <v>29</v>
          </cell>
          <cell r="B32">
            <v>37591</v>
          </cell>
          <cell r="C32" t="str">
            <v>32A</v>
          </cell>
          <cell r="D32">
            <v>5</v>
          </cell>
          <cell r="E32">
            <v>206</v>
          </cell>
          <cell r="F32">
            <v>503</v>
          </cell>
          <cell r="G32">
            <v>17775100</v>
          </cell>
        </row>
        <row r="33">
          <cell r="A33">
            <v>30</v>
          </cell>
          <cell r="B33">
            <v>37591</v>
          </cell>
          <cell r="C33" t="str">
            <v>32A</v>
          </cell>
          <cell r="D33">
            <v>5</v>
          </cell>
          <cell r="E33">
            <v>205</v>
          </cell>
          <cell r="F33">
            <v>107</v>
          </cell>
          <cell r="G33">
            <v>17439700</v>
          </cell>
        </row>
        <row r="34">
          <cell r="A34">
            <v>31</v>
          </cell>
          <cell r="B34">
            <v>37591</v>
          </cell>
          <cell r="C34" t="str">
            <v>32A</v>
          </cell>
          <cell r="D34">
            <v>5</v>
          </cell>
          <cell r="E34">
            <v>208</v>
          </cell>
          <cell r="F34">
            <v>504</v>
          </cell>
          <cell r="G34">
            <v>17775100</v>
          </cell>
        </row>
        <row r="35">
          <cell r="A35">
            <v>32</v>
          </cell>
          <cell r="B35">
            <v>37591</v>
          </cell>
          <cell r="C35" t="str">
            <v>32A</v>
          </cell>
          <cell r="D35">
            <v>5</v>
          </cell>
          <cell r="E35">
            <v>205</v>
          </cell>
          <cell r="F35">
            <v>507</v>
          </cell>
          <cell r="G35">
            <v>17775100</v>
          </cell>
        </row>
        <row r="36">
          <cell r="A36">
            <v>33</v>
          </cell>
          <cell r="B36">
            <v>37591</v>
          </cell>
          <cell r="C36" t="str">
            <v>32A</v>
          </cell>
          <cell r="D36">
            <v>5</v>
          </cell>
          <cell r="E36">
            <v>209</v>
          </cell>
          <cell r="F36">
            <v>502</v>
          </cell>
          <cell r="G36">
            <v>17775100</v>
          </cell>
        </row>
        <row r="37">
          <cell r="A37">
            <v>34</v>
          </cell>
          <cell r="B37">
            <v>37591</v>
          </cell>
          <cell r="C37" t="str">
            <v>32A</v>
          </cell>
          <cell r="D37">
            <v>5</v>
          </cell>
          <cell r="E37">
            <v>211</v>
          </cell>
          <cell r="F37">
            <v>503</v>
          </cell>
          <cell r="G37">
            <v>17775100</v>
          </cell>
        </row>
        <row r="38">
          <cell r="A38">
            <v>35</v>
          </cell>
          <cell r="B38">
            <v>37591</v>
          </cell>
          <cell r="C38" t="str">
            <v>32A</v>
          </cell>
          <cell r="D38">
            <v>5</v>
          </cell>
          <cell r="E38">
            <v>213</v>
          </cell>
          <cell r="F38">
            <v>504</v>
          </cell>
          <cell r="G38">
            <v>17775100</v>
          </cell>
        </row>
        <row r="39">
          <cell r="A39">
            <v>36</v>
          </cell>
          <cell r="B39">
            <v>37591</v>
          </cell>
          <cell r="C39" t="str">
            <v>32A</v>
          </cell>
          <cell r="D39">
            <v>5</v>
          </cell>
          <cell r="E39">
            <v>203</v>
          </cell>
          <cell r="F39">
            <v>505</v>
          </cell>
          <cell r="G39">
            <v>17775100</v>
          </cell>
        </row>
        <row r="40">
          <cell r="A40">
            <v>37</v>
          </cell>
          <cell r="B40">
            <v>37591</v>
          </cell>
          <cell r="C40" t="str">
            <v>32A</v>
          </cell>
          <cell r="D40">
            <v>5</v>
          </cell>
          <cell r="E40">
            <v>203</v>
          </cell>
          <cell r="F40">
            <v>507</v>
          </cell>
          <cell r="G40">
            <v>17775100</v>
          </cell>
        </row>
        <row r="41">
          <cell r="A41">
            <v>38</v>
          </cell>
          <cell r="B41">
            <v>37591</v>
          </cell>
          <cell r="C41" t="str">
            <v>32A</v>
          </cell>
          <cell r="D41">
            <v>5</v>
          </cell>
          <cell r="E41">
            <v>211</v>
          </cell>
          <cell r="F41">
            <v>502</v>
          </cell>
          <cell r="G41">
            <v>17775100</v>
          </cell>
        </row>
        <row r="42">
          <cell r="A42">
            <v>39</v>
          </cell>
          <cell r="B42">
            <v>37591</v>
          </cell>
          <cell r="C42" t="str">
            <v>32A</v>
          </cell>
          <cell r="D42">
            <v>5</v>
          </cell>
          <cell r="E42">
            <v>213</v>
          </cell>
          <cell r="F42">
            <v>505</v>
          </cell>
          <cell r="G42">
            <v>17775100</v>
          </cell>
        </row>
        <row r="43">
          <cell r="A43">
            <v>40</v>
          </cell>
          <cell r="B43">
            <v>37591</v>
          </cell>
          <cell r="C43" t="str">
            <v>32B</v>
          </cell>
          <cell r="D43">
            <v>2</v>
          </cell>
          <cell r="E43">
            <v>211</v>
          </cell>
          <cell r="F43">
            <v>206</v>
          </cell>
          <cell r="G43">
            <v>16601300</v>
          </cell>
        </row>
        <row r="44">
          <cell r="A44">
            <v>41</v>
          </cell>
          <cell r="B44">
            <v>37591</v>
          </cell>
          <cell r="C44" t="str">
            <v>32B</v>
          </cell>
          <cell r="D44">
            <v>2</v>
          </cell>
          <cell r="E44">
            <v>213</v>
          </cell>
          <cell r="F44">
            <v>306</v>
          </cell>
          <cell r="G44">
            <v>16601300</v>
          </cell>
        </row>
        <row r="45">
          <cell r="A45">
            <v>42</v>
          </cell>
          <cell r="B45">
            <v>37591</v>
          </cell>
          <cell r="C45" t="str">
            <v>32B</v>
          </cell>
          <cell r="D45">
            <v>5</v>
          </cell>
          <cell r="E45">
            <v>207</v>
          </cell>
          <cell r="F45">
            <v>508</v>
          </cell>
          <cell r="G45">
            <v>17597300</v>
          </cell>
        </row>
        <row r="46">
          <cell r="A46">
            <v>43</v>
          </cell>
          <cell r="B46">
            <v>37592</v>
          </cell>
          <cell r="C46">
            <v>25</v>
          </cell>
          <cell r="D46">
            <v>1</v>
          </cell>
          <cell r="E46">
            <v>202</v>
          </cell>
          <cell r="F46">
            <v>103</v>
          </cell>
          <cell r="G46">
            <v>13499200</v>
          </cell>
        </row>
        <row r="47">
          <cell r="A47">
            <v>44</v>
          </cell>
          <cell r="B47">
            <v>37592</v>
          </cell>
          <cell r="C47">
            <v>25</v>
          </cell>
          <cell r="D47">
            <v>1</v>
          </cell>
          <cell r="E47">
            <v>202</v>
          </cell>
          <cell r="F47">
            <v>101</v>
          </cell>
          <cell r="G47">
            <v>13499200</v>
          </cell>
        </row>
        <row r="48">
          <cell r="A48">
            <v>45</v>
          </cell>
          <cell r="B48">
            <v>37592</v>
          </cell>
          <cell r="C48">
            <v>25</v>
          </cell>
          <cell r="D48">
            <v>1</v>
          </cell>
          <cell r="E48">
            <v>202</v>
          </cell>
          <cell r="F48">
            <v>102</v>
          </cell>
          <cell r="G48">
            <v>13499200</v>
          </cell>
        </row>
        <row r="49">
          <cell r="A49">
            <v>46</v>
          </cell>
          <cell r="B49">
            <v>37592</v>
          </cell>
          <cell r="C49">
            <v>25</v>
          </cell>
          <cell r="D49">
            <v>5</v>
          </cell>
          <cell r="E49">
            <v>202</v>
          </cell>
          <cell r="F49">
            <v>503</v>
          </cell>
          <cell r="G49">
            <v>13758800</v>
          </cell>
        </row>
        <row r="50">
          <cell r="A50">
            <v>47</v>
          </cell>
          <cell r="B50">
            <v>37592</v>
          </cell>
          <cell r="C50">
            <v>45</v>
          </cell>
          <cell r="D50">
            <v>1</v>
          </cell>
          <cell r="E50">
            <v>207</v>
          </cell>
          <cell r="F50">
            <v>102</v>
          </cell>
          <cell r="G50">
            <v>26193000</v>
          </cell>
        </row>
        <row r="51">
          <cell r="A51">
            <v>48</v>
          </cell>
          <cell r="B51">
            <v>37592</v>
          </cell>
          <cell r="C51">
            <v>45</v>
          </cell>
          <cell r="D51">
            <v>1</v>
          </cell>
          <cell r="E51">
            <v>206</v>
          </cell>
          <cell r="F51">
            <v>101</v>
          </cell>
          <cell r="G51">
            <v>26193000</v>
          </cell>
        </row>
        <row r="52">
          <cell r="A52">
            <v>49</v>
          </cell>
          <cell r="B52">
            <v>37592</v>
          </cell>
          <cell r="C52">
            <v>45</v>
          </cell>
          <cell r="D52">
            <v>1</v>
          </cell>
          <cell r="E52">
            <v>208</v>
          </cell>
          <cell r="F52">
            <v>101</v>
          </cell>
          <cell r="G52">
            <v>26193000</v>
          </cell>
        </row>
        <row r="53">
          <cell r="A53">
            <v>50</v>
          </cell>
          <cell r="B53">
            <v>37592</v>
          </cell>
          <cell r="C53">
            <v>45</v>
          </cell>
          <cell r="D53">
            <v>5</v>
          </cell>
          <cell r="E53">
            <v>207</v>
          </cell>
          <cell r="F53">
            <v>501</v>
          </cell>
          <cell r="G53">
            <v>26696700</v>
          </cell>
        </row>
        <row r="54">
          <cell r="A54">
            <v>51</v>
          </cell>
          <cell r="B54">
            <v>37592</v>
          </cell>
          <cell r="C54" t="str">
            <v>32A</v>
          </cell>
          <cell r="D54">
            <v>1</v>
          </cell>
          <cell r="E54">
            <v>206</v>
          </cell>
          <cell r="F54">
            <v>107</v>
          </cell>
          <cell r="G54">
            <v>17439700</v>
          </cell>
        </row>
        <row r="55">
          <cell r="A55">
            <v>52</v>
          </cell>
          <cell r="B55">
            <v>37592</v>
          </cell>
          <cell r="C55" t="str">
            <v>32A</v>
          </cell>
          <cell r="D55">
            <v>1</v>
          </cell>
          <cell r="E55">
            <v>207</v>
          </cell>
          <cell r="F55">
            <v>103</v>
          </cell>
          <cell r="G55">
            <v>17439700</v>
          </cell>
        </row>
        <row r="56">
          <cell r="A56">
            <v>53</v>
          </cell>
          <cell r="B56">
            <v>37592</v>
          </cell>
          <cell r="C56" t="str">
            <v>32A</v>
          </cell>
          <cell r="D56">
            <v>1</v>
          </cell>
          <cell r="E56">
            <v>205</v>
          </cell>
          <cell r="F56">
            <v>106</v>
          </cell>
          <cell r="G56">
            <v>17439700</v>
          </cell>
        </row>
        <row r="57">
          <cell r="A57">
            <v>54</v>
          </cell>
          <cell r="B57">
            <v>37592</v>
          </cell>
          <cell r="C57" t="str">
            <v>32A</v>
          </cell>
          <cell r="D57">
            <v>1</v>
          </cell>
          <cell r="E57">
            <v>204</v>
          </cell>
          <cell r="F57">
            <v>103</v>
          </cell>
          <cell r="G57">
            <v>17439700</v>
          </cell>
        </row>
        <row r="58">
          <cell r="A58">
            <v>55</v>
          </cell>
          <cell r="B58">
            <v>37592</v>
          </cell>
          <cell r="C58" t="str">
            <v>32A</v>
          </cell>
          <cell r="D58">
            <v>2</v>
          </cell>
          <cell r="E58">
            <v>207</v>
          </cell>
          <cell r="F58">
            <v>403</v>
          </cell>
          <cell r="G58">
            <v>16769000</v>
          </cell>
        </row>
        <row r="59">
          <cell r="A59">
            <v>56</v>
          </cell>
          <cell r="B59">
            <v>37592</v>
          </cell>
          <cell r="C59" t="str">
            <v>32A</v>
          </cell>
          <cell r="D59">
            <v>2</v>
          </cell>
          <cell r="E59">
            <v>206</v>
          </cell>
          <cell r="F59">
            <v>203</v>
          </cell>
          <cell r="G59">
            <v>16769000</v>
          </cell>
        </row>
        <row r="60">
          <cell r="A60">
            <v>57</v>
          </cell>
          <cell r="B60">
            <v>37592</v>
          </cell>
          <cell r="C60" t="str">
            <v>32A</v>
          </cell>
          <cell r="D60">
            <v>5</v>
          </cell>
          <cell r="E60">
            <v>201</v>
          </cell>
          <cell r="F60">
            <v>502</v>
          </cell>
          <cell r="G60">
            <v>17775100</v>
          </cell>
        </row>
        <row r="61">
          <cell r="A61">
            <v>58</v>
          </cell>
          <cell r="B61">
            <v>37592</v>
          </cell>
          <cell r="C61" t="str">
            <v>32A</v>
          </cell>
          <cell r="D61">
            <v>5</v>
          </cell>
          <cell r="E61">
            <v>210</v>
          </cell>
          <cell r="F61">
            <v>504</v>
          </cell>
          <cell r="G61">
            <v>17775100</v>
          </cell>
        </row>
        <row r="62">
          <cell r="A62">
            <v>59</v>
          </cell>
          <cell r="B62">
            <v>37592</v>
          </cell>
          <cell r="C62" t="str">
            <v>32A</v>
          </cell>
          <cell r="D62">
            <v>5</v>
          </cell>
          <cell r="E62">
            <v>207</v>
          </cell>
          <cell r="F62">
            <v>503</v>
          </cell>
          <cell r="G62">
            <v>17775100</v>
          </cell>
        </row>
        <row r="63">
          <cell r="A63">
            <v>60</v>
          </cell>
          <cell r="B63">
            <v>37592</v>
          </cell>
          <cell r="C63" t="str">
            <v>32A</v>
          </cell>
          <cell r="D63">
            <v>5</v>
          </cell>
          <cell r="E63">
            <v>207</v>
          </cell>
          <cell r="F63">
            <v>505</v>
          </cell>
          <cell r="G63">
            <v>17775100</v>
          </cell>
        </row>
        <row r="64">
          <cell r="A64">
            <v>61</v>
          </cell>
          <cell r="B64">
            <v>37592</v>
          </cell>
          <cell r="C64" t="str">
            <v>32A</v>
          </cell>
          <cell r="D64">
            <v>5</v>
          </cell>
          <cell r="E64">
            <v>210</v>
          </cell>
          <cell r="F64">
            <v>501</v>
          </cell>
          <cell r="G64">
            <v>17775100</v>
          </cell>
        </row>
        <row r="65">
          <cell r="A65">
            <v>62</v>
          </cell>
          <cell r="B65">
            <v>37592</v>
          </cell>
          <cell r="C65" t="str">
            <v>32A</v>
          </cell>
          <cell r="D65">
            <v>5</v>
          </cell>
          <cell r="E65">
            <v>205</v>
          </cell>
          <cell r="F65">
            <v>504</v>
          </cell>
          <cell r="G65">
            <v>17775100</v>
          </cell>
        </row>
        <row r="66">
          <cell r="A66">
            <v>63</v>
          </cell>
          <cell r="B66">
            <v>37592</v>
          </cell>
          <cell r="C66" t="str">
            <v>32A</v>
          </cell>
          <cell r="D66">
            <v>5</v>
          </cell>
          <cell r="E66">
            <v>204</v>
          </cell>
          <cell r="F66">
            <v>503</v>
          </cell>
          <cell r="G66">
            <v>17775100</v>
          </cell>
        </row>
        <row r="67">
          <cell r="A67">
            <v>64</v>
          </cell>
          <cell r="B67">
            <v>37592</v>
          </cell>
          <cell r="C67" t="str">
            <v>32A</v>
          </cell>
          <cell r="D67">
            <v>5</v>
          </cell>
          <cell r="E67">
            <v>206</v>
          </cell>
          <cell r="F67">
            <v>505</v>
          </cell>
          <cell r="G67">
            <v>17775100</v>
          </cell>
        </row>
        <row r="68">
          <cell r="A68">
            <v>65</v>
          </cell>
          <cell r="B68">
            <v>37592</v>
          </cell>
          <cell r="C68" t="str">
            <v>32A</v>
          </cell>
          <cell r="D68">
            <v>5</v>
          </cell>
          <cell r="E68">
            <v>206</v>
          </cell>
          <cell r="F68">
            <v>504</v>
          </cell>
          <cell r="G68">
            <v>17775100</v>
          </cell>
        </row>
        <row r="69">
          <cell r="A69">
            <v>66</v>
          </cell>
          <cell r="B69">
            <v>37592</v>
          </cell>
          <cell r="C69" t="str">
            <v>32A</v>
          </cell>
          <cell r="D69">
            <v>5</v>
          </cell>
          <cell r="E69">
            <v>210</v>
          </cell>
          <cell r="F69">
            <v>503</v>
          </cell>
          <cell r="G69">
            <v>17775100</v>
          </cell>
        </row>
        <row r="70">
          <cell r="A70">
            <v>67</v>
          </cell>
          <cell r="B70">
            <v>37592</v>
          </cell>
          <cell r="C70" t="str">
            <v>32A</v>
          </cell>
          <cell r="D70">
            <v>5</v>
          </cell>
          <cell r="E70">
            <v>205</v>
          </cell>
          <cell r="F70">
            <v>502</v>
          </cell>
          <cell r="G70">
            <v>17775100</v>
          </cell>
        </row>
        <row r="71">
          <cell r="A71">
            <v>68</v>
          </cell>
          <cell r="B71">
            <v>37592</v>
          </cell>
          <cell r="C71" t="str">
            <v>32B</v>
          </cell>
          <cell r="D71">
            <v>2</v>
          </cell>
          <cell r="E71">
            <v>206</v>
          </cell>
          <cell r="F71">
            <v>408</v>
          </cell>
          <cell r="G71">
            <v>16601300</v>
          </cell>
        </row>
        <row r="72">
          <cell r="A72">
            <v>69</v>
          </cell>
          <cell r="B72">
            <v>37592</v>
          </cell>
          <cell r="C72" t="str">
            <v>32B</v>
          </cell>
          <cell r="D72">
            <v>2</v>
          </cell>
          <cell r="E72">
            <v>205</v>
          </cell>
          <cell r="F72">
            <v>208</v>
          </cell>
          <cell r="G72">
            <v>16601300</v>
          </cell>
        </row>
        <row r="73">
          <cell r="A73">
            <v>70</v>
          </cell>
          <cell r="B73">
            <v>37592</v>
          </cell>
          <cell r="C73" t="str">
            <v>32B</v>
          </cell>
          <cell r="D73">
            <v>2</v>
          </cell>
          <cell r="E73">
            <v>204</v>
          </cell>
          <cell r="F73">
            <v>206</v>
          </cell>
          <cell r="G73">
            <v>16601300</v>
          </cell>
        </row>
        <row r="74">
          <cell r="A74">
            <v>71</v>
          </cell>
          <cell r="B74">
            <v>37593</v>
          </cell>
          <cell r="C74" t="str">
            <v>32B</v>
          </cell>
          <cell r="D74">
            <v>5</v>
          </cell>
          <cell r="E74">
            <v>208</v>
          </cell>
          <cell r="F74">
            <v>608</v>
          </cell>
          <cell r="G74">
            <v>17597300</v>
          </cell>
        </row>
        <row r="75">
          <cell r="A75">
            <v>72</v>
          </cell>
          <cell r="B75">
            <v>37593</v>
          </cell>
          <cell r="C75">
            <v>25</v>
          </cell>
          <cell r="D75">
            <v>5</v>
          </cell>
          <cell r="E75">
            <v>202</v>
          </cell>
          <cell r="F75">
            <v>504</v>
          </cell>
          <cell r="G75">
            <v>13758800</v>
          </cell>
        </row>
        <row r="76">
          <cell r="A76">
            <v>73</v>
          </cell>
          <cell r="B76">
            <v>37593</v>
          </cell>
          <cell r="C76" t="str">
            <v>32A</v>
          </cell>
          <cell r="D76">
            <v>5</v>
          </cell>
          <cell r="E76">
            <v>214</v>
          </cell>
          <cell r="F76">
            <v>502</v>
          </cell>
          <cell r="G76">
            <v>17775100</v>
          </cell>
        </row>
        <row r="77">
          <cell r="A77">
            <v>74</v>
          </cell>
          <cell r="B77">
            <v>37593</v>
          </cell>
          <cell r="C77" t="str">
            <v>32A</v>
          </cell>
          <cell r="D77">
            <v>5</v>
          </cell>
          <cell r="E77">
            <v>201</v>
          </cell>
          <cell r="F77">
            <v>501</v>
          </cell>
          <cell r="G77">
            <v>17775100</v>
          </cell>
        </row>
        <row r="78">
          <cell r="A78">
            <v>75</v>
          </cell>
          <cell r="B78">
            <v>37593</v>
          </cell>
          <cell r="C78">
            <v>45</v>
          </cell>
          <cell r="D78">
            <v>5</v>
          </cell>
          <cell r="E78">
            <v>207</v>
          </cell>
          <cell r="F78">
            <v>502</v>
          </cell>
          <cell r="G78">
            <v>26696700</v>
          </cell>
        </row>
        <row r="79">
          <cell r="A79">
            <v>76</v>
          </cell>
          <cell r="B79">
            <v>37593</v>
          </cell>
          <cell r="C79" t="str">
            <v>32A</v>
          </cell>
          <cell r="D79">
            <v>5</v>
          </cell>
          <cell r="E79">
            <v>207</v>
          </cell>
          <cell r="F79">
            <v>504</v>
          </cell>
          <cell r="G79">
            <v>17775100</v>
          </cell>
        </row>
        <row r="80">
          <cell r="A80">
            <v>77</v>
          </cell>
          <cell r="B80">
            <v>37593</v>
          </cell>
          <cell r="C80" t="str">
            <v>32A</v>
          </cell>
          <cell r="D80">
            <v>5</v>
          </cell>
          <cell r="E80">
            <v>213</v>
          </cell>
          <cell r="F80">
            <v>503</v>
          </cell>
          <cell r="G80">
            <v>17775100</v>
          </cell>
        </row>
        <row r="81">
          <cell r="A81">
            <v>78</v>
          </cell>
          <cell r="B81">
            <v>37593</v>
          </cell>
          <cell r="C81" t="str">
            <v>32A</v>
          </cell>
          <cell r="D81">
            <v>5</v>
          </cell>
          <cell r="E81">
            <v>206</v>
          </cell>
          <cell r="F81">
            <v>506</v>
          </cell>
          <cell r="G81">
            <v>17775100</v>
          </cell>
        </row>
        <row r="82">
          <cell r="A82">
            <v>79</v>
          </cell>
          <cell r="B82">
            <v>37593</v>
          </cell>
          <cell r="C82">
            <v>25</v>
          </cell>
          <cell r="D82">
            <v>2</v>
          </cell>
          <cell r="E82">
            <v>202</v>
          </cell>
          <cell r="F82">
            <v>401</v>
          </cell>
          <cell r="G82">
            <v>12980000</v>
          </cell>
        </row>
        <row r="83">
          <cell r="A83">
            <v>80</v>
          </cell>
          <cell r="B83">
            <v>37593</v>
          </cell>
          <cell r="C83" t="str">
            <v>32A</v>
          </cell>
          <cell r="D83">
            <v>5</v>
          </cell>
          <cell r="E83">
            <v>210</v>
          </cell>
          <cell r="F83">
            <v>502</v>
          </cell>
          <cell r="G83">
            <v>17775100</v>
          </cell>
        </row>
        <row r="84">
          <cell r="A84">
            <v>81</v>
          </cell>
          <cell r="B84">
            <v>37593</v>
          </cell>
          <cell r="C84" t="str">
            <v>32A</v>
          </cell>
          <cell r="D84">
            <v>2</v>
          </cell>
          <cell r="E84">
            <v>211</v>
          </cell>
          <cell r="F84">
            <v>302</v>
          </cell>
          <cell r="G84">
            <v>16769000</v>
          </cell>
        </row>
        <row r="85">
          <cell r="A85">
            <v>82</v>
          </cell>
          <cell r="B85">
            <v>37593</v>
          </cell>
          <cell r="C85">
            <v>25</v>
          </cell>
          <cell r="D85">
            <v>2</v>
          </cell>
          <cell r="E85">
            <v>202</v>
          </cell>
          <cell r="F85">
            <v>303</v>
          </cell>
          <cell r="G85">
            <v>12980000</v>
          </cell>
        </row>
        <row r="86">
          <cell r="A86">
            <v>83</v>
          </cell>
          <cell r="B86">
            <v>37593</v>
          </cell>
          <cell r="C86" t="str">
            <v>32A</v>
          </cell>
          <cell r="D86">
            <v>1</v>
          </cell>
          <cell r="E86">
            <v>205</v>
          </cell>
          <cell r="F86">
            <v>103</v>
          </cell>
          <cell r="G86">
            <v>17439700</v>
          </cell>
        </row>
        <row r="87">
          <cell r="A87">
            <v>84</v>
          </cell>
          <cell r="B87">
            <v>37593</v>
          </cell>
        </row>
        <row r="88">
          <cell r="A88">
            <v>85</v>
          </cell>
          <cell r="B88">
            <v>37593</v>
          </cell>
        </row>
        <row r="89">
          <cell r="A89">
            <v>86</v>
          </cell>
          <cell r="B89">
            <v>37593</v>
          </cell>
        </row>
        <row r="90">
          <cell r="A90">
            <v>87</v>
          </cell>
          <cell r="B90">
            <v>37593</v>
          </cell>
        </row>
        <row r="91">
          <cell r="A91">
            <v>88</v>
          </cell>
          <cell r="B91">
            <v>37593</v>
          </cell>
        </row>
        <row r="92">
          <cell r="A92">
            <v>89</v>
          </cell>
          <cell r="B92">
            <v>37593</v>
          </cell>
        </row>
        <row r="93">
          <cell r="A93">
            <v>90</v>
          </cell>
          <cell r="B93">
            <v>37593</v>
          </cell>
        </row>
        <row r="94">
          <cell r="A94">
            <v>91</v>
          </cell>
          <cell r="B94">
            <v>37593</v>
          </cell>
        </row>
        <row r="95">
          <cell r="A95">
            <v>92</v>
          </cell>
          <cell r="B95">
            <v>37593</v>
          </cell>
        </row>
        <row r="96">
          <cell r="A96">
            <v>93</v>
          </cell>
          <cell r="B96">
            <v>37593</v>
          </cell>
        </row>
        <row r="97">
          <cell r="A97">
            <v>94</v>
          </cell>
          <cell r="B97">
            <v>37593</v>
          </cell>
        </row>
        <row r="98">
          <cell r="A98">
            <v>95</v>
          </cell>
          <cell r="B98">
            <v>37593</v>
          </cell>
        </row>
        <row r="99">
          <cell r="A99">
            <v>96</v>
          </cell>
          <cell r="B99">
            <v>37593</v>
          </cell>
        </row>
        <row r="100">
          <cell r="A100">
            <v>97</v>
          </cell>
          <cell r="B100">
            <v>37593</v>
          </cell>
        </row>
        <row r="101">
          <cell r="A101">
            <v>98</v>
          </cell>
          <cell r="B101">
            <v>37593</v>
          </cell>
        </row>
        <row r="102">
          <cell r="A102">
            <v>99</v>
          </cell>
          <cell r="B102">
            <v>37593</v>
          </cell>
        </row>
        <row r="103">
          <cell r="A103">
            <v>100</v>
          </cell>
        </row>
        <row r="104">
          <cell r="A104">
            <v>101</v>
          </cell>
        </row>
        <row r="105">
          <cell r="A105">
            <v>102</v>
          </cell>
        </row>
        <row r="106">
          <cell r="A106">
            <v>103</v>
          </cell>
        </row>
        <row r="107">
          <cell r="A107">
            <v>104</v>
          </cell>
        </row>
        <row r="108">
          <cell r="A108">
            <v>105</v>
          </cell>
        </row>
        <row r="109">
          <cell r="A109">
            <v>106</v>
          </cell>
        </row>
        <row r="110">
          <cell r="A110">
            <v>107</v>
          </cell>
        </row>
        <row r="111">
          <cell r="A111">
            <v>108</v>
          </cell>
        </row>
        <row r="112">
          <cell r="A112">
            <v>109</v>
          </cell>
        </row>
        <row r="113">
          <cell r="A113">
            <v>110</v>
          </cell>
        </row>
        <row r="114">
          <cell r="A114">
            <v>111</v>
          </cell>
        </row>
        <row r="115">
          <cell r="A115">
            <v>112</v>
          </cell>
        </row>
        <row r="116">
          <cell r="A116">
            <v>113</v>
          </cell>
        </row>
        <row r="117">
          <cell r="A117">
            <v>114</v>
          </cell>
        </row>
        <row r="118">
          <cell r="A118">
            <v>115</v>
          </cell>
        </row>
        <row r="119">
          <cell r="A119">
            <v>116</v>
          </cell>
        </row>
        <row r="120">
          <cell r="A120">
            <v>117</v>
          </cell>
        </row>
        <row r="121">
          <cell r="A121">
            <v>118</v>
          </cell>
        </row>
        <row r="122">
          <cell r="A122">
            <v>119</v>
          </cell>
        </row>
        <row r="123">
          <cell r="A123">
            <v>120</v>
          </cell>
        </row>
        <row r="124">
          <cell r="A124">
            <v>121</v>
          </cell>
        </row>
        <row r="125">
          <cell r="A125">
            <v>122</v>
          </cell>
        </row>
        <row r="126">
          <cell r="A126">
            <v>123</v>
          </cell>
        </row>
        <row r="127">
          <cell r="A127">
            <v>124</v>
          </cell>
        </row>
        <row r="128">
          <cell r="A128">
            <v>125</v>
          </cell>
        </row>
        <row r="129">
          <cell r="A129">
            <v>126</v>
          </cell>
        </row>
        <row r="130">
          <cell r="A130">
            <v>127</v>
          </cell>
        </row>
        <row r="131">
          <cell r="A131">
            <v>128</v>
          </cell>
        </row>
        <row r="132">
          <cell r="A132">
            <v>129</v>
          </cell>
        </row>
        <row r="133">
          <cell r="A133">
            <v>130</v>
          </cell>
        </row>
        <row r="134">
          <cell r="A134">
            <v>131</v>
          </cell>
        </row>
        <row r="135">
          <cell r="A135">
            <v>132</v>
          </cell>
        </row>
        <row r="136">
          <cell r="A136">
            <v>133</v>
          </cell>
        </row>
        <row r="137">
          <cell r="A137">
            <v>134</v>
          </cell>
        </row>
        <row r="138">
          <cell r="A138">
            <v>135</v>
          </cell>
        </row>
        <row r="139">
          <cell r="A139">
            <v>136</v>
          </cell>
        </row>
        <row r="140">
          <cell r="A140">
            <v>137</v>
          </cell>
        </row>
        <row r="141">
          <cell r="A141">
            <v>138</v>
          </cell>
        </row>
        <row r="142">
          <cell r="A142">
            <v>139</v>
          </cell>
        </row>
        <row r="143">
          <cell r="A143">
            <v>140</v>
          </cell>
        </row>
        <row r="144">
          <cell r="A144">
            <v>141</v>
          </cell>
        </row>
        <row r="145">
          <cell r="A145">
            <v>142</v>
          </cell>
        </row>
        <row r="146">
          <cell r="A146">
            <v>143</v>
          </cell>
        </row>
        <row r="147">
          <cell r="A147">
            <v>144</v>
          </cell>
        </row>
        <row r="148">
          <cell r="A148">
            <v>145</v>
          </cell>
        </row>
        <row r="149">
          <cell r="A149">
            <v>146</v>
          </cell>
        </row>
        <row r="150">
          <cell r="A150">
            <v>147</v>
          </cell>
        </row>
        <row r="151">
          <cell r="A151">
            <v>148</v>
          </cell>
        </row>
        <row r="152">
          <cell r="A152">
            <v>149</v>
          </cell>
        </row>
        <row r="153">
          <cell r="A153">
            <v>150</v>
          </cell>
        </row>
        <row r="154">
          <cell r="A154">
            <v>151</v>
          </cell>
        </row>
        <row r="155">
          <cell r="A155">
            <v>152</v>
          </cell>
        </row>
        <row r="156">
          <cell r="A156">
            <v>153</v>
          </cell>
        </row>
        <row r="157">
          <cell r="A157">
            <v>154</v>
          </cell>
        </row>
      </sheetData>
      <sheetData sheetId="1"/>
      <sheetData sheetId="2"/>
      <sheetData sheetId="3">
        <row r="6">
          <cell r="B6">
            <v>37587</v>
          </cell>
        </row>
        <row r="7">
          <cell r="B7">
            <v>37588</v>
          </cell>
        </row>
        <row r="8">
          <cell r="B8">
            <v>37589</v>
          </cell>
        </row>
        <row r="9">
          <cell r="B9">
            <v>37590</v>
          </cell>
        </row>
        <row r="10">
          <cell r="B10">
            <v>37591</v>
          </cell>
        </row>
        <row r="11">
          <cell r="B11">
            <v>37592</v>
          </cell>
        </row>
        <row r="12">
          <cell r="B12">
            <v>37593</v>
          </cell>
        </row>
        <row r="13">
          <cell r="B13">
            <v>37594</v>
          </cell>
        </row>
        <row r="14">
          <cell r="B14">
            <v>37595</v>
          </cell>
        </row>
        <row r="15">
          <cell r="B15">
            <v>37596</v>
          </cell>
        </row>
        <row r="16">
          <cell r="B16">
            <v>37597</v>
          </cell>
        </row>
        <row r="17">
          <cell r="B17">
            <v>37598</v>
          </cell>
        </row>
        <row r="18">
          <cell r="B18">
            <v>37599</v>
          </cell>
        </row>
        <row r="19">
          <cell r="B19">
            <v>37600</v>
          </cell>
        </row>
        <row r="20">
          <cell r="B20">
            <v>37601</v>
          </cell>
        </row>
        <row r="21">
          <cell r="B21">
            <v>37602</v>
          </cell>
        </row>
        <row r="22">
          <cell r="B22">
            <v>37603</v>
          </cell>
        </row>
        <row r="23">
          <cell r="B23">
            <v>37604</v>
          </cell>
        </row>
        <row r="24">
          <cell r="B24">
            <v>37605</v>
          </cell>
        </row>
        <row r="25">
          <cell r="B25">
            <v>37606</v>
          </cell>
        </row>
        <row r="26">
          <cell r="B26">
            <v>37607</v>
          </cell>
        </row>
        <row r="27">
          <cell r="B27">
            <v>37608</v>
          </cell>
        </row>
        <row r="28">
          <cell r="B28">
            <v>37609</v>
          </cell>
        </row>
        <row r="29">
          <cell r="B29">
            <v>37610</v>
          </cell>
        </row>
        <row r="30">
          <cell r="B30">
            <v>37611</v>
          </cell>
        </row>
        <row r="31">
          <cell r="B31">
            <v>37612</v>
          </cell>
        </row>
        <row r="32">
          <cell r="B32">
            <v>37613</v>
          </cell>
        </row>
        <row r="33">
          <cell r="B33">
            <v>37614</v>
          </cell>
        </row>
        <row r="34">
          <cell r="B34">
            <v>37615</v>
          </cell>
        </row>
        <row r="35">
          <cell r="B35">
            <v>37616</v>
          </cell>
        </row>
        <row r="36">
          <cell r="B36">
            <v>37617</v>
          </cell>
        </row>
        <row r="37">
          <cell r="B37">
            <v>37618</v>
          </cell>
        </row>
        <row r="38">
          <cell r="B38">
            <v>37619</v>
          </cell>
        </row>
        <row r="39">
          <cell r="B39">
            <v>37620</v>
          </cell>
        </row>
        <row r="40">
          <cell r="B40">
            <v>37621</v>
          </cell>
        </row>
        <row r="41">
          <cell r="B41">
            <v>37622</v>
          </cell>
        </row>
        <row r="42">
          <cell r="B42">
            <v>37623</v>
          </cell>
        </row>
        <row r="43">
          <cell r="B43">
            <v>37624</v>
          </cell>
        </row>
        <row r="44">
          <cell r="B44">
            <v>37625</v>
          </cell>
        </row>
        <row r="45">
          <cell r="B45">
            <v>37626</v>
          </cell>
        </row>
        <row r="46">
          <cell r="B46">
            <v>37627</v>
          </cell>
        </row>
        <row r="47">
          <cell r="B47">
            <v>37628</v>
          </cell>
        </row>
        <row r="48">
          <cell r="B48">
            <v>37629</v>
          </cell>
        </row>
        <row r="49">
          <cell r="B49">
            <v>37630</v>
          </cell>
        </row>
        <row r="50">
          <cell r="B50">
            <v>37631</v>
          </cell>
        </row>
        <row r="51">
          <cell r="B51">
            <v>37632</v>
          </cell>
        </row>
        <row r="52">
          <cell r="B52">
            <v>37633</v>
          </cell>
        </row>
        <row r="53">
          <cell r="B53">
            <v>37634</v>
          </cell>
        </row>
        <row r="54">
          <cell r="B54">
            <v>37635</v>
          </cell>
        </row>
        <row r="55">
          <cell r="B55">
            <v>37636</v>
          </cell>
        </row>
        <row r="56">
          <cell r="B56">
            <v>37637</v>
          </cell>
        </row>
        <row r="57">
          <cell r="B57">
            <v>37638</v>
          </cell>
        </row>
        <row r="58">
          <cell r="B58">
            <v>37639</v>
          </cell>
        </row>
        <row r="59">
          <cell r="B59">
            <v>37640</v>
          </cell>
        </row>
        <row r="60">
          <cell r="B60">
            <v>37641</v>
          </cell>
        </row>
        <row r="61">
          <cell r="B61">
            <v>37642</v>
          </cell>
        </row>
        <row r="62">
          <cell r="B62">
            <v>37643</v>
          </cell>
        </row>
        <row r="63">
          <cell r="B63">
            <v>37644</v>
          </cell>
        </row>
        <row r="64">
          <cell r="B64">
            <v>37645</v>
          </cell>
        </row>
        <row r="65">
          <cell r="B65">
            <v>37646</v>
          </cell>
        </row>
        <row r="66">
          <cell r="B66">
            <v>37647</v>
          </cell>
        </row>
        <row r="67">
          <cell r="B67">
            <v>37648</v>
          </cell>
        </row>
        <row r="68">
          <cell r="B68">
            <v>37649</v>
          </cell>
        </row>
        <row r="69">
          <cell r="B69">
            <v>37650</v>
          </cell>
        </row>
        <row r="70">
          <cell r="B70">
            <v>37651</v>
          </cell>
        </row>
        <row r="71">
          <cell r="B71">
            <v>37652</v>
          </cell>
        </row>
        <row r="72">
          <cell r="B72">
            <v>37653</v>
          </cell>
        </row>
        <row r="73">
          <cell r="B73">
            <v>37654</v>
          </cell>
        </row>
        <row r="74">
          <cell r="B74">
            <v>37655</v>
          </cell>
        </row>
        <row r="75">
          <cell r="B75">
            <v>37656</v>
          </cell>
        </row>
        <row r="76">
          <cell r="B76">
            <v>37657</v>
          </cell>
        </row>
        <row r="77">
          <cell r="B77">
            <v>37658</v>
          </cell>
        </row>
        <row r="78">
          <cell r="B78">
            <v>37659</v>
          </cell>
        </row>
        <row r="79">
          <cell r="B79">
            <v>37660</v>
          </cell>
        </row>
        <row r="80">
          <cell r="B80">
            <v>37661</v>
          </cell>
        </row>
        <row r="81">
          <cell r="B81">
            <v>37662</v>
          </cell>
        </row>
        <row r="82">
          <cell r="B82">
            <v>37663</v>
          </cell>
        </row>
        <row r="83">
          <cell r="B83">
            <v>37664</v>
          </cell>
        </row>
        <row r="84">
          <cell r="B84">
            <v>37665</v>
          </cell>
        </row>
        <row r="85">
          <cell r="B85">
            <v>37666</v>
          </cell>
        </row>
        <row r="86">
          <cell r="B86">
            <v>37667</v>
          </cell>
        </row>
        <row r="87">
          <cell r="B87">
            <v>37668</v>
          </cell>
        </row>
        <row r="88">
          <cell r="B88">
            <v>37669</v>
          </cell>
        </row>
        <row r="89">
          <cell r="B89">
            <v>37670</v>
          </cell>
        </row>
        <row r="90">
          <cell r="B90">
            <v>37671</v>
          </cell>
        </row>
        <row r="91">
          <cell r="B91">
            <v>37672</v>
          </cell>
        </row>
        <row r="92">
          <cell r="B92">
            <v>37673</v>
          </cell>
        </row>
        <row r="93">
          <cell r="B93">
            <v>37674</v>
          </cell>
        </row>
        <row r="94">
          <cell r="B94">
            <v>37675</v>
          </cell>
        </row>
        <row r="95">
          <cell r="B95">
            <v>37676</v>
          </cell>
        </row>
        <row r="96">
          <cell r="B96">
            <v>37677</v>
          </cell>
        </row>
        <row r="97">
          <cell r="B97">
            <v>37678</v>
          </cell>
        </row>
        <row r="98">
          <cell r="B98">
            <v>37679</v>
          </cell>
        </row>
        <row r="99">
          <cell r="B99">
            <v>37680</v>
          </cell>
        </row>
        <row r="100">
          <cell r="B100">
            <v>37681</v>
          </cell>
        </row>
        <row r="101">
          <cell r="B101">
            <v>37682</v>
          </cell>
        </row>
        <row r="102">
          <cell r="B102">
            <v>37683</v>
          </cell>
        </row>
        <row r="103">
          <cell r="B103">
            <v>37684</v>
          </cell>
        </row>
        <row r="104">
          <cell r="B104">
            <v>37685</v>
          </cell>
        </row>
        <row r="105">
          <cell r="B105">
            <v>37686</v>
          </cell>
        </row>
        <row r="106">
          <cell r="B106">
            <v>37687</v>
          </cell>
        </row>
        <row r="107">
          <cell r="B107">
            <v>37688</v>
          </cell>
        </row>
        <row r="108">
          <cell r="B108">
            <v>37689</v>
          </cell>
        </row>
        <row r="109">
          <cell r="B109">
            <v>37690</v>
          </cell>
        </row>
        <row r="110">
          <cell r="B110">
            <v>37691</v>
          </cell>
        </row>
        <row r="111">
          <cell r="B111">
            <v>37692</v>
          </cell>
        </row>
        <row r="112">
          <cell r="B112">
            <v>37693</v>
          </cell>
        </row>
        <row r="113">
          <cell r="B113">
            <v>37694</v>
          </cell>
        </row>
        <row r="114">
          <cell r="B114">
            <v>37695</v>
          </cell>
        </row>
        <row r="115">
          <cell r="B115">
            <v>37696</v>
          </cell>
        </row>
        <row r="116">
          <cell r="B116">
            <v>37697</v>
          </cell>
        </row>
        <row r="117">
          <cell r="B117">
            <v>37698</v>
          </cell>
        </row>
        <row r="118">
          <cell r="B118">
            <v>37699</v>
          </cell>
        </row>
        <row r="119">
          <cell r="B119">
            <v>37700</v>
          </cell>
        </row>
        <row r="120">
          <cell r="B120">
            <v>37701</v>
          </cell>
        </row>
        <row r="121">
          <cell r="B121">
            <v>37702</v>
          </cell>
        </row>
        <row r="122">
          <cell r="B122">
            <v>37703</v>
          </cell>
        </row>
        <row r="123">
          <cell r="B123">
            <v>37704</v>
          </cell>
        </row>
        <row r="124">
          <cell r="B124">
            <v>37705</v>
          </cell>
        </row>
        <row r="125">
          <cell r="B125">
            <v>37706</v>
          </cell>
        </row>
        <row r="126">
          <cell r="B126">
            <v>37707</v>
          </cell>
        </row>
        <row r="127">
          <cell r="B127">
            <v>37708</v>
          </cell>
        </row>
        <row r="128">
          <cell r="B128">
            <v>37709</v>
          </cell>
        </row>
        <row r="129">
          <cell r="B129">
            <v>37710</v>
          </cell>
        </row>
        <row r="130">
          <cell r="B130">
            <v>37711</v>
          </cell>
        </row>
        <row r="131">
          <cell r="B131">
            <v>37712</v>
          </cell>
        </row>
        <row r="132">
          <cell r="B132">
            <v>37713</v>
          </cell>
        </row>
        <row r="133">
          <cell r="B133">
            <v>37714</v>
          </cell>
        </row>
        <row r="134">
          <cell r="B134">
            <v>37715</v>
          </cell>
        </row>
        <row r="135">
          <cell r="B135">
            <v>37716</v>
          </cell>
        </row>
        <row r="136">
          <cell r="B136">
            <v>37717</v>
          </cell>
        </row>
        <row r="137">
          <cell r="B137">
            <v>37718</v>
          </cell>
        </row>
        <row r="138">
          <cell r="B138">
            <v>37719</v>
          </cell>
        </row>
        <row r="139">
          <cell r="B139">
            <v>37720</v>
          </cell>
        </row>
        <row r="140">
          <cell r="B140">
            <v>37721</v>
          </cell>
        </row>
        <row r="141">
          <cell r="B141">
            <v>37722</v>
          </cell>
        </row>
        <row r="142">
          <cell r="B142">
            <v>37723</v>
          </cell>
        </row>
        <row r="143">
          <cell r="B143">
            <v>37724</v>
          </cell>
        </row>
        <row r="144">
          <cell r="B144">
            <v>37725</v>
          </cell>
        </row>
        <row r="145">
          <cell r="B145">
            <v>37726</v>
          </cell>
        </row>
        <row r="146">
          <cell r="B146">
            <v>37727</v>
          </cell>
        </row>
        <row r="147">
          <cell r="B147">
            <v>37728</v>
          </cell>
        </row>
        <row r="148">
          <cell r="B148">
            <v>37729</v>
          </cell>
        </row>
        <row r="149">
          <cell r="B149">
            <v>37730</v>
          </cell>
        </row>
        <row r="150">
          <cell r="B150">
            <v>37731</v>
          </cell>
        </row>
        <row r="151">
          <cell r="B151">
            <v>37732</v>
          </cell>
        </row>
        <row r="152">
          <cell r="B152">
            <v>37733</v>
          </cell>
        </row>
        <row r="153">
          <cell r="B153">
            <v>37734</v>
          </cell>
        </row>
        <row r="154">
          <cell r="B154">
            <v>37735</v>
          </cell>
        </row>
        <row r="155">
          <cell r="B155">
            <v>37736</v>
          </cell>
        </row>
        <row r="156">
          <cell r="B156">
            <v>37737</v>
          </cell>
        </row>
        <row r="157">
          <cell r="B157">
            <v>37738</v>
          </cell>
        </row>
        <row r="158">
          <cell r="B158">
            <v>37739</v>
          </cell>
        </row>
        <row r="159">
          <cell r="B159">
            <v>37740</v>
          </cell>
        </row>
        <row r="160">
          <cell r="B160">
            <v>37741</v>
          </cell>
        </row>
        <row r="161">
          <cell r="B161">
            <v>37742</v>
          </cell>
        </row>
        <row r="162">
          <cell r="B162">
            <v>37743</v>
          </cell>
        </row>
        <row r="163">
          <cell r="B163">
            <v>37744</v>
          </cell>
        </row>
        <row r="164">
          <cell r="B164">
            <v>37745</v>
          </cell>
        </row>
        <row r="165">
          <cell r="B165">
            <v>37746</v>
          </cell>
        </row>
        <row r="166">
          <cell r="B166">
            <v>37747</v>
          </cell>
        </row>
        <row r="167">
          <cell r="B167">
            <v>37748</v>
          </cell>
        </row>
        <row r="168">
          <cell r="B168">
            <v>37749</v>
          </cell>
        </row>
        <row r="169">
          <cell r="B169">
            <v>37750</v>
          </cell>
        </row>
        <row r="170">
          <cell r="B170">
            <v>37751</v>
          </cell>
        </row>
        <row r="171">
          <cell r="B171">
            <v>37752</v>
          </cell>
        </row>
        <row r="172">
          <cell r="B172">
            <v>37753</v>
          </cell>
        </row>
        <row r="173">
          <cell r="B173">
            <v>37754</v>
          </cell>
        </row>
        <row r="174">
          <cell r="B174">
            <v>37755</v>
          </cell>
        </row>
        <row r="175">
          <cell r="B175">
            <v>37756</v>
          </cell>
        </row>
        <row r="176">
          <cell r="B176">
            <v>37757</v>
          </cell>
        </row>
        <row r="177">
          <cell r="B177">
            <v>37758</v>
          </cell>
        </row>
        <row r="178">
          <cell r="B178">
            <v>37759</v>
          </cell>
        </row>
        <row r="179">
          <cell r="B179">
            <v>37760</v>
          </cell>
        </row>
        <row r="180">
          <cell r="B180">
            <v>37761</v>
          </cell>
        </row>
        <row r="181">
          <cell r="B181">
            <v>37762</v>
          </cell>
        </row>
        <row r="182">
          <cell r="B182">
            <v>37763</v>
          </cell>
        </row>
        <row r="183">
          <cell r="B183">
            <v>37764</v>
          </cell>
        </row>
        <row r="184">
          <cell r="B184">
            <v>37765</v>
          </cell>
        </row>
        <row r="185">
          <cell r="B185">
            <v>37766</v>
          </cell>
        </row>
        <row r="186">
          <cell r="B186">
            <v>37767</v>
          </cell>
        </row>
        <row r="187">
          <cell r="B187">
            <v>37768</v>
          </cell>
        </row>
        <row r="188">
          <cell r="B188">
            <v>37769</v>
          </cell>
        </row>
        <row r="189">
          <cell r="B189">
            <v>37770</v>
          </cell>
        </row>
        <row r="190">
          <cell r="B190">
            <v>37771</v>
          </cell>
        </row>
        <row r="191">
          <cell r="B191">
            <v>37772</v>
          </cell>
        </row>
        <row r="192">
          <cell r="B192">
            <v>37773</v>
          </cell>
        </row>
        <row r="193">
          <cell r="B193">
            <v>37774</v>
          </cell>
        </row>
        <row r="194">
          <cell r="B194">
            <v>37775</v>
          </cell>
        </row>
        <row r="195">
          <cell r="B195">
            <v>37776</v>
          </cell>
        </row>
        <row r="196">
          <cell r="B196">
            <v>37777</v>
          </cell>
        </row>
        <row r="197">
          <cell r="B197">
            <v>37778</v>
          </cell>
        </row>
        <row r="198">
          <cell r="B198">
            <v>37779</v>
          </cell>
        </row>
        <row r="199">
          <cell r="B199">
            <v>37780</v>
          </cell>
        </row>
        <row r="200">
          <cell r="B200">
            <v>37781</v>
          </cell>
        </row>
        <row r="201">
          <cell r="B201">
            <v>37782</v>
          </cell>
        </row>
        <row r="202">
          <cell r="B202">
            <v>37783</v>
          </cell>
        </row>
        <row r="203">
          <cell r="B203">
            <v>37784</v>
          </cell>
        </row>
        <row r="204">
          <cell r="B204">
            <v>37785</v>
          </cell>
        </row>
        <row r="205">
          <cell r="B205">
            <v>37786</v>
          </cell>
        </row>
        <row r="206">
          <cell r="B206">
            <v>37787</v>
          </cell>
        </row>
        <row r="207">
          <cell r="B207">
            <v>37788</v>
          </cell>
        </row>
        <row r="208">
          <cell r="B208">
            <v>37789</v>
          </cell>
        </row>
        <row r="209">
          <cell r="B209">
            <v>37790</v>
          </cell>
        </row>
        <row r="210">
          <cell r="B210">
            <v>37791</v>
          </cell>
        </row>
        <row r="211">
          <cell r="B211">
            <v>37792</v>
          </cell>
        </row>
        <row r="212">
          <cell r="B212">
            <v>37793</v>
          </cell>
        </row>
        <row r="213">
          <cell r="B213">
            <v>37794</v>
          </cell>
        </row>
        <row r="214">
          <cell r="B214">
            <v>37795</v>
          </cell>
        </row>
        <row r="215">
          <cell r="B215">
            <v>37796</v>
          </cell>
        </row>
        <row r="216">
          <cell r="B216">
            <v>37797</v>
          </cell>
        </row>
        <row r="217">
          <cell r="B217">
            <v>37798</v>
          </cell>
        </row>
        <row r="218">
          <cell r="B218">
            <v>37799</v>
          </cell>
        </row>
        <row r="219">
          <cell r="B219">
            <v>37800</v>
          </cell>
        </row>
        <row r="220">
          <cell r="B220">
            <v>37801</v>
          </cell>
        </row>
        <row r="221">
          <cell r="B221">
            <v>37802</v>
          </cell>
        </row>
        <row r="222">
          <cell r="B222">
            <v>37803</v>
          </cell>
        </row>
        <row r="223">
          <cell r="B223">
            <v>37804</v>
          </cell>
        </row>
        <row r="224">
          <cell r="B224">
            <v>37805</v>
          </cell>
        </row>
        <row r="225">
          <cell r="B225">
            <v>37806</v>
          </cell>
        </row>
        <row r="226">
          <cell r="B226">
            <v>37807</v>
          </cell>
        </row>
        <row r="227">
          <cell r="B227">
            <v>37808</v>
          </cell>
        </row>
        <row r="228">
          <cell r="B228">
            <v>37809</v>
          </cell>
        </row>
        <row r="229">
          <cell r="B229">
            <v>37810</v>
          </cell>
        </row>
        <row r="230">
          <cell r="B230">
            <v>37811</v>
          </cell>
        </row>
        <row r="231">
          <cell r="B231">
            <v>37812</v>
          </cell>
        </row>
        <row r="232">
          <cell r="B232">
            <v>37813</v>
          </cell>
        </row>
        <row r="233">
          <cell r="B233">
            <v>37814</v>
          </cell>
        </row>
        <row r="234">
          <cell r="B234">
            <v>37815</v>
          </cell>
        </row>
        <row r="235">
          <cell r="B235">
            <v>37816</v>
          </cell>
        </row>
        <row r="236">
          <cell r="B236">
            <v>37817</v>
          </cell>
        </row>
        <row r="237">
          <cell r="B237">
            <v>37818</v>
          </cell>
        </row>
        <row r="238">
          <cell r="B238">
            <v>37819</v>
          </cell>
        </row>
        <row r="239">
          <cell r="B239">
            <v>37820</v>
          </cell>
        </row>
        <row r="240">
          <cell r="B240">
            <v>37821</v>
          </cell>
        </row>
        <row r="241">
          <cell r="B241">
            <v>37822</v>
          </cell>
        </row>
        <row r="242">
          <cell r="B242">
            <v>37823</v>
          </cell>
        </row>
        <row r="243">
          <cell r="B243">
            <v>37824</v>
          </cell>
        </row>
        <row r="244">
          <cell r="B244">
            <v>37825</v>
          </cell>
        </row>
        <row r="245">
          <cell r="B245">
            <v>37826</v>
          </cell>
        </row>
        <row r="246">
          <cell r="B246">
            <v>37827</v>
          </cell>
        </row>
        <row r="247">
          <cell r="B247">
            <v>37828</v>
          </cell>
        </row>
      </sheetData>
      <sheetData sheetId="4"/>
      <sheetData sheetId="5"/>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삼군조합"/>
      <sheetName val="상현리조합"/>
      <sheetName val="대여현황"/>
      <sheetName val="하남신장"/>
      <sheetName val="신사동"/>
      <sheetName val="방배동 (2)"/>
      <sheetName val="FAX(한)"/>
      <sheetName val="FAX(영)"/>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오산"/>
      <sheetName val="오산1"/>
      <sheetName val="첨단지구"/>
      <sheetName val="첨단2"/>
      <sheetName val="첨단3"/>
      <sheetName val="첨"/>
      <sheetName val="코드"/>
      <sheetName val="Data&amp;Result"/>
      <sheetName val="대여현황"/>
      <sheetName val="시설물일위"/>
      <sheetName val="영업외손"/>
      <sheetName val="일반관리"/>
      <sheetName val="특별손익"/>
      <sheetName val="입력부분"/>
      <sheetName val="색인구역"/>
      <sheetName val="담보평가"/>
      <sheetName val="내역5"/>
      <sheetName val="자금수5"/>
      <sheetName val="BM_NEW2"/>
      <sheetName val="운영기간"/>
      <sheetName val="일위대가"/>
      <sheetName val="MH_생산"/>
      <sheetName val="삼홍테크"/>
      <sheetName val="경비"/>
      <sheetName val="매출.물동명세"/>
      <sheetName val="자금입금"/>
      <sheetName val="실행간접비용"/>
      <sheetName val="은행"/>
      <sheetName val="6호기"/>
      <sheetName val="종배수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동"/>
      <sheetName val="동탄지구 수지분석"/>
      <sheetName val="입찰예정토지"/>
      <sheetName val="붙이기"/>
      <sheetName val="입찰예정토지 (3)"/>
      <sheetName val="입찰예정토지풍성"/>
      <sheetName val="동탄 택지 당첨 준비사항"/>
      <sheetName val="3-1블럭 수지분석"/>
      <sheetName val="택지 매입시 금융비용"/>
      <sheetName val="cash"/>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업"/>
      <sheetName val="공동"/>
      <sheetName val="단독"/>
      <sheetName val="도시지원"/>
      <sheetName val="근생"/>
      <sheetName val="농가주택"/>
      <sheetName val="공공"/>
      <sheetName val="Sheet2"/>
      <sheetName val="현상설계구역(11월버전)"/>
      <sheetName val="대전-교대(A1-A2)"/>
      <sheetName val="첨"/>
      <sheetName val="공통가설"/>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DATA"/>
      <sheetName val="VXXXXXX"/>
      <sheetName val="4.배관총괄"/>
      <sheetName val="-1.hotair"/>
      <sheetName val="-2.htm"/>
      <sheetName val="-3.hw"/>
      <sheetName val="-4.dope"/>
      <sheetName val="-5.damc"/>
      <sheetName val="-6.dew"/>
      <sheetName val="-7.foil"/>
      <sheetName val="-8.brine"/>
      <sheetName val="-9.2stm"/>
      <sheetName val="-10.7ia"/>
      <sheetName val="-11.7pa"/>
      <sheetName val="-12.cow"/>
      <sheetName val="-13.chw"/>
      <sheetName val="-14.fw"/>
      <sheetName val="-15.air duct"/>
      <sheetName val="-16.UT'Y"/>
      <sheetName val="Sheet1"/>
      <sheetName val="공동"/>
      <sheetName val="단독"/>
      <sheetName val="형틀공사"/>
      <sheetName val="실행(표지,갑,을)"/>
      <sheetName val="부대내역"/>
      <sheetName val="갑지(추정)"/>
      <sheetName val="(1)본선수량집계"/>
      <sheetName val="입찰"/>
      <sheetName val="현경"/>
      <sheetName val="투찰"/>
      <sheetName val="설계"/>
      <sheetName val="노임"/>
      <sheetName val="공사개요"/>
      <sheetName val="원가계산 (2)"/>
      <sheetName val="본공사"/>
      <sheetName val="총관리비"/>
      <sheetName val="Total"/>
      <sheetName val="Sheet1 (2)"/>
      <sheetName val="예가표"/>
      <sheetName val="국내조달(통합-1)"/>
      <sheetName val="식재인부"/>
      <sheetName val="내역"/>
      <sheetName val="공내역"/>
      <sheetName val="4.2유효폭의 계산"/>
      <sheetName val="입력자료"/>
      <sheetName val="토목"/>
      <sheetName val="노무비단가"/>
      <sheetName val="공통비(전체)"/>
      <sheetName val="일위대가"/>
      <sheetName val="공사비산출내역"/>
      <sheetName val="통장출금액"/>
      <sheetName val="적심사표"/>
      <sheetName val="Xunit (단위환산)"/>
      <sheetName val="대비표(토공1안)"/>
      <sheetName val="표준공사비-조명제외x10%up"/>
      <sheetName val="기초일위"/>
      <sheetName val="갑지_추정_"/>
      <sheetName val="내역서"/>
      <sheetName val="4_배관총괄"/>
      <sheetName val="-1_hotair"/>
      <sheetName val="-2_htm"/>
      <sheetName val="-3_hw"/>
      <sheetName val="-4_dope"/>
      <sheetName val="-5_damc"/>
      <sheetName val="-6_dew"/>
      <sheetName val="-7_foil"/>
      <sheetName val="-8_brine"/>
      <sheetName val="-9_2stm"/>
      <sheetName val="-10_7ia"/>
      <sheetName val="-11_7pa"/>
      <sheetName val="-12_cow"/>
      <sheetName val="-13_chw"/>
      <sheetName val="-14_fw"/>
      <sheetName val="-15_air_duct"/>
      <sheetName val="-16_UT'Y"/>
      <sheetName val="새공통"/>
      <sheetName val="단가"/>
      <sheetName val="은행"/>
      <sheetName val="심의위원명단"/>
      <sheetName val="을-ATYPE"/>
      <sheetName val="단가표"/>
      <sheetName val="I一般比"/>
      <sheetName val="계약서"/>
      <sheetName val="건축일"/>
      <sheetName val="실행내역"/>
      <sheetName val="직노"/>
      <sheetName val="TIE-IN"/>
      <sheetName val="현장경비"/>
      <sheetName val="총물량"/>
      <sheetName val="일위대가LIST"/>
      <sheetName val="기본사항"/>
      <sheetName val="Sheet6"/>
      <sheetName val="SG"/>
      <sheetName val="회사정보"/>
      <sheetName val="입찰안"/>
      <sheetName val="노무비"/>
      <sheetName val="계수시트"/>
      <sheetName val="원가계산서"/>
      <sheetName val="수량산출"/>
      <sheetName val="요율"/>
    </sheetNames>
    <sheetDataSet>
      <sheetData sheetId="0" refreshError="1">
        <row r="4">
          <cell r="I4" t="str">
            <v>A000</v>
          </cell>
          <cell r="J4" t="str">
            <v>대표이사실</v>
          </cell>
          <cell r="K4" t="str">
            <v>H</v>
          </cell>
        </row>
        <row r="5">
          <cell r="I5" t="str">
            <v>A010</v>
          </cell>
          <cell r="J5" t="str">
            <v>감사실</v>
          </cell>
          <cell r="K5" t="str">
            <v>H</v>
          </cell>
        </row>
        <row r="6">
          <cell r="I6" t="str">
            <v>A015</v>
          </cell>
          <cell r="J6" t="str">
            <v>임원실</v>
          </cell>
          <cell r="K6" t="str">
            <v>H</v>
          </cell>
        </row>
        <row r="7">
          <cell r="I7" t="str">
            <v>A020</v>
          </cell>
          <cell r="J7" t="str">
            <v>기획조정팀</v>
          </cell>
          <cell r="K7" t="str">
            <v>H</v>
          </cell>
        </row>
        <row r="8">
          <cell r="I8" t="str">
            <v>A021</v>
          </cell>
          <cell r="J8" t="str">
            <v>경영개선팀</v>
          </cell>
          <cell r="K8" t="str">
            <v>H</v>
          </cell>
        </row>
        <row r="9">
          <cell r="I9" t="str">
            <v>A026</v>
          </cell>
          <cell r="J9" t="str">
            <v>법제팀</v>
          </cell>
          <cell r="K9" t="str">
            <v>H</v>
          </cell>
        </row>
        <row r="10">
          <cell r="I10" t="str">
            <v>A030</v>
          </cell>
          <cell r="J10" t="str">
            <v>시스템개발팀</v>
          </cell>
          <cell r="K10" t="str">
            <v>H</v>
          </cell>
        </row>
        <row r="11">
          <cell r="I11" t="str">
            <v>A040</v>
          </cell>
          <cell r="J11" t="str">
            <v>기술연구소</v>
          </cell>
          <cell r="K11" t="str">
            <v>H</v>
          </cell>
        </row>
        <row r="12">
          <cell r="I12" t="str">
            <v>A041</v>
          </cell>
          <cell r="J12" t="str">
            <v>주택품질팀</v>
          </cell>
          <cell r="K12" t="str">
            <v>JD</v>
          </cell>
        </row>
        <row r="13">
          <cell r="I13" t="str">
            <v>A042</v>
          </cell>
          <cell r="J13" t="str">
            <v>일산A/S</v>
          </cell>
          <cell r="K13" t="str">
            <v>JD</v>
          </cell>
        </row>
        <row r="14">
          <cell r="I14" t="str">
            <v>A045</v>
          </cell>
          <cell r="J14" t="str">
            <v>시험실</v>
          </cell>
          <cell r="K14" t="str">
            <v>H</v>
          </cell>
        </row>
        <row r="15">
          <cell r="I15" t="str">
            <v>A050</v>
          </cell>
          <cell r="J15" t="str">
            <v>인력개발팀</v>
          </cell>
          <cell r="K15" t="str">
            <v>H</v>
          </cell>
        </row>
        <row r="16">
          <cell r="I16" t="str">
            <v>A051</v>
          </cell>
          <cell r="J16" t="str">
            <v>기술관리팀</v>
          </cell>
          <cell r="K16" t="str">
            <v>H</v>
          </cell>
        </row>
        <row r="17">
          <cell r="I17" t="str">
            <v>A060</v>
          </cell>
          <cell r="J17" t="str">
            <v>비상계획팀</v>
          </cell>
          <cell r="K17" t="str">
            <v>H</v>
          </cell>
        </row>
        <row r="18">
          <cell r="I18" t="str">
            <v>A070</v>
          </cell>
          <cell r="J18" t="str">
            <v>자금팀</v>
          </cell>
          <cell r="K18" t="str">
            <v>H</v>
          </cell>
        </row>
        <row r="19">
          <cell r="I19" t="str">
            <v>A080</v>
          </cell>
          <cell r="J19" t="str">
            <v>회계팀</v>
          </cell>
          <cell r="K19" t="str">
            <v>H</v>
          </cell>
        </row>
        <row r="20">
          <cell r="I20" t="str">
            <v>A090</v>
          </cell>
          <cell r="J20" t="str">
            <v>자재팀</v>
          </cell>
          <cell r="K20" t="str">
            <v>H</v>
          </cell>
        </row>
        <row r="21">
          <cell r="I21" t="str">
            <v>A100</v>
          </cell>
          <cell r="J21" t="str">
            <v>외주육성팀</v>
          </cell>
          <cell r="K21" t="str">
            <v>H</v>
          </cell>
        </row>
        <row r="22">
          <cell r="I22" t="str">
            <v>A105</v>
          </cell>
          <cell r="J22" t="str">
            <v>안전환경팀</v>
          </cell>
          <cell r="K22" t="str">
            <v>H</v>
          </cell>
        </row>
        <row r="23">
          <cell r="I23" t="str">
            <v>A110</v>
          </cell>
          <cell r="J23" t="str">
            <v>업무추진팀</v>
          </cell>
          <cell r="K23" t="str">
            <v>TI</v>
          </cell>
        </row>
        <row r="24">
          <cell r="I24" t="str">
            <v>A115</v>
          </cell>
          <cell r="J24" t="str">
            <v>부산지사</v>
          </cell>
          <cell r="K24" t="str">
            <v>H</v>
          </cell>
        </row>
        <row r="25">
          <cell r="I25" t="str">
            <v>A130</v>
          </cell>
          <cell r="J25" t="str">
            <v>해외사업팀</v>
          </cell>
          <cell r="K25" t="str">
            <v>FD</v>
          </cell>
        </row>
        <row r="26">
          <cell r="I26" t="str">
            <v>A131</v>
          </cell>
          <cell r="J26" t="str">
            <v>호치민사무소</v>
          </cell>
          <cell r="K26" t="str">
            <v>FD</v>
          </cell>
        </row>
        <row r="27">
          <cell r="I27" t="str">
            <v>A150</v>
          </cell>
          <cell r="J27" t="str">
            <v>영업개발팀</v>
          </cell>
          <cell r="K27" t="str">
            <v>GI</v>
          </cell>
        </row>
        <row r="28">
          <cell r="I28" t="str">
            <v>A151</v>
          </cell>
          <cell r="J28" t="str">
            <v>전주지사</v>
          </cell>
          <cell r="K28" t="str">
            <v>H</v>
          </cell>
        </row>
        <row r="29">
          <cell r="I29" t="str">
            <v>A155</v>
          </cell>
          <cell r="J29" t="str">
            <v>S O C 팀</v>
          </cell>
          <cell r="K29" t="str">
            <v>TD</v>
          </cell>
        </row>
        <row r="30">
          <cell r="I30" t="str">
            <v>A160</v>
          </cell>
          <cell r="J30" t="str">
            <v>주택사업1팀</v>
          </cell>
          <cell r="K30" t="str">
            <v>JD</v>
          </cell>
        </row>
        <row r="31">
          <cell r="I31" t="str">
            <v>A161</v>
          </cell>
          <cell r="J31" t="str">
            <v>주택사업2팀</v>
          </cell>
          <cell r="K31" t="str">
            <v>JD</v>
          </cell>
        </row>
        <row r="32">
          <cell r="I32" t="str">
            <v>A166</v>
          </cell>
          <cell r="J32" t="str">
            <v>용지개발팀</v>
          </cell>
          <cell r="K32" t="str">
            <v>JD</v>
          </cell>
        </row>
        <row r="33">
          <cell r="I33" t="str">
            <v>A175</v>
          </cell>
          <cell r="J33" t="str">
            <v>주택공사팀</v>
          </cell>
          <cell r="K33" t="str">
            <v>JD</v>
          </cell>
        </row>
        <row r="34">
          <cell r="I34" t="str">
            <v>A176</v>
          </cell>
          <cell r="J34" t="str">
            <v>주택기술팀</v>
          </cell>
          <cell r="K34" t="str">
            <v>JD</v>
          </cell>
        </row>
        <row r="35">
          <cell r="I35" t="str">
            <v>A177</v>
          </cell>
          <cell r="J35" t="str">
            <v>주택마케팅팀</v>
          </cell>
          <cell r="K35" t="str">
            <v>JD</v>
          </cell>
        </row>
        <row r="36">
          <cell r="I36" t="str">
            <v>A191</v>
          </cell>
          <cell r="J36" t="str">
            <v>주택M/H</v>
          </cell>
          <cell r="K36" t="str">
            <v>JD</v>
          </cell>
        </row>
        <row r="37">
          <cell r="I37" t="str">
            <v>AG816-0190</v>
          </cell>
          <cell r="J37" t="str">
            <v>전주평화동 분양</v>
          </cell>
          <cell r="K37" t="str">
            <v>JD</v>
          </cell>
        </row>
        <row r="38">
          <cell r="I38" t="str">
            <v>AG821-0191</v>
          </cell>
          <cell r="J38" t="str">
            <v>군산산북동 분양</v>
          </cell>
          <cell r="K38" t="str">
            <v>JD</v>
          </cell>
        </row>
        <row r="39">
          <cell r="I39" t="str">
            <v>AG822-0191</v>
          </cell>
          <cell r="J39" t="str">
            <v>대전정림동 분양</v>
          </cell>
          <cell r="K39" t="str">
            <v>JD</v>
          </cell>
        </row>
        <row r="40">
          <cell r="I40" t="str">
            <v>AG823-0191</v>
          </cell>
          <cell r="J40" t="str">
            <v>중산1차 분양</v>
          </cell>
          <cell r="K40" t="str">
            <v>JD</v>
          </cell>
        </row>
        <row r="41">
          <cell r="I41" t="str">
            <v>AG824-0191</v>
          </cell>
          <cell r="J41" t="str">
            <v>둔산2차 분양</v>
          </cell>
          <cell r="K41" t="str">
            <v>JD</v>
          </cell>
        </row>
        <row r="42">
          <cell r="I42" t="str">
            <v>AG825-0192</v>
          </cell>
          <cell r="J42" t="str">
            <v>고양화정 분양</v>
          </cell>
          <cell r="K42" t="str">
            <v>JD</v>
          </cell>
        </row>
        <row r="43">
          <cell r="I43" t="str">
            <v>AG826-0192</v>
          </cell>
          <cell r="J43" t="str">
            <v>부산해운대 분양</v>
          </cell>
          <cell r="K43" t="str">
            <v>JD</v>
          </cell>
        </row>
        <row r="44">
          <cell r="I44" t="str">
            <v>AG827-0192</v>
          </cell>
          <cell r="J44" t="str">
            <v>일산2차 분양</v>
          </cell>
          <cell r="K44" t="str">
            <v>JD</v>
          </cell>
        </row>
        <row r="45">
          <cell r="I45" t="str">
            <v>AG828-0192</v>
          </cell>
          <cell r="J45" t="str">
            <v>의왕고천 분양</v>
          </cell>
          <cell r="K45" t="str">
            <v>JD</v>
          </cell>
        </row>
        <row r="46">
          <cell r="I46" t="str">
            <v>AG829-0192</v>
          </cell>
          <cell r="J46" t="str">
            <v>일산3차 분양</v>
          </cell>
          <cell r="K46" t="str">
            <v>JD</v>
          </cell>
        </row>
        <row r="47">
          <cell r="I47" t="str">
            <v>AG831-0193</v>
          </cell>
          <cell r="J47" t="str">
            <v>중산2차 분양</v>
          </cell>
          <cell r="K47" t="str">
            <v>JD</v>
          </cell>
        </row>
        <row r="48">
          <cell r="I48" t="str">
            <v>AG833-0193</v>
          </cell>
          <cell r="J48" t="str">
            <v>충주금릉 분양</v>
          </cell>
          <cell r="K48" t="str">
            <v>JD</v>
          </cell>
        </row>
        <row r="49">
          <cell r="I49" t="str">
            <v>AG834-0193</v>
          </cell>
          <cell r="J49" t="str">
            <v>부산화명 분양</v>
          </cell>
          <cell r="K49" t="str">
            <v>JD</v>
          </cell>
        </row>
        <row r="50">
          <cell r="I50" t="str">
            <v>AG835-0193</v>
          </cell>
          <cell r="J50" t="str">
            <v>분당연립 분양</v>
          </cell>
          <cell r="K50" t="str">
            <v>JD</v>
          </cell>
        </row>
        <row r="51">
          <cell r="I51" t="str">
            <v>AG836-0193</v>
          </cell>
          <cell r="J51" t="str">
            <v>고양능곡 분양</v>
          </cell>
          <cell r="K51" t="str">
            <v>JD</v>
          </cell>
        </row>
        <row r="52">
          <cell r="I52" t="str">
            <v>AG838-0193</v>
          </cell>
          <cell r="J52" t="str">
            <v>부산엄궁 분양</v>
          </cell>
          <cell r="K52" t="str">
            <v>JD</v>
          </cell>
        </row>
        <row r="53">
          <cell r="I53" t="str">
            <v>AG839-0195</v>
          </cell>
          <cell r="J53" t="str">
            <v>대구대명 분양</v>
          </cell>
          <cell r="K53" t="str">
            <v>JD</v>
          </cell>
        </row>
        <row r="54">
          <cell r="I54" t="str">
            <v>AG840-0195</v>
          </cell>
          <cell r="J54" t="str">
            <v>하계연립 분양</v>
          </cell>
          <cell r="K54" t="str">
            <v>JD</v>
          </cell>
        </row>
        <row r="55">
          <cell r="I55" t="str">
            <v>AG841-0195</v>
          </cell>
          <cell r="J55" t="str">
            <v>대림동 분양</v>
          </cell>
          <cell r="K55" t="str">
            <v>JD</v>
          </cell>
        </row>
        <row r="56">
          <cell r="I56" t="str">
            <v>AG841-0196</v>
          </cell>
          <cell r="J56" t="str">
            <v>수원정자 분양</v>
          </cell>
          <cell r="K56" t="str">
            <v>JD</v>
          </cell>
        </row>
        <row r="57">
          <cell r="I57" t="str">
            <v>AG842-0195</v>
          </cell>
          <cell r="J57" t="str">
            <v>남양주덕소 분양</v>
          </cell>
          <cell r="K57" t="str">
            <v>JD</v>
          </cell>
        </row>
        <row r="58">
          <cell r="I58" t="str">
            <v>AG845-0194</v>
          </cell>
          <cell r="J58" t="str">
            <v>상계동 분양</v>
          </cell>
          <cell r="K58" t="str">
            <v>JD</v>
          </cell>
        </row>
        <row r="59">
          <cell r="I59" t="str">
            <v>AG848-0196</v>
          </cell>
          <cell r="J59" t="str">
            <v>안중현화 분양</v>
          </cell>
          <cell r="K59" t="str">
            <v>JD</v>
          </cell>
        </row>
        <row r="60">
          <cell r="I60" t="str">
            <v>AG853*0197</v>
          </cell>
          <cell r="J60" t="str">
            <v>기흥구갈 분양</v>
          </cell>
          <cell r="K60" t="str">
            <v>JD</v>
          </cell>
        </row>
        <row r="61">
          <cell r="I61" t="str">
            <v>AG853-0196</v>
          </cell>
          <cell r="J61" t="str">
            <v>원주단관 분양</v>
          </cell>
          <cell r="K61" t="str">
            <v>JD</v>
          </cell>
        </row>
        <row r="62">
          <cell r="I62" t="str">
            <v>AG854*0197</v>
          </cell>
          <cell r="J62" t="str">
            <v>자체A 분양</v>
          </cell>
          <cell r="K62" t="str">
            <v>JD</v>
          </cell>
        </row>
        <row r="63">
          <cell r="I63" t="str">
            <v>AG891-0190</v>
          </cell>
          <cell r="J63" t="str">
            <v>춘천퇴계 분양</v>
          </cell>
          <cell r="K63" t="str">
            <v>JD</v>
          </cell>
        </row>
        <row r="64">
          <cell r="I64" t="str">
            <v>B019</v>
          </cell>
          <cell r="J64" t="str">
            <v>철구건재(건)</v>
          </cell>
          <cell r="K64" t="str">
            <v>GI</v>
          </cell>
        </row>
        <row r="65">
          <cell r="I65" t="str">
            <v>B020</v>
          </cell>
          <cell r="J65" t="str">
            <v>철구건재(철)</v>
          </cell>
          <cell r="K65" t="str">
            <v>GI</v>
          </cell>
        </row>
        <row r="66">
          <cell r="I66" t="str">
            <v>B022</v>
          </cell>
          <cell r="J66" t="str">
            <v>용인자재창고</v>
          </cell>
          <cell r="K66" t="str">
            <v>H</v>
          </cell>
        </row>
        <row r="67">
          <cell r="I67" t="str">
            <v>B030</v>
          </cell>
          <cell r="J67" t="str">
            <v>토목공사팀</v>
          </cell>
          <cell r="K67" t="str">
            <v>TD</v>
          </cell>
        </row>
        <row r="68">
          <cell r="I68" t="str">
            <v>B035</v>
          </cell>
          <cell r="J68" t="str">
            <v>토목견적팀</v>
          </cell>
          <cell r="K68" t="str">
            <v>TI</v>
          </cell>
        </row>
        <row r="69">
          <cell r="I69" t="str">
            <v>B039</v>
          </cell>
          <cell r="J69" t="str">
            <v>동해리조트추진본부</v>
          </cell>
          <cell r="K69" t="str">
            <v>H</v>
          </cell>
        </row>
        <row r="70">
          <cell r="I70" t="str">
            <v>B040</v>
          </cell>
          <cell r="J70" t="str">
            <v>건축공사팀</v>
          </cell>
          <cell r="K70" t="str">
            <v>GD</v>
          </cell>
        </row>
        <row r="71">
          <cell r="I71" t="str">
            <v>B050</v>
          </cell>
          <cell r="J71" t="str">
            <v>기전팀</v>
          </cell>
          <cell r="K71" t="str">
            <v>GI</v>
          </cell>
        </row>
        <row r="72">
          <cell r="I72" t="str">
            <v>B060</v>
          </cell>
          <cell r="J72" t="str">
            <v>구조설계팀</v>
          </cell>
          <cell r="K72" t="str">
            <v>TI</v>
          </cell>
        </row>
        <row r="73">
          <cell r="I73" t="str">
            <v>B070</v>
          </cell>
          <cell r="J73" t="str">
            <v>토질설계팀</v>
          </cell>
          <cell r="K73" t="str">
            <v>TI</v>
          </cell>
        </row>
        <row r="74">
          <cell r="I74" t="str">
            <v>B080</v>
          </cell>
          <cell r="J74" t="str">
            <v>용역개발팀</v>
          </cell>
          <cell r="K74" t="str">
            <v>Y</v>
          </cell>
        </row>
        <row r="75">
          <cell r="I75" t="str">
            <v>B085</v>
          </cell>
          <cell r="J75" t="str">
            <v>지하공간개발팀</v>
          </cell>
          <cell r="K75" t="str">
            <v>TI</v>
          </cell>
        </row>
        <row r="76">
          <cell r="I76" t="str">
            <v>B150</v>
          </cell>
          <cell r="J76" t="str">
            <v>플랜트사업1팀</v>
          </cell>
          <cell r="K76" t="str">
            <v>PD</v>
          </cell>
        </row>
        <row r="77">
          <cell r="I77" t="str">
            <v>B160</v>
          </cell>
          <cell r="J77" t="str">
            <v>건축견적팀</v>
          </cell>
          <cell r="K77" t="str">
            <v>GI</v>
          </cell>
        </row>
        <row r="78">
          <cell r="I78" t="str">
            <v>B165</v>
          </cell>
          <cell r="J78" t="str">
            <v>주택설계팀</v>
          </cell>
          <cell r="K78" t="str">
            <v>JD</v>
          </cell>
        </row>
        <row r="79">
          <cell r="I79" t="str">
            <v>C000</v>
          </cell>
          <cell r="J79" t="str">
            <v>부회장</v>
          </cell>
          <cell r="K79" t="str">
            <v>H</v>
          </cell>
        </row>
        <row r="80">
          <cell r="I80" t="str">
            <v>C001</v>
          </cell>
          <cell r="J80" t="str">
            <v>사장</v>
          </cell>
          <cell r="K80" t="str">
            <v>H</v>
          </cell>
        </row>
        <row r="81">
          <cell r="I81" t="str">
            <v>C002</v>
          </cell>
          <cell r="J81" t="str">
            <v>민부사장</v>
          </cell>
          <cell r="K81" t="str">
            <v>H</v>
          </cell>
        </row>
        <row r="82">
          <cell r="I82" t="str">
            <v>C003</v>
          </cell>
          <cell r="J82" t="str">
            <v>최부사장</v>
          </cell>
          <cell r="K82" t="str">
            <v>H</v>
          </cell>
        </row>
        <row r="83">
          <cell r="I83" t="str">
            <v>C022</v>
          </cell>
          <cell r="J83" t="str">
            <v>토목본부장</v>
          </cell>
          <cell r="K83" t="str">
            <v>TI</v>
          </cell>
        </row>
        <row r="84">
          <cell r="I84" t="str">
            <v>C024</v>
          </cell>
          <cell r="J84" t="str">
            <v>토목담당</v>
          </cell>
          <cell r="K84" t="str">
            <v>TI</v>
          </cell>
        </row>
        <row r="85">
          <cell r="I85" t="str">
            <v>C025</v>
          </cell>
          <cell r="J85" t="str">
            <v>토목담당</v>
          </cell>
          <cell r="K85" t="str">
            <v>TI</v>
          </cell>
        </row>
        <row r="86">
          <cell r="I86" t="str">
            <v>C031</v>
          </cell>
          <cell r="J86" t="str">
            <v>건축본부장</v>
          </cell>
          <cell r="K86" t="str">
            <v>GI</v>
          </cell>
        </row>
        <row r="87">
          <cell r="I87" t="str">
            <v>C032</v>
          </cell>
          <cell r="J87" t="str">
            <v>주택본부장</v>
          </cell>
          <cell r="K87" t="str">
            <v>JI</v>
          </cell>
        </row>
        <row r="88">
          <cell r="I88" t="str">
            <v>C034</v>
          </cell>
          <cell r="J88" t="str">
            <v>건축영업</v>
          </cell>
          <cell r="K88" t="str">
            <v>GI</v>
          </cell>
        </row>
        <row r="89">
          <cell r="I89" t="str">
            <v>C035</v>
          </cell>
          <cell r="J89" t="str">
            <v>건축공사</v>
          </cell>
          <cell r="K89" t="str">
            <v>GI</v>
          </cell>
        </row>
        <row r="90">
          <cell r="I90" t="str">
            <v>C036</v>
          </cell>
          <cell r="J90" t="str">
            <v>주택사업</v>
          </cell>
          <cell r="K90" t="str">
            <v>JI</v>
          </cell>
        </row>
        <row r="91">
          <cell r="I91" t="str">
            <v>C040</v>
          </cell>
          <cell r="J91" t="str">
            <v>주택공사</v>
          </cell>
          <cell r="K91" t="str">
            <v>JI</v>
          </cell>
        </row>
        <row r="92">
          <cell r="I92" t="str">
            <v>C060</v>
          </cell>
          <cell r="J92" t="str">
            <v>ENG본부장</v>
          </cell>
          <cell r="K92" t="str">
            <v>Y</v>
          </cell>
        </row>
        <row r="93">
          <cell r="I93" t="str">
            <v>C070</v>
          </cell>
          <cell r="J93" t="str">
            <v>업무담당</v>
          </cell>
          <cell r="K93" t="str">
            <v>TI</v>
          </cell>
        </row>
        <row r="94">
          <cell r="I94" t="str">
            <v>C093</v>
          </cell>
          <cell r="J94" t="str">
            <v>해외본부장</v>
          </cell>
          <cell r="K94" t="str">
            <v>FI</v>
          </cell>
        </row>
        <row r="95">
          <cell r="I95" t="str">
            <v>C121</v>
          </cell>
          <cell r="J95" t="str">
            <v>기획담당</v>
          </cell>
          <cell r="K95" t="str">
            <v>H</v>
          </cell>
        </row>
        <row r="96">
          <cell r="I96" t="str">
            <v>C122</v>
          </cell>
          <cell r="J96" t="str">
            <v>지원담당</v>
          </cell>
          <cell r="K96" t="str">
            <v>H</v>
          </cell>
        </row>
        <row r="97">
          <cell r="I97" t="str">
            <v>CG830-0193</v>
          </cell>
          <cell r="J97" t="str">
            <v>삼선재건축 분양</v>
          </cell>
          <cell r="K97" t="str">
            <v>JD</v>
          </cell>
        </row>
        <row r="98">
          <cell r="I98" t="str">
            <v>CG831-0193</v>
          </cell>
          <cell r="J98" t="str">
            <v>석관동재건축 분양</v>
          </cell>
          <cell r="K98" t="str">
            <v>JD</v>
          </cell>
        </row>
        <row r="99">
          <cell r="I99" t="str">
            <v>CG841-0193</v>
          </cell>
          <cell r="J99" t="str">
            <v>이촌동B재건축 분양</v>
          </cell>
          <cell r="K99" t="str">
            <v>JD</v>
          </cell>
        </row>
        <row r="100">
          <cell r="I100" t="str">
            <v>CG843-0194</v>
          </cell>
          <cell r="J100" t="str">
            <v>성내동재건축 분양</v>
          </cell>
          <cell r="K100" t="str">
            <v>JD</v>
          </cell>
        </row>
        <row r="101">
          <cell r="I101" t="str">
            <v>CG849-0195</v>
          </cell>
          <cell r="J101" t="str">
            <v>부산왕자재건축 분양</v>
          </cell>
          <cell r="K101" t="str">
            <v>JD</v>
          </cell>
        </row>
        <row r="102">
          <cell r="I102" t="str">
            <v>CG850-0195</v>
          </cell>
          <cell r="J102" t="str">
            <v>잠실시영재건축 분양</v>
          </cell>
          <cell r="K102" t="str">
            <v>JD</v>
          </cell>
        </row>
        <row r="103">
          <cell r="I103" t="str">
            <v>CG851-0195</v>
          </cell>
          <cell r="J103" t="str">
            <v>서빙고재건축 분양</v>
          </cell>
          <cell r="K103" t="str">
            <v>JD</v>
          </cell>
        </row>
        <row r="104">
          <cell r="I104" t="str">
            <v>CG853-0195</v>
          </cell>
          <cell r="J104" t="str">
            <v>해운대재건축 분양</v>
          </cell>
          <cell r="K104" t="str">
            <v>JD</v>
          </cell>
        </row>
        <row r="105">
          <cell r="I105" t="str">
            <v>CG854-0196</v>
          </cell>
          <cell r="J105" t="str">
            <v>수원구운동재건축 분양</v>
          </cell>
          <cell r="K105" t="str">
            <v>JD</v>
          </cell>
        </row>
        <row r="106">
          <cell r="I106" t="str">
            <v>CG855-0196</v>
          </cell>
          <cell r="J106" t="str">
            <v>등촌제일재건축 분양</v>
          </cell>
          <cell r="K106" t="str">
            <v>JD</v>
          </cell>
        </row>
        <row r="107">
          <cell r="I107" t="str">
            <v>CG856-0196</v>
          </cell>
          <cell r="J107" t="str">
            <v>연세빌라재건축 분양</v>
          </cell>
          <cell r="K107" t="str">
            <v>JD</v>
          </cell>
        </row>
        <row r="108">
          <cell r="I108" t="str">
            <v>CG857*0196</v>
          </cell>
          <cell r="J108" t="str">
            <v>김포고천재건축 분양</v>
          </cell>
          <cell r="K108" t="str">
            <v>JD</v>
          </cell>
        </row>
        <row r="109">
          <cell r="I109" t="str">
            <v>CG858*0197</v>
          </cell>
          <cell r="J109" t="str">
            <v>재건축A 분양</v>
          </cell>
          <cell r="K109" t="str">
            <v>JD</v>
          </cell>
        </row>
        <row r="110">
          <cell r="I110" t="str">
            <v>CG859*0197</v>
          </cell>
          <cell r="J110" t="str">
            <v>재건축B 분양</v>
          </cell>
          <cell r="K110" t="str">
            <v>JD</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7. 현장관리비 "/>
      <sheetName val="6. 안전관리비"/>
      <sheetName val="집계표"/>
      <sheetName val="유림골조"/>
      <sheetName val="공통비(전체)"/>
      <sheetName val="내   역"/>
      <sheetName val="노무비"/>
      <sheetName val="N賃率-職"/>
      <sheetName val="P.M 별"/>
      <sheetName val="주요공사"/>
      <sheetName val="VXXXXXXX"/>
      <sheetName val="단가표"/>
      <sheetName val="일반부표"/>
      <sheetName val="반포2차"/>
      <sheetName val="코드"/>
      <sheetName val="시중노임단가"/>
      <sheetName val="단가기준"/>
      <sheetName val="공급&amp;미분양"/>
      <sheetName val="설직재-1"/>
      <sheetName val="내역서(기존내역-수정금지)"/>
      <sheetName val="대전(세창동)"/>
      <sheetName val="소일위대가코드표"/>
      <sheetName val="부대공Ⅱ"/>
      <sheetName val="Sheet1"/>
      <sheetName val="국내총괄"/>
      <sheetName val="Sheet2"/>
      <sheetName val="주관사업"/>
      <sheetName val="변경내역"/>
      <sheetName val="총요약서"/>
      <sheetName val="15100"/>
      <sheetName val="일위대가"/>
      <sheetName val="금액내역서"/>
      <sheetName val="청산공사"/>
      <sheetName val="상반기손익차2총괄"/>
      <sheetName val="내역"/>
      <sheetName val="부속동"/>
      <sheetName val="전체내역서"/>
      <sheetName val="영업소실적"/>
      <sheetName val="마감사양"/>
      <sheetName val="내역서"/>
      <sheetName val="공통비총괄표"/>
      <sheetName val="마찰손실"/>
      <sheetName val="수주실적0709"/>
      <sheetName val="Sheet1 (2)"/>
      <sheetName val="기계공사"/>
      <sheetName val="단면 (2)"/>
      <sheetName val="cp1"/>
      <sheetName val="마산월령동골조물량변경"/>
      <sheetName val="개요"/>
      <sheetName val="날개벽수량표"/>
      <sheetName val="소요자재"/>
      <sheetName val="정보"/>
      <sheetName val="갑지(추정)"/>
      <sheetName val="ITEM"/>
      <sheetName val="기계"/>
      <sheetName val="수정시산표"/>
      <sheetName val="산출내역서집계표"/>
      <sheetName val="국내조달(통합-1)"/>
      <sheetName val="Total"/>
      <sheetName val="계수시트"/>
      <sheetName val="POL6차-PIPING"/>
      <sheetName val="물량"/>
      <sheetName val="WEIGHT LIST"/>
      <sheetName val="산#2-1 (2)"/>
      <sheetName val="산#3-1"/>
      <sheetName val="견적대비표"/>
      <sheetName val="관리,공감"/>
      <sheetName val="계수원본(99.2.28)"/>
      <sheetName val="삼보지질"/>
      <sheetName val="실행내역"/>
      <sheetName val="직노"/>
      <sheetName val="예가표"/>
      <sheetName val="실행철강하도"/>
      <sheetName val="공사비산출내역"/>
      <sheetName val="노임"/>
      <sheetName val="관급자재"/>
      <sheetName val="구의33고"/>
      <sheetName val="대여현황"/>
      <sheetName val="수지표"/>
      <sheetName val="020114"/>
      <sheetName val="0111월"/>
      <sheetName val="공동"/>
      <sheetName val="MAIN"/>
      <sheetName val="냉천부속동"/>
      <sheetName val="견적서"/>
      <sheetName val="보고"/>
      <sheetName val="npv"/>
      <sheetName val="2.냉난방설비공사"/>
      <sheetName val="7.자동제어공사"/>
      <sheetName val="CTEMCOST"/>
      <sheetName val="COST"/>
      <sheetName val="수입"/>
      <sheetName val="7수지"/>
      <sheetName val="04.01"/>
      <sheetName val="기초목"/>
      <sheetName val="2.대외공문"/>
      <sheetName val="분당임차변경"/>
      <sheetName val="10월실적마감"/>
      <sheetName val="7월실적마감"/>
      <sheetName val="8월실적마감"/>
      <sheetName val="9월실적마감"/>
      <sheetName val="금액결정"/>
      <sheetName val="TOWER 12TON"/>
      <sheetName val="TOWER 10TON"/>
      <sheetName val="부산제일극장"/>
      <sheetName val="원가계산 (2)"/>
      <sheetName val="Sheet3"/>
      <sheetName val="정부노임단가"/>
      <sheetName val="매각(6)"/>
      <sheetName val="수목표준대가"/>
      <sheetName val="공통부대비"/>
      <sheetName val="공사비"/>
      <sheetName val="예산명세서"/>
      <sheetName val="설계명세서"/>
      <sheetName val="자료입력"/>
      <sheetName val="사업부배부A"/>
      <sheetName val="매입가격"/>
      <sheetName val="경산"/>
      <sheetName val="설비2차"/>
      <sheetName val="간접비총괄"/>
      <sheetName val="Sheet2 (2)"/>
      <sheetName val="일위대가표"/>
      <sheetName val="노임이"/>
      <sheetName val="시설물기초"/>
      <sheetName val="JUCKEYK"/>
      <sheetName val="2공구산출내역"/>
      <sheetName val="배수내역"/>
      <sheetName val="2000년1차"/>
      <sheetName val="6호기"/>
      <sheetName val="일위대가목차"/>
      <sheetName val="노임단가"/>
      <sheetName val="수목단가"/>
      <sheetName val="시설수량표"/>
      <sheetName val="식재수량표"/>
      <sheetName val="일위목록"/>
      <sheetName val="자재단가"/>
      <sheetName val="FRP PIPING 일위대가"/>
      <sheetName val="내역서2안"/>
      <sheetName val="2.1  노무비 평균단가산출"/>
      <sheetName val="데이타"/>
      <sheetName val="참조자료"/>
      <sheetName val="패널"/>
      <sheetName val="3단계"/>
      <sheetName val="2단계"/>
      <sheetName val="교통대책내역"/>
      <sheetName val="원가계산서(남측)"/>
      <sheetName val="공사손익"/>
      <sheetName val="고자현황"/>
      <sheetName val="단가조사"/>
      <sheetName val="대비"/>
      <sheetName val="9509"/>
      <sheetName val="입찰안"/>
      <sheetName val="미수금현황"/>
      <sheetName val="유림총괄"/>
      <sheetName val="도급견적가"/>
      <sheetName val="COVER"/>
      <sheetName val="건물"/>
      <sheetName val="0_갑지"/>
      <sheetName val="8_현장관리비"/>
      <sheetName val="7_안전관리비"/>
      <sheetName val="건축내역"/>
      <sheetName val="돈암사업"/>
      <sheetName val="공사비예산서_토목분_"/>
      <sheetName val="01"/>
      <sheetName val="호실data"/>
      <sheetName val="1,2,3,4,5단위수량"/>
      <sheetName val="내역서-수정본"/>
      <sheetName val="15 문제점"/>
      <sheetName val="형틀공사"/>
      <sheetName val="B1(반포1차)"/>
      <sheetName val="견적"/>
      <sheetName val="금융비용"/>
      <sheetName val="6맨홀H"/>
      <sheetName val="시행대비_(2)"/>
      <sheetName val="7__현장관리비_"/>
      <sheetName val="6__안전관리비"/>
      <sheetName val="내___역"/>
      <sheetName val="P_M_별"/>
      <sheetName val="Sheet1_(2)"/>
      <sheetName val="단면_(2)"/>
      <sheetName val="WEIGHT_LIST"/>
      <sheetName val="산#2-1_(2)"/>
      <sheetName val="2_대외공문"/>
      <sheetName val="TOWER_12TON"/>
      <sheetName val="TOWER_10TON"/>
      <sheetName val="원가계산_(2)"/>
      <sheetName val="Sheet2_(2)"/>
      <sheetName val="2_냉난방설비공사"/>
      <sheetName val="FRP_PIPING_일위대가"/>
      <sheetName val="2_1__노무비_평균단가산출"/>
      <sheetName val="계수원본(99_2_28)"/>
      <sheetName val="7_자동제어공사"/>
      <sheetName val="04_01"/>
      <sheetName val="15_문제점"/>
      <sheetName val="설계내역서"/>
      <sheetName val="설계"/>
      <sheetName val="변경서식"/>
      <sheetName val="은행"/>
      <sheetName val="운영비산정가정"/>
      <sheetName val="을-ATYPE"/>
      <sheetName val="본공사"/>
      <sheetName val="봉천제출"/>
      <sheetName val="평형공사비"/>
      <sheetName val="단가"/>
      <sheetName val="수수료율표"/>
      <sheetName val="비교1"/>
      <sheetName val="파일의이용"/>
      <sheetName val="상제품매출(원가)1~10월"/>
      <sheetName val="추가예산"/>
      <sheetName val="업무분장"/>
      <sheetName val="단독"/>
      <sheetName val="적상기초자료"/>
      <sheetName val="시중노임"/>
      <sheetName val="수리결과"/>
      <sheetName val="투찰"/>
      <sheetName val="결과조달"/>
      <sheetName val="설계명세"/>
      <sheetName val="단가산출"/>
      <sheetName val="산출근거"/>
      <sheetName val="소화실적"/>
      <sheetName val="내역서(당초변경)"/>
      <sheetName val="공량산출서"/>
      <sheetName val="96까지"/>
      <sheetName val="97년"/>
      <sheetName val="98이후"/>
      <sheetName val="6PILE  (돌출)"/>
      <sheetName val="수량집계"/>
      <sheetName val="대비표(토공1안)"/>
      <sheetName val="예산서"/>
      <sheetName val="물량내역서"/>
      <sheetName val="Sens&amp;Anal"/>
      <sheetName val="부표총괄"/>
      <sheetName val="국산화"/>
      <sheetName val="경비"/>
      <sheetName val="00노임기준"/>
      <sheetName val="교각별철근수량집계표"/>
      <sheetName val="구조물공"/>
      <sheetName val="부대공"/>
      <sheetName val="배수공"/>
      <sheetName val="토공"/>
      <sheetName val="포장공"/>
      <sheetName val="연결임시"/>
      <sheetName val="토공(우물통,기타) "/>
      <sheetName val="교량하부공"/>
      <sheetName val="내역서01"/>
      <sheetName val="단가 (2)"/>
      <sheetName val="골조시행"/>
      <sheetName val="급여관련자료"/>
      <sheetName val="평가데이터"/>
      <sheetName val="하수급견적대비"/>
      <sheetName val="청천내"/>
      <sheetName val="협력업체"/>
      <sheetName val="진주방향"/>
      <sheetName val="98지급계획"/>
      <sheetName val="변압기 및 발전기 용량"/>
      <sheetName val="작업년월"/>
      <sheetName val="세부내역"/>
      <sheetName val="시중노임(공사)"/>
      <sheetName val="납부내역"/>
      <sheetName val="빈"/>
      <sheetName val="현장현황"/>
      <sheetName val="터파기및재료"/>
      <sheetName val="DATA1"/>
      <sheetName val="pier(각형)"/>
      <sheetName val="입찰"/>
      <sheetName val="현경"/>
      <sheetName val="금액,품셈"/>
      <sheetName val="DATA"/>
      <sheetName val="명세서"/>
      <sheetName val="익산"/>
      <sheetName val="갑지"/>
      <sheetName val="공사비집계"/>
      <sheetName val="7.수지"/>
      <sheetName val="목록"/>
      <sheetName val="을지"/>
      <sheetName val="가설개략"/>
      <sheetName val="인사자료총집계"/>
      <sheetName val="토목"/>
      <sheetName val="건축2"/>
      <sheetName val="중기 부표"/>
      <sheetName val="대비표"/>
      <sheetName val="misc"/>
      <sheetName val="견적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마산월령동골조물량변경"/>
      <sheetName val="건축대비"/>
      <sheetName val="추가물량금액"/>
      <sheetName val="개략골조물량"/>
      <sheetName val="공사비내역(변경)"/>
      <sheetName val="시행대비증가요인 "/>
      <sheetName val="도곡E-1"/>
      <sheetName val="Sheet7"/>
      <sheetName val="품의서"/>
      <sheetName val="#REF"/>
      <sheetName val="유림골조"/>
      <sheetName val="시중노임단가"/>
      <sheetName val="코드"/>
      <sheetName val="정보"/>
      <sheetName val="공동"/>
      <sheetName val="단독"/>
      <sheetName val="Sheet4"/>
      <sheetName val="부대시설"/>
      <sheetName val="Apt내역"/>
      <sheetName val="내역서"/>
      <sheetName val="대여현황"/>
      <sheetName val="공통비(전체)"/>
      <sheetName val="내역"/>
      <sheetName val="cp1"/>
      <sheetName val="식재인부"/>
      <sheetName val="국내조달(통합-1)"/>
      <sheetName val="공사개요"/>
      <sheetName val="유첨3.적용기준"/>
      <sheetName val="일반부표"/>
      <sheetName val="A"/>
      <sheetName val="Sheet3"/>
      <sheetName val="Sheet2"/>
      <sheetName val="2000년 공정표"/>
      <sheetName val="갑지"/>
      <sheetName val="N賃率-職"/>
      <sheetName val="형틀공사"/>
      <sheetName val="아파트_9"/>
      <sheetName val="공통가설"/>
      <sheetName val="개산공사비"/>
      <sheetName val="갑지(추정)"/>
      <sheetName val="안내"/>
      <sheetName val="신영극장"/>
      <sheetName val="투찰"/>
      <sheetName val="골조시행"/>
      <sheetName val="설계"/>
      <sheetName val="영업소실적"/>
      <sheetName val="자재(원원+원대)"/>
      <sheetName val="7.수지"/>
      <sheetName val="1,2,3,4,5단위수량"/>
      <sheetName val="현금"/>
      <sheetName val="토목공사"/>
      <sheetName val="단가표"/>
      <sheetName val="금액내역서"/>
      <sheetName val="입찰"/>
      <sheetName val="현경"/>
      <sheetName val="PI"/>
      <sheetName val="배수내역"/>
      <sheetName val="투찰가"/>
      <sheetName val="노무비"/>
      <sheetName val="산출내역서집계표"/>
      <sheetName val="수정시산표"/>
      <sheetName val="99년신청"/>
      <sheetName val="주관사업"/>
      <sheetName val="기본사항"/>
      <sheetName val="수리결과"/>
      <sheetName val="Total"/>
      <sheetName val="설계명세서"/>
      <sheetName val="토목"/>
      <sheetName val="변경내역"/>
      <sheetName val="내   역"/>
      <sheetName val="노임이"/>
      <sheetName val="직노"/>
      <sheetName val="Sheet6"/>
      <sheetName val="목포방향"/>
      <sheetName val="적상기초자료"/>
      <sheetName val="총물량"/>
      <sheetName val="총괄갑 "/>
      <sheetName val="차액보증"/>
      <sheetName val="일위대가표지"/>
      <sheetName val="수입"/>
      <sheetName val="98수문일위"/>
      <sheetName val="기계설비"/>
      <sheetName val="건축공사실행"/>
      <sheetName val="노임"/>
      <sheetName val="내역1"/>
      <sheetName val="Sheet5"/>
      <sheetName val="한진금융비"/>
      <sheetName val="실행내역"/>
      <sheetName val="간접"/>
      <sheetName val="적심사표"/>
      <sheetName val="본공사"/>
      <sheetName val="5.소재"/>
      <sheetName val="3.공통공사대비"/>
      <sheetName val="대비표(토공1안)"/>
      <sheetName val="변경서식"/>
      <sheetName val="Sheet1 (2)"/>
      <sheetName val="빗물받이(910-510-410)"/>
      <sheetName val="시행대비증가요인_"/>
      <sheetName val="유첨3_적용기준"/>
      <sheetName val="2000년_공정표"/>
      <sheetName val="7_수지"/>
      <sheetName val="내___역"/>
      <sheetName val="총괄갑_"/>
      <sheetName val="을지"/>
      <sheetName val="날개벽수량표"/>
      <sheetName val="교통대책내역"/>
      <sheetName val="환산"/>
      <sheetName val="DATA"/>
      <sheetName val="Sheet1_(2)"/>
      <sheetName val="공사비산출내역"/>
      <sheetName val="인사자료총집계"/>
      <sheetName val="★도급내역"/>
      <sheetName val="기타공"/>
      <sheetName val="배수관공"/>
      <sheetName val="설비단가표"/>
      <sheetName val="단가"/>
      <sheetName val="소비자가"/>
      <sheetName val="유림총괄"/>
      <sheetName val="작업지시서-1호"/>
      <sheetName val="박상무"/>
      <sheetName val="곽병갑"/>
      <sheetName val="김석천"/>
      <sheetName val="오이균"/>
      <sheetName val="이명례"/>
      <sheetName val="4.2유효폭의 계산"/>
      <sheetName val="분당임차변경"/>
      <sheetName val="Macro1"/>
      <sheetName val="일위대가"/>
      <sheetName val="원가계산 (2)"/>
      <sheetName val="자재+시공통보단가(85.35%)"/>
      <sheetName val="기초일위"/>
      <sheetName val="견적서-골조공사"/>
      <sheetName val="공비대비"/>
      <sheetName val="데이타"/>
      <sheetName val="시점교대"/>
      <sheetName val="CTEMCOST"/>
      <sheetName val="TIE-IN"/>
      <sheetName val="증감내역서"/>
      <sheetName val="시설물일위"/>
      <sheetName val="일위대가표"/>
      <sheetName val="견적공통"/>
      <sheetName val="추천서"/>
      <sheetName val="뒤차축소"/>
      <sheetName val="손익차9월2"/>
      <sheetName val="내역(중앙)"/>
      <sheetName val="골조"/>
      <sheetName val="PILE"/>
      <sheetName val="공통비"/>
      <sheetName val="Sheet8"/>
      <sheetName val="Sheet9"/>
      <sheetName val="Sheet10"/>
      <sheetName val="Sheet11"/>
      <sheetName val="Sheet12"/>
      <sheetName val="Sheet13"/>
      <sheetName val="Sheet14"/>
      <sheetName val="Sheet15"/>
      <sheetName val="Sheet16"/>
      <sheetName val="교동현장"/>
      <sheetName val="fax"/>
      <sheetName val="협조문"/>
      <sheetName val="협조전"/>
      <sheetName val="속초교동"/>
      <sheetName val="개략건축"/>
      <sheetName val="옵션물량분개"/>
      <sheetName val="목,창호공사"/>
      <sheetName val="목문틀단가"/>
      <sheetName val="미장대비"/>
      <sheetName val="시행대비"/>
      <sheetName val="시행대비 (2)"/>
      <sheetName val="도배공사(현장통보)"/>
      <sheetName val="유리분개"/>
      <sheetName val="입력"/>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모집공고용"/>
      <sheetName val="모집공고"/>
      <sheetName val="분양가테이블"/>
      <sheetName val="분양가(VAT별도) 천원단위"/>
      <sheetName val="분양면적표"/>
      <sheetName val="층별 향별(대지,건축,부가세)"/>
      <sheetName val="층별 향별(공급,부가세)"/>
      <sheetName val="본부장"/>
      <sheetName val="분양가산정 공급가(VAT제외)"/>
      <sheetName val="최종기준가"/>
      <sheetName val="Sheet1"/>
      <sheetName val="bc-층별정리"/>
      <sheetName val="B,C층향분양가 1안"/>
      <sheetName val="B,C분양가 2안"/>
      <sheetName val="B,C분양가 3안"/>
      <sheetName val="A,D층별분양가안"/>
      <sheetName val="최종1안"/>
      <sheetName val="최종2안"/>
      <sheetName val="최종3안"/>
      <sheetName val="Sheet3"/>
    </sheetNames>
    <sheetDataSet>
      <sheetData sheetId="0" refreshError="1"/>
      <sheetData sheetId="1" refreshError="1"/>
      <sheetData sheetId="2" refreshError="1"/>
      <sheetData sheetId="3" refreshError="1"/>
      <sheetData sheetId="4">
        <row r="6">
          <cell r="B6" t="str">
            <v>A</v>
          </cell>
          <cell r="C6">
            <v>24.447600000000001</v>
          </cell>
          <cell r="D6">
            <v>10.238300000000002</v>
          </cell>
          <cell r="E6">
            <v>11.828099999999999</v>
          </cell>
          <cell r="F6">
            <v>46.514000000000003</v>
          </cell>
          <cell r="G6">
            <v>3.5954999999999999</v>
          </cell>
        </row>
        <row r="7">
          <cell r="B7" t="str">
            <v>B</v>
          </cell>
          <cell r="C7">
            <v>34.904000000000003</v>
          </cell>
          <cell r="D7">
            <v>14.6175</v>
          </cell>
          <cell r="E7">
            <v>16.8871</v>
          </cell>
          <cell r="F7">
            <v>66.408600000000007</v>
          </cell>
          <cell r="G7">
            <v>5.1333000000000002</v>
          </cell>
        </row>
        <row r="8">
          <cell r="B8" t="str">
            <v>C</v>
          </cell>
          <cell r="C8">
            <v>35.7256</v>
          </cell>
          <cell r="D8">
            <v>14.961700000000008</v>
          </cell>
          <cell r="E8">
            <v>17.284600000000001</v>
          </cell>
          <cell r="F8">
            <v>67.971900000000005</v>
          </cell>
          <cell r="G8">
            <v>5.2541000000000002</v>
          </cell>
        </row>
        <row r="9">
          <cell r="B9" t="str">
            <v>D</v>
          </cell>
          <cell r="C9">
            <v>40.049999999999997</v>
          </cell>
          <cell r="D9">
            <v>16.772599999999997</v>
          </cell>
          <cell r="E9">
            <v>19.376799999999999</v>
          </cell>
          <cell r="F9">
            <v>76.199399999999997</v>
          </cell>
          <cell r="G9">
            <v>5.8901000000000003</v>
          </cell>
        </row>
        <row r="10">
          <cell r="B10" t="str">
            <v>D-1</v>
          </cell>
          <cell r="C10">
            <v>35.8964</v>
          </cell>
          <cell r="D10">
            <v>15.033100000000005</v>
          </cell>
          <cell r="E10">
            <v>17.3672</v>
          </cell>
          <cell r="F10">
            <v>68.296700000000001</v>
          </cell>
          <cell r="G10">
            <v>5.2793000000000001</v>
          </cell>
        </row>
        <row r="11">
          <cell r="B11" t="str">
            <v>E</v>
          </cell>
          <cell r="C11">
            <v>55.071800000000003</v>
          </cell>
          <cell r="D11">
            <v>23.091400000000014</v>
          </cell>
          <cell r="E11">
            <v>26.6479</v>
          </cell>
          <cell r="F11">
            <v>104.81110000000001</v>
          </cell>
          <cell r="G11">
            <v>8.0993999999999993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상업"/>
      <sheetName val="공동"/>
      <sheetName val="단독"/>
      <sheetName val="근생"/>
      <sheetName val="도시지원"/>
      <sheetName val="농가주택"/>
      <sheetName val="공공"/>
    </sheetNames>
    <sheetDataSet>
      <sheetData sheetId="0"/>
      <sheetData sheetId="1"/>
      <sheetData sheetId="2"/>
      <sheetData sheetId="3"/>
      <sheetData sheetId="4"/>
      <sheetData sheetId="5"/>
      <sheetData sheetId="6"/>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한진금융비"/>
      <sheetName val="Sheet5"/>
      <sheetName val="견적공통"/>
    </sheetNames>
    <sheetDataSet>
      <sheetData sheetId="0">
        <row r="7">
          <cell r="D7">
            <v>0.13</v>
          </cell>
          <cell r="E7">
            <v>0.13</v>
          </cell>
          <cell r="G7">
            <v>0.13</v>
          </cell>
          <cell r="H7">
            <v>0.1263</v>
          </cell>
        </row>
      </sheetData>
      <sheetData sheetId="1">
        <row r="5">
          <cell r="C5">
            <v>34789</v>
          </cell>
        </row>
        <row r="6">
          <cell r="C6">
            <v>34880</v>
          </cell>
        </row>
        <row r="8">
          <cell r="C8">
            <v>35064</v>
          </cell>
        </row>
        <row r="9">
          <cell r="C9">
            <v>35155</v>
          </cell>
        </row>
      </sheetData>
      <sheetData sheetId="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한화금융비"/>
      <sheetName val="Sheet5"/>
      <sheetName val="한진금융비"/>
    </sheetNames>
    <sheetDataSet>
      <sheetData sheetId="0">
        <row r="7">
          <cell r="I7">
            <v>0.12139999999999999</v>
          </cell>
          <cell r="J7">
            <v>0.124</v>
          </cell>
          <cell r="K7">
            <v>0.13100000000000001</v>
          </cell>
        </row>
      </sheetData>
      <sheetData sheetId="1">
        <row r="10">
          <cell r="C10">
            <v>35246</v>
          </cell>
        </row>
        <row r="11">
          <cell r="C11">
            <v>35338</v>
          </cell>
        </row>
        <row r="12">
          <cell r="C12">
            <v>35369</v>
          </cell>
        </row>
      </sheetData>
      <sheetData sheetId="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스포회원매출"/>
      <sheetName val="주간자금수지"/>
    </sheetNames>
    <sheetDataSet>
      <sheetData sheetId="0" refreshError="1"/>
      <sheetData sheetId="1"/>
      <sheetData sheetId="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tion"/>
      <sheetName val="CashFlow"/>
      <sheetName val="CashFlow(중간집계)"/>
      <sheetName val="담보평가"/>
      <sheetName val="LoanList"/>
      <sheetName val="법원비용"/>
      <sheetName val="청구채권액"/>
      <sheetName val="경락률"/>
      <sheetName val="경매회차하락률"/>
      <sheetName val="항고구분"/>
      <sheetName val="주식 등 질권 설정"/>
      <sheetName val="차주별평가결과"/>
      <sheetName val="감가상각"/>
      <sheetName val="주요재무비율"/>
      <sheetName val="이익잉여금처분계산서"/>
      <sheetName val="현금흐름표"/>
      <sheetName val="입력"/>
      <sheetName val="주간(구)"/>
      <sheetName val="손익"/>
      <sheetName val="감독1130"/>
      <sheetName val="7수지"/>
      <sheetName val="총괄내역"/>
      <sheetName val="인상효1"/>
      <sheetName val="수출입외형_속보"/>
      <sheetName val="Assumption"/>
      <sheetName val="코드"/>
      <sheetName val="임대계획"/>
      <sheetName val="P.M 별"/>
      <sheetName val="계정별실적"/>
      <sheetName val="Stress"/>
      <sheetName val="사본 - Cashflow판(일반)"/>
      <sheetName val="원데이타(1)"/>
      <sheetName val="Ⅱ1-0타"/>
      <sheetName val="수량산출내역1115"/>
      <sheetName val="물량투입계획"/>
      <sheetName val="삭제금지단가"/>
      <sheetName val="CF"/>
    </sheetNames>
    <sheetDataSet>
      <sheetData sheetId="0" refreshError="1"/>
      <sheetData sheetId="1" refreshError="1"/>
      <sheetData sheetId="2" refreshError="1">
        <row r="9">
          <cell r="D9" t="str">
            <v>항고고려후 배당기일</v>
          </cell>
          <cell r="G9" t="str">
            <v>실지 배당액</v>
          </cell>
        </row>
        <row r="10">
          <cell r="D10">
            <v>37011</v>
          </cell>
          <cell r="G10">
            <v>64164.288372960007</v>
          </cell>
        </row>
        <row r="11">
          <cell r="D11">
            <v>37164</v>
          </cell>
          <cell r="G11">
            <v>68859.023368812472</v>
          </cell>
        </row>
        <row r="12">
          <cell r="D12">
            <v>37042</v>
          </cell>
          <cell r="G12">
            <v>26062.856743838292</v>
          </cell>
        </row>
        <row r="13">
          <cell r="D13">
            <v>37072</v>
          </cell>
          <cell r="G13">
            <v>5087.4216978785425</v>
          </cell>
        </row>
        <row r="14">
          <cell r="D14">
            <v>37103</v>
          </cell>
          <cell r="G14">
            <v>190192.23400000003</v>
          </cell>
        </row>
        <row r="15">
          <cell r="D15">
            <v>37103</v>
          </cell>
          <cell r="G15">
            <v>62339.169770580294</v>
          </cell>
        </row>
        <row r="16">
          <cell r="D16">
            <v>37315</v>
          </cell>
          <cell r="G16">
            <v>20148.910229419707</v>
          </cell>
        </row>
        <row r="17">
          <cell r="D17">
            <v>37103</v>
          </cell>
          <cell r="G17">
            <v>141289.39466259672</v>
          </cell>
        </row>
        <row r="18">
          <cell r="D18">
            <v>37042</v>
          </cell>
          <cell r="G18">
            <v>264513.26189356326</v>
          </cell>
        </row>
        <row r="19">
          <cell r="D19">
            <v>37164</v>
          </cell>
          <cell r="G19">
            <v>73033.739000000001</v>
          </cell>
        </row>
        <row r="20">
          <cell r="D20">
            <v>37103</v>
          </cell>
          <cell r="G20">
            <v>166680.821</v>
          </cell>
        </row>
        <row r="21">
          <cell r="D21">
            <v>37134</v>
          </cell>
          <cell r="G21">
            <v>37399.481369760004</v>
          </cell>
        </row>
        <row r="22">
          <cell r="D22">
            <v>37164</v>
          </cell>
          <cell r="G22">
            <v>170847.82069511997</v>
          </cell>
        </row>
        <row r="23">
          <cell r="D23">
            <v>37103</v>
          </cell>
          <cell r="G23">
            <v>39675.027950880001</v>
          </cell>
        </row>
        <row r="24">
          <cell r="D24">
            <v>37103</v>
          </cell>
          <cell r="G24">
            <v>172361.52866800001</v>
          </cell>
        </row>
        <row r="25">
          <cell r="D25">
            <v>37103</v>
          </cell>
          <cell r="G25">
            <v>12000</v>
          </cell>
        </row>
        <row r="26">
          <cell r="D26">
            <v>37103</v>
          </cell>
          <cell r="G26">
            <v>16795.05975510204</v>
          </cell>
        </row>
        <row r="27">
          <cell r="D27">
            <v>37103</v>
          </cell>
          <cell r="G27">
            <v>29091.442790087462</v>
          </cell>
        </row>
        <row r="28">
          <cell r="D28">
            <v>37103</v>
          </cell>
          <cell r="G28">
            <v>18000</v>
          </cell>
        </row>
        <row r="29">
          <cell r="D29">
            <v>37103</v>
          </cell>
          <cell r="G29">
            <v>18294.618661807581</v>
          </cell>
        </row>
        <row r="30">
          <cell r="D30">
            <v>37103</v>
          </cell>
          <cell r="G30">
            <v>32811.352083680002</v>
          </cell>
        </row>
        <row r="31">
          <cell r="D31">
            <v>37103</v>
          </cell>
          <cell r="G31">
            <v>26762.935686880002</v>
          </cell>
        </row>
        <row r="32">
          <cell r="D32">
            <v>37011</v>
          </cell>
          <cell r="G32">
            <v>881472.28850751987</v>
          </cell>
        </row>
        <row r="33">
          <cell r="D33">
            <v>37072</v>
          </cell>
          <cell r="G33">
            <v>59324.721400000009</v>
          </cell>
        </row>
        <row r="34">
          <cell r="D34">
            <v>37103</v>
          </cell>
          <cell r="G34">
            <v>67614.740282400002</v>
          </cell>
        </row>
        <row r="35">
          <cell r="D35">
            <v>37103</v>
          </cell>
          <cell r="G35">
            <v>257178.11370592</v>
          </cell>
        </row>
        <row r="36">
          <cell r="D36">
            <v>37103</v>
          </cell>
          <cell r="G36">
            <v>48172.696583999998</v>
          </cell>
        </row>
        <row r="37">
          <cell r="D37">
            <v>37072</v>
          </cell>
          <cell r="G37">
            <v>0</v>
          </cell>
        </row>
        <row r="38">
          <cell r="D38">
            <v>37103</v>
          </cell>
          <cell r="G38">
            <v>46281.194977391649</v>
          </cell>
        </row>
        <row r="39">
          <cell r="D39">
            <v>37042</v>
          </cell>
          <cell r="G39">
            <v>160306.84899999999</v>
          </cell>
        </row>
        <row r="40">
          <cell r="D40">
            <v>37103</v>
          </cell>
          <cell r="G40">
            <v>97523.447</v>
          </cell>
        </row>
        <row r="41">
          <cell r="D41">
            <v>37072</v>
          </cell>
          <cell r="G41">
            <v>72000</v>
          </cell>
        </row>
        <row r="42">
          <cell r="D42">
            <v>37134</v>
          </cell>
          <cell r="G42">
            <v>136074.02801065022</v>
          </cell>
        </row>
        <row r="43">
          <cell r="D43">
            <v>37164</v>
          </cell>
          <cell r="G43">
            <v>22604.316989349802</v>
          </cell>
        </row>
        <row r="44">
          <cell r="D44">
            <v>37072</v>
          </cell>
          <cell r="G44">
            <v>112126.67200000001</v>
          </cell>
        </row>
        <row r="45">
          <cell r="D45">
            <v>37011</v>
          </cell>
          <cell r="G45">
            <v>292159.11585032003</v>
          </cell>
        </row>
        <row r="46">
          <cell r="D46">
            <v>37164</v>
          </cell>
          <cell r="G46">
            <v>50382.191999999995</v>
          </cell>
        </row>
        <row r="47">
          <cell r="D47">
            <v>37103</v>
          </cell>
          <cell r="G47">
            <v>48433.897307200008</v>
          </cell>
        </row>
        <row r="48">
          <cell r="D48">
            <v>37103</v>
          </cell>
          <cell r="G48">
            <v>53441.586240000004</v>
          </cell>
        </row>
        <row r="49">
          <cell r="D49">
            <v>37103</v>
          </cell>
          <cell r="G49">
            <v>137716.15899999999</v>
          </cell>
        </row>
        <row r="50">
          <cell r="D50">
            <v>37103</v>
          </cell>
          <cell r="G50">
            <v>96047.792000000001</v>
          </cell>
        </row>
        <row r="51">
          <cell r="D51">
            <v>37072</v>
          </cell>
          <cell r="G51">
            <v>78089.458506392737</v>
          </cell>
        </row>
        <row r="52">
          <cell r="D52">
            <v>37072</v>
          </cell>
          <cell r="G52">
            <v>325508.06903334562</v>
          </cell>
        </row>
        <row r="53">
          <cell r="D53">
            <v>37103</v>
          </cell>
          <cell r="G53">
            <v>27414.022228051443</v>
          </cell>
        </row>
        <row r="54">
          <cell r="D54">
            <v>37103</v>
          </cell>
          <cell r="G54">
            <v>88731.479922136408</v>
          </cell>
        </row>
        <row r="55">
          <cell r="D55">
            <v>37164</v>
          </cell>
          <cell r="G55">
            <v>298468.70432000008</v>
          </cell>
        </row>
        <row r="56">
          <cell r="D56">
            <v>37103</v>
          </cell>
          <cell r="G56">
            <v>24058.335960480006</v>
          </cell>
        </row>
        <row r="57">
          <cell r="D57">
            <v>37103</v>
          </cell>
          <cell r="G57">
            <v>52000</v>
          </cell>
        </row>
        <row r="58">
          <cell r="D58">
            <v>37103</v>
          </cell>
          <cell r="G58">
            <v>58112.065999999999</v>
          </cell>
        </row>
        <row r="59">
          <cell r="D59">
            <v>37103</v>
          </cell>
          <cell r="G59">
            <v>56271.209000000003</v>
          </cell>
        </row>
        <row r="60">
          <cell r="D60">
            <v>37072</v>
          </cell>
          <cell r="G60">
            <v>65000</v>
          </cell>
        </row>
        <row r="61">
          <cell r="D61">
            <v>37072</v>
          </cell>
          <cell r="G61">
            <v>871280.73896431993</v>
          </cell>
        </row>
        <row r="62">
          <cell r="D62">
            <v>37134</v>
          </cell>
          <cell r="G62">
            <v>24740.093816160006</v>
          </cell>
        </row>
        <row r="63">
          <cell r="D63">
            <v>37011</v>
          </cell>
          <cell r="G63">
            <v>77226.191999999995</v>
          </cell>
        </row>
        <row r="64">
          <cell r="D64">
            <v>37103</v>
          </cell>
          <cell r="G64">
            <v>79356.370399839987</v>
          </cell>
        </row>
        <row r="65">
          <cell r="D65">
            <v>37225</v>
          </cell>
          <cell r="G65">
            <v>456529.33846292458</v>
          </cell>
        </row>
        <row r="66">
          <cell r="D66">
            <v>37287</v>
          </cell>
          <cell r="G66">
            <v>90000</v>
          </cell>
        </row>
        <row r="67">
          <cell r="D67">
            <v>37195</v>
          </cell>
          <cell r="G67">
            <v>1002023.6132</v>
          </cell>
        </row>
        <row r="68">
          <cell r="D68">
            <v>37042</v>
          </cell>
          <cell r="G68">
            <v>158182.38192822691</v>
          </cell>
        </row>
        <row r="69">
          <cell r="D69">
            <v>37042</v>
          </cell>
          <cell r="G69">
            <v>191660.01188985311</v>
          </cell>
        </row>
        <row r="70">
          <cell r="D70">
            <v>37103</v>
          </cell>
          <cell r="G70">
            <v>410438.51272415998</v>
          </cell>
        </row>
        <row r="71">
          <cell r="D71">
            <v>37134</v>
          </cell>
          <cell r="G71">
            <v>140842.589764</v>
          </cell>
        </row>
        <row r="72">
          <cell r="D72">
            <v>37134</v>
          </cell>
          <cell r="G72">
            <v>106175.78435151999</v>
          </cell>
        </row>
        <row r="73">
          <cell r="D73">
            <v>37195</v>
          </cell>
          <cell r="G73">
            <v>141317.103</v>
          </cell>
        </row>
        <row r="74">
          <cell r="D74">
            <v>37134</v>
          </cell>
          <cell r="G74">
            <v>4728.2346831999894</v>
          </cell>
        </row>
        <row r="75">
          <cell r="D75">
            <v>37103</v>
          </cell>
          <cell r="G75">
            <v>80674.59199999999</v>
          </cell>
        </row>
        <row r="76">
          <cell r="D76">
            <v>37103</v>
          </cell>
          <cell r="G76">
            <v>34722.712636639997</v>
          </cell>
        </row>
        <row r="77">
          <cell r="D77">
            <v>37011</v>
          </cell>
          <cell r="G77">
            <v>83595.082000000009</v>
          </cell>
        </row>
        <row r="78">
          <cell r="D78">
            <v>37134</v>
          </cell>
          <cell r="G78">
            <v>28356.138786080002</v>
          </cell>
        </row>
        <row r="79">
          <cell r="D79">
            <v>37103</v>
          </cell>
          <cell r="G79">
            <v>131584.13093983999</v>
          </cell>
        </row>
        <row r="80">
          <cell r="D80">
            <v>37134</v>
          </cell>
          <cell r="G80">
            <v>227515.29562896001</v>
          </cell>
        </row>
        <row r="81">
          <cell r="D81">
            <v>37103</v>
          </cell>
          <cell r="G81">
            <v>74872.897887200001</v>
          </cell>
        </row>
        <row r="82">
          <cell r="D82">
            <v>37072</v>
          </cell>
          <cell r="G82">
            <v>113869.65738672001</v>
          </cell>
        </row>
        <row r="83">
          <cell r="D83">
            <v>37195</v>
          </cell>
          <cell r="G83">
            <v>75951.427266240004</v>
          </cell>
        </row>
        <row r="84">
          <cell r="D84">
            <v>37011</v>
          </cell>
          <cell r="G84">
            <v>119225.69494309118</v>
          </cell>
        </row>
        <row r="85">
          <cell r="D85">
            <v>37011</v>
          </cell>
          <cell r="G85">
            <v>151242.13816100135</v>
          </cell>
        </row>
        <row r="86">
          <cell r="D86">
            <v>37072</v>
          </cell>
          <cell r="G86">
            <v>83693.418999999994</v>
          </cell>
        </row>
        <row r="87">
          <cell r="D87">
            <v>37103</v>
          </cell>
          <cell r="G87">
            <v>117370.85407616</v>
          </cell>
        </row>
        <row r="88">
          <cell r="D88">
            <v>37103</v>
          </cell>
          <cell r="G88">
            <v>85778.30447136001</v>
          </cell>
        </row>
        <row r="89">
          <cell r="D89">
            <v>37315</v>
          </cell>
          <cell r="G89">
            <v>169820.1001288</v>
          </cell>
        </row>
        <row r="90">
          <cell r="D90">
            <v>37103</v>
          </cell>
          <cell r="G90">
            <v>57924.637000000002</v>
          </cell>
        </row>
        <row r="91">
          <cell r="D91">
            <v>37011</v>
          </cell>
          <cell r="G91">
            <v>166319.17800000001</v>
          </cell>
        </row>
        <row r="92">
          <cell r="D92">
            <v>37287</v>
          </cell>
          <cell r="G92">
            <v>94336.929000000004</v>
          </cell>
        </row>
        <row r="93">
          <cell r="D93">
            <v>37103</v>
          </cell>
          <cell r="G93">
            <v>89099.355645920034</v>
          </cell>
        </row>
        <row r="94">
          <cell r="D94">
            <v>37103</v>
          </cell>
          <cell r="G94">
            <v>87345.546000000002</v>
          </cell>
        </row>
        <row r="95">
          <cell r="D95">
            <v>37103</v>
          </cell>
          <cell r="G95">
            <v>259467.94399999999</v>
          </cell>
        </row>
        <row r="96">
          <cell r="D96">
            <v>37195</v>
          </cell>
          <cell r="G96">
            <v>147858.55959999998</v>
          </cell>
        </row>
        <row r="97">
          <cell r="D97">
            <v>37195</v>
          </cell>
          <cell r="G97">
            <v>390831.95200000005</v>
          </cell>
        </row>
        <row r="98">
          <cell r="D98">
            <v>37315</v>
          </cell>
          <cell r="G98">
            <v>2009020.5059393602</v>
          </cell>
        </row>
        <row r="99">
          <cell r="D99">
            <v>37103</v>
          </cell>
          <cell r="G99">
            <v>100148.99900459572</v>
          </cell>
        </row>
        <row r="100">
          <cell r="D100">
            <v>37072</v>
          </cell>
          <cell r="G100">
            <v>0</v>
          </cell>
        </row>
        <row r="101">
          <cell r="D101">
            <v>37072</v>
          </cell>
          <cell r="G101">
            <v>8453.7919999999576</v>
          </cell>
        </row>
        <row r="102">
          <cell r="D102">
            <v>37072</v>
          </cell>
          <cell r="G102">
            <v>0</v>
          </cell>
        </row>
        <row r="103">
          <cell r="D103">
            <v>37072</v>
          </cell>
          <cell r="G103">
            <v>0</v>
          </cell>
        </row>
        <row r="104">
          <cell r="D104">
            <v>37103</v>
          </cell>
          <cell r="G104">
            <v>1566729.9043700083</v>
          </cell>
        </row>
        <row r="105">
          <cell r="D105">
            <v>37287</v>
          </cell>
          <cell r="G105">
            <v>70595.172629991619</v>
          </cell>
        </row>
        <row r="106">
          <cell r="D106">
            <v>37103</v>
          </cell>
          <cell r="G106">
            <v>275177.75076352007</v>
          </cell>
        </row>
        <row r="107">
          <cell r="D107">
            <v>37134</v>
          </cell>
          <cell r="G107">
            <v>107879.52799999999</v>
          </cell>
        </row>
        <row r="108">
          <cell r="D108">
            <v>37103</v>
          </cell>
          <cell r="G108">
            <v>248733.95149574001</v>
          </cell>
        </row>
        <row r="109">
          <cell r="D109">
            <v>37072</v>
          </cell>
          <cell r="G109">
            <v>344898.10304889997</v>
          </cell>
        </row>
        <row r="110">
          <cell r="D110">
            <v>37103</v>
          </cell>
          <cell r="G110">
            <v>137534.91</v>
          </cell>
        </row>
        <row r="111">
          <cell r="D111">
            <v>37103</v>
          </cell>
          <cell r="G111">
            <v>122081.917</v>
          </cell>
        </row>
        <row r="112">
          <cell r="D112">
            <v>37103</v>
          </cell>
          <cell r="G112">
            <v>361050.37191508169</v>
          </cell>
        </row>
        <row r="113">
          <cell r="D113">
            <v>37225</v>
          </cell>
          <cell r="G113">
            <v>13594.572899981178</v>
          </cell>
        </row>
        <row r="114">
          <cell r="D114">
            <v>37225</v>
          </cell>
          <cell r="G114">
            <v>10646.357120572922</v>
          </cell>
        </row>
        <row r="115">
          <cell r="D115">
            <v>37103</v>
          </cell>
          <cell r="G115">
            <v>77726.866064364207</v>
          </cell>
        </row>
        <row r="116">
          <cell r="D116">
            <v>37134</v>
          </cell>
          <cell r="G116">
            <v>135240.97700000001</v>
          </cell>
        </row>
        <row r="117">
          <cell r="D117">
            <v>37103</v>
          </cell>
          <cell r="G117">
            <v>354428.592</v>
          </cell>
        </row>
        <row r="118">
          <cell r="D118">
            <v>37103</v>
          </cell>
          <cell r="G118">
            <v>160712.986</v>
          </cell>
        </row>
        <row r="119">
          <cell r="D119">
            <v>36950</v>
          </cell>
          <cell r="G119">
            <v>67445.853000000003</v>
          </cell>
        </row>
        <row r="120">
          <cell r="D120">
            <v>37103</v>
          </cell>
          <cell r="G120">
            <v>358643.00499378063</v>
          </cell>
        </row>
        <row r="121">
          <cell r="D121">
            <v>37103</v>
          </cell>
          <cell r="G121">
            <v>127822.8305777041</v>
          </cell>
        </row>
        <row r="122">
          <cell r="D122">
            <v>37011</v>
          </cell>
          <cell r="G122">
            <v>288178.02442851529</v>
          </cell>
        </row>
        <row r="123">
          <cell r="D123">
            <v>37103</v>
          </cell>
          <cell r="G123">
            <v>134389.533</v>
          </cell>
        </row>
        <row r="124">
          <cell r="D124">
            <v>37072</v>
          </cell>
          <cell r="G124">
            <v>221312.35363535999</v>
          </cell>
        </row>
        <row r="125">
          <cell r="D125">
            <v>37103</v>
          </cell>
          <cell r="G125">
            <v>63888.732943519994</v>
          </cell>
        </row>
        <row r="126">
          <cell r="D126">
            <v>37103</v>
          </cell>
          <cell r="G126">
            <v>47330.7667</v>
          </cell>
        </row>
        <row r="127">
          <cell r="D127">
            <v>37103</v>
          </cell>
          <cell r="G127">
            <v>66834.656000000003</v>
          </cell>
        </row>
        <row r="128">
          <cell r="D128">
            <v>37103</v>
          </cell>
          <cell r="G128">
            <v>129811.50526032</v>
          </cell>
        </row>
        <row r="129">
          <cell r="D129">
            <v>37134</v>
          </cell>
          <cell r="G129">
            <v>18053.309035519997</v>
          </cell>
        </row>
        <row r="130">
          <cell r="D130">
            <v>37164</v>
          </cell>
          <cell r="G130">
            <v>269518.19199999998</v>
          </cell>
        </row>
        <row r="131">
          <cell r="D131">
            <v>37195</v>
          </cell>
          <cell r="G131">
            <v>226547.01580383995</v>
          </cell>
        </row>
        <row r="132">
          <cell r="D132">
            <v>37287</v>
          </cell>
          <cell r="G132">
            <v>69889.114000000001</v>
          </cell>
        </row>
        <row r="133">
          <cell r="D133">
            <v>37103</v>
          </cell>
          <cell r="G133">
            <v>30943.191999999999</v>
          </cell>
        </row>
        <row r="134">
          <cell r="D134">
            <v>37103</v>
          </cell>
          <cell r="G134">
            <v>150659.09199999998</v>
          </cell>
        </row>
        <row r="135">
          <cell r="D135">
            <v>37042</v>
          </cell>
          <cell r="G135">
            <v>44397.391999999993</v>
          </cell>
        </row>
        <row r="136">
          <cell r="D136">
            <v>37103</v>
          </cell>
          <cell r="G136">
            <v>80238.547000000006</v>
          </cell>
        </row>
        <row r="137">
          <cell r="D137">
            <v>37042</v>
          </cell>
          <cell r="G137">
            <v>26000</v>
          </cell>
        </row>
        <row r="138">
          <cell r="D138">
            <v>37042</v>
          </cell>
          <cell r="G138">
            <v>6011.1619211277048</v>
          </cell>
        </row>
        <row r="139">
          <cell r="D139">
            <v>37042</v>
          </cell>
          <cell r="G139">
            <v>80739.792000000001</v>
          </cell>
        </row>
        <row r="140">
          <cell r="D140">
            <v>37195</v>
          </cell>
          <cell r="G140">
            <v>130756.00644741709</v>
          </cell>
        </row>
        <row r="141">
          <cell r="D141">
            <v>37103</v>
          </cell>
          <cell r="G141">
            <v>70616.495386450159</v>
          </cell>
        </row>
        <row r="142">
          <cell r="D142">
            <v>37042</v>
          </cell>
          <cell r="G142">
            <v>0</v>
          </cell>
        </row>
        <row r="143">
          <cell r="D143">
            <v>36950</v>
          </cell>
          <cell r="G143">
            <v>0</v>
          </cell>
        </row>
        <row r="144">
          <cell r="D144">
            <v>36950</v>
          </cell>
          <cell r="G144">
            <v>138124.84605952</v>
          </cell>
        </row>
        <row r="145">
          <cell r="D145">
            <v>37134</v>
          </cell>
          <cell r="G145">
            <v>116883.91523392001</v>
          </cell>
        </row>
        <row r="146">
          <cell r="D146">
            <v>37042</v>
          </cell>
          <cell r="G146">
            <v>111136.86686976001</v>
          </cell>
        </row>
        <row r="147">
          <cell r="D147">
            <v>37134</v>
          </cell>
          <cell r="G147">
            <v>49780.950000000004</v>
          </cell>
        </row>
        <row r="148">
          <cell r="D148">
            <v>37103</v>
          </cell>
          <cell r="G148">
            <v>215650.64235041058</v>
          </cell>
        </row>
        <row r="149">
          <cell r="D149">
            <v>37103</v>
          </cell>
          <cell r="G149">
            <v>251846.55663806945</v>
          </cell>
        </row>
        <row r="150">
          <cell r="D150">
            <v>37072</v>
          </cell>
          <cell r="G150">
            <v>167631.63900000002</v>
          </cell>
        </row>
        <row r="151">
          <cell r="D151">
            <v>37287</v>
          </cell>
          <cell r="G151">
            <v>43953.792000000009</v>
          </cell>
        </row>
        <row r="152">
          <cell r="D152">
            <v>37164</v>
          </cell>
          <cell r="G152">
            <v>203063.79199999999</v>
          </cell>
        </row>
        <row r="153">
          <cell r="D153">
            <v>37011</v>
          </cell>
          <cell r="G153">
            <v>838680.66231263999</v>
          </cell>
        </row>
        <row r="154">
          <cell r="D154">
            <v>37103</v>
          </cell>
          <cell r="G154">
            <v>100000</v>
          </cell>
        </row>
        <row r="155">
          <cell r="D155">
            <v>37072</v>
          </cell>
          <cell r="G155">
            <v>21809.722512</v>
          </cell>
        </row>
        <row r="156">
          <cell r="D156">
            <v>37164</v>
          </cell>
          <cell r="G156">
            <v>94967.094538079997</v>
          </cell>
        </row>
        <row r="157">
          <cell r="D157">
            <v>36950</v>
          </cell>
          <cell r="G157">
            <v>0</v>
          </cell>
        </row>
        <row r="158">
          <cell r="D158">
            <v>37134</v>
          </cell>
          <cell r="G158">
            <v>650000</v>
          </cell>
        </row>
        <row r="159">
          <cell r="D159">
            <v>37011</v>
          </cell>
          <cell r="G159">
            <v>90168.548340879759</v>
          </cell>
        </row>
        <row r="160">
          <cell r="D160">
            <v>37103</v>
          </cell>
          <cell r="G160">
            <v>68623.521791892519</v>
          </cell>
        </row>
        <row r="161">
          <cell r="D161">
            <v>37011</v>
          </cell>
          <cell r="G161">
            <v>12060.270291393215</v>
          </cell>
        </row>
        <row r="162">
          <cell r="D162">
            <v>37072</v>
          </cell>
          <cell r="G162">
            <v>0</v>
          </cell>
        </row>
        <row r="163">
          <cell r="D163">
            <v>37011</v>
          </cell>
          <cell r="G163">
            <v>25516.636769533139</v>
          </cell>
        </row>
        <row r="164">
          <cell r="D164">
            <v>37103</v>
          </cell>
          <cell r="G164">
            <v>14536.215737190665</v>
          </cell>
        </row>
        <row r="165">
          <cell r="D165">
            <v>37011</v>
          </cell>
          <cell r="G165">
            <v>0</v>
          </cell>
        </row>
        <row r="166">
          <cell r="D166">
            <v>36981</v>
          </cell>
          <cell r="G166">
            <v>314281.211182</v>
          </cell>
        </row>
        <row r="167">
          <cell r="D167">
            <v>37103</v>
          </cell>
          <cell r="G167">
            <v>67032.539400000009</v>
          </cell>
        </row>
        <row r="168">
          <cell r="D168">
            <v>37164</v>
          </cell>
          <cell r="G168">
            <v>146984.56382320001</v>
          </cell>
        </row>
        <row r="169">
          <cell r="D169">
            <v>37134</v>
          </cell>
          <cell r="G169">
            <v>53961.454000000005</v>
          </cell>
        </row>
        <row r="170">
          <cell r="D170">
            <v>37103</v>
          </cell>
          <cell r="G170">
            <v>87526.623999999996</v>
          </cell>
        </row>
        <row r="171">
          <cell r="D171">
            <v>37225</v>
          </cell>
          <cell r="G171">
            <v>123690.8470976</v>
          </cell>
        </row>
        <row r="172">
          <cell r="D172">
            <v>37134</v>
          </cell>
          <cell r="G172">
            <v>159395.37944528001</v>
          </cell>
        </row>
        <row r="173">
          <cell r="D173">
            <v>37103</v>
          </cell>
          <cell r="G173">
            <v>77525.680557920015</v>
          </cell>
        </row>
        <row r="174">
          <cell r="D174">
            <v>37072</v>
          </cell>
          <cell r="G174">
            <v>63099.802000000003</v>
          </cell>
        </row>
        <row r="175">
          <cell r="D175">
            <v>37103</v>
          </cell>
          <cell r="G175">
            <v>141975.359</v>
          </cell>
        </row>
        <row r="176">
          <cell r="D176">
            <v>37103</v>
          </cell>
          <cell r="G176">
            <v>107561.643</v>
          </cell>
        </row>
        <row r="177">
          <cell r="D177">
            <v>37103</v>
          </cell>
          <cell r="G177">
            <v>91175.951000000001</v>
          </cell>
        </row>
        <row r="178">
          <cell r="D178">
            <v>37103</v>
          </cell>
          <cell r="G178">
            <v>67772.053</v>
          </cell>
        </row>
        <row r="179">
          <cell r="D179">
            <v>37103</v>
          </cell>
          <cell r="G179">
            <v>36870.991999999998</v>
          </cell>
        </row>
        <row r="180">
          <cell r="D180">
            <v>37315</v>
          </cell>
          <cell r="G180">
            <v>55717.241000000002</v>
          </cell>
        </row>
        <row r="181">
          <cell r="D181">
            <v>37315</v>
          </cell>
          <cell r="G181">
            <v>72574.888999999996</v>
          </cell>
        </row>
        <row r="182">
          <cell r="D182">
            <v>37134</v>
          </cell>
          <cell r="G182">
            <v>53810.222000000002</v>
          </cell>
        </row>
        <row r="183">
          <cell r="D183">
            <v>37042</v>
          </cell>
          <cell r="G183">
            <v>109338.47498879999</v>
          </cell>
        </row>
        <row r="184">
          <cell r="D184">
            <v>37103</v>
          </cell>
          <cell r="G184">
            <v>43732.288732319998</v>
          </cell>
        </row>
        <row r="185">
          <cell r="D185">
            <v>37011</v>
          </cell>
          <cell r="G185">
            <v>265931.00578158401</v>
          </cell>
        </row>
        <row r="186">
          <cell r="D186">
            <v>36950</v>
          </cell>
          <cell r="G186">
            <v>387340</v>
          </cell>
        </row>
        <row r="187">
          <cell r="D187">
            <v>37042</v>
          </cell>
          <cell r="G187">
            <v>385510.22784000001</v>
          </cell>
        </row>
        <row r="188">
          <cell r="D188">
            <v>37134</v>
          </cell>
          <cell r="G188">
            <v>212049.856</v>
          </cell>
        </row>
        <row r="189">
          <cell r="D189">
            <v>37042</v>
          </cell>
          <cell r="G189">
            <v>214880.84757695999</v>
          </cell>
        </row>
        <row r="190">
          <cell r="D190">
            <v>37103</v>
          </cell>
          <cell r="G190">
            <v>361714.67214447999</v>
          </cell>
        </row>
        <row r="191">
          <cell r="D191">
            <v>37164</v>
          </cell>
          <cell r="G191">
            <v>56727.953000000001</v>
          </cell>
        </row>
        <row r="192">
          <cell r="D192">
            <v>37103</v>
          </cell>
          <cell r="G192">
            <v>67709.944999999992</v>
          </cell>
        </row>
        <row r="193">
          <cell r="D193">
            <v>37103</v>
          </cell>
          <cell r="G193">
            <v>58309.712</v>
          </cell>
        </row>
        <row r="194">
          <cell r="D194">
            <v>37103</v>
          </cell>
          <cell r="G194">
            <v>190666.19408416</v>
          </cell>
        </row>
        <row r="195">
          <cell r="D195">
            <v>37103</v>
          </cell>
          <cell r="G195">
            <v>50412.592000000004</v>
          </cell>
        </row>
        <row r="196">
          <cell r="D196">
            <v>37072</v>
          </cell>
          <cell r="G196">
            <v>20462.690345440009</v>
          </cell>
        </row>
        <row r="197">
          <cell r="D197">
            <v>37042</v>
          </cell>
          <cell r="G197">
            <v>0</v>
          </cell>
        </row>
        <row r="198">
          <cell r="D198">
            <v>37134</v>
          </cell>
          <cell r="G198">
            <v>0</v>
          </cell>
        </row>
        <row r="199">
          <cell r="D199">
            <v>37072</v>
          </cell>
          <cell r="G199">
            <v>281930.99200000003</v>
          </cell>
        </row>
        <row r="200">
          <cell r="D200">
            <v>37103</v>
          </cell>
          <cell r="G200">
            <v>723100.4413050419</v>
          </cell>
        </row>
        <row r="201">
          <cell r="D201">
            <v>37287</v>
          </cell>
          <cell r="G201">
            <v>170000</v>
          </cell>
        </row>
        <row r="202">
          <cell r="D202">
            <v>36981</v>
          </cell>
          <cell r="G202">
            <v>13837.19259252958</v>
          </cell>
        </row>
        <row r="203">
          <cell r="D203">
            <v>37103</v>
          </cell>
          <cell r="G203">
            <v>0</v>
          </cell>
        </row>
        <row r="204">
          <cell r="D204">
            <v>36950</v>
          </cell>
          <cell r="G204">
            <v>5307.2348000000002</v>
          </cell>
        </row>
        <row r="205">
          <cell r="D205">
            <v>36950</v>
          </cell>
          <cell r="G205">
            <v>8781.8804428209551</v>
          </cell>
        </row>
        <row r="206">
          <cell r="D206">
            <v>37072</v>
          </cell>
          <cell r="G206">
            <v>0</v>
          </cell>
        </row>
        <row r="207">
          <cell r="D207">
            <v>37011</v>
          </cell>
          <cell r="G207">
            <v>971255.96525551996</v>
          </cell>
        </row>
        <row r="208">
          <cell r="D208">
            <v>37103</v>
          </cell>
          <cell r="G208">
            <v>48863.012999999999</v>
          </cell>
        </row>
        <row r="209">
          <cell r="D209">
            <v>36981</v>
          </cell>
          <cell r="G209">
            <v>7434.0022261885833</v>
          </cell>
        </row>
        <row r="210">
          <cell r="D210">
            <v>36981</v>
          </cell>
          <cell r="G210">
            <v>50067.361773811426</v>
          </cell>
        </row>
        <row r="211">
          <cell r="D211">
            <v>37134</v>
          </cell>
          <cell r="G211">
            <v>55554.511999999995</v>
          </cell>
        </row>
        <row r="212">
          <cell r="D212">
            <v>36981</v>
          </cell>
          <cell r="G212">
            <v>0</v>
          </cell>
        </row>
        <row r="213">
          <cell r="D213">
            <v>36981</v>
          </cell>
          <cell r="G213">
            <v>0</v>
          </cell>
        </row>
        <row r="214">
          <cell r="D214">
            <v>37072</v>
          </cell>
          <cell r="G214">
            <v>20269.198399999994</v>
          </cell>
        </row>
        <row r="215">
          <cell r="D215">
            <v>37103</v>
          </cell>
          <cell r="G215">
            <v>42501.088854879999</v>
          </cell>
        </row>
        <row r="216">
          <cell r="D216">
            <v>36950</v>
          </cell>
          <cell r="G216">
            <v>6021.1079999999993</v>
          </cell>
        </row>
        <row r="217">
          <cell r="D217">
            <v>37011</v>
          </cell>
          <cell r="G217">
            <v>0</v>
          </cell>
        </row>
        <row r="218">
          <cell r="D218">
            <v>37011</v>
          </cell>
          <cell r="G218">
            <v>36000.566116433707</v>
          </cell>
        </row>
        <row r="219">
          <cell r="D219">
            <v>37103</v>
          </cell>
          <cell r="G219">
            <v>0</v>
          </cell>
        </row>
        <row r="220">
          <cell r="D220">
            <v>37103</v>
          </cell>
          <cell r="G220">
            <v>0</v>
          </cell>
        </row>
        <row r="221">
          <cell r="D221">
            <v>37011</v>
          </cell>
          <cell r="G221">
            <v>0</v>
          </cell>
        </row>
        <row r="222">
          <cell r="D222">
            <v>37134</v>
          </cell>
          <cell r="G222">
            <v>154321.19761887999</v>
          </cell>
        </row>
        <row r="223">
          <cell r="D223">
            <v>37103</v>
          </cell>
          <cell r="G223">
            <v>92476.941321919992</v>
          </cell>
        </row>
        <row r="224">
          <cell r="D224">
            <v>37103</v>
          </cell>
          <cell r="G224">
            <v>87207.36432256001</v>
          </cell>
        </row>
        <row r="225">
          <cell r="D225">
            <v>37042</v>
          </cell>
          <cell r="G225">
            <v>189433.774</v>
          </cell>
        </row>
        <row r="226">
          <cell r="D226">
            <v>37134</v>
          </cell>
          <cell r="G226">
            <v>60332.958183839997</v>
          </cell>
        </row>
        <row r="227">
          <cell r="D227">
            <v>37164</v>
          </cell>
          <cell r="G227">
            <v>110636.65050415999</v>
          </cell>
        </row>
        <row r="228">
          <cell r="D228">
            <v>37103</v>
          </cell>
          <cell r="G228">
            <v>84482.538</v>
          </cell>
        </row>
        <row r="229">
          <cell r="D229">
            <v>37164</v>
          </cell>
          <cell r="G229">
            <v>154196.19408208001</v>
          </cell>
        </row>
        <row r="230">
          <cell r="D230">
            <v>37103</v>
          </cell>
          <cell r="G230">
            <v>37727.392</v>
          </cell>
        </row>
        <row r="231">
          <cell r="D231">
            <v>37103</v>
          </cell>
          <cell r="G231">
            <v>55698.481</v>
          </cell>
        </row>
        <row r="232">
          <cell r="D232">
            <v>37315</v>
          </cell>
          <cell r="G232">
            <v>126801.60594448</v>
          </cell>
        </row>
        <row r="233">
          <cell r="D233">
            <v>37195</v>
          </cell>
          <cell r="G233">
            <v>227249.39731855999</v>
          </cell>
        </row>
        <row r="234">
          <cell r="D234">
            <v>37103</v>
          </cell>
          <cell r="G234">
            <v>39874.784516480002</v>
          </cell>
        </row>
        <row r="235">
          <cell r="D235">
            <v>37103</v>
          </cell>
          <cell r="G235">
            <v>130000</v>
          </cell>
        </row>
        <row r="236">
          <cell r="D236">
            <v>37103</v>
          </cell>
          <cell r="G236">
            <v>79496.803</v>
          </cell>
        </row>
        <row r="237">
          <cell r="D237">
            <v>37164</v>
          </cell>
          <cell r="G237">
            <v>26620.265089759996</v>
          </cell>
        </row>
        <row r="238">
          <cell r="D238">
            <v>37103</v>
          </cell>
          <cell r="G238">
            <v>9110.9647453245707</v>
          </cell>
        </row>
        <row r="239">
          <cell r="D239">
            <v>37103</v>
          </cell>
          <cell r="G239">
            <v>85394.282759211463</v>
          </cell>
        </row>
        <row r="240">
          <cell r="D240">
            <v>37103</v>
          </cell>
          <cell r="G240">
            <v>67242.260800000004</v>
          </cell>
        </row>
        <row r="241">
          <cell r="D241">
            <v>37134</v>
          </cell>
          <cell r="G241">
            <v>108024.12002592</v>
          </cell>
        </row>
        <row r="242">
          <cell r="D242">
            <v>37256</v>
          </cell>
          <cell r="G242">
            <v>0</v>
          </cell>
        </row>
        <row r="243">
          <cell r="D243">
            <v>37164</v>
          </cell>
          <cell r="G243">
            <v>53079.464123199999</v>
          </cell>
        </row>
        <row r="244">
          <cell r="D244">
            <v>37103</v>
          </cell>
          <cell r="G244">
            <v>55966.658651039994</v>
          </cell>
        </row>
        <row r="245">
          <cell r="D245">
            <v>37011</v>
          </cell>
          <cell r="G245">
            <v>496560.28990999993</v>
          </cell>
        </row>
        <row r="246">
          <cell r="D246">
            <v>37164</v>
          </cell>
          <cell r="G246">
            <v>213529.36952512001</v>
          </cell>
        </row>
        <row r="247">
          <cell r="D247">
            <v>37164</v>
          </cell>
          <cell r="G247">
            <v>0</v>
          </cell>
        </row>
        <row r="248">
          <cell r="D248">
            <v>37256</v>
          </cell>
          <cell r="G248">
            <v>28032.725899839999</v>
          </cell>
        </row>
        <row r="249">
          <cell r="D249">
            <v>37315</v>
          </cell>
          <cell r="G249">
            <v>181029.40288519853</v>
          </cell>
        </row>
        <row r="250">
          <cell r="D250">
            <v>37256</v>
          </cell>
          <cell r="G250">
            <v>90114.567906321463</v>
          </cell>
        </row>
        <row r="251">
          <cell r="D251">
            <v>37011</v>
          </cell>
          <cell r="G251">
            <v>553726.57400000002</v>
          </cell>
        </row>
        <row r="252">
          <cell r="D252">
            <v>37164</v>
          </cell>
          <cell r="G252">
            <v>10380363.230291968</v>
          </cell>
        </row>
        <row r="253">
          <cell r="D253">
            <v>37195</v>
          </cell>
          <cell r="G253">
            <v>5411008.1727702431</v>
          </cell>
        </row>
        <row r="254">
          <cell r="D254">
            <v>37164</v>
          </cell>
          <cell r="G254">
            <v>414242.33110726252</v>
          </cell>
        </row>
        <row r="255">
          <cell r="D255">
            <v>37164</v>
          </cell>
          <cell r="G255">
            <v>576460.18991765915</v>
          </cell>
        </row>
        <row r="256">
          <cell r="D256">
            <v>37287</v>
          </cell>
          <cell r="G256">
            <v>3935995.6350000002</v>
          </cell>
        </row>
        <row r="257">
          <cell r="D257">
            <v>37287</v>
          </cell>
          <cell r="G257">
            <v>12110755.800000001</v>
          </cell>
        </row>
        <row r="258">
          <cell r="D258">
            <v>37225</v>
          </cell>
          <cell r="G258">
            <v>30001.002709401375</v>
          </cell>
        </row>
        <row r="259">
          <cell r="D259">
            <v>37376</v>
          </cell>
          <cell r="G259">
            <v>65000</v>
          </cell>
        </row>
        <row r="260">
          <cell r="D260">
            <v>37315</v>
          </cell>
          <cell r="G260">
            <v>146443.74968468849</v>
          </cell>
        </row>
        <row r="261">
          <cell r="D261">
            <v>37225</v>
          </cell>
          <cell r="G261">
            <v>80170.882259085192</v>
          </cell>
        </row>
        <row r="262">
          <cell r="D262">
            <v>37315</v>
          </cell>
          <cell r="G262">
            <v>162986.0987730748</v>
          </cell>
        </row>
        <row r="263">
          <cell r="D263">
            <v>37103</v>
          </cell>
          <cell r="G263">
            <v>54281.796011040002</v>
          </cell>
        </row>
        <row r="264">
          <cell r="D264">
            <v>37011</v>
          </cell>
          <cell r="G264">
            <v>112423.97120000001</v>
          </cell>
        </row>
        <row r="265">
          <cell r="D265">
            <v>37072</v>
          </cell>
          <cell r="G265">
            <v>0</v>
          </cell>
        </row>
        <row r="266">
          <cell r="D266">
            <v>37011</v>
          </cell>
          <cell r="G266">
            <v>92943.983859040003</v>
          </cell>
        </row>
        <row r="267">
          <cell r="D267">
            <v>37103</v>
          </cell>
          <cell r="G267">
            <v>54426.910417440013</v>
          </cell>
        </row>
        <row r="268">
          <cell r="D268">
            <v>37134</v>
          </cell>
          <cell r="G268">
            <v>62385.392000000007</v>
          </cell>
        </row>
        <row r="269">
          <cell r="D269">
            <v>37103</v>
          </cell>
          <cell r="G269">
            <v>191057.92715504</v>
          </cell>
        </row>
        <row r="270">
          <cell r="D270">
            <v>37134</v>
          </cell>
          <cell r="G270">
            <v>102493.57202686157</v>
          </cell>
        </row>
        <row r="271">
          <cell r="D271">
            <v>37011</v>
          </cell>
          <cell r="G271">
            <v>31409.840007140563</v>
          </cell>
        </row>
        <row r="272">
          <cell r="D272">
            <v>37134</v>
          </cell>
          <cell r="G272">
            <v>42177.139548800013</v>
          </cell>
        </row>
        <row r="273">
          <cell r="D273">
            <v>37287</v>
          </cell>
          <cell r="G273">
            <v>156212.35424835005</v>
          </cell>
        </row>
        <row r="274">
          <cell r="D274">
            <v>37287</v>
          </cell>
          <cell r="G274">
            <v>0</v>
          </cell>
        </row>
        <row r="275">
          <cell r="D275">
            <v>37287</v>
          </cell>
          <cell r="G275">
            <v>164661.40056026308</v>
          </cell>
        </row>
        <row r="276">
          <cell r="D276">
            <v>37287</v>
          </cell>
          <cell r="G276">
            <v>290704.89589502977</v>
          </cell>
        </row>
        <row r="277">
          <cell r="D277">
            <v>37287</v>
          </cell>
          <cell r="G277">
            <v>163470.34285934121</v>
          </cell>
        </row>
        <row r="278">
          <cell r="D278">
            <v>37287</v>
          </cell>
          <cell r="G278">
            <v>284224.59781998332</v>
          </cell>
        </row>
        <row r="279">
          <cell r="D279">
            <v>37287</v>
          </cell>
          <cell r="G279">
            <v>0</v>
          </cell>
        </row>
        <row r="280">
          <cell r="D280">
            <v>37287</v>
          </cell>
          <cell r="G280">
            <v>0</v>
          </cell>
        </row>
        <row r="281">
          <cell r="D281">
            <v>37287</v>
          </cell>
          <cell r="G281">
            <v>22645.988062520235</v>
          </cell>
        </row>
        <row r="282">
          <cell r="D282">
            <v>37072</v>
          </cell>
          <cell r="G282">
            <v>1178054.9002079782</v>
          </cell>
        </row>
        <row r="283">
          <cell r="D283">
            <v>37164</v>
          </cell>
          <cell r="G283">
            <v>0</v>
          </cell>
        </row>
        <row r="284">
          <cell r="D284">
            <v>37195</v>
          </cell>
          <cell r="G284">
            <v>0</v>
          </cell>
        </row>
        <row r="285">
          <cell r="D285">
            <v>37195</v>
          </cell>
          <cell r="G285">
            <v>0</v>
          </cell>
        </row>
        <row r="286">
          <cell r="D286">
            <v>37042</v>
          </cell>
          <cell r="G286">
            <v>1762122.031</v>
          </cell>
        </row>
        <row r="287">
          <cell r="D287">
            <v>37103</v>
          </cell>
          <cell r="G287">
            <v>1641328.7660000001</v>
          </cell>
        </row>
        <row r="288">
          <cell r="D288">
            <v>37134</v>
          </cell>
          <cell r="G288">
            <v>52354.808842463361</v>
          </cell>
        </row>
        <row r="289">
          <cell r="D289">
            <v>37042</v>
          </cell>
          <cell r="G289">
            <v>20543.783504420258</v>
          </cell>
        </row>
        <row r="290">
          <cell r="D290">
            <v>37195</v>
          </cell>
          <cell r="G290">
            <v>75769.391999999993</v>
          </cell>
        </row>
        <row r="291">
          <cell r="D291">
            <v>37072</v>
          </cell>
          <cell r="G291">
            <v>440284.37672261073</v>
          </cell>
        </row>
        <row r="292">
          <cell r="D292">
            <v>37072</v>
          </cell>
          <cell r="G292">
            <v>1138477.6540773895</v>
          </cell>
        </row>
        <row r="293">
          <cell r="D293">
            <v>37103</v>
          </cell>
          <cell r="G293">
            <v>106352.9564810592</v>
          </cell>
        </row>
        <row r="294">
          <cell r="D294">
            <v>37256</v>
          </cell>
          <cell r="G294">
            <v>65000</v>
          </cell>
        </row>
        <row r="295">
          <cell r="D295">
            <v>37195</v>
          </cell>
          <cell r="G295">
            <v>18000</v>
          </cell>
        </row>
        <row r="296">
          <cell r="D296">
            <v>37256</v>
          </cell>
          <cell r="G296">
            <v>151365.53068351999</v>
          </cell>
        </row>
        <row r="297">
          <cell r="D297">
            <v>37315</v>
          </cell>
          <cell r="G297">
            <v>40985.392</v>
          </cell>
        </row>
        <row r="298">
          <cell r="D298">
            <v>37103</v>
          </cell>
          <cell r="G298">
            <v>39504.047136640002</v>
          </cell>
        </row>
        <row r="299">
          <cell r="D299">
            <v>37103</v>
          </cell>
          <cell r="G299">
            <v>75874.991999999998</v>
          </cell>
        </row>
        <row r="300">
          <cell r="D300">
            <v>37011</v>
          </cell>
          <cell r="G300">
            <v>497058.35499999998</v>
          </cell>
        </row>
        <row r="301">
          <cell r="D301">
            <v>37315</v>
          </cell>
          <cell r="G301">
            <v>2331169.5923859202</v>
          </cell>
        </row>
        <row r="302">
          <cell r="D302">
            <v>37103</v>
          </cell>
          <cell r="G302">
            <v>46528.192000000003</v>
          </cell>
        </row>
        <row r="303">
          <cell r="D303">
            <v>37072</v>
          </cell>
          <cell r="G303">
            <v>26672.379661120009</v>
          </cell>
        </row>
        <row r="304">
          <cell r="D304">
            <v>37103</v>
          </cell>
          <cell r="G304">
            <v>104072.22907360001</v>
          </cell>
        </row>
        <row r="305">
          <cell r="D305">
            <v>37072</v>
          </cell>
          <cell r="G305">
            <v>106734.71927360001</v>
          </cell>
        </row>
        <row r="306">
          <cell r="D306">
            <v>37225</v>
          </cell>
          <cell r="G306">
            <v>305562.26919999998</v>
          </cell>
        </row>
        <row r="307">
          <cell r="D307">
            <v>36950</v>
          </cell>
          <cell r="G307">
            <v>0</v>
          </cell>
        </row>
        <row r="308">
          <cell r="D308">
            <v>37103</v>
          </cell>
          <cell r="G308">
            <v>90478.44</v>
          </cell>
        </row>
        <row r="309">
          <cell r="D309">
            <v>37103</v>
          </cell>
          <cell r="G309">
            <v>89490.877999999997</v>
          </cell>
        </row>
        <row r="310">
          <cell r="D310">
            <v>37103</v>
          </cell>
          <cell r="G310">
            <v>241994.75099999999</v>
          </cell>
        </row>
        <row r="311">
          <cell r="D311">
            <v>37256</v>
          </cell>
          <cell r="G311">
            <v>231118.72698191216</v>
          </cell>
        </row>
        <row r="312">
          <cell r="D312">
            <v>37287</v>
          </cell>
          <cell r="G312">
            <v>70243.027589275807</v>
          </cell>
        </row>
        <row r="313">
          <cell r="D313">
            <v>37072</v>
          </cell>
          <cell r="G313">
            <v>38293.112273779727</v>
          </cell>
        </row>
        <row r="314">
          <cell r="D314">
            <v>37011</v>
          </cell>
          <cell r="G314">
            <v>15990.877673370855</v>
          </cell>
        </row>
        <row r="315">
          <cell r="D315">
            <v>37103</v>
          </cell>
          <cell r="G315">
            <v>214735.769</v>
          </cell>
        </row>
        <row r="316">
          <cell r="D316">
            <v>37103</v>
          </cell>
          <cell r="G316">
            <v>49490.097348800002</v>
          </cell>
        </row>
        <row r="317">
          <cell r="D317">
            <v>37011</v>
          </cell>
          <cell r="G317">
            <v>64109.839472480002</v>
          </cell>
        </row>
        <row r="318">
          <cell r="D318">
            <v>37287</v>
          </cell>
          <cell r="G318">
            <v>428886.82905087998</v>
          </cell>
        </row>
        <row r="319">
          <cell r="D319">
            <v>37134</v>
          </cell>
          <cell r="G319">
            <v>123425.49400000001</v>
          </cell>
        </row>
        <row r="320">
          <cell r="D320">
            <v>37011</v>
          </cell>
          <cell r="G320">
            <v>49851.081650880005</v>
          </cell>
        </row>
        <row r="321">
          <cell r="D321">
            <v>37011</v>
          </cell>
          <cell r="G321">
            <v>0</v>
          </cell>
        </row>
        <row r="322">
          <cell r="D322">
            <v>37011</v>
          </cell>
          <cell r="G322">
            <v>52500.519944960004</v>
          </cell>
        </row>
        <row r="323">
          <cell r="D323">
            <v>37103</v>
          </cell>
          <cell r="G323">
            <v>150661.84028992383</v>
          </cell>
        </row>
        <row r="324">
          <cell r="D324">
            <v>37225</v>
          </cell>
          <cell r="G324">
            <v>81782.857368636163</v>
          </cell>
        </row>
        <row r="325">
          <cell r="D325">
            <v>37072</v>
          </cell>
          <cell r="G325">
            <v>196888.897</v>
          </cell>
        </row>
        <row r="326">
          <cell r="D326">
            <v>37072</v>
          </cell>
          <cell r="G326">
            <v>48583.972000000002</v>
          </cell>
        </row>
        <row r="327">
          <cell r="D327">
            <v>37072</v>
          </cell>
          <cell r="G327">
            <v>36182.646999999997</v>
          </cell>
        </row>
        <row r="328">
          <cell r="D328">
            <v>37042</v>
          </cell>
          <cell r="G328">
            <v>414993.65899999999</v>
          </cell>
        </row>
        <row r="329">
          <cell r="D329">
            <v>37042</v>
          </cell>
          <cell r="G329">
            <v>390135.69398617855</v>
          </cell>
        </row>
        <row r="330">
          <cell r="D330">
            <v>37225</v>
          </cell>
          <cell r="G330">
            <v>10864.473682274453</v>
          </cell>
        </row>
        <row r="331">
          <cell r="D331">
            <v>37011</v>
          </cell>
          <cell r="G331">
            <v>21666.394323519999</v>
          </cell>
        </row>
        <row r="332">
          <cell r="D332">
            <v>37103</v>
          </cell>
          <cell r="G332">
            <v>112668.25900000001</v>
          </cell>
        </row>
        <row r="333">
          <cell r="D333">
            <v>37103</v>
          </cell>
          <cell r="G333">
            <v>60217.120033279993</v>
          </cell>
        </row>
        <row r="334">
          <cell r="D334">
            <v>37103</v>
          </cell>
          <cell r="G334">
            <v>220529.07975920002</v>
          </cell>
        </row>
        <row r="335">
          <cell r="D335">
            <v>37134</v>
          </cell>
          <cell r="G335">
            <v>435209.95</v>
          </cell>
        </row>
        <row r="336">
          <cell r="D336">
            <v>37103</v>
          </cell>
          <cell r="G336">
            <v>111128.943</v>
          </cell>
        </row>
        <row r="337">
          <cell r="D337">
            <v>37103</v>
          </cell>
          <cell r="G337">
            <v>257199.79200000002</v>
          </cell>
        </row>
        <row r="338">
          <cell r="D338">
            <v>37103</v>
          </cell>
          <cell r="G338">
            <v>176059.04283312004</v>
          </cell>
        </row>
        <row r="339">
          <cell r="D339">
            <v>37103</v>
          </cell>
          <cell r="G339">
            <v>332297.77</v>
          </cell>
        </row>
        <row r="340">
          <cell r="D340">
            <v>37195</v>
          </cell>
          <cell r="G340">
            <v>20814580.955743637</v>
          </cell>
        </row>
        <row r="341">
          <cell r="D341">
            <v>37195</v>
          </cell>
          <cell r="G341">
            <v>1540963.7919147734</v>
          </cell>
        </row>
      </sheetData>
      <sheetData sheetId="3" refreshError="1"/>
      <sheetData sheetId="4" refreshError="1">
        <row r="9">
          <cell r="AG9" t="str">
            <v>추심액</v>
          </cell>
          <cell r="AH9" t="str">
            <v>추심기일</v>
          </cell>
        </row>
        <row r="10">
          <cell r="AG10">
            <v>1526.5960332543698</v>
          </cell>
          <cell r="AH10">
            <v>37529</v>
          </cell>
        </row>
        <row r="11">
          <cell r="AG11">
            <v>964.50287863135986</v>
          </cell>
          <cell r="AH11">
            <v>37529</v>
          </cell>
        </row>
        <row r="12">
          <cell r="AG12">
            <v>1202.2764271906433</v>
          </cell>
          <cell r="AH12">
            <v>37652</v>
          </cell>
        </row>
        <row r="13">
          <cell r="AG13">
            <v>253.96211380809964</v>
          </cell>
          <cell r="AH13">
            <v>37652</v>
          </cell>
        </row>
        <row r="14">
          <cell r="AG14">
            <v>318.2828444363991</v>
          </cell>
          <cell r="AH14">
            <v>37652</v>
          </cell>
        </row>
        <row r="15">
          <cell r="AG15">
            <v>1.6500605849823249</v>
          </cell>
          <cell r="AH15">
            <v>37621</v>
          </cell>
        </row>
        <row r="16">
          <cell r="AG16">
            <v>32.374972603795797</v>
          </cell>
          <cell r="AH16">
            <v>37621</v>
          </cell>
        </row>
        <row r="17">
          <cell r="AG17">
            <v>33.163477307282953</v>
          </cell>
          <cell r="AH17">
            <v>37621</v>
          </cell>
        </row>
        <row r="18">
          <cell r="AG18">
            <v>16.308794680472911</v>
          </cell>
          <cell r="AH18">
            <v>37621</v>
          </cell>
        </row>
        <row r="19">
          <cell r="AG19">
            <v>6.4599096607797941</v>
          </cell>
          <cell r="AH19">
            <v>37621</v>
          </cell>
        </row>
        <row r="20">
          <cell r="AG20">
            <v>10.791657210932243</v>
          </cell>
          <cell r="AH20">
            <v>37621</v>
          </cell>
        </row>
        <row r="21">
          <cell r="AG21">
            <v>57.300160187479193</v>
          </cell>
          <cell r="AH21">
            <v>37621</v>
          </cell>
        </row>
        <row r="22">
          <cell r="AG22">
            <v>26.315732142550623</v>
          </cell>
          <cell r="AH22">
            <v>37621</v>
          </cell>
        </row>
        <row r="23">
          <cell r="AG23">
            <v>0.31173053366113379</v>
          </cell>
          <cell r="AH23">
            <v>37621</v>
          </cell>
        </row>
        <row r="24">
          <cell r="AG24">
            <v>55.951168277985708</v>
          </cell>
          <cell r="AH24">
            <v>37680</v>
          </cell>
        </row>
        <row r="25">
          <cell r="AG25">
            <v>50.478590190086472</v>
          </cell>
          <cell r="AH25">
            <v>37680</v>
          </cell>
        </row>
        <row r="26">
          <cell r="AG26">
            <v>639.87294178981801</v>
          </cell>
          <cell r="AH26">
            <v>37590</v>
          </cell>
        </row>
        <row r="27">
          <cell r="AG27">
            <v>1367.5804226612204</v>
          </cell>
          <cell r="AH27">
            <v>37590</v>
          </cell>
        </row>
        <row r="28">
          <cell r="AG28">
            <v>3230.4836788205994</v>
          </cell>
          <cell r="AH28">
            <v>37590</v>
          </cell>
        </row>
        <row r="29">
          <cell r="AG29">
            <v>94.294585374087617</v>
          </cell>
          <cell r="AH29">
            <v>37680</v>
          </cell>
        </row>
        <row r="30">
          <cell r="AG30">
            <v>161.84693319982702</v>
          </cell>
          <cell r="AH30">
            <v>37621</v>
          </cell>
        </row>
        <row r="31">
          <cell r="AG31">
            <v>964.37066675279721</v>
          </cell>
          <cell r="AH31">
            <v>37652</v>
          </cell>
        </row>
        <row r="32">
          <cell r="AG32">
            <v>154.5111949294442</v>
          </cell>
          <cell r="AH32">
            <v>37652</v>
          </cell>
        </row>
        <row r="33">
          <cell r="AG33">
            <v>540.6990898663056</v>
          </cell>
          <cell r="AH33">
            <v>37680</v>
          </cell>
        </row>
        <row r="34">
          <cell r="AG34">
            <v>42.879466457828798</v>
          </cell>
          <cell r="AH34">
            <v>37680</v>
          </cell>
        </row>
        <row r="35">
          <cell r="AG35">
            <v>6629.0766693396927</v>
          </cell>
          <cell r="AH35">
            <v>37621</v>
          </cell>
        </row>
        <row r="36">
          <cell r="AG36">
            <v>1448.8575622833589</v>
          </cell>
          <cell r="AH36">
            <v>37621</v>
          </cell>
        </row>
        <row r="37">
          <cell r="AG37">
            <v>443.48301270184021</v>
          </cell>
          <cell r="AH37">
            <v>37621</v>
          </cell>
        </row>
        <row r="38">
          <cell r="AG38">
            <v>1287.6421604128425</v>
          </cell>
          <cell r="AH38">
            <v>37621</v>
          </cell>
        </row>
        <row r="39">
          <cell r="AG39">
            <v>352.1083811214902</v>
          </cell>
          <cell r="AH39">
            <v>37621</v>
          </cell>
        </row>
        <row r="40">
          <cell r="AG40">
            <v>2536.4409620179899</v>
          </cell>
          <cell r="AH40">
            <v>37621</v>
          </cell>
        </row>
        <row r="41">
          <cell r="AG41">
            <v>215.1164567022812</v>
          </cell>
          <cell r="AH41">
            <v>37621</v>
          </cell>
        </row>
        <row r="42">
          <cell r="AG42">
            <v>730.08338037952819</v>
          </cell>
          <cell r="AH42">
            <v>37621</v>
          </cell>
        </row>
        <row r="43">
          <cell r="AG43">
            <v>242.1206197439555</v>
          </cell>
          <cell r="AH43">
            <v>37621</v>
          </cell>
        </row>
        <row r="44">
          <cell r="AG44">
            <v>282.53327089057507</v>
          </cell>
          <cell r="AH44">
            <v>37529</v>
          </cell>
        </row>
        <row r="45">
          <cell r="AG45">
            <v>1966.4707735090772</v>
          </cell>
          <cell r="AH45">
            <v>37529</v>
          </cell>
        </row>
        <row r="46">
          <cell r="AG46">
            <v>80.332327772008355</v>
          </cell>
          <cell r="AH46">
            <v>37529</v>
          </cell>
        </row>
        <row r="47">
          <cell r="AG47">
            <v>135.27872564029553</v>
          </cell>
          <cell r="AH47">
            <v>37529</v>
          </cell>
        </row>
        <row r="48">
          <cell r="AG48">
            <v>30.636764125189675</v>
          </cell>
          <cell r="AH48">
            <v>37590</v>
          </cell>
        </row>
        <row r="49">
          <cell r="AG49">
            <v>211.10268503494225</v>
          </cell>
          <cell r="AH49">
            <v>37590</v>
          </cell>
        </row>
        <row r="50">
          <cell r="AG50">
            <v>651.02410593161665</v>
          </cell>
          <cell r="AH50">
            <v>37621</v>
          </cell>
        </row>
        <row r="51">
          <cell r="AG51">
            <v>850.12845593906786</v>
          </cell>
          <cell r="AH51">
            <v>37621</v>
          </cell>
        </row>
        <row r="52">
          <cell r="AG52">
            <v>858.33155912238055</v>
          </cell>
          <cell r="AH52">
            <v>37621</v>
          </cell>
        </row>
        <row r="53">
          <cell r="AG53">
            <v>271.92463924793992</v>
          </cell>
          <cell r="AH53">
            <v>37621</v>
          </cell>
        </row>
        <row r="54">
          <cell r="AG54">
            <v>955.91795102019205</v>
          </cell>
          <cell r="AH54">
            <v>37621</v>
          </cell>
        </row>
        <row r="55">
          <cell r="AG55">
            <v>103.76967501771723</v>
          </cell>
          <cell r="AH55">
            <v>37560</v>
          </cell>
        </row>
        <row r="56">
          <cell r="AG56">
            <v>47.367731373112981</v>
          </cell>
          <cell r="AH56">
            <v>37621</v>
          </cell>
        </row>
        <row r="57">
          <cell r="AG57">
            <v>47.327451415948964</v>
          </cell>
          <cell r="AH57">
            <v>37621</v>
          </cell>
        </row>
        <row r="58">
          <cell r="AG58">
            <v>65.458672684178708</v>
          </cell>
          <cell r="AH58">
            <v>37590</v>
          </cell>
        </row>
        <row r="59">
          <cell r="AG59">
            <v>130.43803578200939</v>
          </cell>
          <cell r="AH59">
            <v>37590</v>
          </cell>
        </row>
        <row r="60">
          <cell r="AG60">
            <v>263.21887585562098</v>
          </cell>
          <cell r="AH60">
            <v>37590</v>
          </cell>
        </row>
        <row r="61">
          <cell r="AG61">
            <v>151.87189680311508</v>
          </cell>
          <cell r="AH61">
            <v>37652</v>
          </cell>
        </row>
        <row r="62">
          <cell r="AG62">
            <v>31.637303357012822</v>
          </cell>
          <cell r="AH62">
            <v>37652</v>
          </cell>
        </row>
        <row r="63">
          <cell r="AG63">
            <v>181.75060117731641</v>
          </cell>
          <cell r="AH63">
            <v>37590</v>
          </cell>
        </row>
        <row r="64">
          <cell r="AG64">
            <v>1271.1136218642657</v>
          </cell>
          <cell r="AH64">
            <v>37590</v>
          </cell>
        </row>
        <row r="65">
          <cell r="AG65">
            <v>3689.696938605462</v>
          </cell>
          <cell r="AH65">
            <v>37529</v>
          </cell>
        </row>
        <row r="66">
          <cell r="AG66">
            <v>197.93013819745835</v>
          </cell>
          <cell r="AH66">
            <v>37680</v>
          </cell>
        </row>
        <row r="67">
          <cell r="AG67">
            <v>651.54792322852234</v>
          </cell>
          <cell r="AH67">
            <v>37621</v>
          </cell>
        </row>
        <row r="68">
          <cell r="AG68">
            <v>614.80199854614909</v>
          </cell>
          <cell r="AH68">
            <v>37621</v>
          </cell>
        </row>
        <row r="69">
          <cell r="AG69">
            <v>490.82769279971831</v>
          </cell>
          <cell r="AH69">
            <v>37621</v>
          </cell>
        </row>
        <row r="70">
          <cell r="AG70">
            <v>245.41384639985915</v>
          </cell>
          <cell r="AH70">
            <v>37621</v>
          </cell>
        </row>
        <row r="71">
          <cell r="AG71">
            <v>441.74492351974646</v>
          </cell>
          <cell r="AH71">
            <v>37621</v>
          </cell>
        </row>
        <row r="72">
          <cell r="AG72">
            <v>68.159605606787551</v>
          </cell>
          <cell r="AH72">
            <v>37621</v>
          </cell>
        </row>
        <row r="73">
          <cell r="AG73">
            <v>117.08627236326909</v>
          </cell>
          <cell r="AH73">
            <v>37621</v>
          </cell>
        </row>
        <row r="74">
          <cell r="AG74">
            <v>16.6359990563674</v>
          </cell>
          <cell r="AH74">
            <v>37621</v>
          </cell>
        </row>
        <row r="75">
          <cell r="AG75">
            <v>234.81141305884128</v>
          </cell>
          <cell r="AH75">
            <v>37621</v>
          </cell>
        </row>
        <row r="76">
          <cell r="AG76">
            <v>4883.4343030070368</v>
          </cell>
          <cell r="AH76">
            <v>37590</v>
          </cell>
        </row>
        <row r="77">
          <cell r="AG77">
            <v>1334.0963835624302</v>
          </cell>
          <cell r="AH77">
            <v>37590</v>
          </cell>
        </row>
        <row r="78">
          <cell r="AG78">
            <v>161.08313369112884</v>
          </cell>
          <cell r="AH78">
            <v>37590</v>
          </cell>
        </row>
        <row r="79">
          <cell r="AG79">
            <v>0</v>
          </cell>
          <cell r="AH79">
            <v>37590</v>
          </cell>
        </row>
        <row r="80">
          <cell r="AG80">
            <v>4716.1871755599468</v>
          </cell>
          <cell r="AH80">
            <v>37590</v>
          </cell>
        </row>
        <row r="81">
          <cell r="AG81">
            <v>2358.0935877799734</v>
          </cell>
          <cell r="AH81">
            <v>37590</v>
          </cell>
        </row>
        <row r="82">
          <cell r="AG82">
            <v>264.74679856418282</v>
          </cell>
          <cell r="AH82">
            <v>37590</v>
          </cell>
        </row>
        <row r="83">
          <cell r="AG83">
            <v>2965.6957022312799</v>
          </cell>
          <cell r="AH83">
            <v>37590</v>
          </cell>
        </row>
        <row r="84">
          <cell r="AG84">
            <v>2865.9385672226726</v>
          </cell>
          <cell r="AH84">
            <v>37680</v>
          </cell>
        </row>
        <row r="85">
          <cell r="AG85">
            <v>2706.3996746198627</v>
          </cell>
          <cell r="AH85">
            <v>37621</v>
          </cell>
        </row>
        <row r="86">
          <cell r="AG86">
            <v>73.158668133730117</v>
          </cell>
          <cell r="AH86">
            <v>37621</v>
          </cell>
        </row>
        <row r="87">
          <cell r="AG87">
            <v>93.466734127945344</v>
          </cell>
          <cell r="AH87">
            <v>37621</v>
          </cell>
        </row>
        <row r="88">
          <cell r="AG88">
            <v>70.511942816893836</v>
          </cell>
          <cell r="AH88">
            <v>37621</v>
          </cell>
        </row>
        <row r="89">
          <cell r="AG89">
            <v>56.426765884516207</v>
          </cell>
          <cell r="AH89">
            <v>37621</v>
          </cell>
        </row>
        <row r="90">
          <cell r="AG90">
            <v>54.639295327784346</v>
          </cell>
          <cell r="AH90">
            <v>37621</v>
          </cell>
        </row>
        <row r="91">
          <cell r="AG91">
            <v>313.36978279052204</v>
          </cell>
          <cell r="AH91">
            <v>37590</v>
          </cell>
        </row>
        <row r="92">
          <cell r="AG92">
            <v>5903.0928811902122</v>
          </cell>
          <cell r="AH92">
            <v>37590</v>
          </cell>
        </row>
        <row r="93">
          <cell r="AG93">
            <v>1287.2399368450226</v>
          </cell>
          <cell r="AH93">
            <v>37590</v>
          </cell>
        </row>
        <row r="94">
          <cell r="AG94">
            <v>2388.2652689803062</v>
          </cell>
          <cell r="AH94">
            <v>37652</v>
          </cell>
        </row>
        <row r="95">
          <cell r="AG95">
            <v>989.94952477962113</v>
          </cell>
          <cell r="AH95">
            <v>37529</v>
          </cell>
        </row>
        <row r="96">
          <cell r="AG96">
            <v>243.34494035554067</v>
          </cell>
          <cell r="AH96">
            <v>37621</v>
          </cell>
        </row>
        <row r="97">
          <cell r="AG97">
            <v>236.56425656825462</v>
          </cell>
          <cell r="AH97">
            <v>37621</v>
          </cell>
        </row>
        <row r="98">
          <cell r="AG98">
            <v>201.2555181853711</v>
          </cell>
          <cell r="AH98">
            <v>37621</v>
          </cell>
        </row>
        <row r="99">
          <cell r="AG99">
            <v>899.11755391626286</v>
          </cell>
          <cell r="AH99">
            <v>37741</v>
          </cell>
        </row>
        <row r="100">
          <cell r="AG100">
            <v>1302.0712952252784</v>
          </cell>
          <cell r="AH100">
            <v>37741</v>
          </cell>
        </row>
        <row r="101">
          <cell r="AG101">
            <v>2268.8033309039993</v>
          </cell>
          <cell r="AH101">
            <v>37741</v>
          </cell>
        </row>
        <row r="102">
          <cell r="AG102">
            <v>620.70343501554419</v>
          </cell>
          <cell r="AH102">
            <v>37741</v>
          </cell>
        </row>
        <row r="103">
          <cell r="AG103">
            <v>902.84135310729857</v>
          </cell>
          <cell r="AH103">
            <v>37741</v>
          </cell>
        </row>
        <row r="104">
          <cell r="AG104">
            <v>338.5654951899549</v>
          </cell>
          <cell r="AH104">
            <v>37741</v>
          </cell>
        </row>
        <row r="105">
          <cell r="AG105">
            <v>257.57870646976244</v>
          </cell>
          <cell r="AH105">
            <v>37741</v>
          </cell>
        </row>
        <row r="106">
          <cell r="AG106">
            <v>508.8396805617474</v>
          </cell>
          <cell r="AH106">
            <v>37741</v>
          </cell>
        </row>
        <row r="107">
          <cell r="AG107">
            <v>565.37742646869197</v>
          </cell>
          <cell r="AH107">
            <v>37741</v>
          </cell>
        </row>
        <row r="108">
          <cell r="AG108">
            <v>1133.0770914549387</v>
          </cell>
          <cell r="AH108">
            <v>37741</v>
          </cell>
        </row>
        <row r="109">
          <cell r="AG109">
            <v>2377.8674293344548</v>
          </cell>
          <cell r="AH109">
            <v>37711</v>
          </cell>
        </row>
        <row r="110">
          <cell r="AG110">
            <v>3113.7923376302933</v>
          </cell>
          <cell r="AH110">
            <v>37560</v>
          </cell>
        </row>
        <row r="111">
          <cell r="AG111">
            <v>1603.4953961959391</v>
          </cell>
          <cell r="AH111">
            <v>37560</v>
          </cell>
        </row>
        <row r="112">
          <cell r="AG112">
            <v>913.75328893922267</v>
          </cell>
          <cell r="AH112">
            <v>37560</v>
          </cell>
        </row>
        <row r="113">
          <cell r="AG113">
            <v>1806.6714205299743</v>
          </cell>
          <cell r="AH113">
            <v>37560</v>
          </cell>
        </row>
        <row r="114">
          <cell r="AG114">
            <v>1805.2846473495399</v>
          </cell>
          <cell r="AH114">
            <v>37560</v>
          </cell>
        </row>
        <row r="115">
          <cell r="AG115">
            <v>902.64232367476995</v>
          </cell>
          <cell r="AH115">
            <v>37560</v>
          </cell>
        </row>
        <row r="116">
          <cell r="AG116">
            <v>1845.333473133762</v>
          </cell>
          <cell r="AH116">
            <v>37560</v>
          </cell>
        </row>
        <row r="117">
          <cell r="AG117">
            <v>1102.2251292507563</v>
          </cell>
          <cell r="AH117">
            <v>37560</v>
          </cell>
        </row>
        <row r="118">
          <cell r="AG118">
            <v>1962.0878382253463</v>
          </cell>
          <cell r="AH118">
            <v>37621</v>
          </cell>
        </row>
        <row r="119">
          <cell r="AG119">
            <v>3255.2922613379901</v>
          </cell>
          <cell r="AH119">
            <v>37621</v>
          </cell>
        </row>
        <row r="120">
          <cell r="AG120">
            <v>106.80756749968113</v>
          </cell>
          <cell r="AH120">
            <v>37652</v>
          </cell>
        </row>
        <row r="121">
          <cell r="AG121">
            <v>368.26899321593743</v>
          </cell>
          <cell r="AH121">
            <v>37652</v>
          </cell>
        </row>
        <row r="122">
          <cell r="AG122">
            <v>1946.9676690423125</v>
          </cell>
          <cell r="AH122">
            <v>37652</v>
          </cell>
        </row>
        <row r="123">
          <cell r="AG123">
            <v>1575.5742871452344</v>
          </cell>
          <cell r="AH123">
            <v>37652</v>
          </cell>
        </row>
        <row r="124">
          <cell r="AG124">
            <v>205.25375681833216</v>
          </cell>
          <cell r="AH124">
            <v>37711</v>
          </cell>
        </row>
        <row r="125">
          <cell r="AG125">
            <v>3864.1857855634348</v>
          </cell>
          <cell r="AH125">
            <v>37652</v>
          </cell>
        </row>
        <row r="126">
          <cell r="AG126">
            <v>300.61631868395637</v>
          </cell>
          <cell r="AH126">
            <v>37652</v>
          </cell>
        </row>
        <row r="127">
          <cell r="AG127">
            <v>1524.1979191393445</v>
          </cell>
          <cell r="AH127">
            <v>37621</v>
          </cell>
        </row>
        <row r="128">
          <cell r="AG128">
            <v>25.369087755814178</v>
          </cell>
          <cell r="AH128">
            <v>37621</v>
          </cell>
        </row>
        <row r="129">
          <cell r="AG129">
            <v>1558.1967850815226</v>
          </cell>
          <cell r="AH129">
            <v>37621</v>
          </cell>
        </row>
        <row r="130">
          <cell r="AG130">
            <v>954.06653203760345</v>
          </cell>
          <cell r="AH130">
            <v>37621</v>
          </cell>
        </row>
        <row r="131">
          <cell r="AG131">
            <v>5.581335304053809</v>
          </cell>
          <cell r="AH131">
            <v>37529</v>
          </cell>
        </row>
        <row r="132">
          <cell r="AG132">
            <v>5.581335304053809</v>
          </cell>
          <cell r="AH132">
            <v>37529</v>
          </cell>
        </row>
        <row r="133">
          <cell r="AG133">
            <v>3.9069346165486056</v>
          </cell>
          <cell r="AH133">
            <v>37529</v>
          </cell>
        </row>
        <row r="134">
          <cell r="AG134">
            <v>25.176851514108929</v>
          </cell>
          <cell r="AH134">
            <v>37529</v>
          </cell>
        </row>
        <row r="135">
          <cell r="AG135">
            <v>188.83581079436266</v>
          </cell>
          <cell r="AH135">
            <v>37652</v>
          </cell>
        </row>
        <row r="136">
          <cell r="AG136">
            <v>961.04566506429899</v>
          </cell>
          <cell r="AH136">
            <v>37652</v>
          </cell>
        </row>
        <row r="137">
          <cell r="AG137">
            <v>2693.5053892753181</v>
          </cell>
          <cell r="AH137">
            <v>37621</v>
          </cell>
        </row>
        <row r="138">
          <cell r="AG138">
            <v>242.80116729295347</v>
          </cell>
          <cell r="AH138">
            <v>37652</v>
          </cell>
        </row>
        <row r="139">
          <cell r="AG139">
            <v>78.168897363190908</v>
          </cell>
          <cell r="AH139">
            <v>37652</v>
          </cell>
        </row>
        <row r="140">
          <cell r="AG140">
            <v>28.202827421397778</v>
          </cell>
          <cell r="AH140">
            <v>37652</v>
          </cell>
        </row>
        <row r="141">
          <cell r="AG141">
            <v>2523.0965725517462</v>
          </cell>
          <cell r="AH141">
            <v>37621</v>
          </cell>
        </row>
        <row r="142">
          <cell r="AG142">
            <v>395.06096866882706</v>
          </cell>
          <cell r="AH142">
            <v>37590</v>
          </cell>
        </row>
        <row r="143">
          <cell r="AG143">
            <v>1100.867507631672</v>
          </cell>
          <cell r="AH143">
            <v>37590</v>
          </cell>
        </row>
        <row r="144">
          <cell r="AG144">
            <v>431.0071550485211</v>
          </cell>
          <cell r="AH144">
            <v>37590</v>
          </cell>
        </row>
        <row r="145">
          <cell r="AG145">
            <v>1733.4265572863637</v>
          </cell>
          <cell r="AH145">
            <v>37711</v>
          </cell>
        </row>
        <row r="146">
          <cell r="AG146">
            <v>701.39931554313614</v>
          </cell>
          <cell r="AH146">
            <v>37711</v>
          </cell>
        </row>
        <row r="147">
          <cell r="AG147">
            <v>2759.3596855360415</v>
          </cell>
          <cell r="AH147">
            <v>37529</v>
          </cell>
        </row>
        <row r="148">
          <cell r="AG148">
            <v>63.502008934161125</v>
          </cell>
          <cell r="AH148">
            <v>37590</v>
          </cell>
        </row>
        <row r="149">
          <cell r="AG149">
            <v>4.0347725223478212</v>
          </cell>
          <cell r="AH149">
            <v>37590</v>
          </cell>
        </row>
        <row r="150">
          <cell r="AG150">
            <v>633.94109176725658</v>
          </cell>
          <cell r="AH150">
            <v>37621</v>
          </cell>
        </row>
        <row r="151">
          <cell r="AG151">
            <v>31.395003862304748</v>
          </cell>
          <cell r="AH151">
            <v>37621</v>
          </cell>
        </row>
        <row r="152">
          <cell r="AG152">
            <v>804.330655399271</v>
          </cell>
          <cell r="AH152">
            <v>37621</v>
          </cell>
        </row>
        <row r="153">
          <cell r="AG153">
            <v>3362.6582255097665</v>
          </cell>
          <cell r="AH153">
            <v>37833</v>
          </cell>
        </row>
        <row r="154">
          <cell r="AG154">
            <v>56.244772487431177</v>
          </cell>
          <cell r="AH154">
            <v>37621</v>
          </cell>
        </row>
        <row r="155">
          <cell r="AG155">
            <v>80.073581388483291</v>
          </cell>
          <cell r="AH155">
            <v>37529</v>
          </cell>
        </row>
        <row r="156">
          <cell r="AG156">
            <v>181.68201373947201</v>
          </cell>
          <cell r="AH156">
            <v>37802</v>
          </cell>
        </row>
        <row r="157">
          <cell r="AG157">
            <v>444.15485798399982</v>
          </cell>
          <cell r="AH157">
            <v>37621</v>
          </cell>
        </row>
        <row r="158">
          <cell r="AG158">
            <v>60.537471307324374</v>
          </cell>
          <cell r="AH158">
            <v>37621</v>
          </cell>
        </row>
        <row r="159">
          <cell r="AG159">
            <v>24.274978403158201</v>
          </cell>
          <cell r="AH159">
            <v>37621</v>
          </cell>
        </row>
        <row r="160">
          <cell r="AG160">
            <v>251.9431494764745</v>
          </cell>
          <cell r="AH160">
            <v>37621</v>
          </cell>
        </row>
        <row r="161">
          <cell r="AG161">
            <v>320.05466034159235</v>
          </cell>
          <cell r="AH161">
            <v>37711</v>
          </cell>
        </row>
        <row r="162">
          <cell r="AG162">
            <v>22.520152065110288</v>
          </cell>
          <cell r="AH162">
            <v>37711</v>
          </cell>
        </row>
        <row r="163">
          <cell r="AG163">
            <v>4155.0277722494084</v>
          </cell>
          <cell r="AH163">
            <v>37711</v>
          </cell>
        </row>
        <row r="164">
          <cell r="AG164">
            <v>6068.5594225466712</v>
          </cell>
          <cell r="AH164">
            <v>37833</v>
          </cell>
        </row>
        <row r="165">
          <cell r="AG165">
            <v>14218.001145555772</v>
          </cell>
          <cell r="AH165">
            <v>37833</v>
          </cell>
        </row>
        <row r="166">
          <cell r="AG166">
            <v>5184.2173538390089</v>
          </cell>
          <cell r="AH166">
            <v>37833</v>
          </cell>
        </row>
        <row r="167">
          <cell r="AG167">
            <v>10470.913872837891</v>
          </cell>
          <cell r="AH167">
            <v>37833</v>
          </cell>
        </row>
        <row r="168">
          <cell r="AG168">
            <v>14129.532303897813</v>
          </cell>
          <cell r="AH168">
            <v>37833</v>
          </cell>
        </row>
        <row r="169">
          <cell r="AG169">
            <v>1367.7601177238651</v>
          </cell>
          <cell r="AH169">
            <v>37833</v>
          </cell>
        </row>
        <row r="170">
          <cell r="AG170">
            <v>594.77854040767681</v>
          </cell>
          <cell r="AH170">
            <v>37833</v>
          </cell>
        </row>
        <row r="171">
          <cell r="AG171">
            <v>817.72463212990488</v>
          </cell>
          <cell r="AH171">
            <v>37621</v>
          </cell>
        </row>
        <row r="172">
          <cell r="AG172">
            <v>288.22423504063977</v>
          </cell>
          <cell r="AH172">
            <v>37621</v>
          </cell>
        </row>
        <row r="173">
          <cell r="AG173">
            <v>3.8780497432129284</v>
          </cell>
          <cell r="AH173">
            <v>37621</v>
          </cell>
        </row>
        <row r="174">
          <cell r="AG174">
            <v>204.42145862753853</v>
          </cell>
          <cell r="AH174">
            <v>37621</v>
          </cell>
        </row>
        <row r="175">
          <cell r="AG175">
            <v>71.44573954686507</v>
          </cell>
          <cell r="AH175">
            <v>37621</v>
          </cell>
        </row>
        <row r="176">
          <cell r="AG176">
            <v>69.153322000394695</v>
          </cell>
          <cell r="AH176">
            <v>37621</v>
          </cell>
        </row>
        <row r="177">
          <cell r="AG177">
            <v>291.65848326534029</v>
          </cell>
          <cell r="AH177">
            <v>37621</v>
          </cell>
        </row>
        <row r="178">
          <cell r="AG178">
            <v>1020.5725173159863</v>
          </cell>
          <cell r="AH178">
            <v>37621</v>
          </cell>
        </row>
        <row r="179">
          <cell r="AG179">
            <v>713.37634202804361</v>
          </cell>
          <cell r="AH179">
            <v>37621</v>
          </cell>
        </row>
        <row r="180">
          <cell r="AG180">
            <v>962.86029151864261</v>
          </cell>
          <cell r="AH180">
            <v>37621</v>
          </cell>
        </row>
        <row r="181">
          <cell r="AG181">
            <v>518.4632333742195</v>
          </cell>
          <cell r="AH181">
            <v>37621</v>
          </cell>
        </row>
        <row r="182">
          <cell r="AG182">
            <v>131.37553844605506</v>
          </cell>
          <cell r="AH182">
            <v>37621</v>
          </cell>
        </row>
        <row r="183">
          <cell r="AG183">
            <v>55.737544925325857</v>
          </cell>
          <cell r="AH183">
            <v>37652</v>
          </cell>
        </row>
        <row r="184">
          <cell r="AG184">
            <v>3.7472387286220101</v>
          </cell>
          <cell r="AH184">
            <v>37652</v>
          </cell>
        </row>
        <row r="185">
          <cell r="AG185">
            <v>62.86375710739383</v>
          </cell>
          <cell r="AH185">
            <v>37652</v>
          </cell>
        </row>
        <row r="186">
          <cell r="AG186">
            <v>410.64772590999536</v>
          </cell>
          <cell r="AH186">
            <v>37590</v>
          </cell>
        </row>
        <row r="187">
          <cell r="AG187">
            <v>460.76001169719177</v>
          </cell>
          <cell r="AH187">
            <v>37590</v>
          </cell>
        </row>
        <row r="188">
          <cell r="AG188">
            <v>1281.7752851534231</v>
          </cell>
          <cell r="AH188">
            <v>37590</v>
          </cell>
        </row>
        <row r="189">
          <cell r="AG189">
            <v>640.8876375409742</v>
          </cell>
          <cell r="AH189">
            <v>37590</v>
          </cell>
        </row>
        <row r="190">
          <cell r="AG190">
            <v>3943.2411485973357</v>
          </cell>
          <cell r="AH190">
            <v>37590</v>
          </cell>
        </row>
        <row r="191">
          <cell r="AG191">
            <v>37.052050189346517</v>
          </cell>
          <cell r="AH191">
            <v>37590</v>
          </cell>
        </row>
        <row r="192">
          <cell r="AG192">
            <v>53.00456162790077</v>
          </cell>
          <cell r="AH192">
            <v>37590</v>
          </cell>
        </row>
        <row r="193">
          <cell r="AG193">
            <v>313.56990613579859</v>
          </cell>
          <cell r="AH193">
            <v>37590</v>
          </cell>
        </row>
        <row r="194">
          <cell r="AG194">
            <v>1446.3511536214266</v>
          </cell>
          <cell r="AH194">
            <v>37590</v>
          </cell>
        </row>
        <row r="195">
          <cell r="AG195">
            <v>150.28552305337976</v>
          </cell>
          <cell r="AH195">
            <v>37590</v>
          </cell>
        </row>
        <row r="196">
          <cell r="AG196">
            <v>21.287832587747289</v>
          </cell>
          <cell r="AH196">
            <v>37621</v>
          </cell>
        </row>
        <row r="197">
          <cell r="AG197">
            <v>112.25844620946548</v>
          </cell>
          <cell r="AH197">
            <v>37621</v>
          </cell>
        </row>
        <row r="198">
          <cell r="AG198">
            <v>118.54143594364621</v>
          </cell>
          <cell r="AH198">
            <v>37621</v>
          </cell>
        </row>
        <row r="199">
          <cell r="AG199">
            <v>465.02423839536027</v>
          </cell>
          <cell r="AH199">
            <v>37621</v>
          </cell>
        </row>
        <row r="200">
          <cell r="AG200">
            <v>153.37976068163917</v>
          </cell>
          <cell r="AH200">
            <v>37652</v>
          </cell>
        </row>
        <row r="201">
          <cell r="AG201">
            <v>547.85918665047097</v>
          </cell>
          <cell r="AH201">
            <v>37621</v>
          </cell>
        </row>
        <row r="202">
          <cell r="AG202">
            <v>156.0521705702829</v>
          </cell>
          <cell r="AH202">
            <v>37621</v>
          </cell>
        </row>
        <row r="203">
          <cell r="AG203">
            <v>10.272443828795222</v>
          </cell>
          <cell r="AH203">
            <v>37468</v>
          </cell>
        </row>
        <row r="204">
          <cell r="AG204">
            <v>611.09985257954804</v>
          </cell>
          <cell r="AH204">
            <v>37590</v>
          </cell>
        </row>
        <row r="205">
          <cell r="AG205">
            <v>22.244473559647702</v>
          </cell>
          <cell r="AH205">
            <v>37621</v>
          </cell>
        </row>
        <row r="206">
          <cell r="AG206">
            <v>108.2476468877733</v>
          </cell>
          <cell r="AH206">
            <v>37621</v>
          </cell>
        </row>
        <row r="207">
          <cell r="AG207">
            <v>2139.0092416000157</v>
          </cell>
          <cell r="AH207">
            <v>37590</v>
          </cell>
        </row>
        <row r="208">
          <cell r="AG208">
            <v>191.92597619076398</v>
          </cell>
          <cell r="AH208">
            <v>37621</v>
          </cell>
        </row>
        <row r="209">
          <cell r="AG209">
            <v>266.15332320256283</v>
          </cell>
          <cell r="AH209">
            <v>37621</v>
          </cell>
        </row>
        <row r="210">
          <cell r="AG210">
            <v>208.18204937533412</v>
          </cell>
          <cell r="AH210">
            <v>37621</v>
          </cell>
        </row>
        <row r="211">
          <cell r="AG211">
            <v>64.896393239300522</v>
          </cell>
          <cell r="AH211">
            <v>37621</v>
          </cell>
        </row>
        <row r="212">
          <cell r="AG212">
            <v>2181.6067716574289</v>
          </cell>
          <cell r="AH212">
            <v>37621</v>
          </cell>
        </row>
        <row r="213">
          <cell r="AG213">
            <v>937.44166913969809</v>
          </cell>
          <cell r="AH213">
            <v>37652</v>
          </cell>
        </row>
        <row r="214">
          <cell r="AG214">
            <v>1560.9086114547299</v>
          </cell>
          <cell r="AH214">
            <v>37652</v>
          </cell>
        </row>
        <row r="215">
          <cell r="AG215">
            <v>1101.9968962244157</v>
          </cell>
          <cell r="AH215">
            <v>37652</v>
          </cell>
        </row>
        <row r="216">
          <cell r="AG216">
            <v>6657.2415861797581</v>
          </cell>
          <cell r="AH216">
            <v>37652</v>
          </cell>
        </row>
        <row r="217">
          <cell r="AG217">
            <v>1268.6336929962863</v>
          </cell>
          <cell r="AH217">
            <v>37680</v>
          </cell>
        </row>
        <row r="218">
          <cell r="AG218">
            <v>525.67849346478124</v>
          </cell>
          <cell r="AH218">
            <v>37711</v>
          </cell>
        </row>
        <row r="219">
          <cell r="AG219">
            <v>150.73113736945285</v>
          </cell>
          <cell r="AH219">
            <v>37711</v>
          </cell>
        </row>
        <row r="220">
          <cell r="AG220">
            <v>134.59834981471073</v>
          </cell>
          <cell r="AH220">
            <v>37802</v>
          </cell>
        </row>
        <row r="221">
          <cell r="AG221">
            <v>3344.4486327009909</v>
          </cell>
          <cell r="AH221">
            <v>37621</v>
          </cell>
        </row>
        <row r="222">
          <cell r="AG222">
            <v>3844.6782588467358</v>
          </cell>
          <cell r="AH222">
            <v>37621</v>
          </cell>
        </row>
        <row r="223">
          <cell r="AG223">
            <v>970.38672933484099</v>
          </cell>
          <cell r="AH223">
            <v>37621</v>
          </cell>
        </row>
        <row r="224">
          <cell r="AG224">
            <v>542.72159700664997</v>
          </cell>
          <cell r="AH224">
            <v>37560</v>
          </cell>
        </row>
        <row r="225">
          <cell r="AG225">
            <v>77.911559821031844</v>
          </cell>
          <cell r="AH225">
            <v>37621</v>
          </cell>
        </row>
        <row r="226">
          <cell r="AG226">
            <v>216.00960993561955</v>
          </cell>
          <cell r="AH226">
            <v>37560</v>
          </cell>
        </row>
        <row r="227">
          <cell r="AG227">
            <v>11.34715886205394</v>
          </cell>
          <cell r="AH227">
            <v>37560</v>
          </cell>
        </row>
        <row r="228">
          <cell r="AG228">
            <v>172.44652805626907</v>
          </cell>
          <cell r="AH228">
            <v>37560</v>
          </cell>
        </row>
        <row r="229">
          <cell r="AG229">
            <v>679.22435435391526</v>
          </cell>
          <cell r="AH229">
            <v>37560</v>
          </cell>
        </row>
        <row r="230">
          <cell r="AG230">
            <v>5489.3052197127572</v>
          </cell>
          <cell r="AH230">
            <v>37680</v>
          </cell>
        </row>
        <row r="231">
          <cell r="AG231">
            <v>1845.2012730206138</v>
          </cell>
          <cell r="AH231">
            <v>37680</v>
          </cell>
        </row>
        <row r="232">
          <cell r="AG232">
            <v>2903.9357656462494</v>
          </cell>
          <cell r="AH232">
            <v>37468</v>
          </cell>
        </row>
        <row r="233">
          <cell r="AG233">
            <v>668.51338409030245</v>
          </cell>
          <cell r="AH233">
            <v>37468</v>
          </cell>
        </row>
        <row r="234">
          <cell r="AG234">
            <v>1368.219898508291</v>
          </cell>
          <cell r="AH234">
            <v>37468</v>
          </cell>
        </row>
        <row r="235">
          <cell r="AG235">
            <v>1280.4958231431042</v>
          </cell>
          <cell r="AH235">
            <v>37468</v>
          </cell>
        </row>
        <row r="236">
          <cell r="AG236">
            <v>835.3407902276258</v>
          </cell>
          <cell r="AH236">
            <v>37468</v>
          </cell>
        </row>
        <row r="237">
          <cell r="AG237">
            <v>94.146921969710192</v>
          </cell>
          <cell r="AH237">
            <v>37468</v>
          </cell>
        </row>
        <row r="238">
          <cell r="AG238">
            <v>242.3610084571925</v>
          </cell>
          <cell r="AH238">
            <v>37468</v>
          </cell>
        </row>
        <row r="239">
          <cell r="AG239">
            <v>22.5920521727672</v>
          </cell>
          <cell r="AH239">
            <v>37468</v>
          </cell>
        </row>
        <row r="240">
          <cell r="AG240">
            <v>609.49910365119388</v>
          </cell>
          <cell r="AH240">
            <v>37652</v>
          </cell>
        </row>
        <row r="241">
          <cell r="AG241">
            <v>115.28650297561352</v>
          </cell>
          <cell r="AH241">
            <v>37652</v>
          </cell>
        </row>
        <row r="242">
          <cell r="AG242">
            <v>534.21880892292268</v>
          </cell>
          <cell r="AH242">
            <v>37652</v>
          </cell>
        </row>
        <row r="243">
          <cell r="AG243">
            <v>365.43202152876916</v>
          </cell>
          <cell r="AH243">
            <v>37652</v>
          </cell>
        </row>
        <row r="244">
          <cell r="AG244">
            <v>237.69799988195317</v>
          </cell>
          <cell r="AH244">
            <v>37652</v>
          </cell>
        </row>
        <row r="245">
          <cell r="AG245">
            <v>245.85545347418505</v>
          </cell>
          <cell r="AH245">
            <v>37560</v>
          </cell>
        </row>
        <row r="246">
          <cell r="AG246">
            <v>6.8235343134364843</v>
          </cell>
          <cell r="AH246">
            <v>37652</v>
          </cell>
        </row>
        <row r="247">
          <cell r="AG247">
            <v>46.474762668134936</v>
          </cell>
          <cell r="AH247">
            <v>37652</v>
          </cell>
        </row>
        <row r="248">
          <cell r="AG248">
            <v>3.1593711518424699</v>
          </cell>
          <cell r="AH248">
            <v>37652</v>
          </cell>
        </row>
        <row r="249">
          <cell r="AG249">
            <v>2277.5837531437796</v>
          </cell>
          <cell r="AH249">
            <v>37621</v>
          </cell>
        </row>
        <row r="250">
          <cell r="AG250">
            <v>2128.4876435611122</v>
          </cell>
          <cell r="AH250">
            <v>37621</v>
          </cell>
        </row>
        <row r="251">
          <cell r="AG251">
            <v>135.27110618266684</v>
          </cell>
          <cell r="AH251">
            <v>37590</v>
          </cell>
        </row>
        <row r="252">
          <cell r="AG252">
            <v>662.21660946097666</v>
          </cell>
          <cell r="AH252">
            <v>37802</v>
          </cell>
        </row>
        <row r="253">
          <cell r="AG253">
            <v>452.00831751326706</v>
          </cell>
          <cell r="AH253">
            <v>37680</v>
          </cell>
        </row>
        <row r="254">
          <cell r="AG254">
            <v>11794.677183443917</v>
          </cell>
          <cell r="AH254">
            <v>37529</v>
          </cell>
        </row>
        <row r="255">
          <cell r="AG255">
            <v>338.98017902475095</v>
          </cell>
          <cell r="AH255">
            <v>37529</v>
          </cell>
        </row>
        <row r="256">
          <cell r="AG256">
            <v>2824.8348252062583</v>
          </cell>
          <cell r="AH256">
            <v>37529</v>
          </cell>
        </row>
        <row r="257">
          <cell r="AG257">
            <v>117.99749361263268</v>
          </cell>
          <cell r="AH257">
            <v>37621</v>
          </cell>
        </row>
        <row r="258">
          <cell r="AG258">
            <v>1467.9136115238691</v>
          </cell>
          <cell r="AH258">
            <v>37590</v>
          </cell>
        </row>
        <row r="259">
          <cell r="AG259">
            <v>447.88890693842063</v>
          </cell>
          <cell r="AH259">
            <v>37590</v>
          </cell>
        </row>
        <row r="260">
          <cell r="AG260">
            <v>6208.1414040983054</v>
          </cell>
          <cell r="AH260">
            <v>37680</v>
          </cell>
        </row>
        <row r="261">
          <cell r="AG261">
            <v>1321.4995881845771</v>
          </cell>
          <cell r="AH261">
            <v>37680</v>
          </cell>
        </row>
        <row r="262">
          <cell r="AG262">
            <v>14105.841059999999</v>
          </cell>
          <cell r="AH262">
            <v>37437</v>
          </cell>
        </row>
        <row r="263">
          <cell r="AG263">
            <v>3402.2670600000001</v>
          </cell>
          <cell r="AH263">
            <v>37437</v>
          </cell>
        </row>
        <row r="264">
          <cell r="AG264">
            <v>3046.1788074147958</v>
          </cell>
          <cell r="AH264">
            <v>37621</v>
          </cell>
        </row>
        <row r="265">
          <cell r="AG265">
            <v>389.53526649007506</v>
          </cell>
          <cell r="AH265">
            <v>37621</v>
          </cell>
        </row>
        <row r="266">
          <cell r="AG266">
            <v>864.56209760690433</v>
          </cell>
          <cell r="AH266">
            <v>37621</v>
          </cell>
        </row>
        <row r="267">
          <cell r="AG267">
            <v>556.02853435496593</v>
          </cell>
          <cell r="AH267">
            <v>37621</v>
          </cell>
        </row>
        <row r="268">
          <cell r="AG268">
            <v>735.14841908451717</v>
          </cell>
          <cell r="AH268">
            <v>37621</v>
          </cell>
        </row>
        <row r="269">
          <cell r="AG269">
            <v>1988.6078153065478</v>
          </cell>
          <cell r="AH269">
            <v>37621</v>
          </cell>
        </row>
        <row r="270">
          <cell r="AG270">
            <v>2596.9017766005004</v>
          </cell>
          <cell r="AH270">
            <v>37621</v>
          </cell>
        </row>
        <row r="271">
          <cell r="AG271">
            <v>8860.6288617609061</v>
          </cell>
          <cell r="AH271">
            <v>37621</v>
          </cell>
        </row>
        <row r="272">
          <cell r="AG272">
            <v>1223.7790454386297</v>
          </cell>
          <cell r="AH272">
            <v>37499</v>
          </cell>
        </row>
        <row r="273">
          <cell r="AG273">
            <v>71.054651166889414</v>
          </cell>
          <cell r="AH273">
            <v>37499</v>
          </cell>
        </row>
        <row r="274">
          <cell r="AG274">
            <v>215.24656584975375</v>
          </cell>
          <cell r="AH274">
            <v>37621</v>
          </cell>
        </row>
        <row r="275">
          <cell r="AG275">
            <v>2092.3550546617316</v>
          </cell>
          <cell r="AH275">
            <v>37680</v>
          </cell>
        </row>
        <row r="276">
          <cell r="AG276">
            <v>61.198869485786709</v>
          </cell>
          <cell r="AH276">
            <v>37652</v>
          </cell>
        </row>
        <row r="277">
          <cell r="AG277">
            <v>413.03635629205394</v>
          </cell>
          <cell r="AH277">
            <v>37621</v>
          </cell>
        </row>
        <row r="278">
          <cell r="AG278">
            <v>1925.0822709731717</v>
          </cell>
          <cell r="AH278">
            <v>37741</v>
          </cell>
        </row>
        <row r="279">
          <cell r="AG279">
            <v>2231.5171421428213</v>
          </cell>
          <cell r="AH279">
            <v>37741</v>
          </cell>
        </row>
        <row r="280">
          <cell r="AG280">
            <v>1973.1623867354122</v>
          </cell>
          <cell r="AH280">
            <v>37741</v>
          </cell>
        </row>
        <row r="281">
          <cell r="AG281">
            <v>2433.7280658903737</v>
          </cell>
          <cell r="AH281">
            <v>37652</v>
          </cell>
        </row>
        <row r="282">
          <cell r="AG282">
            <v>463.67810945778376</v>
          </cell>
          <cell r="AH282">
            <v>37652</v>
          </cell>
        </row>
        <row r="283">
          <cell r="AG283">
            <v>824.85311335446409</v>
          </cell>
          <cell r="AH283">
            <v>37621</v>
          </cell>
        </row>
        <row r="284">
          <cell r="AG284">
            <v>359.81916875728126</v>
          </cell>
          <cell r="AH284">
            <v>37621</v>
          </cell>
        </row>
        <row r="285">
          <cell r="AG285">
            <v>50.918669455037815</v>
          </cell>
          <cell r="AH285">
            <v>37590</v>
          </cell>
        </row>
        <row r="286">
          <cell r="AG286">
            <v>137.85795094022555</v>
          </cell>
          <cell r="AH286">
            <v>37621</v>
          </cell>
        </row>
        <row r="287">
          <cell r="AG287">
            <v>104.44226243332858</v>
          </cell>
          <cell r="AH287">
            <v>37621</v>
          </cell>
        </row>
        <row r="288">
          <cell r="AG288">
            <v>42.947354905811515</v>
          </cell>
          <cell r="AH288">
            <v>37621</v>
          </cell>
        </row>
        <row r="289">
          <cell r="AG289">
            <v>45.584414750685241</v>
          </cell>
          <cell r="AH289">
            <v>37621</v>
          </cell>
        </row>
        <row r="290">
          <cell r="AG290">
            <v>33.89068380630524</v>
          </cell>
          <cell r="AH290">
            <v>37621</v>
          </cell>
        </row>
        <row r="291">
          <cell r="AG291">
            <v>31.915921110202543</v>
          </cell>
          <cell r="AH291">
            <v>37621</v>
          </cell>
        </row>
        <row r="292">
          <cell r="AG292">
            <v>838.2020413801207</v>
          </cell>
          <cell r="AH292">
            <v>37621</v>
          </cell>
        </row>
        <row r="293">
          <cell r="AG293">
            <v>51.692876303616103</v>
          </cell>
          <cell r="AH293">
            <v>37833</v>
          </cell>
        </row>
        <row r="294">
          <cell r="AG294">
            <v>75.228955078386718</v>
          </cell>
          <cell r="AH294">
            <v>37833</v>
          </cell>
        </row>
        <row r="295">
          <cell r="AG295">
            <v>165.32293521543122</v>
          </cell>
          <cell r="AH295">
            <v>37833</v>
          </cell>
        </row>
        <row r="296">
          <cell r="AG296">
            <v>61.027353954902864</v>
          </cell>
          <cell r="AH296">
            <v>37652</v>
          </cell>
        </row>
        <row r="297">
          <cell r="AG297">
            <v>574.55772660359196</v>
          </cell>
          <cell r="AH297">
            <v>37560</v>
          </cell>
        </row>
        <row r="298">
          <cell r="AG298">
            <v>1142.0682426103101</v>
          </cell>
          <cell r="AH298">
            <v>37621</v>
          </cell>
        </row>
        <row r="299">
          <cell r="AG299">
            <v>2451.3567558568134</v>
          </cell>
          <cell r="AH299">
            <v>37529</v>
          </cell>
        </row>
        <row r="300">
          <cell r="AG300">
            <v>380.47044061198704</v>
          </cell>
          <cell r="AH300">
            <v>37529</v>
          </cell>
        </row>
        <row r="301">
          <cell r="AG301">
            <v>1268.234802039957</v>
          </cell>
          <cell r="AH301">
            <v>37529</v>
          </cell>
        </row>
        <row r="302">
          <cell r="AG302">
            <v>1268.234802039957</v>
          </cell>
          <cell r="AH302">
            <v>37529</v>
          </cell>
        </row>
        <row r="303">
          <cell r="AG303">
            <v>380.47044061198704</v>
          </cell>
          <cell r="AH303">
            <v>37529</v>
          </cell>
        </row>
        <row r="304">
          <cell r="AG304">
            <v>5111.146180015965</v>
          </cell>
          <cell r="AH304">
            <v>37468</v>
          </cell>
        </row>
        <row r="305">
          <cell r="AG305">
            <v>0.57831128824942057</v>
          </cell>
          <cell r="AH305">
            <v>37468</v>
          </cell>
        </row>
        <row r="306">
          <cell r="AG306">
            <v>11723.796913995026</v>
          </cell>
          <cell r="AH306">
            <v>37560</v>
          </cell>
        </row>
        <row r="307">
          <cell r="AG307">
            <v>240.49039638227404</v>
          </cell>
          <cell r="AH307">
            <v>37652</v>
          </cell>
        </row>
        <row r="308">
          <cell r="AG308">
            <v>5279.9109358784499</v>
          </cell>
          <cell r="AH308">
            <v>37560</v>
          </cell>
        </row>
        <row r="309">
          <cell r="AG309">
            <v>4295.0403821294913</v>
          </cell>
          <cell r="AH309">
            <v>37621</v>
          </cell>
        </row>
        <row r="310">
          <cell r="AG310">
            <v>88.008117712617789</v>
          </cell>
          <cell r="AH310">
            <v>37621</v>
          </cell>
        </row>
        <row r="311">
          <cell r="AG311">
            <v>73.24202321417178</v>
          </cell>
          <cell r="AH311">
            <v>37680</v>
          </cell>
        </row>
        <row r="312">
          <cell r="AG312">
            <v>65.746298102161447</v>
          </cell>
          <cell r="AH312">
            <v>37621</v>
          </cell>
        </row>
        <row r="313">
          <cell r="AG313">
            <v>56.618679979775187</v>
          </cell>
          <cell r="AH313">
            <v>37621</v>
          </cell>
        </row>
        <row r="314">
          <cell r="AG314">
            <v>4509.487487219415</v>
          </cell>
          <cell r="AH314">
            <v>37621</v>
          </cell>
        </row>
        <row r="315">
          <cell r="AG315">
            <v>673.82697328188874</v>
          </cell>
          <cell r="AH315">
            <v>37621</v>
          </cell>
        </row>
        <row r="316">
          <cell r="AG316">
            <v>1403.1746697846183</v>
          </cell>
          <cell r="AH316">
            <v>37590</v>
          </cell>
        </row>
        <row r="317">
          <cell r="AG317">
            <v>2032.7113499999998</v>
          </cell>
          <cell r="AH317">
            <v>37437</v>
          </cell>
        </row>
        <row r="318">
          <cell r="AG318">
            <v>1813.9449039439723</v>
          </cell>
          <cell r="AH318">
            <v>37590</v>
          </cell>
        </row>
        <row r="319">
          <cell r="AG319">
            <v>5811.1418905453666</v>
          </cell>
          <cell r="AH319">
            <v>37652</v>
          </cell>
        </row>
        <row r="320">
          <cell r="AG320">
            <v>1502.3304666590659</v>
          </cell>
          <cell r="AH320">
            <v>37652</v>
          </cell>
        </row>
        <row r="321">
          <cell r="AG321">
            <v>1292.154434373462</v>
          </cell>
          <cell r="AH321">
            <v>37652</v>
          </cell>
        </row>
        <row r="322">
          <cell r="AG322">
            <v>7752.1370457733265</v>
          </cell>
          <cell r="AH322">
            <v>37468</v>
          </cell>
        </row>
        <row r="323">
          <cell r="AG323">
            <v>958.18623778873143</v>
          </cell>
          <cell r="AH323">
            <v>37468</v>
          </cell>
        </row>
        <row r="324">
          <cell r="AG324">
            <v>5151.6909333906169</v>
          </cell>
          <cell r="AH324">
            <v>37529</v>
          </cell>
        </row>
        <row r="325">
          <cell r="AG325">
            <v>12141.323984073557</v>
          </cell>
          <cell r="AH325">
            <v>37529</v>
          </cell>
        </row>
        <row r="326">
          <cell r="AG326">
            <v>1751.0113486262971</v>
          </cell>
          <cell r="AH326">
            <v>37529</v>
          </cell>
        </row>
        <row r="327">
          <cell r="AG327">
            <v>3807.8863356832899</v>
          </cell>
          <cell r="AH327">
            <v>37529</v>
          </cell>
        </row>
        <row r="328">
          <cell r="AG328">
            <v>47.445943411529512</v>
          </cell>
          <cell r="AH328">
            <v>37621</v>
          </cell>
        </row>
        <row r="329">
          <cell r="AG329">
            <v>5.5899718926543205</v>
          </cell>
          <cell r="AH329">
            <v>37499</v>
          </cell>
        </row>
        <row r="330">
          <cell r="AG330">
            <v>4.7030709891628062</v>
          </cell>
          <cell r="AH330">
            <v>37499</v>
          </cell>
        </row>
        <row r="331">
          <cell r="AG331">
            <v>8.1091087685021925</v>
          </cell>
          <cell r="AH331">
            <v>37499</v>
          </cell>
        </row>
        <row r="332">
          <cell r="AG332">
            <v>558.89266153270023</v>
          </cell>
          <cell r="AH332">
            <v>37652</v>
          </cell>
        </row>
        <row r="333">
          <cell r="AG333">
            <v>874.5582599999999</v>
          </cell>
          <cell r="AH333">
            <v>37437</v>
          </cell>
        </row>
        <row r="334">
          <cell r="AG334">
            <v>500.50589999999994</v>
          </cell>
          <cell r="AH334">
            <v>37437</v>
          </cell>
        </row>
        <row r="335">
          <cell r="AG335">
            <v>2061.2605589508676</v>
          </cell>
          <cell r="AH335">
            <v>37590</v>
          </cell>
        </row>
        <row r="336">
          <cell r="AG336">
            <v>737.24353742587994</v>
          </cell>
          <cell r="AH336">
            <v>37621</v>
          </cell>
        </row>
        <row r="337">
          <cell r="AG337">
            <v>244.72850749023712</v>
          </cell>
          <cell r="AH337">
            <v>37621</v>
          </cell>
        </row>
        <row r="338">
          <cell r="AG338">
            <v>21520.437066648319</v>
          </cell>
          <cell r="AH338">
            <v>37529</v>
          </cell>
        </row>
        <row r="339">
          <cell r="AG339">
            <v>56406.701806161807</v>
          </cell>
          <cell r="AH339">
            <v>37529</v>
          </cell>
        </row>
        <row r="340">
          <cell r="AG340">
            <v>368.27093102897084</v>
          </cell>
          <cell r="AH340">
            <v>37652</v>
          </cell>
        </row>
        <row r="341">
          <cell r="AG341">
            <v>295.86974926638976</v>
          </cell>
          <cell r="AH341">
            <v>37652</v>
          </cell>
        </row>
        <row r="342">
          <cell r="AG342">
            <v>1479.3487463319491</v>
          </cell>
          <cell r="AH342">
            <v>37652</v>
          </cell>
        </row>
        <row r="343">
          <cell r="AG343">
            <v>38.136762520489754</v>
          </cell>
          <cell r="AH343">
            <v>37652</v>
          </cell>
        </row>
        <row r="344">
          <cell r="AG344">
            <v>996.7438743944615</v>
          </cell>
          <cell r="AH344">
            <v>37621</v>
          </cell>
        </row>
        <row r="345">
          <cell r="AG345">
            <v>275.04283658497877</v>
          </cell>
          <cell r="AH345">
            <v>37621</v>
          </cell>
        </row>
        <row r="346">
          <cell r="AG346">
            <v>779.70455949814902</v>
          </cell>
          <cell r="AH346">
            <v>37621</v>
          </cell>
        </row>
        <row r="347">
          <cell r="AG347">
            <v>166.33766574425957</v>
          </cell>
          <cell r="AH347">
            <v>37621</v>
          </cell>
        </row>
        <row r="348">
          <cell r="AG348">
            <v>122.62408804105245</v>
          </cell>
          <cell r="AH348">
            <v>37560</v>
          </cell>
        </row>
        <row r="349">
          <cell r="AG349">
            <v>4131.3886467259554</v>
          </cell>
          <cell r="AH349">
            <v>37652</v>
          </cell>
        </row>
        <row r="350">
          <cell r="AG350">
            <v>501.9866625482282</v>
          </cell>
          <cell r="AH350">
            <v>37680</v>
          </cell>
        </row>
        <row r="351">
          <cell r="AG351">
            <v>82.032471415759787</v>
          </cell>
          <cell r="AH351">
            <v>37621</v>
          </cell>
        </row>
        <row r="352">
          <cell r="AG352">
            <v>5617.535044307022</v>
          </cell>
          <cell r="AH352">
            <v>37680</v>
          </cell>
        </row>
        <row r="353">
          <cell r="AG353">
            <v>648.26981504029948</v>
          </cell>
          <cell r="AH353">
            <v>37621</v>
          </cell>
        </row>
        <row r="354">
          <cell r="AG354">
            <v>54.083176934548682</v>
          </cell>
          <cell r="AH354">
            <v>37621</v>
          </cell>
        </row>
        <row r="355">
          <cell r="AG355">
            <v>1264.7156291345095</v>
          </cell>
          <cell r="AH355">
            <v>37833</v>
          </cell>
        </row>
        <row r="356">
          <cell r="AG356">
            <v>1814.7232095375164</v>
          </cell>
          <cell r="AH356">
            <v>37711</v>
          </cell>
        </row>
        <row r="357">
          <cell r="AG357">
            <v>59.668623915997841</v>
          </cell>
          <cell r="AH357">
            <v>37711</v>
          </cell>
        </row>
        <row r="358">
          <cell r="AG358">
            <v>709.35203469051612</v>
          </cell>
          <cell r="AH358">
            <v>37711</v>
          </cell>
        </row>
        <row r="359">
          <cell r="AG359">
            <v>980.25812149922967</v>
          </cell>
          <cell r="AH359">
            <v>37621</v>
          </cell>
        </row>
        <row r="360">
          <cell r="AG360">
            <v>35.365424325096178</v>
          </cell>
          <cell r="AH360">
            <v>37621</v>
          </cell>
        </row>
        <row r="361">
          <cell r="AG361">
            <v>277.89072224919153</v>
          </cell>
          <cell r="AH361">
            <v>37621</v>
          </cell>
        </row>
        <row r="362">
          <cell r="AG362">
            <v>263.44982544723155</v>
          </cell>
          <cell r="AH362">
            <v>37621</v>
          </cell>
        </row>
        <row r="363">
          <cell r="AG363">
            <v>77.191327037805024</v>
          </cell>
          <cell r="AH363">
            <v>37621</v>
          </cell>
        </row>
        <row r="364">
          <cell r="AG364">
            <v>999.06060579812618</v>
          </cell>
          <cell r="AH364">
            <v>37680</v>
          </cell>
        </row>
        <row r="365">
          <cell r="AG365">
            <v>57.445800005882681</v>
          </cell>
          <cell r="AH365">
            <v>37680</v>
          </cell>
        </row>
        <row r="366">
          <cell r="AG366">
            <v>1230.4622312102504</v>
          </cell>
          <cell r="AH366">
            <v>37621</v>
          </cell>
        </row>
        <row r="367">
          <cell r="AG367">
            <v>1128.6785973399781</v>
          </cell>
          <cell r="AH367">
            <v>37621</v>
          </cell>
        </row>
        <row r="368">
          <cell r="AG368">
            <v>395.42157314798078</v>
          </cell>
          <cell r="AH368">
            <v>37621</v>
          </cell>
        </row>
        <row r="369">
          <cell r="AG369">
            <v>1124.3607961334178</v>
          </cell>
          <cell r="AH369">
            <v>37652</v>
          </cell>
        </row>
        <row r="370">
          <cell r="AG370">
            <v>28.976268840849723</v>
          </cell>
          <cell r="AH370">
            <v>37652</v>
          </cell>
        </row>
        <row r="371">
          <cell r="AG371">
            <v>123.51436485591505</v>
          </cell>
          <cell r="AH371">
            <v>37680</v>
          </cell>
        </row>
        <row r="372">
          <cell r="AG372">
            <v>221.26341445760568</v>
          </cell>
          <cell r="AH372">
            <v>37680</v>
          </cell>
        </row>
        <row r="373">
          <cell r="AG373">
            <v>266.22526757315296</v>
          </cell>
          <cell r="AH373">
            <v>37621</v>
          </cell>
        </row>
        <row r="374">
          <cell r="AG374">
            <v>227.87332009768426</v>
          </cell>
          <cell r="AH374">
            <v>37621</v>
          </cell>
        </row>
        <row r="375">
          <cell r="AG375">
            <v>45183.474505039732</v>
          </cell>
          <cell r="AH375">
            <v>37529</v>
          </cell>
        </row>
        <row r="376">
          <cell r="AG376">
            <v>1563.0797271157471</v>
          </cell>
          <cell r="AH376">
            <v>37680</v>
          </cell>
        </row>
        <row r="377">
          <cell r="AG377">
            <v>1334.9291944711467</v>
          </cell>
          <cell r="AH377">
            <v>37680</v>
          </cell>
        </row>
        <row r="378">
          <cell r="AG378">
            <v>750.23020729278437</v>
          </cell>
          <cell r="AH378">
            <v>37680</v>
          </cell>
        </row>
        <row r="379">
          <cell r="AG379">
            <v>934.4504361298026</v>
          </cell>
          <cell r="AH379">
            <v>37680</v>
          </cell>
        </row>
        <row r="380">
          <cell r="AG380">
            <v>332.03908777681136</v>
          </cell>
          <cell r="AH380">
            <v>37680</v>
          </cell>
        </row>
        <row r="381">
          <cell r="AG381">
            <v>839.95281025571614</v>
          </cell>
          <cell r="AH381">
            <v>37772</v>
          </cell>
        </row>
        <row r="382">
          <cell r="AG382">
            <v>1788.5309848331799</v>
          </cell>
          <cell r="AH382">
            <v>37802</v>
          </cell>
        </row>
        <row r="383">
          <cell r="AG383">
            <v>2455.679536274175</v>
          </cell>
          <cell r="AH383">
            <v>37802</v>
          </cell>
        </row>
        <row r="384">
          <cell r="AG384">
            <v>4934.3397070749143</v>
          </cell>
          <cell r="AH384">
            <v>37802</v>
          </cell>
        </row>
        <row r="385">
          <cell r="AG385">
            <v>266.58903935994135</v>
          </cell>
          <cell r="AH385">
            <v>37529</v>
          </cell>
        </row>
        <row r="386">
          <cell r="AG386">
            <v>35396.58790950977</v>
          </cell>
          <cell r="AH386">
            <v>37741</v>
          </cell>
        </row>
        <row r="387">
          <cell r="AG387">
            <v>203571.85965622248</v>
          </cell>
          <cell r="AH387">
            <v>37741</v>
          </cell>
        </row>
        <row r="388">
          <cell r="AG388">
            <v>10367.776708448999</v>
          </cell>
          <cell r="AH388">
            <v>37741</v>
          </cell>
        </row>
        <row r="389">
          <cell r="AG389">
            <v>33440.156642480928</v>
          </cell>
          <cell r="AH389">
            <v>37741</v>
          </cell>
        </row>
        <row r="390">
          <cell r="AG390">
            <v>102892.7896691721</v>
          </cell>
          <cell r="AH390">
            <v>37741</v>
          </cell>
        </row>
        <row r="391">
          <cell r="AG391">
            <v>0</v>
          </cell>
          <cell r="AH391">
            <v>37741</v>
          </cell>
        </row>
        <row r="392">
          <cell r="AG392">
            <v>0</v>
          </cell>
          <cell r="AH392">
            <v>37741</v>
          </cell>
        </row>
        <row r="393">
          <cell r="AG393">
            <v>77.141835251502499</v>
          </cell>
          <cell r="AH393">
            <v>37833</v>
          </cell>
        </row>
        <row r="394">
          <cell r="AG394">
            <v>126.44557470151913</v>
          </cell>
          <cell r="AH394">
            <v>37833</v>
          </cell>
        </row>
        <row r="395">
          <cell r="AG395">
            <v>774.57598899174877</v>
          </cell>
          <cell r="AH395">
            <v>37833</v>
          </cell>
        </row>
        <row r="396">
          <cell r="AG396">
            <v>413.10719412893229</v>
          </cell>
          <cell r="AH396">
            <v>37833</v>
          </cell>
        </row>
        <row r="397">
          <cell r="AG397">
            <v>14647.738526290148</v>
          </cell>
          <cell r="AH397">
            <v>37802</v>
          </cell>
        </row>
        <row r="398">
          <cell r="AG398">
            <v>13420.825724840421</v>
          </cell>
          <cell r="AH398">
            <v>37802</v>
          </cell>
        </row>
        <row r="399">
          <cell r="AG399">
            <v>797.81333372640404</v>
          </cell>
          <cell r="AH399">
            <v>37621</v>
          </cell>
        </row>
        <row r="400">
          <cell r="AG400">
            <v>1075.3808229765011</v>
          </cell>
          <cell r="AH400">
            <v>37621</v>
          </cell>
        </row>
        <row r="401">
          <cell r="AG401">
            <v>573.51584782437044</v>
          </cell>
          <cell r="AH401">
            <v>37529</v>
          </cell>
        </row>
        <row r="402">
          <cell r="AG402">
            <v>704.39242522963787</v>
          </cell>
          <cell r="AH402">
            <v>37529</v>
          </cell>
        </row>
        <row r="403">
          <cell r="AG403">
            <v>1851.04107</v>
          </cell>
          <cell r="AH403">
            <v>37437</v>
          </cell>
        </row>
        <row r="404">
          <cell r="AG404">
            <v>145.58647553774381</v>
          </cell>
          <cell r="AH404">
            <v>37529</v>
          </cell>
        </row>
        <row r="405">
          <cell r="AG405">
            <v>1865.5232604741591</v>
          </cell>
          <cell r="AH405">
            <v>37621</v>
          </cell>
        </row>
        <row r="406">
          <cell r="AG406">
            <v>620.92237248490471</v>
          </cell>
          <cell r="AH406">
            <v>37652</v>
          </cell>
        </row>
        <row r="407">
          <cell r="AG407">
            <v>203.94586038559012</v>
          </cell>
          <cell r="AH407">
            <v>37621</v>
          </cell>
        </row>
        <row r="408">
          <cell r="AG408">
            <v>149.69960213235149</v>
          </cell>
          <cell r="AH408">
            <v>37621</v>
          </cell>
        </row>
        <row r="409">
          <cell r="AG409">
            <v>221.98096639722024</v>
          </cell>
          <cell r="AH409">
            <v>37621</v>
          </cell>
        </row>
        <row r="410">
          <cell r="AG410">
            <v>561.45380865126947</v>
          </cell>
          <cell r="AH410">
            <v>37621</v>
          </cell>
        </row>
        <row r="411">
          <cell r="AG411">
            <v>4354.1929115215235</v>
          </cell>
          <cell r="AH411">
            <v>37621</v>
          </cell>
        </row>
        <row r="412">
          <cell r="AG412">
            <v>2054.3645261946554</v>
          </cell>
          <cell r="AH412">
            <v>37621</v>
          </cell>
        </row>
        <row r="413">
          <cell r="AG413">
            <v>150.11689964577658</v>
          </cell>
          <cell r="AH413">
            <v>37652</v>
          </cell>
        </row>
        <row r="414">
          <cell r="AG414">
            <v>545.32356368017963</v>
          </cell>
          <cell r="AH414">
            <v>37652</v>
          </cell>
        </row>
        <row r="415">
          <cell r="AG415">
            <v>69236.840448114352</v>
          </cell>
          <cell r="AH415">
            <v>37680</v>
          </cell>
        </row>
        <row r="416">
          <cell r="AG416">
            <v>6193.6779167975101</v>
          </cell>
          <cell r="AH416">
            <v>37680</v>
          </cell>
        </row>
        <row r="417">
          <cell r="AG417">
            <v>12785.654713734308</v>
          </cell>
          <cell r="AH417">
            <v>37680</v>
          </cell>
        </row>
        <row r="418">
          <cell r="AG418">
            <v>3877.4235494081263</v>
          </cell>
          <cell r="AH418">
            <v>37680</v>
          </cell>
        </row>
        <row r="419">
          <cell r="AG419">
            <v>6828.2396120897247</v>
          </cell>
          <cell r="AH419">
            <v>37680</v>
          </cell>
        </row>
        <row r="420">
          <cell r="AG420">
            <v>16130.702554351359</v>
          </cell>
          <cell r="AH420">
            <v>37680</v>
          </cell>
        </row>
        <row r="421">
          <cell r="AG421">
            <v>21600.522095571465</v>
          </cell>
          <cell r="AH421">
            <v>37680</v>
          </cell>
        </row>
        <row r="422">
          <cell r="AG422">
            <v>19162.439931213292</v>
          </cell>
          <cell r="AH422">
            <v>37680</v>
          </cell>
        </row>
        <row r="423">
          <cell r="AG423">
            <v>4218.6077818295589</v>
          </cell>
          <cell r="AH423">
            <v>37680</v>
          </cell>
        </row>
        <row r="424">
          <cell r="AG424">
            <v>11894.130273769448</v>
          </cell>
          <cell r="AH424">
            <v>37680</v>
          </cell>
        </row>
        <row r="425">
          <cell r="AG425">
            <v>16815.839352570601</v>
          </cell>
          <cell r="AH425">
            <v>37680</v>
          </cell>
        </row>
        <row r="426">
          <cell r="AG426">
            <v>5859.1774747632753</v>
          </cell>
          <cell r="AH426">
            <v>37680</v>
          </cell>
        </row>
        <row r="427">
          <cell r="AG427">
            <v>29295.887373816375</v>
          </cell>
          <cell r="AH427">
            <v>37680</v>
          </cell>
        </row>
        <row r="428">
          <cell r="AG428">
            <v>1080.0576768888789</v>
          </cell>
          <cell r="AH428">
            <v>37560</v>
          </cell>
        </row>
        <row r="429">
          <cell r="AG429">
            <v>60.597458179175732</v>
          </cell>
          <cell r="AH429">
            <v>37560</v>
          </cell>
        </row>
        <row r="430">
          <cell r="AG430">
            <v>1593.7288138852966</v>
          </cell>
          <cell r="AH430">
            <v>37621</v>
          </cell>
        </row>
        <row r="431">
          <cell r="AG431">
            <v>1318.368015932014</v>
          </cell>
          <cell r="AH431">
            <v>37621</v>
          </cell>
        </row>
        <row r="432">
          <cell r="AG432">
            <v>2759.4863737481519</v>
          </cell>
          <cell r="AH432">
            <v>37621</v>
          </cell>
        </row>
        <row r="433">
          <cell r="AG433">
            <v>1766.7874366175836</v>
          </cell>
          <cell r="AH433">
            <v>37711</v>
          </cell>
        </row>
        <row r="434">
          <cell r="AG434">
            <v>2495.1007982395822</v>
          </cell>
          <cell r="AH434">
            <v>37590</v>
          </cell>
        </row>
        <row r="435">
          <cell r="AG435">
            <v>516.16121539306403</v>
          </cell>
          <cell r="AH435">
            <v>37621</v>
          </cell>
        </row>
        <row r="436">
          <cell r="AG436">
            <v>3859.3434390427501</v>
          </cell>
          <cell r="AH436">
            <v>37621</v>
          </cell>
        </row>
        <row r="437">
          <cell r="AG437">
            <v>149.39099268057456</v>
          </cell>
          <cell r="AH437">
            <v>37772</v>
          </cell>
        </row>
        <row r="438">
          <cell r="AG438">
            <v>121.7698171892328</v>
          </cell>
          <cell r="AH438">
            <v>37772</v>
          </cell>
        </row>
        <row r="439">
          <cell r="AG439">
            <v>85.238872032462979</v>
          </cell>
          <cell r="AH439">
            <v>37772</v>
          </cell>
        </row>
        <row r="440">
          <cell r="AG440">
            <v>241.71308712062719</v>
          </cell>
          <cell r="AH440">
            <v>37772</v>
          </cell>
        </row>
        <row r="441">
          <cell r="AG441">
            <v>439.26935673743861</v>
          </cell>
          <cell r="AH441">
            <v>37772</v>
          </cell>
        </row>
        <row r="442">
          <cell r="AG442">
            <v>1185.2694396997927</v>
          </cell>
          <cell r="AH442">
            <v>37833</v>
          </cell>
        </row>
        <row r="443">
          <cell r="AG443">
            <v>140.27491762536275</v>
          </cell>
          <cell r="AH443">
            <v>37621</v>
          </cell>
        </row>
        <row r="444">
          <cell r="AG444">
            <v>595.11799020539081</v>
          </cell>
          <cell r="AH444">
            <v>37621</v>
          </cell>
        </row>
        <row r="445">
          <cell r="AG445">
            <v>168.66798371321772</v>
          </cell>
          <cell r="AH445">
            <v>37621</v>
          </cell>
        </row>
        <row r="446">
          <cell r="AG446">
            <v>78.887771685592455</v>
          </cell>
          <cell r="AH446">
            <v>37621</v>
          </cell>
        </row>
        <row r="447">
          <cell r="AG447">
            <v>239.30639342095876</v>
          </cell>
          <cell r="AH447">
            <v>37529</v>
          </cell>
        </row>
        <row r="448">
          <cell r="AG448">
            <v>16578.853137222282</v>
          </cell>
          <cell r="AH448">
            <v>37833</v>
          </cell>
        </row>
        <row r="449">
          <cell r="AG449">
            <v>9002.9170506148057</v>
          </cell>
          <cell r="AH449">
            <v>37833</v>
          </cell>
        </row>
        <row r="450">
          <cell r="AG450">
            <v>246.03057133339496</v>
          </cell>
          <cell r="AH450">
            <v>37833</v>
          </cell>
        </row>
        <row r="451">
          <cell r="AG451">
            <v>2807.858742769708</v>
          </cell>
          <cell r="AH451">
            <v>37833</v>
          </cell>
        </row>
        <row r="452">
          <cell r="AG452">
            <v>824.75729648258266</v>
          </cell>
          <cell r="AH452">
            <v>37833</v>
          </cell>
        </row>
        <row r="453">
          <cell r="AG453">
            <v>745.21264490159911</v>
          </cell>
          <cell r="AH453">
            <v>37833</v>
          </cell>
        </row>
        <row r="454">
          <cell r="AG454">
            <v>462.27849455801055</v>
          </cell>
          <cell r="AH454">
            <v>37833</v>
          </cell>
        </row>
        <row r="455">
          <cell r="AG455">
            <v>238.70817151732811</v>
          </cell>
          <cell r="AH455">
            <v>37833</v>
          </cell>
        </row>
        <row r="456">
          <cell r="AG456">
            <v>483.03002193239655</v>
          </cell>
          <cell r="AH456">
            <v>37833</v>
          </cell>
        </row>
        <row r="457">
          <cell r="AG457">
            <v>2940.1628290257277</v>
          </cell>
          <cell r="AH457">
            <v>37833</v>
          </cell>
        </row>
        <row r="458">
          <cell r="AG458">
            <v>151.62090876921957</v>
          </cell>
          <cell r="AH458">
            <v>37833</v>
          </cell>
        </row>
        <row r="459">
          <cell r="AG459">
            <v>552.76126476304887</v>
          </cell>
          <cell r="AH459">
            <v>37833</v>
          </cell>
        </row>
        <row r="460">
          <cell r="AG460">
            <v>578.42020037702434</v>
          </cell>
          <cell r="AH460">
            <v>37833</v>
          </cell>
        </row>
        <row r="461">
          <cell r="AG461">
            <v>871.05874232993153</v>
          </cell>
          <cell r="AH461">
            <v>37833</v>
          </cell>
        </row>
        <row r="462">
          <cell r="AG462">
            <v>522.6352453979589</v>
          </cell>
          <cell r="AH462">
            <v>37833</v>
          </cell>
        </row>
        <row r="463">
          <cell r="AG463">
            <v>12159.012389758514</v>
          </cell>
          <cell r="AH463">
            <v>37833</v>
          </cell>
        </row>
        <row r="464">
          <cell r="AG464">
            <v>14508.38088540677</v>
          </cell>
          <cell r="AH464">
            <v>37833</v>
          </cell>
        </row>
        <row r="465">
          <cell r="AG465">
            <v>13931.343009282638</v>
          </cell>
          <cell r="AH465">
            <v>37833</v>
          </cell>
        </row>
        <row r="466">
          <cell r="AG466">
            <v>448.06683423751986</v>
          </cell>
          <cell r="AH466">
            <v>37621</v>
          </cell>
        </row>
        <row r="467">
          <cell r="AG467">
            <v>939.45227707886295</v>
          </cell>
          <cell r="AH467">
            <v>37590</v>
          </cell>
        </row>
        <row r="468">
          <cell r="AG468">
            <v>363.66285486914461</v>
          </cell>
          <cell r="AH468">
            <v>37621</v>
          </cell>
        </row>
        <row r="469">
          <cell r="AG469">
            <v>869.68637744806199</v>
          </cell>
          <cell r="AH469">
            <v>37621</v>
          </cell>
        </row>
        <row r="470">
          <cell r="AG470">
            <v>404.88679434761735</v>
          </cell>
          <cell r="AH470">
            <v>37590</v>
          </cell>
        </row>
        <row r="471">
          <cell r="AG471">
            <v>14.367129945508667</v>
          </cell>
          <cell r="AH471">
            <v>37590</v>
          </cell>
        </row>
        <row r="472">
          <cell r="AG472">
            <v>0</v>
          </cell>
          <cell r="AH472">
            <v>37590</v>
          </cell>
        </row>
        <row r="473">
          <cell r="AG473">
            <v>1663.2858971806677</v>
          </cell>
          <cell r="AH473">
            <v>37741</v>
          </cell>
        </row>
        <row r="474">
          <cell r="AG474">
            <v>213.41686560303359</v>
          </cell>
          <cell r="AH474">
            <v>37741</v>
          </cell>
        </row>
        <row r="475">
          <cell r="AG475">
            <v>1865.6565599999999</v>
          </cell>
          <cell r="AH475">
            <v>37437</v>
          </cell>
        </row>
        <row r="476">
          <cell r="AG476">
            <v>87.854487078057858</v>
          </cell>
          <cell r="AH476">
            <v>37621</v>
          </cell>
        </row>
        <row r="477">
          <cell r="AG477">
            <v>82.041610459629013</v>
          </cell>
          <cell r="AH477">
            <v>37621</v>
          </cell>
        </row>
        <row r="478">
          <cell r="AG478">
            <v>4.8539547695577125</v>
          </cell>
          <cell r="AH478">
            <v>37621</v>
          </cell>
        </row>
        <row r="479">
          <cell r="AG479">
            <v>123.31179351357801</v>
          </cell>
          <cell r="AH479">
            <v>37621</v>
          </cell>
        </row>
        <row r="480">
          <cell r="AG480">
            <v>111.66490065452788</v>
          </cell>
          <cell r="AH480">
            <v>37621</v>
          </cell>
        </row>
        <row r="481">
          <cell r="AG481">
            <v>148.38776921317171</v>
          </cell>
          <cell r="AH481">
            <v>37772</v>
          </cell>
        </row>
        <row r="482">
          <cell r="AG482">
            <v>145.6016917614435</v>
          </cell>
          <cell r="AH482">
            <v>37772</v>
          </cell>
        </row>
        <row r="483">
          <cell r="AG483">
            <v>145.6016917614435</v>
          </cell>
          <cell r="AH483">
            <v>37772</v>
          </cell>
        </row>
        <row r="484">
          <cell r="AG484">
            <v>18.200211470180438</v>
          </cell>
          <cell r="AH484">
            <v>37772</v>
          </cell>
        </row>
        <row r="485">
          <cell r="AG485">
            <v>91.001057350902187</v>
          </cell>
          <cell r="AH485">
            <v>37772</v>
          </cell>
        </row>
        <row r="486">
          <cell r="AG486">
            <v>525.47152900991307</v>
          </cell>
          <cell r="AH486">
            <v>37560</v>
          </cell>
        </row>
        <row r="487">
          <cell r="AG487">
            <v>811.96629207449917</v>
          </cell>
          <cell r="AH487">
            <v>37560</v>
          </cell>
        </row>
        <row r="488">
          <cell r="AG488">
            <v>358.59809916325537</v>
          </cell>
          <cell r="AH488">
            <v>37560</v>
          </cell>
        </row>
        <row r="489">
          <cell r="AG489">
            <v>195.59896317995748</v>
          </cell>
          <cell r="AH489">
            <v>37560</v>
          </cell>
        </row>
        <row r="490">
          <cell r="AG490">
            <v>208.50824619442281</v>
          </cell>
          <cell r="AH490">
            <v>37621</v>
          </cell>
        </row>
        <row r="491">
          <cell r="AG491">
            <v>716.25314130849256</v>
          </cell>
          <cell r="AH491">
            <v>37621</v>
          </cell>
        </row>
        <row r="492">
          <cell r="AG492">
            <v>1599.6182547345929</v>
          </cell>
          <cell r="AH492">
            <v>37529</v>
          </cell>
        </row>
        <row r="493">
          <cell r="AG493">
            <v>1830.9812698787327</v>
          </cell>
          <cell r="AH493">
            <v>37802</v>
          </cell>
        </row>
        <row r="494">
          <cell r="AG494">
            <v>525.19145136891041</v>
          </cell>
          <cell r="AH494">
            <v>37802</v>
          </cell>
        </row>
        <row r="495">
          <cell r="AG495">
            <v>659.21761186309254</v>
          </cell>
          <cell r="AH495">
            <v>37802</v>
          </cell>
        </row>
        <row r="496">
          <cell r="AG496">
            <v>523.18858084372425</v>
          </cell>
          <cell r="AH496">
            <v>37802</v>
          </cell>
        </row>
        <row r="497">
          <cell r="AG497">
            <v>523.18858084372425</v>
          </cell>
          <cell r="AH497">
            <v>37802</v>
          </cell>
        </row>
        <row r="498">
          <cell r="AG498">
            <v>1340.9139373919631</v>
          </cell>
          <cell r="AH498">
            <v>37802</v>
          </cell>
        </row>
        <row r="499">
          <cell r="AG499">
            <v>941.73944551870363</v>
          </cell>
          <cell r="AH499">
            <v>37802</v>
          </cell>
        </row>
        <row r="500">
          <cell r="AG500">
            <v>104.63771616874487</v>
          </cell>
          <cell r="AH500">
            <v>37802</v>
          </cell>
        </row>
        <row r="501">
          <cell r="AG501">
            <v>139.97956205043607</v>
          </cell>
          <cell r="AH501">
            <v>37652</v>
          </cell>
        </row>
        <row r="502">
          <cell r="AG502">
            <v>578.59281337741004</v>
          </cell>
          <cell r="AH502">
            <v>37529</v>
          </cell>
        </row>
        <row r="503">
          <cell r="AG503">
            <v>349.58622420250089</v>
          </cell>
          <cell r="AH503">
            <v>37529</v>
          </cell>
        </row>
        <row r="504">
          <cell r="AG504">
            <v>263.35839030796325</v>
          </cell>
          <cell r="AH504">
            <v>37529</v>
          </cell>
        </row>
        <row r="505">
          <cell r="AG505">
            <v>1168.6701464250739</v>
          </cell>
          <cell r="AH505">
            <v>37529</v>
          </cell>
        </row>
        <row r="506">
          <cell r="AG506">
            <v>243.57810217253555</v>
          </cell>
          <cell r="AH506">
            <v>37529</v>
          </cell>
        </row>
        <row r="507">
          <cell r="AG507">
            <v>7167.7257706555447</v>
          </cell>
          <cell r="AH507">
            <v>37652</v>
          </cell>
        </row>
        <row r="508">
          <cell r="AG508">
            <v>4032.7225010059378</v>
          </cell>
          <cell r="AH508">
            <v>37652</v>
          </cell>
        </row>
        <row r="509">
          <cell r="AG509">
            <v>158.88038231419486</v>
          </cell>
          <cell r="AH509">
            <v>37590</v>
          </cell>
        </row>
        <row r="510">
          <cell r="AG510">
            <v>39.205055050423397</v>
          </cell>
          <cell r="AH510">
            <v>37590</v>
          </cell>
        </row>
        <row r="511">
          <cell r="AG511">
            <v>26.235591068729445</v>
          </cell>
          <cell r="AH511">
            <v>37590</v>
          </cell>
        </row>
        <row r="512">
          <cell r="AG512">
            <v>2.9621589115528466</v>
          </cell>
          <cell r="AH512">
            <v>37590</v>
          </cell>
        </row>
        <row r="513">
          <cell r="AG513">
            <v>268.63329544231294</v>
          </cell>
          <cell r="AH513">
            <v>37560</v>
          </cell>
        </row>
        <row r="514">
          <cell r="AG514">
            <v>258.80358548171466</v>
          </cell>
          <cell r="AH514">
            <v>37560</v>
          </cell>
        </row>
        <row r="515">
          <cell r="AG515">
            <v>26.508459970093245</v>
          </cell>
          <cell r="AH515">
            <v>37560</v>
          </cell>
        </row>
        <row r="516">
          <cell r="AG516">
            <v>864.97258785065571</v>
          </cell>
          <cell r="AH516">
            <v>37529</v>
          </cell>
        </row>
        <row r="517">
          <cell r="AG517">
            <v>299.99688548662454</v>
          </cell>
          <cell r="AH517">
            <v>37529</v>
          </cell>
        </row>
        <row r="518">
          <cell r="AG518">
            <v>109.40078215785775</v>
          </cell>
          <cell r="AH518">
            <v>37621</v>
          </cell>
        </row>
        <row r="519">
          <cell r="AG519">
            <v>178.83083936699705</v>
          </cell>
          <cell r="AH519">
            <v>37621</v>
          </cell>
        </row>
        <row r="520">
          <cell r="AG520">
            <v>2622.2257411669334</v>
          </cell>
          <cell r="AH520">
            <v>37621</v>
          </cell>
        </row>
        <row r="521">
          <cell r="AG521">
            <v>3326.1767432530423</v>
          </cell>
          <cell r="AH521">
            <v>37621</v>
          </cell>
        </row>
        <row r="522">
          <cell r="AG522">
            <v>1456.242509907875</v>
          </cell>
          <cell r="AH522">
            <v>37621</v>
          </cell>
        </row>
        <row r="523">
          <cell r="AG523">
            <v>493.58115756046493</v>
          </cell>
          <cell r="AH523">
            <v>37652</v>
          </cell>
        </row>
        <row r="524">
          <cell r="AG524">
            <v>107.90610765163234</v>
          </cell>
          <cell r="AH524">
            <v>37621</v>
          </cell>
        </row>
        <row r="525">
          <cell r="AG525">
            <v>956.09233584387084</v>
          </cell>
          <cell r="AH525">
            <v>37621</v>
          </cell>
        </row>
        <row r="526">
          <cell r="AG526">
            <v>1400.0189535045865</v>
          </cell>
          <cell r="AH526">
            <v>37621</v>
          </cell>
        </row>
        <row r="527">
          <cell r="AG527">
            <v>322.66084760670549</v>
          </cell>
          <cell r="AH527">
            <v>37621</v>
          </cell>
        </row>
        <row r="528">
          <cell r="AG528">
            <v>835.62456176960507</v>
          </cell>
          <cell r="AH528">
            <v>37711</v>
          </cell>
        </row>
        <row r="529">
          <cell r="AG529">
            <v>16324.25725518394</v>
          </cell>
          <cell r="AH529">
            <v>37711</v>
          </cell>
        </row>
        <row r="530">
          <cell r="AG530">
            <v>126311.86049892701</v>
          </cell>
          <cell r="AH530">
            <v>37711</v>
          </cell>
        </row>
        <row r="531">
          <cell r="AG531">
            <v>145752.29692128519</v>
          </cell>
          <cell r="AH531">
            <v>37711</v>
          </cell>
        </row>
        <row r="532">
          <cell r="AG532">
            <v>67916.036550645178</v>
          </cell>
          <cell r="AH532">
            <v>37711</v>
          </cell>
        </row>
        <row r="533">
          <cell r="AG533">
            <v>59758.441737726927</v>
          </cell>
          <cell r="AH533">
            <v>37711</v>
          </cell>
        </row>
        <row r="534">
          <cell r="AG534">
            <v>145752.29692128519</v>
          </cell>
          <cell r="AH534">
            <v>37711</v>
          </cell>
        </row>
        <row r="535">
          <cell r="AG535">
            <v>40396.024770883181</v>
          </cell>
          <cell r="AH535">
            <v>37711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표"/>
      <sheetName val="위치도"/>
      <sheetName val="현장사진"/>
      <sheetName val="수입"/>
      <sheetName val="투입"/>
      <sheetName val="금리"/>
      <sheetName val="과밀내역"/>
      <sheetName val="매출부가세"/>
      <sheetName val="공정표"/>
      <sheetName val="CashFlow(중간집계)"/>
      <sheetName val="LoanLis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자금수지"/>
      <sheetName val="분양현황"/>
      <sheetName val="수주추진"/>
      <sheetName val="아코텍"/>
      <sheetName val="공사"/>
      <sheetName val="영업"/>
      <sheetName val="서울사업"/>
      <sheetName val="대전사업"/>
      <sheetName val="관리"/>
      <sheetName val="일산"/>
      <sheetName val="관저"/>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천상"/>
      <sheetName val="반포2차"/>
      <sheetName val="미아사원"/>
      <sheetName val="평화chl"/>
      <sheetName val="전주평화1"/>
      <sheetName val="평화3"/>
      <sheetName val="두암"/>
      <sheetName val="성남그린"/>
      <sheetName val="Sheet8"/>
    </sheetNames>
    <sheetDataSet>
      <sheetData sheetId="0"/>
      <sheetData sheetId="1"/>
      <sheetData sheetId="2"/>
      <sheetData sheetId="3"/>
      <sheetData sheetId="4"/>
      <sheetData sheetId="5"/>
      <sheetData sheetId="6"/>
      <sheetData sheetId="7"/>
      <sheetData sheetId="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퇴직보험"/>
      <sheetName val="퇴충총괄"/>
      <sheetName val="관리별정촉탁"/>
      <sheetName val="관리별정촉탁-기초data"/>
      <sheetName val="생산직"/>
      <sheetName val="오순선,김민규"/>
      <sheetName val="생산직-기초data"/>
    </sheetNames>
    <sheetDataSet>
      <sheetData sheetId="0" refreshError="1"/>
      <sheetData sheetId="1" refreshError="1"/>
      <sheetData sheetId="2" refreshError="1"/>
      <sheetData sheetId="3" refreshError="1"/>
      <sheetData sheetId="4">
        <row r="5">
          <cell r="A5" t="str">
            <v>소결</v>
          </cell>
          <cell r="B5" t="str">
            <v>후처리반</v>
          </cell>
          <cell r="C5" t="str">
            <v>SACM0077</v>
          </cell>
          <cell r="D5" t="str">
            <v>조원</v>
          </cell>
          <cell r="E5" t="str">
            <v>정학식</v>
          </cell>
          <cell r="F5">
            <v>33910</v>
          </cell>
          <cell r="G5">
            <v>1633060</v>
          </cell>
          <cell r="H5">
            <v>1300260</v>
          </cell>
          <cell r="I5">
            <v>1507910</v>
          </cell>
          <cell r="J5">
            <v>1694940</v>
          </cell>
          <cell r="K5">
            <v>1436150</v>
          </cell>
          <cell r="L5">
            <v>1401080</v>
          </cell>
          <cell r="M5">
            <v>1477882</v>
          </cell>
          <cell r="N5">
            <v>403810</v>
          </cell>
          <cell r="O5">
            <v>807630</v>
          </cell>
          <cell r="P5">
            <v>100000</v>
          </cell>
          <cell r="Q5">
            <v>407530</v>
          </cell>
          <cell r="R5">
            <v>1222590</v>
          </cell>
          <cell r="S5">
            <v>2941560</v>
          </cell>
          <cell r="T5">
            <v>487784.16666666669</v>
          </cell>
          <cell r="U5">
            <v>969370</v>
          </cell>
        </row>
        <row r="6">
          <cell r="B6" t="str">
            <v>후처리반</v>
          </cell>
          <cell r="C6" t="str">
            <v>SACM0113</v>
          </cell>
          <cell r="D6" t="str">
            <v>반장</v>
          </cell>
          <cell r="E6" t="str">
            <v>김한기</v>
          </cell>
          <cell r="F6">
            <v>29199</v>
          </cell>
          <cell r="G6">
            <v>2095850</v>
          </cell>
          <cell r="H6">
            <v>2061240</v>
          </cell>
          <cell r="I6">
            <v>2012210</v>
          </cell>
          <cell r="J6">
            <v>2134930</v>
          </cell>
          <cell r="K6">
            <v>2135650</v>
          </cell>
          <cell r="L6">
            <v>2173730</v>
          </cell>
          <cell r="M6">
            <v>2101405</v>
          </cell>
          <cell r="N6">
            <v>580450</v>
          </cell>
          <cell r="O6">
            <v>1160910</v>
          </cell>
          <cell r="P6">
            <v>100000</v>
          </cell>
          <cell r="Q6">
            <v>585770</v>
          </cell>
          <cell r="R6">
            <v>1757300</v>
          </cell>
          <cell r="S6">
            <v>4184430</v>
          </cell>
          <cell r="T6">
            <v>693864.16666666663</v>
          </cell>
          <cell r="U6">
            <v>1378489</v>
          </cell>
        </row>
        <row r="7">
          <cell r="B7" t="str">
            <v>후처리반</v>
          </cell>
          <cell r="C7" t="str">
            <v>SACM0123</v>
          </cell>
          <cell r="D7" t="str">
            <v>조장</v>
          </cell>
          <cell r="E7" t="str">
            <v>남덕희</v>
          </cell>
          <cell r="F7">
            <v>30060</v>
          </cell>
          <cell r="G7">
            <v>1734850</v>
          </cell>
          <cell r="H7">
            <v>1627330</v>
          </cell>
          <cell r="I7">
            <v>1767780</v>
          </cell>
          <cell r="J7">
            <v>1786650</v>
          </cell>
          <cell r="K7">
            <v>1608850</v>
          </cell>
          <cell r="L7">
            <v>1667750</v>
          </cell>
          <cell r="M7">
            <v>1651060</v>
          </cell>
          <cell r="N7">
            <v>547250</v>
          </cell>
          <cell r="O7">
            <v>1094500</v>
          </cell>
          <cell r="P7">
            <v>100000</v>
          </cell>
          <cell r="Q7">
            <v>547250</v>
          </cell>
          <cell r="R7">
            <v>1641750</v>
          </cell>
          <cell r="S7">
            <v>3930750</v>
          </cell>
          <cell r="T7">
            <v>655125</v>
          </cell>
          <cell r="U7">
            <v>1137297</v>
          </cell>
        </row>
        <row r="8">
          <cell r="B8" t="str">
            <v>후처리반</v>
          </cell>
          <cell r="C8" t="str">
            <v>SACM0126</v>
          </cell>
          <cell r="D8" t="str">
            <v>조장</v>
          </cell>
          <cell r="E8" t="str">
            <v>이규일</v>
          </cell>
          <cell r="F8">
            <v>30961</v>
          </cell>
          <cell r="G8">
            <v>2249520</v>
          </cell>
          <cell r="H8">
            <v>2067190</v>
          </cell>
          <cell r="I8">
            <v>2013370</v>
          </cell>
          <cell r="J8">
            <v>2087120</v>
          </cell>
          <cell r="K8">
            <v>2100850</v>
          </cell>
          <cell r="L8">
            <v>2019740</v>
          </cell>
          <cell r="M8">
            <v>2024253</v>
          </cell>
          <cell r="N8">
            <v>554690</v>
          </cell>
          <cell r="O8">
            <v>1109380</v>
          </cell>
          <cell r="P8">
            <v>100000</v>
          </cell>
          <cell r="Q8">
            <v>558410</v>
          </cell>
          <cell r="R8">
            <v>1675220</v>
          </cell>
          <cell r="S8">
            <v>3997700</v>
          </cell>
          <cell r="T8">
            <v>663805</v>
          </cell>
          <cell r="U8">
            <v>1325618</v>
          </cell>
        </row>
        <row r="9">
          <cell r="B9" t="str">
            <v>후처리반</v>
          </cell>
          <cell r="C9" t="str">
            <v>SACM0162</v>
          </cell>
          <cell r="D9" t="str">
            <v>조원</v>
          </cell>
          <cell r="E9" t="str">
            <v>김기대</v>
          </cell>
          <cell r="F9">
            <v>34227</v>
          </cell>
          <cell r="G9">
            <v>1216110</v>
          </cell>
          <cell r="H9">
            <v>1474270</v>
          </cell>
          <cell r="I9">
            <v>1301830</v>
          </cell>
          <cell r="J9">
            <v>1569900</v>
          </cell>
          <cell r="K9">
            <v>1451030</v>
          </cell>
          <cell r="L9">
            <v>1346210</v>
          </cell>
          <cell r="M9">
            <v>1424067</v>
          </cell>
          <cell r="N9">
            <v>399030</v>
          </cell>
          <cell r="O9">
            <v>798060</v>
          </cell>
          <cell r="P9">
            <v>100000</v>
          </cell>
          <cell r="Q9">
            <v>399030</v>
          </cell>
          <cell r="R9">
            <v>1197090</v>
          </cell>
          <cell r="S9">
            <v>2893210</v>
          </cell>
          <cell r="T9">
            <v>482201.66666666669</v>
          </cell>
          <cell r="U9">
            <v>940078</v>
          </cell>
        </row>
        <row r="10">
          <cell r="B10" t="str">
            <v>후처리반</v>
          </cell>
          <cell r="C10" t="str">
            <v>SACM0314</v>
          </cell>
          <cell r="D10" t="str">
            <v>조원</v>
          </cell>
          <cell r="E10" t="str">
            <v>김영길</v>
          </cell>
          <cell r="F10">
            <v>36465</v>
          </cell>
          <cell r="K10">
            <v>1333920</v>
          </cell>
          <cell r="L10">
            <v>1214220</v>
          </cell>
          <cell r="M10">
            <v>830915</v>
          </cell>
          <cell r="Q10">
            <v>0</v>
          </cell>
          <cell r="R10">
            <v>320670</v>
          </cell>
          <cell r="S10">
            <v>320670</v>
          </cell>
          <cell r="T10">
            <v>0</v>
          </cell>
          <cell r="U10">
            <v>0</v>
          </cell>
        </row>
        <row r="11">
          <cell r="B11" t="str">
            <v>후처리반</v>
          </cell>
          <cell r="C11" t="str">
            <v>SACW0004</v>
          </cell>
          <cell r="D11" t="str">
            <v>조원</v>
          </cell>
          <cell r="E11" t="str">
            <v>유제선</v>
          </cell>
          <cell r="F11">
            <v>33522</v>
          </cell>
          <cell r="G11">
            <v>1220060</v>
          </cell>
          <cell r="H11">
            <v>1095230</v>
          </cell>
          <cell r="I11">
            <v>1177170</v>
          </cell>
          <cell r="J11">
            <v>1136680</v>
          </cell>
          <cell r="K11">
            <v>1136230</v>
          </cell>
          <cell r="L11">
            <v>1054970</v>
          </cell>
          <cell r="M11">
            <v>1085178</v>
          </cell>
          <cell r="N11">
            <v>367690</v>
          </cell>
          <cell r="O11">
            <v>735380</v>
          </cell>
          <cell r="P11">
            <v>100000</v>
          </cell>
          <cell r="Q11">
            <v>367690</v>
          </cell>
          <cell r="R11">
            <v>1103070</v>
          </cell>
          <cell r="S11">
            <v>2673830</v>
          </cell>
          <cell r="T11">
            <v>445638.33333333331</v>
          </cell>
          <cell r="U11">
            <v>754923</v>
          </cell>
        </row>
        <row r="12">
          <cell r="B12" t="str">
            <v>후처리반</v>
          </cell>
          <cell r="C12" t="str">
            <v>SACW0005</v>
          </cell>
          <cell r="D12" t="str">
            <v>조장</v>
          </cell>
          <cell r="E12" t="str">
            <v>이영애</v>
          </cell>
          <cell r="F12">
            <v>33532</v>
          </cell>
          <cell r="G12">
            <v>1200430</v>
          </cell>
          <cell r="H12">
            <v>1378880</v>
          </cell>
          <cell r="I12">
            <v>1394840</v>
          </cell>
          <cell r="J12">
            <v>1308400</v>
          </cell>
          <cell r="K12">
            <v>1191030</v>
          </cell>
          <cell r="L12">
            <v>1197440</v>
          </cell>
          <cell r="M12">
            <v>1205501</v>
          </cell>
          <cell r="N12">
            <v>389470</v>
          </cell>
          <cell r="O12">
            <v>778940</v>
          </cell>
          <cell r="P12">
            <v>100000</v>
          </cell>
          <cell r="Q12">
            <v>389470</v>
          </cell>
          <cell r="R12">
            <v>1168410</v>
          </cell>
          <cell r="S12">
            <v>2826290</v>
          </cell>
          <cell r="T12">
            <v>471048.33333333331</v>
          </cell>
          <cell r="U12">
            <v>826791</v>
          </cell>
        </row>
        <row r="13">
          <cell r="B13" t="str">
            <v>후처리반</v>
          </cell>
          <cell r="C13" t="str">
            <v>SACW0007</v>
          </cell>
          <cell r="D13" t="str">
            <v>조원</v>
          </cell>
          <cell r="E13" t="str">
            <v>윤영순</v>
          </cell>
          <cell r="F13">
            <v>33550</v>
          </cell>
          <cell r="G13">
            <v>1194120</v>
          </cell>
          <cell r="H13">
            <v>1232070</v>
          </cell>
          <cell r="I13">
            <v>1310220</v>
          </cell>
          <cell r="J13">
            <v>1165070</v>
          </cell>
          <cell r="K13">
            <v>1113180</v>
          </cell>
          <cell r="L13">
            <v>1065050</v>
          </cell>
          <cell r="M13">
            <v>1090207</v>
          </cell>
          <cell r="N13">
            <v>367690</v>
          </cell>
          <cell r="O13">
            <v>735380</v>
          </cell>
          <cell r="P13">
            <v>100000</v>
          </cell>
          <cell r="Q13">
            <v>367690</v>
          </cell>
          <cell r="R13">
            <v>1103070</v>
          </cell>
          <cell r="S13">
            <v>2673830</v>
          </cell>
          <cell r="T13">
            <v>445638.33333333331</v>
          </cell>
          <cell r="U13">
            <v>757403</v>
          </cell>
        </row>
        <row r="14">
          <cell r="B14" t="str">
            <v>후처리반</v>
          </cell>
          <cell r="C14" t="str">
            <v>SACW0009</v>
          </cell>
          <cell r="D14" t="str">
            <v>조원</v>
          </cell>
          <cell r="E14" t="str">
            <v>박향숙</v>
          </cell>
          <cell r="F14">
            <v>33833</v>
          </cell>
          <cell r="G14">
            <v>1101010</v>
          </cell>
          <cell r="H14">
            <v>1149860</v>
          </cell>
          <cell r="I14">
            <v>1219010</v>
          </cell>
          <cell r="J14">
            <v>1147190</v>
          </cell>
          <cell r="K14">
            <v>1015070</v>
          </cell>
          <cell r="L14">
            <v>1056680</v>
          </cell>
          <cell r="M14">
            <v>1049654</v>
          </cell>
          <cell r="N14">
            <v>358920</v>
          </cell>
          <cell r="O14">
            <v>717840</v>
          </cell>
          <cell r="P14">
            <v>100000</v>
          </cell>
          <cell r="Q14">
            <v>358920</v>
          </cell>
          <cell r="R14">
            <v>1076760</v>
          </cell>
          <cell r="S14">
            <v>2612440</v>
          </cell>
          <cell r="T14">
            <v>435406.66666666663</v>
          </cell>
          <cell r="U14">
            <v>732359</v>
          </cell>
        </row>
        <row r="15">
          <cell r="B15" t="str">
            <v>후처리반</v>
          </cell>
          <cell r="C15" t="str">
            <v>SACW0011</v>
          </cell>
          <cell r="D15" t="str">
            <v>조원</v>
          </cell>
          <cell r="E15" t="str">
            <v>송경득</v>
          </cell>
          <cell r="F15">
            <v>33929</v>
          </cell>
          <cell r="G15">
            <v>1118660</v>
          </cell>
          <cell r="H15">
            <v>1095210</v>
          </cell>
          <cell r="I15">
            <v>1146520</v>
          </cell>
          <cell r="J15">
            <v>1149950</v>
          </cell>
          <cell r="K15">
            <v>1054270</v>
          </cell>
          <cell r="L15">
            <v>1023180</v>
          </cell>
          <cell r="M15">
            <v>1052413</v>
          </cell>
          <cell r="N15">
            <v>355200</v>
          </cell>
          <cell r="O15">
            <v>710410</v>
          </cell>
          <cell r="P15">
            <v>100000</v>
          </cell>
          <cell r="Q15">
            <v>358920</v>
          </cell>
          <cell r="R15">
            <v>1076760</v>
          </cell>
          <cell r="S15">
            <v>2601290</v>
          </cell>
          <cell r="T15">
            <v>431072.5</v>
          </cell>
          <cell r="U15">
            <v>731582</v>
          </cell>
        </row>
        <row r="16">
          <cell r="B16" t="str">
            <v>후처리반</v>
          </cell>
          <cell r="C16" t="str">
            <v>SACW0012</v>
          </cell>
          <cell r="D16" t="str">
            <v>조원</v>
          </cell>
          <cell r="E16" t="str">
            <v>곽  언</v>
          </cell>
          <cell r="F16">
            <v>33929</v>
          </cell>
          <cell r="G16">
            <v>1219850</v>
          </cell>
          <cell r="H16">
            <v>1188440</v>
          </cell>
          <cell r="I16">
            <v>1282700</v>
          </cell>
          <cell r="J16">
            <v>1282130</v>
          </cell>
          <cell r="K16">
            <v>1119830</v>
          </cell>
          <cell r="L16">
            <v>1084570</v>
          </cell>
          <cell r="M16">
            <v>1136912</v>
          </cell>
          <cell r="N16">
            <v>355200</v>
          </cell>
          <cell r="O16">
            <v>710410</v>
          </cell>
          <cell r="P16">
            <v>100000</v>
          </cell>
          <cell r="Q16">
            <v>358920</v>
          </cell>
          <cell r="R16">
            <v>1076760</v>
          </cell>
          <cell r="S16">
            <v>2601290</v>
          </cell>
          <cell r="T16">
            <v>431072.5</v>
          </cell>
          <cell r="U16">
            <v>773253</v>
          </cell>
        </row>
        <row r="17">
          <cell r="B17" t="str">
            <v>후처리반</v>
          </cell>
          <cell r="C17" t="str">
            <v>SACW0013</v>
          </cell>
          <cell r="D17" t="str">
            <v>조원</v>
          </cell>
          <cell r="E17" t="str">
            <v>김옥희</v>
          </cell>
          <cell r="F17">
            <v>33941</v>
          </cell>
          <cell r="G17">
            <v>1246100</v>
          </cell>
          <cell r="H17">
            <v>1153750</v>
          </cell>
          <cell r="I17">
            <v>1274360</v>
          </cell>
          <cell r="J17">
            <v>1156740</v>
          </cell>
          <cell r="K17">
            <v>1054680</v>
          </cell>
          <cell r="L17">
            <v>1016500</v>
          </cell>
          <cell r="M17">
            <v>1052583</v>
          </cell>
          <cell r="N17">
            <v>355200</v>
          </cell>
          <cell r="O17">
            <v>710410</v>
          </cell>
          <cell r="P17">
            <v>100000</v>
          </cell>
          <cell r="Q17">
            <v>358920</v>
          </cell>
          <cell r="R17">
            <v>1076760</v>
          </cell>
          <cell r="S17">
            <v>2601290</v>
          </cell>
          <cell r="T17">
            <v>431072.5</v>
          </cell>
          <cell r="U17">
            <v>731666</v>
          </cell>
        </row>
        <row r="18">
          <cell r="B18" t="str">
            <v>후처리반</v>
          </cell>
          <cell r="C18" t="str">
            <v>SACW0019</v>
          </cell>
          <cell r="D18" t="str">
            <v>조원</v>
          </cell>
          <cell r="E18" t="str">
            <v>이은정</v>
          </cell>
          <cell r="F18">
            <v>34835</v>
          </cell>
          <cell r="G18">
            <v>1071090</v>
          </cell>
          <cell r="H18">
            <v>1144360</v>
          </cell>
          <cell r="I18">
            <v>1146460</v>
          </cell>
          <cell r="J18">
            <v>1152070</v>
          </cell>
          <cell r="K18">
            <v>1057230</v>
          </cell>
          <cell r="L18">
            <v>1024000</v>
          </cell>
          <cell r="M18">
            <v>1054337</v>
          </cell>
          <cell r="N18">
            <v>326780</v>
          </cell>
          <cell r="O18">
            <v>653560</v>
          </cell>
          <cell r="P18">
            <v>100000</v>
          </cell>
          <cell r="Q18">
            <v>326780</v>
          </cell>
          <cell r="R18">
            <v>980340</v>
          </cell>
          <cell r="S18">
            <v>2387460</v>
          </cell>
          <cell r="T18">
            <v>397910</v>
          </cell>
          <cell r="U18">
            <v>716177</v>
          </cell>
        </row>
        <row r="19">
          <cell r="B19" t="str">
            <v>소결반</v>
          </cell>
          <cell r="C19" t="str">
            <v>SACM0069</v>
          </cell>
          <cell r="D19" t="str">
            <v>조장</v>
          </cell>
          <cell r="E19" t="str">
            <v>김진식</v>
          </cell>
          <cell r="F19">
            <v>33900</v>
          </cell>
          <cell r="G19">
            <v>1675040</v>
          </cell>
          <cell r="H19">
            <v>1673000</v>
          </cell>
          <cell r="I19">
            <v>1601450</v>
          </cell>
          <cell r="J19">
            <v>2009960</v>
          </cell>
          <cell r="K19">
            <v>1694290</v>
          </cell>
          <cell r="L19">
            <v>1590570</v>
          </cell>
          <cell r="M19">
            <v>1726572</v>
          </cell>
          <cell r="N19">
            <v>428780</v>
          </cell>
          <cell r="O19">
            <v>857560</v>
          </cell>
          <cell r="P19">
            <v>100000</v>
          </cell>
          <cell r="Q19">
            <v>432500</v>
          </cell>
          <cell r="R19">
            <v>1297500</v>
          </cell>
          <cell r="S19">
            <v>3116340</v>
          </cell>
          <cell r="T19">
            <v>516909.99999999994</v>
          </cell>
          <cell r="U19">
            <v>1106375</v>
          </cell>
        </row>
        <row r="20">
          <cell r="B20" t="str">
            <v>소결반</v>
          </cell>
          <cell r="C20" t="str">
            <v>SACM0125</v>
          </cell>
          <cell r="D20" t="str">
            <v>조장</v>
          </cell>
          <cell r="E20" t="str">
            <v>배성환</v>
          </cell>
          <cell r="F20">
            <v>31926</v>
          </cell>
          <cell r="G20">
            <v>2342960</v>
          </cell>
          <cell r="H20">
            <v>2321490</v>
          </cell>
          <cell r="I20">
            <v>2600510</v>
          </cell>
          <cell r="J20">
            <v>2589330</v>
          </cell>
          <cell r="K20">
            <v>2219850</v>
          </cell>
          <cell r="L20">
            <v>2192400</v>
          </cell>
          <cell r="M20">
            <v>2283124</v>
          </cell>
          <cell r="N20">
            <v>529190</v>
          </cell>
          <cell r="O20">
            <v>1058380</v>
          </cell>
          <cell r="P20">
            <v>100000</v>
          </cell>
          <cell r="Q20">
            <v>529190</v>
          </cell>
          <cell r="R20">
            <v>1587570</v>
          </cell>
          <cell r="S20">
            <v>3804330</v>
          </cell>
          <cell r="T20">
            <v>634055</v>
          </cell>
          <cell r="U20">
            <v>1438609</v>
          </cell>
        </row>
        <row r="21">
          <cell r="B21" t="str">
            <v>소결반</v>
          </cell>
          <cell r="C21" t="str">
            <v>SACM0177</v>
          </cell>
          <cell r="D21" t="str">
            <v>조원</v>
          </cell>
          <cell r="E21" t="str">
            <v>김진욱</v>
          </cell>
          <cell r="F21">
            <v>34395</v>
          </cell>
          <cell r="G21">
            <v>1973260</v>
          </cell>
          <cell r="H21">
            <v>1575290</v>
          </cell>
          <cell r="I21">
            <v>1885800</v>
          </cell>
          <cell r="J21">
            <v>1955080</v>
          </cell>
          <cell r="K21">
            <v>1703440</v>
          </cell>
          <cell r="L21">
            <v>1562070</v>
          </cell>
          <cell r="M21">
            <v>1702366</v>
          </cell>
          <cell r="N21">
            <v>379910</v>
          </cell>
          <cell r="O21">
            <v>759810</v>
          </cell>
          <cell r="P21">
            <v>100000</v>
          </cell>
          <cell r="Q21">
            <v>379910</v>
          </cell>
          <cell r="R21">
            <v>1139720</v>
          </cell>
          <cell r="S21">
            <v>2759350</v>
          </cell>
          <cell r="T21">
            <v>459889.16666666669</v>
          </cell>
          <cell r="U21">
            <v>1066318</v>
          </cell>
        </row>
        <row r="22">
          <cell r="B22" t="str">
            <v>소결반</v>
          </cell>
          <cell r="C22" t="str">
            <v>SACM0261</v>
          </cell>
          <cell r="D22" t="str">
            <v>조원</v>
          </cell>
          <cell r="E22" t="str">
            <v>이희승</v>
          </cell>
          <cell r="F22">
            <v>35145</v>
          </cell>
          <cell r="G22">
            <v>1529680</v>
          </cell>
          <cell r="H22">
            <v>1351270</v>
          </cell>
          <cell r="I22">
            <v>1428120</v>
          </cell>
          <cell r="J22">
            <v>1556260</v>
          </cell>
          <cell r="K22">
            <v>1405130</v>
          </cell>
          <cell r="L22">
            <v>1353990</v>
          </cell>
          <cell r="M22">
            <v>1407189</v>
          </cell>
          <cell r="N22">
            <v>355470</v>
          </cell>
          <cell r="O22">
            <v>710940</v>
          </cell>
          <cell r="P22">
            <v>100000</v>
          </cell>
          <cell r="Q22">
            <v>355470</v>
          </cell>
          <cell r="R22">
            <v>1066410</v>
          </cell>
          <cell r="S22">
            <v>2588290</v>
          </cell>
          <cell r="T22">
            <v>431381.66666666669</v>
          </cell>
          <cell r="U22">
            <v>906692</v>
          </cell>
        </row>
        <row r="23">
          <cell r="B23" t="str">
            <v>소결반</v>
          </cell>
          <cell r="C23" t="str">
            <v>SACM0283</v>
          </cell>
          <cell r="D23" t="str">
            <v>조원</v>
          </cell>
          <cell r="E23" t="str">
            <v>김재종</v>
          </cell>
          <cell r="F23">
            <v>35649</v>
          </cell>
          <cell r="G23">
            <v>1070600</v>
          </cell>
          <cell r="H23">
            <v>966420</v>
          </cell>
          <cell r="I23">
            <v>1111210</v>
          </cell>
          <cell r="J23">
            <v>1064500</v>
          </cell>
          <cell r="K23">
            <v>1284370</v>
          </cell>
          <cell r="L23">
            <v>941730</v>
          </cell>
          <cell r="M23">
            <v>1073022</v>
          </cell>
          <cell r="N23">
            <v>346970</v>
          </cell>
          <cell r="O23">
            <v>693940</v>
          </cell>
          <cell r="P23">
            <v>100000</v>
          </cell>
          <cell r="Q23">
            <v>346970</v>
          </cell>
          <cell r="R23">
            <v>1040910</v>
          </cell>
          <cell r="S23">
            <v>2528790</v>
          </cell>
          <cell r="T23">
            <v>421465</v>
          </cell>
          <cell r="U23">
            <v>737007</v>
          </cell>
        </row>
        <row r="24">
          <cell r="B24" t="str">
            <v>성형반</v>
          </cell>
          <cell r="C24" t="str">
            <v>SACM0068</v>
          </cell>
          <cell r="D24" t="str">
            <v>조장</v>
          </cell>
          <cell r="E24" t="str">
            <v>정동식</v>
          </cell>
          <cell r="F24">
            <v>33900</v>
          </cell>
          <cell r="G24">
            <v>1524240</v>
          </cell>
          <cell r="H24">
            <v>1570820</v>
          </cell>
          <cell r="I24">
            <v>1886900</v>
          </cell>
          <cell r="J24">
            <v>1855460</v>
          </cell>
          <cell r="K24">
            <v>1805350</v>
          </cell>
          <cell r="L24">
            <v>1517690</v>
          </cell>
          <cell r="M24">
            <v>1688641</v>
          </cell>
          <cell r="N24">
            <v>429580</v>
          </cell>
          <cell r="O24">
            <v>859160</v>
          </cell>
          <cell r="P24">
            <v>100000</v>
          </cell>
          <cell r="Q24">
            <v>433300</v>
          </cell>
          <cell r="R24">
            <v>1299890</v>
          </cell>
          <cell r="S24">
            <v>3121930</v>
          </cell>
          <cell r="T24">
            <v>517843.33333333337</v>
          </cell>
          <cell r="U24">
            <v>1088129</v>
          </cell>
        </row>
        <row r="25">
          <cell r="B25" t="str">
            <v>성형반</v>
          </cell>
          <cell r="C25" t="str">
            <v>SACM0074</v>
          </cell>
          <cell r="D25" t="str">
            <v>조장</v>
          </cell>
          <cell r="E25" t="str">
            <v>김대용</v>
          </cell>
          <cell r="F25">
            <v>33906</v>
          </cell>
          <cell r="G25">
            <v>1603500</v>
          </cell>
          <cell r="H25">
            <v>1394570</v>
          </cell>
          <cell r="I25">
            <v>1524830</v>
          </cell>
          <cell r="J25">
            <v>1583430</v>
          </cell>
          <cell r="K25">
            <v>1327810</v>
          </cell>
          <cell r="L25">
            <v>1412080</v>
          </cell>
          <cell r="M25">
            <v>1409778</v>
          </cell>
          <cell r="N25">
            <v>430380</v>
          </cell>
          <cell r="O25">
            <v>860750</v>
          </cell>
          <cell r="P25">
            <v>100000</v>
          </cell>
          <cell r="Q25">
            <v>434090</v>
          </cell>
          <cell r="R25">
            <v>1302280</v>
          </cell>
          <cell r="S25">
            <v>3127500</v>
          </cell>
          <cell r="T25">
            <v>518770.83333333326</v>
          </cell>
          <cell r="U25">
            <v>951065</v>
          </cell>
        </row>
        <row r="26">
          <cell r="B26" t="str">
            <v>성형반</v>
          </cell>
          <cell r="C26" t="str">
            <v>SACM0081</v>
          </cell>
          <cell r="D26" t="str">
            <v>조원</v>
          </cell>
          <cell r="E26" t="str">
            <v>이성수</v>
          </cell>
          <cell r="F26">
            <v>33918</v>
          </cell>
          <cell r="G26">
            <v>1386870</v>
          </cell>
          <cell r="H26">
            <v>1395730</v>
          </cell>
          <cell r="I26">
            <v>1728580</v>
          </cell>
          <cell r="J26">
            <v>1976490</v>
          </cell>
          <cell r="K26">
            <v>1862700</v>
          </cell>
          <cell r="L26">
            <v>1576110</v>
          </cell>
          <cell r="M26">
            <v>1765859</v>
          </cell>
          <cell r="N26">
            <v>420550</v>
          </cell>
          <cell r="O26">
            <v>841090</v>
          </cell>
          <cell r="P26">
            <v>100000</v>
          </cell>
          <cell r="Q26">
            <v>424270</v>
          </cell>
          <cell r="R26">
            <v>1272800</v>
          </cell>
          <cell r="S26">
            <v>3058710</v>
          </cell>
          <cell r="T26">
            <v>507302.49999999994</v>
          </cell>
          <cell r="U26">
            <v>1121011</v>
          </cell>
        </row>
        <row r="27">
          <cell r="B27" t="str">
            <v>성형반</v>
          </cell>
          <cell r="C27" t="str">
            <v>SACM0108</v>
          </cell>
          <cell r="D27" t="str">
            <v>조장</v>
          </cell>
          <cell r="E27" t="str">
            <v>김두성</v>
          </cell>
          <cell r="F27">
            <v>30821</v>
          </cell>
          <cell r="G27">
            <v>2211190</v>
          </cell>
          <cell r="H27">
            <v>2145390</v>
          </cell>
          <cell r="I27">
            <v>2059610</v>
          </cell>
          <cell r="J27">
            <v>2451850</v>
          </cell>
          <cell r="K27">
            <v>2538440</v>
          </cell>
          <cell r="L27">
            <v>2207240</v>
          </cell>
          <cell r="M27">
            <v>2347021</v>
          </cell>
          <cell r="N27">
            <v>558410</v>
          </cell>
          <cell r="O27">
            <v>1116810</v>
          </cell>
          <cell r="P27">
            <v>100000</v>
          </cell>
          <cell r="Q27">
            <v>558410</v>
          </cell>
          <cell r="R27">
            <v>1675220</v>
          </cell>
          <cell r="S27">
            <v>4008850</v>
          </cell>
          <cell r="T27">
            <v>668139.16666666663</v>
          </cell>
          <cell r="U27">
            <v>1486928</v>
          </cell>
        </row>
        <row r="28">
          <cell r="B28" t="str">
            <v>성형반</v>
          </cell>
          <cell r="C28" t="str">
            <v>SACM0117</v>
          </cell>
          <cell r="D28" t="str">
            <v>조장</v>
          </cell>
          <cell r="E28" t="str">
            <v>송채섭</v>
          </cell>
          <cell r="F28">
            <v>31809</v>
          </cell>
          <cell r="G28">
            <v>2066590</v>
          </cell>
          <cell r="H28">
            <v>1889140</v>
          </cell>
          <cell r="I28">
            <v>1989300</v>
          </cell>
          <cell r="J28">
            <v>2248240</v>
          </cell>
          <cell r="K28">
            <v>2119600</v>
          </cell>
          <cell r="L28">
            <v>1708670</v>
          </cell>
          <cell r="M28">
            <v>1981471</v>
          </cell>
          <cell r="N28">
            <v>535560</v>
          </cell>
          <cell r="O28">
            <v>1071130</v>
          </cell>
          <cell r="P28">
            <v>100000</v>
          </cell>
          <cell r="Q28">
            <v>535560</v>
          </cell>
          <cell r="R28">
            <v>1606690</v>
          </cell>
          <cell r="S28">
            <v>3848940</v>
          </cell>
          <cell r="T28">
            <v>641492.5</v>
          </cell>
          <cell r="U28">
            <v>1293516</v>
          </cell>
        </row>
        <row r="29">
          <cell r="B29" t="str">
            <v>성형반</v>
          </cell>
          <cell r="C29" t="str">
            <v>SACM0118</v>
          </cell>
          <cell r="D29" t="str">
            <v>조장</v>
          </cell>
          <cell r="E29" t="str">
            <v>박성환</v>
          </cell>
          <cell r="F29">
            <v>31926</v>
          </cell>
          <cell r="G29">
            <v>1974120</v>
          </cell>
          <cell r="H29">
            <v>1864180</v>
          </cell>
          <cell r="I29">
            <v>1975580</v>
          </cell>
          <cell r="J29">
            <v>1938620</v>
          </cell>
          <cell r="K29">
            <v>2163740</v>
          </cell>
          <cell r="L29">
            <v>1994340</v>
          </cell>
          <cell r="M29">
            <v>1988054</v>
          </cell>
          <cell r="N29">
            <v>537950</v>
          </cell>
          <cell r="O29">
            <v>1075910</v>
          </cell>
          <cell r="P29">
            <v>100000</v>
          </cell>
          <cell r="Q29">
            <v>537950</v>
          </cell>
          <cell r="R29">
            <v>1613860</v>
          </cell>
          <cell r="S29">
            <v>3865670</v>
          </cell>
          <cell r="T29">
            <v>644280.83333333337</v>
          </cell>
          <cell r="U29">
            <v>1298138</v>
          </cell>
        </row>
        <row r="30">
          <cell r="B30" t="str">
            <v>성형반</v>
          </cell>
          <cell r="C30" t="str">
            <v>SACM0119</v>
          </cell>
          <cell r="D30" t="str">
            <v>조장</v>
          </cell>
          <cell r="E30" t="str">
            <v>권경원</v>
          </cell>
          <cell r="F30">
            <v>31820</v>
          </cell>
          <cell r="G30">
            <v>2083440</v>
          </cell>
          <cell r="H30">
            <v>1830230</v>
          </cell>
          <cell r="I30">
            <v>1764320</v>
          </cell>
          <cell r="J30">
            <v>2097470</v>
          </cell>
          <cell r="K30">
            <v>1953600</v>
          </cell>
          <cell r="L30">
            <v>1935240</v>
          </cell>
          <cell r="M30">
            <v>1952058</v>
          </cell>
          <cell r="N30">
            <v>524410</v>
          </cell>
          <cell r="O30">
            <v>1048810</v>
          </cell>
          <cell r="P30">
            <v>100000</v>
          </cell>
          <cell r="Q30">
            <v>524410</v>
          </cell>
          <cell r="R30">
            <v>1573220</v>
          </cell>
          <cell r="S30">
            <v>3770850</v>
          </cell>
          <cell r="T30">
            <v>628472.5</v>
          </cell>
          <cell r="U30">
            <v>1272590</v>
          </cell>
        </row>
        <row r="31">
          <cell r="B31" t="str">
            <v>성형반</v>
          </cell>
          <cell r="C31" t="str">
            <v>SACM0135</v>
          </cell>
          <cell r="D31" t="str">
            <v>조원</v>
          </cell>
          <cell r="E31" t="str">
            <v>채수용</v>
          </cell>
          <cell r="F31">
            <v>34032</v>
          </cell>
          <cell r="G31">
            <v>1546180</v>
          </cell>
          <cell r="H31">
            <v>1357130</v>
          </cell>
          <cell r="I31">
            <v>1517020</v>
          </cell>
          <cell r="J31">
            <v>1479820</v>
          </cell>
          <cell r="K31">
            <v>1541040</v>
          </cell>
          <cell r="L31">
            <v>1378940</v>
          </cell>
          <cell r="M31">
            <v>1434717</v>
          </cell>
          <cell r="N31">
            <v>404610</v>
          </cell>
          <cell r="O31">
            <v>809220</v>
          </cell>
          <cell r="P31">
            <v>100000</v>
          </cell>
          <cell r="Q31">
            <v>404610</v>
          </cell>
          <cell r="R31">
            <v>1213830</v>
          </cell>
          <cell r="S31">
            <v>2932270</v>
          </cell>
          <cell r="T31">
            <v>488711.66666666669</v>
          </cell>
          <cell r="U31">
            <v>948540</v>
          </cell>
        </row>
        <row r="32">
          <cell r="B32" t="str">
            <v>성형반</v>
          </cell>
          <cell r="C32" t="str">
            <v>SACM0137</v>
          </cell>
          <cell r="D32" t="str">
            <v>조원</v>
          </cell>
          <cell r="E32" t="str">
            <v>임철수</v>
          </cell>
          <cell r="F32">
            <v>34034</v>
          </cell>
          <cell r="G32">
            <v>1061540</v>
          </cell>
          <cell r="H32">
            <v>1055510</v>
          </cell>
          <cell r="I32">
            <v>1321620</v>
          </cell>
          <cell r="J32">
            <v>1227310</v>
          </cell>
          <cell r="K32">
            <v>1163780</v>
          </cell>
          <cell r="L32">
            <v>1093910</v>
          </cell>
          <cell r="M32">
            <v>1136413</v>
          </cell>
          <cell r="N32">
            <v>374330</v>
          </cell>
          <cell r="O32">
            <v>748660</v>
          </cell>
          <cell r="P32">
            <v>100000</v>
          </cell>
          <cell r="Q32">
            <v>374330</v>
          </cell>
          <cell r="R32">
            <v>1122990</v>
          </cell>
          <cell r="S32">
            <v>2720310</v>
          </cell>
          <cell r="T32">
            <v>453385</v>
          </cell>
          <cell r="U32">
            <v>784010</v>
          </cell>
        </row>
        <row r="33">
          <cell r="B33" t="str">
            <v>성형반</v>
          </cell>
          <cell r="C33" t="str">
            <v>SACM0147</v>
          </cell>
          <cell r="D33" t="str">
            <v>조원</v>
          </cell>
          <cell r="E33" t="str">
            <v>문충헌</v>
          </cell>
          <cell r="F33">
            <v>34121</v>
          </cell>
          <cell r="G33">
            <v>1378740</v>
          </cell>
          <cell r="H33">
            <v>1443010</v>
          </cell>
          <cell r="I33">
            <v>1427350</v>
          </cell>
          <cell r="J33">
            <v>1463440</v>
          </cell>
          <cell r="K33">
            <v>1458430</v>
          </cell>
          <cell r="L33">
            <v>1284940</v>
          </cell>
          <cell r="M33">
            <v>1371786</v>
          </cell>
          <cell r="N33">
            <v>397440</v>
          </cell>
          <cell r="O33">
            <v>794880</v>
          </cell>
          <cell r="P33">
            <v>100000</v>
          </cell>
          <cell r="Q33">
            <v>397440</v>
          </cell>
          <cell r="R33">
            <v>1192320</v>
          </cell>
          <cell r="S33">
            <v>2882080</v>
          </cell>
          <cell r="T33">
            <v>480346.66666666663</v>
          </cell>
          <cell r="U33">
            <v>913380</v>
          </cell>
        </row>
        <row r="34">
          <cell r="B34" t="str">
            <v>성형반</v>
          </cell>
          <cell r="C34" t="str">
            <v>SACM0174</v>
          </cell>
          <cell r="D34" t="str">
            <v>조원</v>
          </cell>
          <cell r="E34" t="str">
            <v>정헌영</v>
          </cell>
          <cell r="F34">
            <v>34379</v>
          </cell>
          <cell r="G34">
            <v>1433740</v>
          </cell>
          <cell r="H34">
            <v>1294990</v>
          </cell>
          <cell r="I34">
            <v>1209720</v>
          </cell>
          <cell r="J34">
            <v>1416810</v>
          </cell>
          <cell r="K34">
            <v>1386890</v>
          </cell>
          <cell r="L34">
            <v>1462370</v>
          </cell>
          <cell r="M34">
            <v>1391110</v>
          </cell>
          <cell r="N34">
            <v>375920</v>
          </cell>
          <cell r="O34">
            <v>751840</v>
          </cell>
          <cell r="P34">
            <v>100000</v>
          </cell>
          <cell r="Q34">
            <v>375920</v>
          </cell>
          <cell r="R34">
            <v>1127760</v>
          </cell>
          <cell r="S34">
            <v>2731440</v>
          </cell>
          <cell r="T34">
            <v>455240</v>
          </cell>
          <cell r="U34">
            <v>910529</v>
          </cell>
        </row>
        <row r="35">
          <cell r="B35" t="str">
            <v>성형반</v>
          </cell>
          <cell r="C35" t="str">
            <v>SACM0228</v>
          </cell>
          <cell r="D35" t="str">
            <v>조원</v>
          </cell>
          <cell r="E35" t="str">
            <v>전병문</v>
          </cell>
          <cell r="F35">
            <v>34845</v>
          </cell>
          <cell r="G35">
            <v>1369150</v>
          </cell>
          <cell r="H35">
            <v>1239030</v>
          </cell>
          <cell r="I35">
            <v>1489190</v>
          </cell>
          <cell r="J35">
            <v>1300620</v>
          </cell>
          <cell r="K35">
            <v>1194400</v>
          </cell>
          <cell r="L35">
            <v>1251030</v>
          </cell>
          <cell r="M35">
            <v>1221538</v>
          </cell>
          <cell r="N35">
            <v>366630</v>
          </cell>
          <cell r="O35">
            <v>733250</v>
          </cell>
          <cell r="P35">
            <v>100000</v>
          </cell>
          <cell r="Q35">
            <v>370610</v>
          </cell>
          <cell r="R35">
            <v>1111830</v>
          </cell>
          <cell r="S35">
            <v>2682320</v>
          </cell>
          <cell r="T35">
            <v>444395.83333333337</v>
          </cell>
          <cell r="U35">
            <v>821556</v>
          </cell>
        </row>
        <row r="36">
          <cell r="B36" t="str">
            <v>성형반</v>
          </cell>
          <cell r="C36" t="str">
            <v>SACM0248</v>
          </cell>
          <cell r="D36" t="str">
            <v>조원</v>
          </cell>
          <cell r="E36" t="str">
            <v>심하섭</v>
          </cell>
          <cell r="F36">
            <v>35047</v>
          </cell>
          <cell r="G36">
            <v>1262900</v>
          </cell>
          <cell r="H36">
            <v>1307780</v>
          </cell>
          <cell r="I36">
            <v>1478350</v>
          </cell>
          <cell r="J36">
            <v>1532790</v>
          </cell>
          <cell r="K36">
            <v>1414110</v>
          </cell>
          <cell r="L36">
            <v>1308900</v>
          </cell>
          <cell r="M36">
            <v>1387761</v>
          </cell>
          <cell r="N36">
            <v>363440</v>
          </cell>
          <cell r="O36">
            <v>726880</v>
          </cell>
          <cell r="P36">
            <v>100000</v>
          </cell>
          <cell r="Q36">
            <v>363440</v>
          </cell>
          <cell r="R36">
            <v>1090320</v>
          </cell>
          <cell r="S36">
            <v>2644080</v>
          </cell>
          <cell r="T36">
            <v>440680</v>
          </cell>
          <cell r="U36">
            <v>901697</v>
          </cell>
        </row>
        <row r="37">
          <cell r="B37" t="str">
            <v>성형반</v>
          </cell>
          <cell r="C37" t="str">
            <v>SACM0252</v>
          </cell>
          <cell r="D37" t="str">
            <v>조원</v>
          </cell>
          <cell r="E37" t="str">
            <v>김범제</v>
          </cell>
          <cell r="F37">
            <v>35135</v>
          </cell>
          <cell r="G37">
            <v>1220390</v>
          </cell>
          <cell r="H37">
            <v>1192890</v>
          </cell>
          <cell r="I37">
            <v>1328140</v>
          </cell>
          <cell r="J37">
            <v>1232730</v>
          </cell>
          <cell r="K37">
            <v>1228430</v>
          </cell>
          <cell r="L37">
            <v>1178890</v>
          </cell>
          <cell r="M37">
            <v>1186973</v>
          </cell>
          <cell r="N37">
            <v>353080</v>
          </cell>
          <cell r="O37">
            <v>706160</v>
          </cell>
          <cell r="P37">
            <v>100000</v>
          </cell>
          <cell r="Q37">
            <v>353080</v>
          </cell>
          <cell r="R37">
            <v>1059240</v>
          </cell>
          <cell r="S37">
            <v>2571560</v>
          </cell>
          <cell r="T37">
            <v>428593.33333333337</v>
          </cell>
          <cell r="U37">
            <v>796718</v>
          </cell>
        </row>
        <row r="38">
          <cell r="B38" t="str">
            <v>성형반</v>
          </cell>
          <cell r="C38" t="str">
            <v>SACM0256</v>
          </cell>
          <cell r="D38" t="str">
            <v>조원</v>
          </cell>
          <cell r="E38" t="str">
            <v>이봉구#</v>
          </cell>
          <cell r="F38">
            <v>35142</v>
          </cell>
          <cell r="G38">
            <v>1366040</v>
          </cell>
          <cell r="H38">
            <v>1251260</v>
          </cell>
          <cell r="I38">
            <v>1331810</v>
          </cell>
          <cell r="J38">
            <v>1455730</v>
          </cell>
          <cell r="K38">
            <v>1273630</v>
          </cell>
          <cell r="L38">
            <v>1229140</v>
          </cell>
          <cell r="M38">
            <v>1290815</v>
          </cell>
          <cell r="N38">
            <v>355470</v>
          </cell>
          <cell r="O38">
            <v>710940</v>
          </cell>
          <cell r="P38">
            <v>100000</v>
          </cell>
          <cell r="Q38">
            <v>355470</v>
          </cell>
          <cell r="R38">
            <v>1066410</v>
          </cell>
          <cell r="S38">
            <v>2588290</v>
          </cell>
          <cell r="T38">
            <v>431381.66666666669</v>
          </cell>
          <cell r="U38">
            <v>849302</v>
          </cell>
        </row>
        <row r="39">
          <cell r="B39" t="str">
            <v>성형반</v>
          </cell>
          <cell r="C39" t="str">
            <v>SACM0265</v>
          </cell>
          <cell r="D39" t="str">
            <v>조원</v>
          </cell>
          <cell r="E39" t="str">
            <v>김선봉</v>
          </cell>
          <cell r="F39">
            <v>35158</v>
          </cell>
          <cell r="G39">
            <v>1149190</v>
          </cell>
          <cell r="H39">
            <v>1052810</v>
          </cell>
          <cell r="I39">
            <v>1498220</v>
          </cell>
          <cell r="J39">
            <v>1422980</v>
          </cell>
          <cell r="K39">
            <v>1249880</v>
          </cell>
          <cell r="L39">
            <v>1117660</v>
          </cell>
          <cell r="M39">
            <v>1236039</v>
          </cell>
          <cell r="N39">
            <v>352280</v>
          </cell>
          <cell r="O39">
            <v>704560</v>
          </cell>
          <cell r="P39">
            <v>100000</v>
          </cell>
          <cell r="Q39">
            <v>352280</v>
          </cell>
          <cell r="R39">
            <v>1056840</v>
          </cell>
          <cell r="S39">
            <v>2565960</v>
          </cell>
          <cell r="T39">
            <v>427660</v>
          </cell>
          <cell r="U39">
            <v>820454</v>
          </cell>
        </row>
        <row r="40">
          <cell r="B40" t="str">
            <v>성형반</v>
          </cell>
          <cell r="C40" t="str">
            <v>SACM0303</v>
          </cell>
          <cell r="D40" t="str">
            <v>조원</v>
          </cell>
          <cell r="E40" t="str">
            <v>김재동</v>
          </cell>
          <cell r="F40">
            <v>36362</v>
          </cell>
          <cell r="G40">
            <v>284690</v>
          </cell>
          <cell r="H40">
            <v>1073980</v>
          </cell>
          <cell r="I40">
            <v>1138810</v>
          </cell>
          <cell r="J40">
            <v>692990</v>
          </cell>
          <cell r="K40">
            <v>0</v>
          </cell>
          <cell r="L40">
            <v>0</v>
          </cell>
          <cell r="M40">
            <v>225975</v>
          </cell>
          <cell r="P40">
            <v>50000</v>
          </cell>
          <cell r="Q40">
            <v>0</v>
          </cell>
          <cell r="R40">
            <v>0</v>
          </cell>
          <cell r="S40">
            <v>50000</v>
          </cell>
          <cell r="T40">
            <v>8333.3333333333339</v>
          </cell>
          <cell r="U40">
            <v>0</v>
          </cell>
        </row>
        <row r="41">
          <cell r="B41" t="str">
            <v>성형반</v>
          </cell>
          <cell r="C41" t="str">
            <v>SACM0309</v>
          </cell>
          <cell r="D41" t="str">
            <v>조원</v>
          </cell>
          <cell r="E41" t="str">
            <v>곽노정</v>
          </cell>
          <cell r="F41">
            <v>36412</v>
          </cell>
          <cell r="I41">
            <v>778730</v>
          </cell>
          <cell r="J41">
            <v>1105210</v>
          </cell>
          <cell r="K41">
            <v>1058080</v>
          </cell>
          <cell r="L41">
            <v>938990</v>
          </cell>
          <cell r="M41">
            <v>1011613</v>
          </cell>
          <cell r="P41">
            <v>50000</v>
          </cell>
          <cell r="Q41">
            <v>119980</v>
          </cell>
          <cell r="R41">
            <v>539910</v>
          </cell>
          <cell r="S41">
            <v>709890</v>
          </cell>
          <cell r="T41">
            <v>8333.3333333333339</v>
          </cell>
          <cell r="U41">
            <v>0</v>
          </cell>
        </row>
        <row r="42">
          <cell r="B42" t="str">
            <v>성형반</v>
          </cell>
          <cell r="C42" t="str">
            <v>SACM0313</v>
          </cell>
          <cell r="D42" t="str">
            <v>조원</v>
          </cell>
          <cell r="E42" t="str">
            <v>김호남</v>
          </cell>
          <cell r="F42">
            <v>36423</v>
          </cell>
          <cell r="I42">
            <v>363570</v>
          </cell>
          <cell r="J42">
            <v>1154130</v>
          </cell>
          <cell r="K42">
            <v>1065480</v>
          </cell>
          <cell r="L42">
            <v>967530</v>
          </cell>
          <cell r="M42">
            <v>1039285</v>
          </cell>
          <cell r="Q42">
            <v>119980</v>
          </cell>
          <cell r="R42">
            <v>539910</v>
          </cell>
          <cell r="S42">
            <v>659890</v>
          </cell>
          <cell r="T42">
            <v>0</v>
          </cell>
          <cell r="U42">
            <v>0</v>
          </cell>
        </row>
        <row r="43">
          <cell r="B43" t="str">
            <v>가공반</v>
          </cell>
          <cell r="C43" t="str">
            <v>SACM0122</v>
          </cell>
          <cell r="D43" t="str">
            <v>조장</v>
          </cell>
          <cell r="E43" t="str">
            <v>이정오</v>
          </cell>
          <cell r="F43">
            <v>31840</v>
          </cell>
          <cell r="G43">
            <v>2052850</v>
          </cell>
          <cell r="H43">
            <v>1656510</v>
          </cell>
          <cell r="I43">
            <v>1811860</v>
          </cell>
          <cell r="J43">
            <v>1757610</v>
          </cell>
          <cell r="K43">
            <v>1766610</v>
          </cell>
          <cell r="L43">
            <v>1675240</v>
          </cell>
          <cell r="M43">
            <v>1695476</v>
          </cell>
          <cell r="N43">
            <v>539550</v>
          </cell>
          <cell r="O43">
            <v>1079090</v>
          </cell>
          <cell r="P43">
            <v>100000</v>
          </cell>
          <cell r="Q43">
            <v>539550</v>
          </cell>
          <cell r="R43">
            <v>1618640</v>
          </cell>
          <cell r="S43">
            <v>3876830</v>
          </cell>
          <cell r="T43">
            <v>646135.83333333326</v>
          </cell>
          <cell r="U43">
            <v>1154767</v>
          </cell>
        </row>
        <row r="44">
          <cell r="B44" t="str">
            <v>가공반</v>
          </cell>
          <cell r="C44" t="str">
            <v>SACM0127</v>
          </cell>
          <cell r="D44" t="str">
            <v>조원</v>
          </cell>
          <cell r="E44" t="str">
            <v>강현민</v>
          </cell>
          <cell r="F44">
            <v>33534</v>
          </cell>
          <cell r="G44">
            <v>1645730</v>
          </cell>
          <cell r="H44">
            <v>1709680</v>
          </cell>
          <cell r="I44">
            <v>1611950</v>
          </cell>
          <cell r="J44">
            <v>1455060</v>
          </cell>
          <cell r="K44">
            <v>1518490</v>
          </cell>
          <cell r="L44">
            <v>1368070</v>
          </cell>
          <cell r="M44">
            <v>1415746</v>
          </cell>
          <cell r="N44">
            <v>467300</v>
          </cell>
          <cell r="O44">
            <v>934590</v>
          </cell>
          <cell r="P44">
            <v>100000</v>
          </cell>
          <cell r="Q44">
            <v>467300</v>
          </cell>
          <cell r="R44">
            <v>1401890</v>
          </cell>
          <cell r="S44">
            <v>3371080</v>
          </cell>
          <cell r="T44">
            <v>561844.16666666674</v>
          </cell>
          <cell r="U44">
            <v>975250</v>
          </cell>
        </row>
        <row r="45">
          <cell r="B45" t="str">
            <v>가공반</v>
          </cell>
          <cell r="C45" t="str">
            <v>SACM0281</v>
          </cell>
          <cell r="D45" t="str">
            <v>조원</v>
          </cell>
          <cell r="E45" t="str">
            <v>이희준</v>
          </cell>
          <cell r="F45">
            <v>35648</v>
          </cell>
          <cell r="G45">
            <v>1091820</v>
          </cell>
          <cell r="H45">
            <v>964680</v>
          </cell>
          <cell r="I45">
            <v>1301940</v>
          </cell>
          <cell r="J45">
            <v>1252050</v>
          </cell>
          <cell r="K45">
            <v>1203900</v>
          </cell>
          <cell r="L45">
            <v>1176440</v>
          </cell>
          <cell r="M45">
            <v>1184475</v>
          </cell>
          <cell r="N45">
            <v>339800</v>
          </cell>
          <cell r="O45">
            <v>679590</v>
          </cell>
          <cell r="P45">
            <v>100000</v>
          </cell>
          <cell r="Q45">
            <v>339800</v>
          </cell>
          <cell r="R45">
            <v>1019390</v>
          </cell>
          <cell r="S45">
            <v>2478580</v>
          </cell>
          <cell r="T45">
            <v>413094.16666666663</v>
          </cell>
          <cell r="U45">
            <v>787842</v>
          </cell>
        </row>
        <row r="46">
          <cell r="B46" t="str">
            <v>소결소계</v>
          </cell>
          <cell r="G46">
            <v>56605160</v>
          </cell>
          <cell r="H46">
            <v>54544880</v>
          </cell>
          <cell r="I46">
            <v>59718870</v>
          </cell>
          <cell r="J46">
            <v>62047740</v>
          </cell>
          <cell r="K46">
            <v>59409440</v>
          </cell>
          <cell r="L46">
            <v>55769300</v>
          </cell>
          <cell r="M46">
            <v>57791244</v>
          </cell>
          <cell r="N46">
            <v>15528390</v>
          </cell>
          <cell r="O46">
            <v>31056760</v>
          </cell>
          <cell r="P46">
            <v>3800000</v>
          </cell>
          <cell r="Q46">
            <v>15811120</v>
          </cell>
          <cell r="R46">
            <v>48113900</v>
          </cell>
          <cell r="S46">
            <v>114310170</v>
          </cell>
          <cell r="T46">
            <v>18749776.666666668</v>
          </cell>
          <cell r="U46">
            <v>36205429</v>
          </cell>
        </row>
        <row r="47">
          <cell r="A47" t="str">
            <v>마찰</v>
          </cell>
          <cell r="B47" t="str">
            <v>후공정</v>
          </cell>
          <cell r="C47" t="str">
            <v>SACM0223</v>
          </cell>
          <cell r="D47" t="str">
            <v>조원</v>
          </cell>
          <cell r="E47" t="str">
            <v>정재진</v>
          </cell>
          <cell r="F47">
            <v>34821</v>
          </cell>
          <cell r="G47">
            <v>1238700</v>
          </cell>
          <cell r="H47">
            <v>1290800</v>
          </cell>
          <cell r="I47">
            <v>1245920</v>
          </cell>
          <cell r="J47">
            <v>1116090</v>
          </cell>
          <cell r="K47">
            <v>1101550</v>
          </cell>
          <cell r="L47">
            <v>904420</v>
          </cell>
          <cell r="M47">
            <v>1018063</v>
          </cell>
          <cell r="N47">
            <v>360250</v>
          </cell>
          <cell r="O47">
            <v>720500</v>
          </cell>
          <cell r="P47">
            <v>100000</v>
          </cell>
          <cell r="Q47">
            <v>360250</v>
          </cell>
          <cell r="R47">
            <v>1080750</v>
          </cell>
          <cell r="S47">
            <v>2621750</v>
          </cell>
          <cell r="T47">
            <v>436958.33333333331</v>
          </cell>
          <cell r="U47">
            <v>717545</v>
          </cell>
        </row>
        <row r="48">
          <cell r="B48" t="str">
            <v>후공정</v>
          </cell>
          <cell r="C48" t="str">
            <v>SACM0317</v>
          </cell>
          <cell r="D48" t="str">
            <v>조원</v>
          </cell>
          <cell r="E48" t="str">
            <v>송범호</v>
          </cell>
          <cell r="F48">
            <v>36465</v>
          </cell>
          <cell r="K48">
            <v>910490</v>
          </cell>
          <cell r="L48">
            <v>935430</v>
          </cell>
          <cell r="M48">
            <v>601930</v>
          </cell>
          <cell r="Q48">
            <v>0</v>
          </cell>
          <cell r="R48">
            <v>304740</v>
          </cell>
          <cell r="S48">
            <v>304740</v>
          </cell>
          <cell r="T48">
            <v>0</v>
          </cell>
          <cell r="U48">
            <v>0</v>
          </cell>
        </row>
        <row r="49">
          <cell r="B49" t="str">
            <v>후공정</v>
          </cell>
          <cell r="C49" t="str">
            <v>SACW0008</v>
          </cell>
          <cell r="D49" t="str">
            <v>반장보</v>
          </cell>
          <cell r="E49" t="str">
            <v>한경영</v>
          </cell>
          <cell r="F49">
            <v>33826</v>
          </cell>
          <cell r="G49">
            <v>1602730</v>
          </cell>
          <cell r="H49">
            <v>1349440</v>
          </cell>
          <cell r="I49">
            <v>1471500</v>
          </cell>
          <cell r="J49">
            <v>1406600</v>
          </cell>
          <cell r="K49">
            <v>1304860</v>
          </cell>
          <cell r="L49">
            <v>1221590</v>
          </cell>
          <cell r="M49">
            <v>1282516</v>
          </cell>
          <cell r="N49">
            <v>394520</v>
          </cell>
          <cell r="O49">
            <v>789030</v>
          </cell>
          <cell r="P49">
            <v>100000</v>
          </cell>
          <cell r="Q49">
            <v>394520</v>
          </cell>
          <cell r="R49">
            <v>1183550</v>
          </cell>
          <cell r="S49">
            <v>2861620</v>
          </cell>
          <cell r="T49">
            <v>476934.16666666663</v>
          </cell>
          <cell r="U49">
            <v>867674</v>
          </cell>
        </row>
        <row r="50">
          <cell r="B50" t="str">
            <v>후공정</v>
          </cell>
          <cell r="C50" t="str">
            <v>SACW0014</v>
          </cell>
          <cell r="D50" t="str">
            <v>조원</v>
          </cell>
          <cell r="E50" t="str">
            <v>최명숙</v>
          </cell>
          <cell r="F50">
            <v>34214</v>
          </cell>
          <cell r="G50">
            <v>1359620</v>
          </cell>
          <cell r="H50">
            <v>1259090</v>
          </cell>
          <cell r="I50">
            <v>1324600</v>
          </cell>
          <cell r="J50">
            <v>1309110</v>
          </cell>
          <cell r="K50">
            <v>1167130</v>
          </cell>
          <cell r="L50">
            <v>1115320</v>
          </cell>
          <cell r="M50">
            <v>1171161</v>
          </cell>
          <cell r="N50">
            <v>348030</v>
          </cell>
          <cell r="O50">
            <v>696060</v>
          </cell>
          <cell r="P50">
            <v>100000</v>
          </cell>
          <cell r="Q50">
            <v>348030</v>
          </cell>
          <cell r="R50">
            <v>1044090</v>
          </cell>
          <cell r="S50">
            <v>2536210</v>
          </cell>
          <cell r="T50">
            <v>422701.66666666663</v>
          </cell>
          <cell r="U50">
            <v>786014</v>
          </cell>
        </row>
        <row r="51">
          <cell r="B51" t="str">
            <v>후공정</v>
          </cell>
          <cell r="C51" t="str">
            <v>SACW0015</v>
          </cell>
          <cell r="D51" t="str">
            <v>조원</v>
          </cell>
          <cell r="E51" t="str">
            <v>장영란</v>
          </cell>
          <cell r="F51">
            <v>34394</v>
          </cell>
          <cell r="G51">
            <v>1122510</v>
          </cell>
          <cell r="H51">
            <v>1099320</v>
          </cell>
          <cell r="I51">
            <v>1111360</v>
          </cell>
          <cell r="J51">
            <v>1189290</v>
          </cell>
          <cell r="K51">
            <v>1068580</v>
          </cell>
          <cell r="L51">
            <v>1017870</v>
          </cell>
          <cell r="M51">
            <v>1068176</v>
          </cell>
          <cell r="N51">
            <v>340060</v>
          </cell>
          <cell r="O51">
            <v>680130</v>
          </cell>
          <cell r="P51">
            <v>100000</v>
          </cell>
          <cell r="Q51">
            <v>340060</v>
          </cell>
          <cell r="R51">
            <v>1020190</v>
          </cell>
          <cell r="S51">
            <v>2480440</v>
          </cell>
          <cell r="T51">
            <v>413409.16666666663</v>
          </cell>
          <cell r="U51">
            <v>730645</v>
          </cell>
        </row>
        <row r="52">
          <cell r="B52" t="str">
            <v>후공정</v>
          </cell>
          <cell r="C52" t="str">
            <v>SACW0016</v>
          </cell>
          <cell r="D52" t="str">
            <v>조원</v>
          </cell>
          <cell r="E52" t="str">
            <v>김동순</v>
          </cell>
          <cell r="F52">
            <v>34486</v>
          </cell>
          <cell r="G52">
            <v>1198460</v>
          </cell>
          <cell r="H52">
            <v>1132110</v>
          </cell>
          <cell r="I52">
            <v>1198490</v>
          </cell>
          <cell r="J52">
            <v>1218970</v>
          </cell>
          <cell r="K52">
            <v>1086710</v>
          </cell>
          <cell r="L52">
            <v>1077740</v>
          </cell>
          <cell r="M52">
            <v>1103289</v>
          </cell>
          <cell r="N52">
            <v>339270</v>
          </cell>
          <cell r="O52">
            <v>678530</v>
          </cell>
          <cell r="P52">
            <v>100000</v>
          </cell>
          <cell r="Q52">
            <v>339270</v>
          </cell>
          <cell r="R52">
            <v>1017800</v>
          </cell>
          <cell r="S52">
            <v>2474870</v>
          </cell>
          <cell r="T52">
            <v>412475.83333333337</v>
          </cell>
          <cell r="U52">
            <v>747500</v>
          </cell>
        </row>
        <row r="53">
          <cell r="B53" t="str">
            <v>후공정</v>
          </cell>
          <cell r="C53" t="str">
            <v>SACW0017</v>
          </cell>
          <cell r="D53" t="str">
            <v>조원</v>
          </cell>
          <cell r="E53" t="str">
            <v>김경숙</v>
          </cell>
          <cell r="F53">
            <v>34799</v>
          </cell>
          <cell r="G53">
            <v>1237360</v>
          </cell>
          <cell r="H53">
            <v>1184240</v>
          </cell>
          <cell r="I53">
            <v>1170100</v>
          </cell>
          <cell r="J53">
            <v>1192230</v>
          </cell>
          <cell r="K53">
            <v>1121040</v>
          </cell>
          <cell r="L53">
            <v>1009680</v>
          </cell>
          <cell r="M53">
            <v>1083571</v>
          </cell>
          <cell r="N53">
            <v>326780</v>
          </cell>
          <cell r="O53">
            <v>653560</v>
          </cell>
          <cell r="P53">
            <v>100000</v>
          </cell>
          <cell r="Q53">
            <v>326780</v>
          </cell>
          <cell r="R53">
            <v>980340</v>
          </cell>
          <cell r="S53">
            <v>2387460</v>
          </cell>
          <cell r="T53">
            <v>397910</v>
          </cell>
          <cell r="U53">
            <v>730593</v>
          </cell>
        </row>
        <row r="54">
          <cell r="B54" t="str">
            <v>후공정</v>
          </cell>
          <cell r="C54" t="str">
            <v>SACW0018</v>
          </cell>
          <cell r="D54" t="str">
            <v>조원</v>
          </cell>
          <cell r="E54" t="str">
            <v>강순이</v>
          </cell>
          <cell r="F54">
            <v>34835</v>
          </cell>
          <cell r="G54">
            <v>1022860</v>
          </cell>
          <cell r="H54">
            <v>1068980</v>
          </cell>
          <cell r="I54">
            <v>1060950</v>
          </cell>
          <cell r="J54">
            <v>1074400</v>
          </cell>
          <cell r="K54">
            <v>931270</v>
          </cell>
          <cell r="L54">
            <v>945190</v>
          </cell>
          <cell r="M54">
            <v>962237</v>
          </cell>
          <cell r="N54">
            <v>326780</v>
          </cell>
          <cell r="O54">
            <v>653560</v>
          </cell>
          <cell r="P54">
            <v>100000</v>
          </cell>
          <cell r="Q54">
            <v>326780</v>
          </cell>
          <cell r="R54">
            <v>980340</v>
          </cell>
          <cell r="S54">
            <v>2387460</v>
          </cell>
          <cell r="T54">
            <v>397910</v>
          </cell>
          <cell r="U54">
            <v>670757</v>
          </cell>
        </row>
        <row r="55">
          <cell r="B55" t="str">
            <v>후공정</v>
          </cell>
          <cell r="C55" t="str">
            <v>SACW0022</v>
          </cell>
          <cell r="D55" t="str">
            <v>조원</v>
          </cell>
          <cell r="E55" t="str">
            <v>이덕희</v>
          </cell>
          <cell r="F55">
            <v>34836</v>
          </cell>
          <cell r="G55">
            <v>1031950</v>
          </cell>
          <cell r="H55">
            <v>966930</v>
          </cell>
          <cell r="I55">
            <v>1074580</v>
          </cell>
          <cell r="J55">
            <v>1010120</v>
          </cell>
          <cell r="K55">
            <v>950000</v>
          </cell>
          <cell r="L55">
            <v>881140</v>
          </cell>
          <cell r="M55">
            <v>926498</v>
          </cell>
          <cell r="N55">
            <v>326780</v>
          </cell>
          <cell r="O55">
            <v>653560</v>
          </cell>
          <cell r="P55">
            <v>100000</v>
          </cell>
          <cell r="Q55">
            <v>326780</v>
          </cell>
          <cell r="R55">
            <v>980340</v>
          </cell>
          <cell r="S55">
            <v>2387460</v>
          </cell>
          <cell r="T55">
            <v>397910</v>
          </cell>
          <cell r="U55">
            <v>653133</v>
          </cell>
        </row>
        <row r="56">
          <cell r="B56" t="str">
            <v>후공정</v>
          </cell>
          <cell r="C56" t="str">
            <v>SACW0024</v>
          </cell>
          <cell r="D56" t="str">
            <v>조원</v>
          </cell>
          <cell r="E56" t="str">
            <v>이춘자</v>
          </cell>
          <cell r="F56">
            <v>34927</v>
          </cell>
          <cell r="G56">
            <v>1147110</v>
          </cell>
          <cell r="H56">
            <v>1096880</v>
          </cell>
          <cell r="I56">
            <v>1132100</v>
          </cell>
          <cell r="J56">
            <v>1113900</v>
          </cell>
          <cell r="K56">
            <v>1064940</v>
          </cell>
          <cell r="L56">
            <v>999670</v>
          </cell>
          <cell r="M56">
            <v>1036471</v>
          </cell>
          <cell r="N56">
            <v>326780</v>
          </cell>
          <cell r="O56">
            <v>653560</v>
          </cell>
          <cell r="P56">
            <v>100000</v>
          </cell>
          <cell r="Q56">
            <v>326780</v>
          </cell>
          <cell r="R56">
            <v>980340</v>
          </cell>
          <cell r="S56">
            <v>2387460</v>
          </cell>
          <cell r="T56">
            <v>397910</v>
          </cell>
          <cell r="U56">
            <v>707366</v>
          </cell>
        </row>
        <row r="57">
          <cell r="B57" t="str">
            <v>후공정</v>
          </cell>
          <cell r="C57" t="str">
            <v>SACW0025</v>
          </cell>
          <cell r="D57" t="str">
            <v>조원</v>
          </cell>
          <cell r="E57" t="str">
            <v>이봉구</v>
          </cell>
          <cell r="F57">
            <v>34998</v>
          </cell>
          <cell r="G57">
            <v>1054570</v>
          </cell>
          <cell r="H57">
            <v>1076050</v>
          </cell>
          <cell r="I57">
            <v>1157700</v>
          </cell>
          <cell r="J57">
            <v>1125490</v>
          </cell>
          <cell r="K57">
            <v>1038870</v>
          </cell>
          <cell r="L57">
            <v>1021060</v>
          </cell>
          <cell r="M57">
            <v>1038724</v>
          </cell>
          <cell r="N57">
            <v>326780</v>
          </cell>
          <cell r="O57">
            <v>653560</v>
          </cell>
          <cell r="P57">
            <v>100000</v>
          </cell>
          <cell r="Q57">
            <v>326780</v>
          </cell>
          <cell r="R57">
            <v>980340</v>
          </cell>
          <cell r="S57">
            <v>2387460</v>
          </cell>
          <cell r="T57">
            <v>397910</v>
          </cell>
          <cell r="U57">
            <v>708477</v>
          </cell>
        </row>
        <row r="58">
          <cell r="B58" t="str">
            <v>후공정</v>
          </cell>
          <cell r="C58" t="str">
            <v>SACW0026</v>
          </cell>
          <cell r="D58" t="str">
            <v>조원</v>
          </cell>
          <cell r="E58" t="str">
            <v>남금순</v>
          </cell>
          <cell r="F58">
            <v>36390</v>
          </cell>
          <cell r="H58">
            <v>451800</v>
          </cell>
          <cell r="I58">
            <v>962880</v>
          </cell>
          <cell r="J58">
            <v>970720</v>
          </cell>
          <cell r="K58">
            <v>912380</v>
          </cell>
          <cell r="L58">
            <v>929570</v>
          </cell>
          <cell r="M58">
            <v>917175</v>
          </cell>
          <cell r="P58">
            <v>100000</v>
          </cell>
          <cell r="Q58">
            <v>118600</v>
          </cell>
          <cell r="R58">
            <v>533700</v>
          </cell>
          <cell r="S58">
            <v>752300</v>
          </cell>
          <cell r="T58">
            <v>16666.666666666668</v>
          </cell>
          <cell r="U58">
            <v>0</v>
          </cell>
        </row>
        <row r="59">
          <cell r="B59" t="str">
            <v>후공정</v>
          </cell>
          <cell r="C59" t="str">
            <v>SACW0027</v>
          </cell>
          <cell r="D59" t="str">
            <v>조원</v>
          </cell>
          <cell r="E59" t="str">
            <v>김선좌</v>
          </cell>
          <cell r="F59">
            <v>36423</v>
          </cell>
          <cell r="I59">
            <v>384130</v>
          </cell>
          <cell r="J59">
            <v>920720</v>
          </cell>
          <cell r="K59">
            <v>858130</v>
          </cell>
          <cell r="L59">
            <v>762880</v>
          </cell>
          <cell r="M59">
            <v>828825</v>
          </cell>
          <cell r="Q59">
            <v>110100</v>
          </cell>
          <cell r="R59">
            <v>495450</v>
          </cell>
          <cell r="S59">
            <v>605550</v>
          </cell>
          <cell r="T59">
            <v>0</v>
          </cell>
          <cell r="U59">
            <v>0</v>
          </cell>
        </row>
        <row r="60">
          <cell r="B60" t="str">
            <v>전처리</v>
          </cell>
          <cell r="C60" t="str">
            <v>SACM0067</v>
          </cell>
          <cell r="D60" t="str">
            <v>조원</v>
          </cell>
          <cell r="E60" t="str">
            <v>김명호</v>
          </cell>
          <cell r="F60">
            <v>33898</v>
          </cell>
          <cell r="G60">
            <v>1111350</v>
          </cell>
          <cell r="H60">
            <v>1165470</v>
          </cell>
          <cell r="I60">
            <v>1190940</v>
          </cell>
          <cell r="J60">
            <v>1286600</v>
          </cell>
          <cell r="K60">
            <v>1106860</v>
          </cell>
          <cell r="L60">
            <v>1180400</v>
          </cell>
          <cell r="M60">
            <v>1165389</v>
          </cell>
          <cell r="N60">
            <v>377520</v>
          </cell>
          <cell r="O60">
            <v>755030</v>
          </cell>
          <cell r="P60">
            <v>100000</v>
          </cell>
          <cell r="Q60">
            <v>381240</v>
          </cell>
          <cell r="R60">
            <v>1143710</v>
          </cell>
          <cell r="S60">
            <v>2757500</v>
          </cell>
          <cell r="T60">
            <v>457100.83333333337</v>
          </cell>
          <cell r="U60">
            <v>800132</v>
          </cell>
        </row>
        <row r="61">
          <cell r="B61" t="str">
            <v>전처리</v>
          </cell>
          <cell r="C61" t="str">
            <v>SACM0194</v>
          </cell>
          <cell r="D61" t="str">
            <v>조원</v>
          </cell>
          <cell r="E61" t="str">
            <v>허종욱</v>
          </cell>
          <cell r="F61">
            <v>34562</v>
          </cell>
          <cell r="G61">
            <v>1193280</v>
          </cell>
          <cell r="H61">
            <v>1131900</v>
          </cell>
          <cell r="I61">
            <v>1138450</v>
          </cell>
          <cell r="J61">
            <v>1298940</v>
          </cell>
          <cell r="K61">
            <v>1159740</v>
          </cell>
          <cell r="L61">
            <v>1113440</v>
          </cell>
          <cell r="M61">
            <v>1164822</v>
          </cell>
          <cell r="N61">
            <v>379110</v>
          </cell>
          <cell r="O61">
            <v>758220</v>
          </cell>
          <cell r="P61">
            <v>100000</v>
          </cell>
          <cell r="Q61">
            <v>379110</v>
          </cell>
          <cell r="R61">
            <v>1137330</v>
          </cell>
          <cell r="S61">
            <v>2753770</v>
          </cell>
          <cell r="T61">
            <v>458961.66666666669</v>
          </cell>
          <cell r="U61">
            <v>800770</v>
          </cell>
        </row>
        <row r="62">
          <cell r="B62" t="str">
            <v>전처리</v>
          </cell>
          <cell r="C62" t="str">
            <v>SACM0247</v>
          </cell>
          <cell r="D62" t="str">
            <v>조원</v>
          </cell>
          <cell r="E62" t="str">
            <v>정만종</v>
          </cell>
          <cell r="F62">
            <v>35042</v>
          </cell>
          <cell r="G62">
            <v>1253480</v>
          </cell>
          <cell r="H62">
            <v>1237880</v>
          </cell>
          <cell r="I62">
            <v>1270610</v>
          </cell>
          <cell r="J62">
            <v>1292040</v>
          </cell>
          <cell r="K62">
            <v>1288850</v>
          </cell>
          <cell r="L62">
            <v>1210650</v>
          </cell>
          <cell r="M62">
            <v>1236372</v>
          </cell>
          <cell r="N62">
            <v>365030</v>
          </cell>
          <cell r="O62">
            <v>730060</v>
          </cell>
          <cell r="P62">
            <v>100000</v>
          </cell>
          <cell r="Q62">
            <v>365030</v>
          </cell>
          <cell r="R62">
            <v>1095090</v>
          </cell>
          <cell r="S62">
            <v>2655210</v>
          </cell>
          <cell r="T62">
            <v>442535</v>
          </cell>
          <cell r="U62">
            <v>827954</v>
          </cell>
        </row>
        <row r="63">
          <cell r="B63" t="str">
            <v>도장</v>
          </cell>
          <cell r="C63" t="str">
            <v>SACM0307</v>
          </cell>
          <cell r="D63" t="str">
            <v>조원</v>
          </cell>
          <cell r="E63" t="str">
            <v>이병학</v>
          </cell>
          <cell r="F63">
            <v>36388</v>
          </cell>
          <cell r="H63">
            <v>482180</v>
          </cell>
          <cell r="I63">
            <v>1082610</v>
          </cell>
          <cell r="J63">
            <v>1198110</v>
          </cell>
          <cell r="K63">
            <v>1045160</v>
          </cell>
          <cell r="L63">
            <v>1184020</v>
          </cell>
          <cell r="M63">
            <v>1117595</v>
          </cell>
          <cell r="P63">
            <v>50000</v>
          </cell>
          <cell r="Q63">
            <v>138360</v>
          </cell>
          <cell r="R63">
            <v>622640</v>
          </cell>
          <cell r="S63">
            <v>811000</v>
          </cell>
          <cell r="T63">
            <v>8333.3333333333339</v>
          </cell>
          <cell r="U63">
            <v>0</v>
          </cell>
        </row>
        <row r="64">
          <cell r="B64" t="str">
            <v>SHOT</v>
          </cell>
          <cell r="C64" t="str">
            <v>SACM0316</v>
          </cell>
          <cell r="D64" t="str">
            <v>조원</v>
          </cell>
          <cell r="E64" t="str">
            <v>박병호</v>
          </cell>
          <cell r="F64">
            <v>36465</v>
          </cell>
          <cell r="K64">
            <v>967920</v>
          </cell>
          <cell r="L64">
            <v>1017820</v>
          </cell>
          <cell r="M64">
            <v>647524</v>
          </cell>
          <cell r="Q64">
            <v>0</v>
          </cell>
          <cell r="R64">
            <v>310310</v>
          </cell>
          <cell r="S64">
            <v>310310</v>
          </cell>
          <cell r="T64">
            <v>0</v>
          </cell>
          <cell r="U64">
            <v>0</v>
          </cell>
        </row>
        <row r="65">
          <cell r="B65" t="str">
            <v>MIXER</v>
          </cell>
          <cell r="C65" t="str">
            <v>SACM0259</v>
          </cell>
          <cell r="D65" t="str">
            <v>조원</v>
          </cell>
          <cell r="E65" t="str">
            <v>조기봉</v>
          </cell>
          <cell r="F65">
            <v>35144</v>
          </cell>
          <cell r="G65">
            <v>1356290</v>
          </cell>
          <cell r="H65">
            <v>1324600</v>
          </cell>
          <cell r="I65">
            <v>1642800</v>
          </cell>
          <cell r="J65">
            <v>1381840</v>
          </cell>
          <cell r="K65">
            <v>1364910</v>
          </cell>
          <cell r="L65">
            <v>1209930</v>
          </cell>
          <cell r="M65">
            <v>1290222</v>
          </cell>
          <cell r="N65">
            <v>355470</v>
          </cell>
          <cell r="O65">
            <v>710940</v>
          </cell>
          <cell r="P65">
            <v>100000</v>
          </cell>
          <cell r="Q65">
            <v>355470</v>
          </cell>
          <cell r="R65">
            <v>1066410</v>
          </cell>
          <cell r="S65">
            <v>2588290</v>
          </cell>
          <cell r="T65">
            <v>431381.66666666669</v>
          </cell>
          <cell r="U65">
            <v>849010</v>
          </cell>
        </row>
        <row r="66">
          <cell r="B66" t="str">
            <v>MIXER</v>
          </cell>
          <cell r="C66" t="str">
            <v>SACM0291</v>
          </cell>
          <cell r="D66" t="str">
            <v>조원</v>
          </cell>
          <cell r="E66" t="str">
            <v>이성규#</v>
          </cell>
          <cell r="F66">
            <v>36104</v>
          </cell>
          <cell r="G66">
            <v>1343150</v>
          </cell>
          <cell r="H66">
            <v>1404850</v>
          </cell>
          <cell r="I66">
            <v>1401310</v>
          </cell>
          <cell r="J66">
            <v>1385570</v>
          </cell>
          <cell r="K66">
            <v>1362100</v>
          </cell>
          <cell r="L66">
            <v>1243140</v>
          </cell>
          <cell r="M66">
            <v>1301351</v>
          </cell>
          <cell r="N66">
            <v>321200</v>
          </cell>
          <cell r="O66">
            <v>642410</v>
          </cell>
          <cell r="P66">
            <v>100000</v>
          </cell>
          <cell r="Q66">
            <v>333420</v>
          </cell>
          <cell r="R66">
            <v>1000260</v>
          </cell>
          <cell r="S66">
            <v>2397290</v>
          </cell>
          <cell r="T66">
            <v>391405.83333333331</v>
          </cell>
          <cell r="U66">
            <v>834784</v>
          </cell>
        </row>
        <row r="67">
          <cell r="B67" t="str">
            <v>MIXER</v>
          </cell>
          <cell r="C67" t="str">
            <v>SACM0296</v>
          </cell>
          <cell r="D67" t="str">
            <v>조원</v>
          </cell>
          <cell r="E67" t="str">
            <v>윤장헌</v>
          </cell>
          <cell r="F67">
            <v>36269</v>
          </cell>
          <cell r="G67">
            <v>1251640</v>
          </cell>
          <cell r="H67">
            <v>1230360</v>
          </cell>
          <cell r="I67">
            <v>1328790</v>
          </cell>
          <cell r="J67">
            <v>1504850</v>
          </cell>
          <cell r="K67">
            <v>1301380</v>
          </cell>
          <cell r="L67">
            <v>1073450</v>
          </cell>
          <cell r="M67">
            <v>1265113</v>
          </cell>
          <cell r="N67">
            <v>135180</v>
          </cell>
          <cell r="O67">
            <v>270350</v>
          </cell>
          <cell r="P67">
            <v>100000</v>
          </cell>
          <cell r="Q67">
            <v>202760</v>
          </cell>
          <cell r="R67">
            <v>743470</v>
          </cell>
          <cell r="S67">
            <v>1451760</v>
          </cell>
          <cell r="T67">
            <v>174370.83333333334</v>
          </cell>
          <cell r="U67">
            <v>0</v>
          </cell>
        </row>
        <row r="68">
          <cell r="B68" t="str">
            <v>MIXER</v>
          </cell>
          <cell r="C68" t="str">
            <v>SACM0302</v>
          </cell>
          <cell r="D68" t="str">
            <v>조원</v>
          </cell>
          <cell r="E68" t="str">
            <v>한광민</v>
          </cell>
          <cell r="F68">
            <v>36325</v>
          </cell>
          <cell r="G68">
            <v>1048880</v>
          </cell>
          <cell r="H68">
            <v>1004730</v>
          </cell>
          <cell r="I68">
            <v>1164530</v>
          </cell>
          <cell r="J68">
            <v>1270930</v>
          </cell>
          <cell r="K68">
            <v>1084650</v>
          </cell>
          <cell r="L68">
            <v>1151920</v>
          </cell>
          <cell r="M68">
            <v>1143750</v>
          </cell>
          <cell r="O68">
            <v>237410</v>
          </cell>
          <cell r="P68">
            <v>100000</v>
          </cell>
          <cell r="Q68">
            <v>190810</v>
          </cell>
          <cell r="R68">
            <v>699640</v>
          </cell>
          <cell r="S68">
            <v>1227860</v>
          </cell>
          <cell r="T68">
            <v>155155.83333333334</v>
          </cell>
          <cell r="U68">
            <v>0</v>
          </cell>
        </row>
        <row r="69">
          <cell r="B69" t="str">
            <v>MIXER</v>
          </cell>
          <cell r="C69" t="str">
            <v>SACM0306</v>
          </cell>
          <cell r="D69" t="str">
            <v>조원</v>
          </cell>
          <cell r="E69" t="str">
            <v>이연덕</v>
          </cell>
          <cell r="F69">
            <v>36385</v>
          </cell>
          <cell r="H69">
            <v>701890</v>
          </cell>
          <cell r="I69">
            <v>1027010</v>
          </cell>
          <cell r="J69">
            <v>959310</v>
          </cell>
          <cell r="K69">
            <v>1058000</v>
          </cell>
          <cell r="L69">
            <v>1099230</v>
          </cell>
          <cell r="M69">
            <v>1016263</v>
          </cell>
          <cell r="P69">
            <v>50000</v>
          </cell>
          <cell r="Q69">
            <v>128480</v>
          </cell>
          <cell r="R69">
            <v>578160</v>
          </cell>
          <cell r="S69">
            <v>756640</v>
          </cell>
          <cell r="T69">
            <v>8333.3333333333339</v>
          </cell>
          <cell r="U69">
            <v>0</v>
          </cell>
        </row>
        <row r="70">
          <cell r="B70" t="str">
            <v>DP  PRESS</v>
          </cell>
          <cell r="C70" t="str">
            <v>SACM0004</v>
          </cell>
          <cell r="D70" t="str">
            <v>반장보</v>
          </cell>
          <cell r="E70" t="str">
            <v>홍용권</v>
          </cell>
          <cell r="F70">
            <v>33350</v>
          </cell>
          <cell r="G70">
            <v>1673680</v>
          </cell>
          <cell r="H70">
            <v>1649360</v>
          </cell>
          <cell r="I70">
            <v>1491180</v>
          </cell>
          <cell r="J70">
            <v>1613040</v>
          </cell>
          <cell r="K70">
            <v>1632080</v>
          </cell>
          <cell r="L70">
            <v>1278830</v>
          </cell>
          <cell r="M70">
            <v>1475201</v>
          </cell>
          <cell r="N70">
            <v>445520</v>
          </cell>
          <cell r="O70">
            <v>891030</v>
          </cell>
          <cell r="P70">
            <v>100000</v>
          </cell>
          <cell r="Q70">
            <v>445520</v>
          </cell>
          <cell r="R70">
            <v>1336550</v>
          </cell>
          <cell r="S70">
            <v>3218620</v>
          </cell>
          <cell r="T70">
            <v>536434.16666666674</v>
          </cell>
          <cell r="U70">
            <v>992039</v>
          </cell>
        </row>
        <row r="71">
          <cell r="B71" t="str">
            <v>DP  PRESS</v>
          </cell>
          <cell r="C71" t="str">
            <v>SACM0184</v>
          </cell>
          <cell r="D71" t="str">
            <v>조장</v>
          </cell>
          <cell r="E71" t="str">
            <v>송상용</v>
          </cell>
          <cell r="F71">
            <v>34422</v>
          </cell>
          <cell r="G71">
            <v>1431250</v>
          </cell>
          <cell r="H71">
            <v>1285830</v>
          </cell>
          <cell r="I71">
            <v>1542550</v>
          </cell>
          <cell r="J71">
            <v>1623620</v>
          </cell>
          <cell r="K71">
            <v>1404090</v>
          </cell>
          <cell r="L71">
            <v>1304030</v>
          </cell>
          <cell r="M71">
            <v>1412524</v>
          </cell>
          <cell r="N71">
            <v>404880</v>
          </cell>
          <cell r="O71">
            <v>809750</v>
          </cell>
          <cell r="P71">
            <v>100000</v>
          </cell>
          <cell r="Q71">
            <v>404880</v>
          </cell>
          <cell r="R71">
            <v>1214630</v>
          </cell>
          <cell r="S71">
            <v>2934140</v>
          </cell>
          <cell r="T71">
            <v>489020.83333333337</v>
          </cell>
          <cell r="U71">
            <v>937748</v>
          </cell>
        </row>
        <row r="72">
          <cell r="B72" t="str">
            <v>DP  PRESS</v>
          </cell>
          <cell r="C72" t="str">
            <v>SACM0205</v>
          </cell>
          <cell r="D72" t="str">
            <v>조원</v>
          </cell>
          <cell r="E72" t="str">
            <v>김태일#</v>
          </cell>
          <cell r="F72">
            <v>34783</v>
          </cell>
          <cell r="G72">
            <v>1423760</v>
          </cell>
          <cell r="H72">
            <v>1286970</v>
          </cell>
          <cell r="I72">
            <v>1104820</v>
          </cell>
          <cell r="J72">
            <v>1410020</v>
          </cell>
          <cell r="K72">
            <v>1212380</v>
          </cell>
          <cell r="L72">
            <v>1144400</v>
          </cell>
          <cell r="M72">
            <v>1228304</v>
          </cell>
          <cell r="N72">
            <v>363440</v>
          </cell>
          <cell r="O72">
            <v>726880</v>
          </cell>
          <cell r="P72">
            <v>100000</v>
          </cell>
          <cell r="Q72">
            <v>363440</v>
          </cell>
          <cell r="R72">
            <v>1090320</v>
          </cell>
          <cell r="S72">
            <v>2644080</v>
          </cell>
          <cell r="T72">
            <v>440680</v>
          </cell>
          <cell r="U72">
            <v>823061</v>
          </cell>
        </row>
        <row r="73">
          <cell r="B73" t="str">
            <v>DP  PRESS</v>
          </cell>
          <cell r="C73" t="str">
            <v>SACM0226</v>
          </cell>
          <cell r="D73" t="str">
            <v>조원</v>
          </cell>
          <cell r="E73" t="str">
            <v>김용덕</v>
          </cell>
          <cell r="F73">
            <v>34828</v>
          </cell>
          <cell r="G73">
            <v>1287610</v>
          </cell>
          <cell r="H73">
            <v>1272400</v>
          </cell>
          <cell r="I73">
            <v>1250880</v>
          </cell>
          <cell r="J73">
            <v>1254090</v>
          </cell>
          <cell r="K73">
            <v>1106230</v>
          </cell>
          <cell r="L73">
            <v>1065190</v>
          </cell>
          <cell r="M73">
            <v>1117014</v>
          </cell>
          <cell r="N73">
            <v>370610</v>
          </cell>
          <cell r="O73">
            <v>741220</v>
          </cell>
          <cell r="P73">
            <v>100000</v>
          </cell>
          <cell r="Q73">
            <v>370610</v>
          </cell>
          <cell r="R73">
            <v>1111830</v>
          </cell>
          <cell r="S73">
            <v>2694270</v>
          </cell>
          <cell r="T73">
            <v>449045</v>
          </cell>
          <cell r="U73">
            <v>772303</v>
          </cell>
        </row>
        <row r="74">
          <cell r="B74" t="str">
            <v>DP  PRESS</v>
          </cell>
          <cell r="C74" t="str">
            <v>SACM0237</v>
          </cell>
          <cell r="D74" t="str">
            <v>조원</v>
          </cell>
          <cell r="E74" t="str">
            <v>김갑용</v>
          </cell>
          <cell r="F74">
            <v>34918</v>
          </cell>
          <cell r="G74">
            <v>1327500</v>
          </cell>
          <cell r="H74">
            <v>1214290</v>
          </cell>
          <cell r="I74">
            <v>1336770</v>
          </cell>
          <cell r="J74">
            <v>1466740</v>
          </cell>
          <cell r="K74">
            <v>1379700</v>
          </cell>
          <cell r="L74">
            <v>1196400</v>
          </cell>
          <cell r="M74">
            <v>1318317</v>
          </cell>
          <cell r="N74">
            <v>363440</v>
          </cell>
          <cell r="O74">
            <v>726880</v>
          </cell>
          <cell r="P74">
            <v>100000</v>
          </cell>
          <cell r="Q74">
            <v>363440</v>
          </cell>
          <cell r="R74">
            <v>1090320</v>
          </cell>
          <cell r="S74">
            <v>2644080</v>
          </cell>
          <cell r="T74">
            <v>440680</v>
          </cell>
          <cell r="U74">
            <v>867451</v>
          </cell>
        </row>
        <row r="75">
          <cell r="B75" t="str">
            <v>DP  PRESS</v>
          </cell>
          <cell r="C75" t="str">
            <v>SACM0279</v>
          </cell>
          <cell r="D75" t="str">
            <v>조원</v>
          </cell>
          <cell r="E75" t="str">
            <v>유선규</v>
          </cell>
          <cell r="F75">
            <v>35648</v>
          </cell>
          <cell r="G75">
            <v>1185640</v>
          </cell>
          <cell r="H75">
            <v>1097620</v>
          </cell>
          <cell r="I75">
            <v>1335720</v>
          </cell>
          <cell r="J75">
            <v>1223770</v>
          </cell>
          <cell r="K75">
            <v>1219940</v>
          </cell>
          <cell r="L75">
            <v>1119060</v>
          </cell>
          <cell r="M75">
            <v>1161773</v>
          </cell>
          <cell r="N75">
            <v>339800</v>
          </cell>
          <cell r="O75">
            <v>679590</v>
          </cell>
          <cell r="P75">
            <v>100000</v>
          </cell>
          <cell r="Q75">
            <v>339800</v>
          </cell>
          <cell r="R75">
            <v>1019390</v>
          </cell>
          <cell r="S75">
            <v>2478580</v>
          </cell>
          <cell r="T75">
            <v>413094.16666666663</v>
          </cell>
          <cell r="U75">
            <v>776647</v>
          </cell>
        </row>
        <row r="76">
          <cell r="B76" t="str">
            <v>DP  PRESS</v>
          </cell>
          <cell r="C76" t="str">
            <v>SACM0318</v>
          </cell>
          <cell r="D76" t="str">
            <v>조원</v>
          </cell>
          <cell r="E76" t="str">
            <v>이재일</v>
          </cell>
          <cell r="F76">
            <v>36465</v>
          </cell>
          <cell r="K76">
            <v>1027210</v>
          </cell>
          <cell r="L76">
            <v>869300</v>
          </cell>
          <cell r="M76">
            <v>618427</v>
          </cell>
          <cell r="Q76">
            <v>0</v>
          </cell>
          <cell r="R76">
            <v>297560</v>
          </cell>
          <cell r="S76">
            <v>297560</v>
          </cell>
          <cell r="T76">
            <v>0</v>
          </cell>
          <cell r="U76">
            <v>0</v>
          </cell>
        </row>
        <row r="77">
          <cell r="B77" t="str">
            <v>D/P 연마</v>
          </cell>
          <cell r="C77" t="str">
            <v>SACM0055</v>
          </cell>
          <cell r="D77" t="str">
            <v>조장</v>
          </cell>
          <cell r="E77" t="str">
            <v>오순선</v>
          </cell>
          <cell r="F77">
            <v>33878</v>
          </cell>
          <cell r="G77">
            <v>899790</v>
          </cell>
          <cell r="H77">
            <v>899790</v>
          </cell>
          <cell r="I77">
            <v>899790</v>
          </cell>
          <cell r="J77">
            <v>899790</v>
          </cell>
          <cell r="K77">
            <v>899790</v>
          </cell>
          <cell r="L77">
            <v>899790</v>
          </cell>
          <cell r="M77">
            <v>899790</v>
          </cell>
          <cell r="O77" t="str">
            <v>휴      직      자       1년  평균상여(98.5-99.4)</v>
          </cell>
          <cell r="S77">
            <v>0</v>
          </cell>
          <cell r="T77">
            <v>508025</v>
          </cell>
          <cell r="U77">
            <v>694265</v>
          </cell>
        </row>
        <row r="78">
          <cell r="B78" t="str">
            <v>D/P 연마</v>
          </cell>
          <cell r="C78" t="str">
            <v>SACM0140</v>
          </cell>
          <cell r="D78" t="str">
            <v>조원</v>
          </cell>
          <cell r="E78" t="str">
            <v>김종열</v>
          </cell>
          <cell r="F78">
            <v>34081</v>
          </cell>
          <cell r="G78">
            <v>1210770</v>
          </cell>
          <cell r="H78">
            <v>1364070</v>
          </cell>
          <cell r="I78">
            <v>1035560</v>
          </cell>
          <cell r="J78">
            <v>1371050</v>
          </cell>
          <cell r="K78">
            <v>1138150</v>
          </cell>
          <cell r="L78">
            <v>1138070</v>
          </cell>
          <cell r="M78">
            <v>1189327</v>
          </cell>
          <cell r="N78">
            <v>401420</v>
          </cell>
          <cell r="O78">
            <v>802840</v>
          </cell>
          <cell r="P78">
            <v>100000</v>
          </cell>
          <cell r="Q78">
            <v>401420</v>
          </cell>
          <cell r="R78">
            <v>1204260</v>
          </cell>
          <cell r="S78">
            <v>2909940</v>
          </cell>
          <cell r="T78">
            <v>484990</v>
          </cell>
          <cell r="U78">
            <v>825691</v>
          </cell>
        </row>
        <row r="79">
          <cell r="B79" t="str">
            <v>D/P 연마</v>
          </cell>
          <cell r="C79" t="str">
            <v>SACM0217</v>
          </cell>
          <cell r="D79" t="str">
            <v>조원</v>
          </cell>
          <cell r="E79" t="str">
            <v>채진군</v>
          </cell>
          <cell r="F79">
            <v>34803</v>
          </cell>
          <cell r="G79">
            <v>1174210</v>
          </cell>
          <cell r="H79">
            <v>1017130</v>
          </cell>
          <cell r="I79">
            <v>986250</v>
          </cell>
          <cell r="J79">
            <v>1143020</v>
          </cell>
          <cell r="K79">
            <v>1188880</v>
          </cell>
          <cell r="L79">
            <v>1039300</v>
          </cell>
          <cell r="M79">
            <v>1099304</v>
          </cell>
          <cell r="N79">
            <v>358660</v>
          </cell>
          <cell r="O79">
            <v>717310</v>
          </cell>
          <cell r="P79">
            <v>100000</v>
          </cell>
          <cell r="Q79">
            <v>358660</v>
          </cell>
          <cell r="R79">
            <v>1075970</v>
          </cell>
          <cell r="S79">
            <v>2610600</v>
          </cell>
          <cell r="T79">
            <v>435097.5</v>
          </cell>
          <cell r="U79">
            <v>756691</v>
          </cell>
        </row>
        <row r="80">
          <cell r="B80" t="str">
            <v>D/P 연마</v>
          </cell>
          <cell r="C80" t="str">
            <v>SACM0234</v>
          </cell>
          <cell r="D80" t="str">
            <v>조원</v>
          </cell>
          <cell r="E80" t="str">
            <v>김풍수</v>
          </cell>
          <cell r="F80">
            <v>34886</v>
          </cell>
          <cell r="G80">
            <v>1330330</v>
          </cell>
          <cell r="H80">
            <v>1203820</v>
          </cell>
          <cell r="I80">
            <v>1297050</v>
          </cell>
          <cell r="J80">
            <v>1372010</v>
          </cell>
          <cell r="K80">
            <v>1254970</v>
          </cell>
          <cell r="L80">
            <v>1224580</v>
          </cell>
          <cell r="M80">
            <v>1255943</v>
          </cell>
          <cell r="N80">
            <v>363440</v>
          </cell>
          <cell r="O80">
            <v>726880</v>
          </cell>
          <cell r="P80">
            <v>100000</v>
          </cell>
          <cell r="Q80">
            <v>363440</v>
          </cell>
          <cell r="R80">
            <v>1090320</v>
          </cell>
          <cell r="S80">
            <v>2644080</v>
          </cell>
          <cell r="T80">
            <v>440680</v>
          </cell>
          <cell r="U80">
            <v>836691</v>
          </cell>
        </row>
        <row r="81">
          <cell r="B81" t="str">
            <v>D/P 연마</v>
          </cell>
          <cell r="C81" t="str">
            <v>SACM0305</v>
          </cell>
          <cell r="D81" t="str">
            <v>조원</v>
          </cell>
          <cell r="E81" t="str">
            <v>김윤연</v>
          </cell>
          <cell r="F81">
            <v>36385</v>
          </cell>
          <cell r="H81">
            <v>517820</v>
          </cell>
          <cell r="I81">
            <v>794170</v>
          </cell>
          <cell r="J81">
            <v>1055890</v>
          </cell>
          <cell r="K81">
            <v>914290</v>
          </cell>
          <cell r="L81">
            <v>926140</v>
          </cell>
          <cell r="M81">
            <v>944452</v>
          </cell>
          <cell r="P81">
            <v>50000</v>
          </cell>
          <cell r="Q81">
            <v>127210</v>
          </cell>
          <cell r="R81">
            <v>572430</v>
          </cell>
          <cell r="S81">
            <v>749640</v>
          </cell>
          <cell r="T81">
            <v>8333.3333333333339</v>
          </cell>
          <cell r="U81">
            <v>0</v>
          </cell>
        </row>
        <row r="82">
          <cell r="B82" t="str">
            <v>BL PRESS</v>
          </cell>
          <cell r="C82" t="str">
            <v>SACM0092</v>
          </cell>
          <cell r="D82" t="str">
            <v>조장</v>
          </cell>
          <cell r="E82" t="str">
            <v>김영환</v>
          </cell>
          <cell r="F82">
            <v>33929</v>
          </cell>
          <cell r="G82">
            <v>1725090</v>
          </cell>
          <cell r="H82">
            <v>1353760</v>
          </cell>
          <cell r="I82">
            <v>1483590</v>
          </cell>
          <cell r="J82">
            <v>1726180</v>
          </cell>
          <cell r="K82">
            <v>1648100</v>
          </cell>
          <cell r="L82">
            <v>1499780</v>
          </cell>
          <cell r="M82">
            <v>1589367</v>
          </cell>
          <cell r="N82">
            <v>430380</v>
          </cell>
          <cell r="O82">
            <v>860750</v>
          </cell>
          <cell r="P82">
            <v>100000</v>
          </cell>
          <cell r="Q82">
            <v>434090</v>
          </cell>
          <cell r="R82">
            <v>1302280</v>
          </cell>
          <cell r="S82">
            <v>3127500</v>
          </cell>
          <cell r="T82">
            <v>518770.83333333326</v>
          </cell>
          <cell r="U82">
            <v>1039630</v>
          </cell>
        </row>
        <row r="83">
          <cell r="B83" t="str">
            <v>BL PRESS</v>
          </cell>
          <cell r="C83" t="str">
            <v>SACM0110</v>
          </cell>
          <cell r="D83" t="str">
            <v>반장보</v>
          </cell>
          <cell r="E83" t="str">
            <v>채수정</v>
          </cell>
          <cell r="F83">
            <v>28571</v>
          </cell>
          <cell r="G83">
            <v>2207940</v>
          </cell>
          <cell r="H83">
            <v>2354550</v>
          </cell>
          <cell r="I83">
            <v>2329230</v>
          </cell>
          <cell r="J83">
            <v>2264550</v>
          </cell>
          <cell r="K83">
            <v>2167980</v>
          </cell>
          <cell r="L83">
            <v>2000620</v>
          </cell>
          <cell r="M83">
            <v>2097766</v>
          </cell>
          <cell r="N83">
            <v>609410</v>
          </cell>
          <cell r="O83">
            <v>1218810</v>
          </cell>
          <cell r="P83">
            <v>100000</v>
          </cell>
          <cell r="Q83">
            <v>609410</v>
          </cell>
          <cell r="R83">
            <v>1828220</v>
          </cell>
          <cell r="S83">
            <v>4365850</v>
          </cell>
          <cell r="T83">
            <v>727639.16666666674</v>
          </cell>
          <cell r="U83">
            <v>1393350</v>
          </cell>
        </row>
        <row r="84">
          <cell r="B84" t="str">
            <v>BL PRESS</v>
          </cell>
          <cell r="C84" t="str">
            <v>SACM0186</v>
          </cell>
          <cell r="D84" t="str">
            <v>조원</v>
          </cell>
          <cell r="E84" t="str">
            <v>김동식</v>
          </cell>
          <cell r="F84">
            <v>34445</v>
          </cell>
          <cell r="G84">
            <v>1161700</v>
          </cell>
          <cell r="H84">
            <v>1059420</v>
          </cell>
          <cell r="I84">
            <v>1113140</v>
          </cell>
          <cell r="J84">
            <v>1192710</v>
          </cell>
          <cell r="K84">
            <v>1078660</v>
          </cell>
          <cell r="L84">
            <v>980970</v>
          </cell>
          <cell r="M84">
            <v>1060546</v>
          </cell>
          <cell r="N84">
            <v>377520</v>
          </cell>
          <cell r="O84">
            <v>755030</v>
          </cell>
          <cell r="P84">
            <v>100000</v>
          </cell>
          <cell r="Q84">
            <v>377520</v>
          </cell>
          <cell r="R84">
            <v>1132550</v>
          </cell>
          <cell r="S84">
            <v>2742620</v>
          </cell>
          <cell r="T84">
            <v>457100.83333333337</v>
          </cell>
          <cell r="U84">
            <v>748429</v>
          </cell>
        </row>
        <row r="85">
          <cell r="B85" t="str">
            <v>BL PRESS</v>
          </cell>
          <cell r="C85" t="str">
            <v>SACM0246</v>
          </cell>
          <cell r="D85" t="str">
            <v>조원</v>
          </cell>
          <cell r="E85" t="str">
            <v>황동찬</v>
          </cell>
          <cell r="F85">
            <v>35016</v>
          </cell>
          <cell r="G85">
            <v>1461540</v>
          </cell>
          <cell r="H85">
            <v>1376490</v>
          </cell>
          <cell r="I85">
            <v>1370300</v>
          </cell>
          <cell r="J85">
            <v>1567300</v>
          </cell>
          <cell r="K85">
            <v>1497070</v>
          </cell>
          <cell r="L85">
            <v>1393010</v>
          </cell>
          <cell r="M85">
            <v>1453493</v>
          </cell>
          <cell r="N85">
            <v>385750</v>
          </cell>
          <cell r="O85">
            <v>771500</v>
          </cell>
          <cell r="P85">
            <v>100000</v>
          </cell>
          <cell r="Q85">
            <v>385750</v>
          </cell>
          <cell r="R85">
            <v>1157250</v>
          </cell>
          <cell r="S85">
            <v>2800250</v>
          </cell>
          <cell r="T85">
            <v>466708.33333333337</v>
          </cell>
          <cell r="U85">
            <v>946949</v>
          </cell>
        </row>
        <row r="86">
          <cell r="B86" t="str">
            <v>BL PRESS</v>
          </cell>
          <cell r="C86" t="str">
            <v>SACM0311</v>
          </cell>
          <cell r="D86" t="str">
            <v>조원</v>
          </cell>
          <cell r="E86" t="str">
            <v>여운상</v>
          </cell>
          <cell r="F86">
            <v>36412</v>
          </cell>
          <cell r="I86">
            <v>721860</v>
          </cell>
          <cell r="J86">
            <v>1225620</v>
          </cell>
          <cell r="K86">
            <v>1056300</v>
          </cell>
          <cell r="L86">
            <v>1135490</v>
          </cell>
          <cell r="M86">
            <v>1114373</v>
          </cell>
          <cell r="P86">
            <v>50000</v>
          </cell>
          <cell r="Q86">
            <v>124760</v>
          </cell>
          <cell r="R86">
            <v>561440</v>
          </cell>
          <cell r="S86">
            <v>736200</v>
          </cell>
          <cell r="T86">
            <v>8333.3333333333339</v>
          </cell>
          <cell r="U86">
            <v>0</v>
          </cell>
        </row>
        <row r="87">
          <cell r="B87" t="str">
            <v>BL PRESS</v>
          </cell>
          <cell r="C87" t="str">
            <v>SACM0315</v>
          </cell>
          <cell r="D87" t="str">
            <v>조원</v>
          </cell>
          <cell r="E87" t="str">
            <v>김주영</v>
          </cell>
          <cell r="F87">
            <v>36465</v>
          </cell>
          <cell r="K87">
            <v>1167010</v>
          </cell>
          <cell r="L87">
            <v>1166660</v>
          </cell>
          <cell r="M87">
            <v>760979</v>
          </cell>
          <cell r="Q87">
            <v>0</v>
          </cell>
          <cell r="R87">
            <v>312700</v>
          </cell>
          <cell r="S87">
            <v>312700</v>
          </cell>
          <cell r="T87">
            <v>0</v>
          </cell>
          <cell r="U87">
            <v>0</v>
          </cell>
        </row>
        <row r="88">
          <cell r="B88" t="str">
            <v>B/L 연마</v>
          </cell>
          <cell r="C88" t="str">
            <v>SACM0253</v>
          </cell>
          <cell r="D88" t="str">
            <v>조원</v>
          </cell>
          <cell r="E88" t="str">
            <v>김정명</v>
          </cell>
          <cell r="F88">
            <v>35135</v>
          </cell>
          <cell r="G88">
            <v>1184880</v>
          </cell>
          <cell r="H88">
            <v>1108030</v>
          </cell>
          <cell r="I88">
            <v>1167460</v>
          </cell>
          <cell r="J88">
            <v>1267320</v>
          </cell>
          <cell r="K88">
            <v>1152010</v>
          </cell>
          <cell r="L88">
            <v>1010290</v>
          </cell>
          <cell r="M88">
            <v>1118354</v>
          </cell>
          <cell r="N88">
            <v>356270</v>
          </cell>
          <cell r="O88">
            <v>712530</v>
          </cell>
          <cell r="P88">
            <v>100000</v>
          </cell>
          <cell r="Q88">
            <v>356270</v>
          </cell>
          <cell r="R88">
            <v>1068800</v>
          </cell>
          <cell r="S88">
            <v>2593870</v>
          </cell>
          <cell r="T88">
            <v>432309.16666666663</v>
          </cell>
          <cell r="U88">
            <v>764711</v>
          </cell>
        </row>
        <row r="89">
          <cell r="B89" t="str">
            <v>B/L 연마</v>
          </cell>
          <cell r="C89" t="str">
            <v>SACM0274</v>
          </cell>
          <cell r="D89" t="str">
            <v>조원</v>
          </cell>
          <cell r="E89" t="str">
            <v>정상교</v>
          </cell>
          <cell r="F89">
            <v>35320</v>
          </cell>
          <cell r="G89">
            <v>1145110</v>
          </cell>
          <cell r="H89">
            <v>1265480</v>
          </cell>
          <cell r="I89">
            <v>1386900</v>
          </cell>
          <cell r="J89">
            <v>1465690</v>
          </cell>
          <cell r="K89">
            <v>1445520</v>
          </cell>
          <cell r="L89">
            <v>1161060</v>
          </cell>
          <cell r="M89">
            <v>1327914</v>
          </cell>
          <cell r="N89">
            <v>350160</v>
          </cell>
          <cell r="O89">
            <v>704560</v>
          </cell>
          <cell r="P89">
            <v>100000</v>
          </cell>
          <cell r="Q89">
            <v>352280</v>
          </cell>
          <cell r="R89">
            <v>1056840</v>
          </cell>
          <cell r="S89">
            <v>2563840</v>
          </cell>
          <cell r="T89">
            <v>427660</v>
          </cell>
          <cell r="U89">
            <v>865763</v>
          </cell>
        </row>
        <row r="90">
          <cell r="B90" t="str">
            <v>마찰소계</v>
          </cell>
          <cell r="G90">
            <v>42404740</v>
          </cell>
          <cell r="H90">
            <v>42986330</v>
          </cell>
          <cell r="I90">
            <v>47188580</v>
          </cell>
          <cell r="J90">
            <v>50368240</v>
          </cell>
          <cell r="K90">
            <v>50845880</v>
          </cell>
          <cell r="L90">
            <v>47858530</v>
          </cell>
          <cell r="M90">
            <v>48630205</v>
          </cell>
          <cell r="N90">
            <v>11270240</v>
          </cell>
          <cell r="O90">
            <v>22782030</v>
          </cell>
          <cell r="P90">
            <v>3500000</v>
          </cell>
          <cell r="Q90">
            <v>12297910</v>
          </cell>
          <cell r="R90">
            <v>39502650</v>
          </cell>
          <cell r="S90">
            <v>89352830</v>
          </cell>
          <cell r="T90">
            <v>14380875.833333332</v>
          </cell>
          <cell r="U90">
            <v>25473773</v>
          </cell>
        </row>
        <row r="91">
          <cell r="A91" t="str">
            <v>공통</v>
          </cell>
          <cell r="B91" t="str">
            <v>품질관리팀</v>
          </cell>
          <cell r="C91" t="str">
            <v>SACM0033</v>
          </cell>
          <cell r="D91" t="str">
            <v>조장</v>
          </cell>
          <cell r="E91" t="str">
            <v>김연웅</v>
          </cell>
          <cell r="F91">
            <v>33786</v>
          </cell>
          <cell r="G91">
            <v>1096210</v>
          </cell>
          <cell r="H91">
            <v>1099630</v>
          </cell>
          <cell r="I91">
            <v>1086780</v>
          </cell>
          <cell r="J91">
            <v>1050770</v>
          </cell>
          <cell r="K91">
            <v>1037590</v>
          </cell>
          <cell r="L91">
            <v>1119520</v>
          </cell>
          <cell r="M91">
            <v>1046048</v>
          </cell>
          <cell r="N91">
            <v>424530</v>
          </cell>
          <cell r="O91">
            <v>849060</v>
          </cell>
          <cell r="P91">
            <v>100000</v>
          </cell>
          <cell r="Q91">
            <v>424530</v>
          </cell>
          <cell r="R91">
            <v>1273590</v>
          </cell>
          <cell r="S91">
            <v>3071710</v>
          </cell>
          <cell r="T91">
            <v>511951.66666666663</v>
          </cell>
          <cell r="U91">
            <v>768329</v>
          </cell>
        </row>
        <row r="92">
          <cell r="B92" t="str">
            <v>품질관리팀</v>
          </cell>
          <cell r="C92" t="str">
            <v>SACM0089</v>
          </cell>
          <cell r="D92" t="str">
            <v>조장</v>
          </cell>
          <cell r="E92" t="str">
            <v>이상영</v>
          </cell>
          <cell r="F92">
            <v>33900</v>
          </cell>
          <cell r="G92">
            <v>1397340</v>
          </cell>
          <cell r="H92">
            <v>1384080</v>
          </cell>
          <cell r="I92">
            <v>1485120</v>
          </cell>
          <cell r="J92">
            <v>1586400</v>
          </cell>
          <cell r="K92">
            <v>1551960</v>
          </cell>
          <cell r="L92">
            <v>1459760</v>
          </cell>
          <cell r="M92">
            <v>1499387</v>
          </cell>
          <cell r="N92">
            <v>471020</v>
          </cell>
          <cell r="O92">
            <v>942030</v>
          </cell>
          <cell r="P92">
            <v>100000</v>
          </cell>
          <cell r="Q92">
            <v>474740</v>
          </cell>
          <cell r="R92">
            <v>1424210</v>
          </cell>
          <cell r="S92">
            <v>3412000</v>
          </cell>
          <cell r="T92">
            <v>566184.16666666663</v>
          </cell>
          <cell r="U92">
            <v>1018638</v>
          </cell>
        </row>
        <row r="93">
          <cell r="B93" t="str">
            <v>품질관리팀</v>
          </cell>
          <cell r="C93" t="str">
            <v>SACM0121</v>
          </cell>
          <cell r="D93" t="str">
            <v>반장보</v>
          </cell>
          <cell r="E93" t="str">
            <v>박성환#</v>
          </cell>
          <cell r="F93">
            <v>32378</v>
          </cell>
          <cell r="G93">
            <v>1817540</v>
          </cell>
          <cell r="H93">
            <v>1595500</v>
          </cell>
          <cell r="I93">
            <v>1884230</v>
          </cell>
          <cell r="J93">
            <v>1894550</v>
          </cell>
          <cell r="K93">
            <v>1777110</v>
          </cell>
          <cell r="L93">
            <v>1732800</v>
          </cell>
          <cell r="M93">
            <v>1762324</v>
          </cell>
          <cell r="N93">
            <v>535830</v>
          </cell>
          <cell r="O93">
            <v>1071660</v>
          </cell>
          <cell r="P93">
            <v>100000</v>
          </cell>
          <cell r="Q93">
            <v>535830</v>
          </cell>
          <cell r="R93">
            <v>1607490</v>
          </cell>
          <cell r="S93">
            <v>3850810</v>
          </cell>
          <cell r="T93">
            <v>641801.66666666674</v>
          </cell>
          <cell r="U93">
            <v>1185596</v>
          </cell>
        </row>
        <row r="94">
          <cell r="B94" t="str">
            <v>품질관리팀</v>
          </cell>
          <cell r="C94" t="str">
            <v>SACM0128</v>
          </cell>
          <cell r="D94" t="str">
            <v>조장</v>
          </cell>
          <cell r="E94" t="str">
            <v>임진수</v>
          </cell>
          <cell r="F94">
            <v>31661</v>
          </cell>
          <cell r="G94">
            <v>1501790</v>
          </cell>
          <cell r="H94">
            <v>1468610</v>
          </cell>
          <cell r="I94">
            <v>1532230</v>
          </cell>
          <cell r="J94">
            <v>1631760</v>
          </cell>
          <cell r="K94">
            <v>1655790</v>
          </cell>
          <cell r="L94">
            <v>1614340</v>
          </cell>
          <cell r="M94">
            <v>1598442</v>
          </cell>
          <cell r="N94">
            <v>535560</v>
          </cell>
          <cell r="O94">
            <v>1071130</v>
          </cell>
          <cell r="P94">
            <v>100000</v>
          </cell>
          <cell r="Q94">
            <v>535560</v>
          </cell>
          <cell r="R94">
            <v>1606690</v>
          </cell>
          <cell r="S94">
            <v>3848940</v>
          </cell>
          <cell r="T94">
            <v>641492.5</v>
          </cell>
          <cell r="U94">
            <v>1104625</v>
          </cell>
        </row>
        <row r="95">
          <cell r="B95" t="str">
            <v>품질관리팀</v>
          </cell>
          <cell r="C95" t="str">
            <v>SACM0143</v>
          </cell>
          <cell r="D95" t="str">
            <v>조원</v>
          </cell>
          <cell r="E95" t="str">
            <v>김근덕</v>
          </cell>
          <cell r="F95">
            <v>34099</v>
          </cell>
          <cell r="G95">
            <v>1571590</v>
          </cell>
          <cell r="H95">
            <v>1384640</v>
          </cell>
          <cell r="I95">
            <v>1471930</v>
          </cell>
          <cell r="J95">
            <v>1581850</v>
          </cell>
          <cell r="K95">
            <v>1644770</v>
          </cell>
          <cell r="L95">
            <v>1546750</v>
          </cell>
          <cell r="M95">
            <v>1556534</v>
          </cell>
          <cell r="N95">
            <v>391060</v>
          </cell>
          <cell r="O95">
            <v>782130</v>
          </cell>
          <cell r="P95">
            <v>100000</v>
          </cell>
          <cell r="Q95">
            <v>391060</v>
          </cell>
          <cell r="R95">
            <v>1173190</v>
          </cell>
          <cell r="S95">
            <v>2837440</v>
          </cell>
          <cell r="T95">
            <v>472909.16666666669</v>
          </cell>
          <cell r="U95">
            <v>1000821</v>
          </cell>
        </row>
        <row r="96">
          <cell r="B96" t="str">
            <v>품질관리팀</v>
          </cell>
          <cell r="C96" t="str">
            <v>SACM0160</v>
          </cell>
          <cell r="D96" t="str">
            <v>조원</v>
          </cell>
          <cell r="E96" t="str">
            <v>이종홍</v>
          </cell>
          <cell r="F96">
            <v>34213</v>
          </cell>
          <cell r="G96">
            <v>1152170</v>
          </cell>
          <cell r="H96">
            <v>920240</v>
          </cell>
          <cell r="I96">
            <v>1094470</v>
          </cell>
          <cell r="J96">
            <v>1066780</v>
          </cell>
          <cell r="K96">
            <v>992670</v>
          </cell>
          <cell r="L96">
            <v>1015690</v>
          </cell>
          <cell r="M96">
            <v>1002763</v>
          </cell>
          <cell r="N96">
            <v>387080</v>
          </cell>
          <cell r="O96">
            <v>774160</v>
          </cell>
          <cell r="P96">
            <v>100000</v>
          </cell>
          <cell r="Q96">
            <v>387080</v>
          </cell>
          <cell r="R96">
            <v>1161240</v>
          </cell>
          <cell r="S96">
            <v>2809560</v>
          </cell>
          <cell r="T96">
            <v>468260</v>
          </cell>
          <cell r="U96">
            <v>725436</v>
          </cell>
        </row>
        <row r="97">
          <cell r="B97" t="str">
            <v>품질관리팀</v>
          </cell>
          <cell r="C97" t="str">
            <v>SACM0169</v>
          </cell>
          <cell r="D97" t="str">
            <v>조원</v>
          </cell>
          <cell r="E97" t="str">
            <v>정광수</v>
          </cell>
          <cell r="F97">
            <v>34267</v>
          </cell>
          <cell r="G97">
            <v>1091330</v>
          </cell>
          <cell r="H97">
            <v>1083810</v>
          </cell>
          <cell r="I97">
            <v>1194290</v>
          </cell>
          <cell r="J97">
            <v>1099450</v>
          </cell>
          <cell r="K97">
            <v>1099930</v>
          </cell>
          <cell r="L97">
            <v>1064780</v>
          </cell>
          <cell r="M97">
            <v>1064400</v>
          </cell>
          <cell r="N97">
            <v>390270</v>
          </cell>
          <cell r="O97">
            <v>780530</v>
          </cell>
          <cell r="P97">
            <v>100000</v>
          </cell>
          <cell r="Q97">
            <v>390270</v>
          </cell>
          <cell r="R97">
            <v>1170800</v>
          </cell>
          <cell r="S97">
            <v>2831870</v>
          </cell>
          <cell r="T97">
            <v>471975.83333333331</v>
          </cell>
          <cell r="U97">
            <v>757665</v>
          </cell>
        </row>
        <row r="98">
          <cell r="B98" t="str">
            <v>품질관리팀</v>
          </cell>
          <cell r="C98" t="str">
            <v>SACM0277</v>
          </cell>
          <cell r="D98" t="str">
            <v>조원</v>
          </cell>
          <cell r="E98" t="str">
            <v>김진수</v>
          </cell>
          <cell r="F98">
            <v>35646</v>
          </cell>
          <cell r="G98">
            <v>1080460</v>
          </cell>
          <cell r="H98">
            <v>1185000</v>
          </cell>
          <cell r="I98">
            <v>1282740</v>
          </cell>
          <cell r="J98">
            <v>1353720</v>
          </cell>
          <cell r="K98">
            <v>1210540</v>
          </cell>
          <cell r="L98">
            <v>1218630</v>
          </cell>
          <cell r="M98">
            <v>1233551</v>
          </cell>
          <cell r="N98">
            <v>339800</v>
          </cell>
          <cell r="O98">
            <v>679590</v>
          </cell>
          <cell r="P98">
            <v>100000</v>
          </cell>
          <cell r="Q98">
            <v>339800</v>
          </cell>
          <cell r="R98">
            <v>1019390</v>
          </cell>
          <cell r="S98">
            <v>2478580</v>
          </cell>
          <cell r="T98">
            <v>413094.16666666663</v>
          </cell>
          <cell r="U98">
            <v>812044</v>
          </cell>
        </row>
        <row r="99">
          <cell r="B99" t="str">
            <v>품질관리팀</v>
          </cell>
          <cell r="C99" t="str">
            <v>SACM0278</v>
          </cell>
          <cell r="D99" t="str">
            <v>조원</v>
          </cell>
          <cell r="E99" t="str">
            <v>조병문</v>
          </cell>
          <cell r="F99">
            <v>35646</v>
          </cell>
          <cell r="G99">
            <v>1002800</v>
          </cell>
          <cell r="H99">
            <v>1023980</v>
          </cell>
          <cell r="I99">
            <v>1023150</v>
          </cell>
          <cell r="J99">
            <v>1088830</v>
          </cell>
          <cell r="K99">
            <v>1020330</v>
          </cell>
          <cell r="L99">
            <v>956900</v>
          </cell>
          <cell r="M99">
            <v>999802</v>
          </cell>
          <cell r="N99">
            <v>339800</v>
          </cell>
          <cell r="O99">
            <v>679590</v>
          </cell>
          <cell r="P99">
            <v>100000</v>
          </cell>
          <cell r="Q99">
            <v>339800</v>
          </cell>
          <cell r="R99">
            <v>1019390</v>
          </cell>
          <cell r="S99">
            <v>2478580</v>
          </cell>
          <cell r="T99">
            <v>413094.16666666663</v>
          </cell>
          <cell r="U99">
            <v>696771</v>
          </cell>
        </row>
        <row r="100">
          <cell r="B100" t="str">
            <v>품질관리팀</v>
          </cell>
          <cell r="C100" t="str">
            <v>SACM0286</v>
          </cell>
          <cell r="D100" t="str">
            <v>조원</v>
          </cell>
          <cell r="E100" t="str">
            <v>정장수</v>
          </cell>
          <cell r="F100">
            <v>35997</v>
          </cell>
          <cell r="G100">
            <v>782430</v>
          </cell>
          <cell r="H100">
            <v>785890</v>
          </cell>
          <cell r="I100">
            <v>936250</v>
          </cell>
          <cell r="J100">
            <v>911520</v>
          </cell>
          <cell r="K100">
            <v>841720</v>
          </cell>
          <cell r="L100">
            <v>855470</v>
          </cell>
          <cell r="M100">
            <v>850666</v>
          </cell>
          <cell r="N100">
            <v>333420</v>
          </cell>
          <cell r="O100">
            <v>666840</v>
          </cell>
          <cell r="P100">
            <v>100000</v>
          </cell>
          <cell r="Q100">
            <v>333420</v>
          </cell>
          <cell r="R100">
            <v>1000260</v>
          </cell>
          <cell r="S100">
            <v>2433940</v>
          </cell>
          <cell r="T100">
            <v>405656.66666666669</v>
          </cell>
          <cell r="U100">
            <v>619556</v>
          </cell>
        </row>
        <row r="101">
          <cell r="B101" t="str">
            <v>생산관리팀</v>
          </cell>
          <cell r="C101" t="str">
            <v>SACM0111</v>
          </cell>
          <cell r="D101" t="str">
            <v>반장보</v>
          </cell>
          <cell r="E101" t="str">
            <v>조광석</v>
          </cell>
          <cell r="F101">
            <v>30508</v>
          </cell>
          <cell r="G101">
            <v>1855640</v>
          </cell>
          <cell r="H101">
            <v>1724140</v>
          </cell>
          <cell r="I101">
            <v>1978150</v>
          </cell>
          <cell r="J101">
            <v>1810710</v>
          </cell>
          <cell r="K101">
            <v>1627120</v>
          </cell>
          <cell r="L101">
            <v>1728590</v>
          </cell>
          <cell r="M101">
            <v>1684702</v>
          </cell>
          <cell r="N101">
            <v>560270</v>
          </cell>
          <cell r="O101">
            <v>1120530</v>
          </cell>
          <cell r="P101">
            <v>100000</v>
          </cell>
          <cell r="Q101">
            <v>560270</v>
          </cell>
          <cell r="R101">
            <v>1680800</v>
          </cell>
          <cell r="S101">
            <v>4021870</v>
          </cell>
          <cell r="T101">
            <v>670309.16666666674</v>
          </cell>
          <cell r="U101">
            <v>1161375</v>
          </cell>
        </row>
        <row r="102">
          <cell r="B102" t="str">
            <v>생산관리팀</v>
          </cell>
          <cell r="C102" t="str">
            <v>SACM0141</v>
          </cell>
          <cell r="D102" t="str">
            <v>반장</v>
          </cell>
          <cell r="E102" t="str">
            <v>장대성</v>
          </cell>
          <cell r="F102">
            <v>31878</v>
          </cell>
          <cell r="G102">
            <v>2096640</v>
          </cell>
          <cell r="H102">
            <v>1714170</v>
          </cell>
          <cell r="I102">
            <v>1822550</v>
          </cell>
          <cell r="J102">
            <v>1719070</v>
          </cell>
          <cell r="K102">
            <v>1585490</v>
          </cell>
          <cell r="L102">
            <v>1555810</v>
          </cell>
          <cell r="M102">
            <v>1584903</v>
          </cell>
          <cell r="N102">
            <v>555220</v>
          </cell>
          <cell r="O102">
            <v>1110440</v>
          </cell>
          <cell r="P102">
            <v>100000</v>
          </cell>
          <cell r="Q102">
            <v>555220</v>
          </cell>
          <cell r="R102">
            <v>1665660</v>
          </cell>
          <cell r="S102">
            <v>3986540</v>
          </cell>
          <cell r="T102">
            <v>664423.33333333337</v>
          </cell>
          <cell r="U102">
            <v>1109257</v>
          </cell>
        </row>
        <row r="103">
          <cell r="B103" t="str">
            <v>생산관리팀</v>
          </cell>
          <cell r="C103" t="str">
            <v>SACM0161</v>
          </cell>
          <cell r="D103" t="str">
            <v>조원</v>
          </cell>
          <cell r="E103" t="str">
            <v>도성록</v>
          </cell>
          <cell r="F103">
            <v>34218</v>
          </cell>
          <cell r="G103">
            <v>1314820</v>
          </cell>
          <cell r="H103">
            <v>1024430</v>
          </cell>
          <cell r="I103">
            <v>1207050</v>
          </cell>
          <cell r="J103">
            <v>1107760</v>
          </cell>
          <cell r="K103">
            <v>1076470</v>
          </cell>
          <cell r="L103">
            <v>1211380</v>
          </cell>
          <cell r="M103">
            <v>1107264</v>
          </cell>
          <cell r="N103">
            <v>392660</v>
          </cell>
          <cell r="O103">
            <v>785310</v>
          </cell>
          <cell r="P103">
            <v>100000</v>
          </cell>
          <cell r="Q103">
            <v>392660</v>
          </cell>
          <cell r="R103">
            <v>1177970</v>
          </cell>
          <cell r="S103">
            <v>2848600</v>
          </cell>
          <cell r="T103">
            <v>474764.16666666669</v>
          </cell>
          <cell r="U103">
            <v>780178</v>
          </cell>
        </row>
        <row r="104">
          <cell r="B104" t="str">
            <v>생산관리팀</v>
          </cell>
          <cell r="C104" t="str">
            <v>SACM0241</v>
          </cell>
          <cell r="D104" t="str">
            <v>조원</v>
          </cell>
          <cell r="E104" t="str">
            <v>정길수</v>
          </cell>
          <cell r="F104">
            <v>34981</v>
          </cell>
          <cell r="G104">
            <v>1189670</v>
          </cell>
          <cell r="H104">
            <v>956620</v>
          </cell>
          <cell r="I104">
            <v>973270</v>
          </cell>
          <cell r="J104">
            <v>921520</v>
          </cell>
          <cell r="K104">
            <v>903500</v>
          </cell>
          <cell r="L104">
            <v>978170</v>
          </cell>
          <cell r="M104">
            <v>914084</v>
          </cell>
          <cell r="N104">
            <v>363440</v>
          </cell>
          <cell r="O104">
            <v>726880</v>
          </cell>
          <cell r="P104">
            <v>100000</v>
          </cell>
          <cell r="Q104">
            <v>367420</v>
          </cell>
          <cell r="R104">
            <v>1102260</v>
          </cell>
          <cell r="S104">
            <v>2660000</v>
          </cell>
          <cell r="T104">
            <v>440680</v>
          </cell>
          <cell r="U104">
            <v>668103</v>
          </cell>
        </row>
        <row r="105">
          <cell r="B105" t="str">
            <v>생산관리팀</v>
          </cell>
          <cell r="C105" t="str">
            <v>SACM0280</v>
          </cell>
          <cell r="D105" t="str">
            <v>조원</v>
          </cell>
          <cell r="E105" t="str">
            <v>이기성</v>
          </cell>
          <cell r="F105">
            <v>35648</v>
          </cell>
          <cell r="G105">
            <v>1053130</v>
          </cell>
          <cell r="H105">
            <v>1020890</v>
          </cell>
          <cell r="I105">
            <v>1051270</v>
          </cell>
          <cell r="J105">
            <v>966470</v>
          </cell>
          <cell r="K105">
            <v>919680</v>
          </cell>
          <cell r="L105">
            <v>897430</v>
          </cell>
          <cell r="M105">
            <v>907689</v>
          </cell>
          <cell r="N105">
            <v>342990</v>
          </cell>
          <cell r="O105">
            <v>707220</v>
          </cell>
          <cell r="P105">
            <v>100000</v>
          </cell>
          <cell r="Q105">
            <v>353610</v>
          </cell>
          <cell r="R105">
            <v>1060830</v>
          </cell>
          <cell r="S105">
            <v>2564650</v>
          </cell>
          <cell r="T105">
            <v>429211.66666666663</v>
          </cell>
          <cell r="U105">
            <v>659293</v>
          </cell>
        </row>
        <row r="106">
          <cell r="B106" t="str">
            <v>노동조합</v>
          </cell>
          <cell r="C106" t="str">
            <v>SACM0065</v>
          </cell>
          <cell r="D106" t="str">
            <v>위원장</v>
          </cell>
          <cell r="E106" t="str">
            <v>백중형</v>
          </cell>
          <cell r="F106">
            <v>33894</v>
          </cell>
          <cell r="G106">
            <v>1246830</v>
          </cell>
          <cell r="H106">
            <v>1246830</v>
          </cell>
          <cell r="I106">
            <v>1246830</v>
          </cell>
          <cell r="J106">
            <v>1256230</v>
          </cell>
          <cell r="K106">
            <v>1256230</v>
          </cell>
          <cell r="L106">
            <v>1256230</v>
          </cell>
          <cell r="M106">
            <v>1228921</v>
          </cell>
          <cell r="N106">
            <v>484240</v>
          </cell>
          <cell r="O106">
            <v>968470</v>
          </cell>
          <cell r="P106">
            <v>100000</v>
          </cell>
          <cell r="Q106">
            <v>487950</v>
          </cell>
          <cell r="R106">
            <v>1486820</v>
          </cell>
          <cell r="S106">
            <v>3527480</v>
          </cell>
          <cell r="T106">
            <v>581607.5</v>
          </cell>
          <cell r="U106">
            <v>892863</v>
          </cell>
        </row>
        <row r="107">
          <cell r="B107" t="str">
            <v>금형치공구팀</v>
          </cell>
          <cell r="C107" t="str">
            <v>SACM0120</v>
          </cell>
          <cell r="D107" t="str">
            <v>조장</v>
          </cell>
          <cell r="E107" t="str">
            <v>김영현</v>
          </cell>
          <cell r="F107">
            <v>31943</v>
          </cell>
          <cell r="G107">
            <v>1662550</v>
          </cell>
          <cell r="H107">
            <v>1691840</v>
          </cell>
          <cell r="I107">
            <v>1619580</v>
          </cell>
          <cell r="J107">
            <v>1669520</v>
          </cell>
          <cell r="K107">
            <v>1644210</v>
          </cell>
          <cell r="L107">
            <v>1732390</v>
          </cell>
          <cell r="M107">
            <v>1645474</v>
          </cell>
          <cell r="N107">
            <v>539550</v>
          </cell>
          <cell r="O107">
            <v>1079090</v>
          </cell>
          <cell r="P107">
            <v>100000</v>
          </cell>
          <cell r="Q107">
            <v>539550</v>
          </cell>
          <cell r="R107">
            <v>1618640</v>
          </cell>
          <cell r="S107">
            <v>3876830</v>
          </cell>
          <cell r="T107">
            <v>646135.83333333326</v>
          </cell>
          <cell r="U107">
            <v>1130109</v>
          </cell>
        </row>
        <row r="108">
          <cell r="B108" t="str">
            <v>금형치공구팀</v>
          </cell>
          <cell r="C108" t="str">
            <v>SACM0144</v>
          </cell>
          <cell r="D108" t="str">
            <v>조장</v>
          </cell>
          <cell r="E108" t="str">
            <v>손기수</v>
          </cell>
          <cell r="F108">
            <v>34110</v>
          </cell>
          <cell r="G108">
            <v>1445730</v>
          </cell>
          <cell r="H108">
            <v>1546500</v>
          </cell>
          <cell r="I108">
            <v>1508380</v>
          </cell>
          <cell r="J108">
            <v>1696950</v>
          </cell>
          <cell r="K108">
            <v>1580210</v>
          </cell>
          <cell r="L108">
            <v>1671330</v>
          </cell>
          <cell r="M108">
            <v>1613638</v>
          </cell>
          <cell r="N108">
            <v>436750</v>
          </cell>
          <cell r="O108">
            <v>873500</v>
          </cell>
          <cell r="P108">
            <v>100000</v>
          </cell>
          <cell r="Q108">
            <v>436750</v>
          </cell>
          <cell r="R108">
            <v>1310250</v>
          </cell>
          <cell r="S108">
            <v>3157250</v>
          </cell>
          <cell r="T108">
            <v>526208.33333333337</v>
          </cell>
          <cell r="U108">
            <v>1055267</v>
          </cell>
        </row>
        <row r="109">
          <cell r="B109" t="str">
            <v>금형치공구팀</v>
          </cell>
          <cell r="C109" t="str">
            <v>SACM0167</v>
          </cell>
          <cell r="D109" t="str">
            <v>조장</v>
          </cell>
          <cell r="E109" t="str">
            <v>이진해</v>
          </cell>
          <cell r="F109">
            <v>34260</v>
          </cell>
          <cell r="G109">
            <v>1108420</v>
          </cell>
          <cell r="H109">
            <v>1090120</v>
          </cell>
          <cell r="I109">
            <v>1163760</v>
          </cell>
          <cell r="J109">
            <v>1318080</v>
          </cell>
          <cell r="K109">
            <v>1119740</v>
          </cell>
          <cell r="L109">
            <v>1030570</v>
          </cell>
          <cell r="M109">
            <v>1130997</v>
          </cell>
          <cell r="N109">
            <v>424800</v>
          </cell>
          <cell r="O109">
            <v>849590</v>
          </cell>
          <cell r="P109">
            <v>100000</v>
          </cell>
          <cell r="Q109">
            <v>424800</v>
          </cell>
          <cell r="R109">
            <v>1274390</v>
          </cell>
          <cell r="S109">
            <v>3073580</v>
          </cell>
          <cell r="T109">
            <v>512260.83333333326</v>
          </cell>
          <cell r="U109">
            <v>810374</v>
          </cell>
        </row>
        <row r="110">
          <cell r="B110" t="str">
            <v>금형치공구팀</v>
          </cell>
          <cell r="C110" t="str">
            <v>SACM0294</v>
          </cell>
          <cell r="D110" t="str">
            <v>조원</v>
          </cell>
          <cell r="E110" t="str">
            <v>고진호</v>
          </cell>
          <cell r="F110">
            <v>36200</v>
          </cell>
          <cell r="G110">
            <v>1043930</v>
          </cell>
          <cell r="H110">
            <v>1035330</v>
          </cell>
          <cell r="I110">
            <v>1329740</v>
          </cell>
          <cell r="J110">
            <v>1304640</v>
          </cell>
          <cell r="K110">
            <v>945720</v>
          </cell>
          <cell r="L110">
            <v>1065180</v>
          </cell>
          <cell r="M110">
            <v>1081154</v>
          </cell>
          <cell r="N110">
            <v>222370</v>
          </cell>
          <cell r="O110">
            <v>444730</v>
          </cell>
          <cell r="P110">
            <v>100000</v>
          </cell>
          <cell r="Q110">
            <v>370610</v>
          </cell>
          <cell r="R110">
            <v>1111830</v>
          </cell>
          <cell r="S110">
            <v>2249540</v>
          </cell>
          <cell r="T110">
            <v>276092.5</v>
          </cell>
          <cell r="U110">
            <v>0</v>
          </cell>
        </row>
        <row r="111">
          <cell r="B111" t="str">
            <v>금형치공구팀</v>
          </cell>
          <cell r="C111" t="str">
            <v>SACM0295</v>
          </cell>
          <cell r="D111" t="str">
            <v>조원</v>
          </cell>
          <cell r="E111" t="str">
            <v>김현승</v>
          </cell>
          <cell r="F111">
            <v>36213</v>
          </cell>
          <cell r="G111">
            <v>828330</v>
          </cell>
          <cell r="H111">
            <v>784200</v>
          </cell>
          <cell r="I111">
            <v>894820</v>
          </cell>
          <cell r="J111">
            <v>929860</v>
          </cell>
          <cell r="K111">
            <v>841360</v>
          </cell>
          <cell r="L111">
            <v>804380</v>
          </cell>
          <cell r="M111">
            <v>839870</v>
          </cell>
          <cell r="N111">
            <v>191290</v>
          </cell>
          <cell r="O111">
            <v>382580</v>
          </cell>
          <cell r="P111">
            <v>100000</v>
          </cell>
          <cell r="Q111">
            <v>318810</v>
          </cell>
          <cell r="R111">
            <v>956440</v>
          </cell>
          <cell r="S111">
            <v>1949120</v>
          </cell>
          <cell r="T111">
            <v>239838.33333333334</v>
          </cell>
          <cell r="U111">
            <v>0</v>
          </cell>
        </row>
        <row r="112">
          <cell r="B112" t="str">
            <v>금형치공구팀</v>
          </cell>
          <cell r="C112" t="str">
            <v>SACM0300</v>
          </cell>
          <cell r="D112" t="str">
            <v>조원</v>
          </cell>
          <cell r="E112" t="str">
            <v>김여환</v>
          </cell>
          <cell r="F112">
            <v>36313</v>
          </cell>
          <cell r="G112">
            <v>919830</v>
          </cell>
          <cell r="H112">
            <v>898430</v>
          </cell>
          <cell r="I112">
            <v>830640</v>
          </cell>
          <cell r="J112">
            <v>1059440</v>
          </cell>
          <cell r="K112">
            <v>1063640</v>
          </cell>
          <cell r="L112">
            <v>918830</v>
          </cell>
          <cell r="M112">
            <v>991927</v>
          </cell>
          <cell r="O112">
            <v>265460</v>
          </cell>
          <cell r="P112">
            <v>100000</v>
          </cell>
          <cell r="Q112">
            <v>211850</v>
          </cell>
          <cell r="R112">
            <v>776770</v>
          </cell>
          <cell r="S112">
            <v>1354080</v>
          </cell>
          <cell r="T112">
            <v>171518.33333333331</v>
          </cell>
          <cell r="U112">
            <v>0</v>
          </cell>
        </row>
        <row r="113">
          <cell r="B113" t="str">
            <v>금형치공구팀</v>
          </cell>
          <cell r="C113" t="str">
            <v>SACM0310</v>
          </cell>
          <cell r="D113" t="str">
            <v>조원</v>
          </cell>
          <cell r="E113" t="str">
            <v>양권모</v>
          </cell>
          <cell r="F113">
            <v>36412</v>
          </cell>
          <cell r="I113">
            <v>544160</v>
          </cell>
          <cell r="J113">
            <v>839960</v>
          </cell>
          <cell r="K113">
            <v>813770</v>
          </cell>
          <cell r="L113">
            <v>871860</v>
          </cell>
          <cell r="M113">
            <v>823562</v>
          </cell>
          <cell r="P113">
            <v>50000</v>
          </cell>
          <cell r="Q113">
            <v>119980</v>
          </cell>
          <cell r="R113">
            <v>539910</v>
          </cell>
          <cell r="S113">
            <v>709890</v>
          </cell>
          <cell r="T113">
            <v>8333.3333333333339</v>
          </cell>
          <cell r="U113">
            <v>0</v>
          </cell>
        </row>
        <row r="114">
          <cell r="B114" t="str">
            <v>공무환경팀</v>
          </cell>
          <cell r="C114" t="str">
            <v>SACM0116</v>
          </cell>
          <cell r="D114" t="str">
            <v>반장</v>
          </cell>
          <cell r="E114" t="str">
            <v>박상규</v>
          </cell>
          <cell r="F114">
            <v>31765</v>
          </cell>
          <cell r="G114">
            <v>1847650</v>
          </cell>
          <cell r="H114">
            <v>2016010</v>
          </cell>
          <cell r="I114">
            <v>2248110</v>
          </cell>
          <cell r="J114">
            <v>2050820</v>
          </cell>
          <cell r="K114">
            <v>1972550</v>
          </cell>
          <cell r="L114">
            <v>1932890</v>
          </cell>
          <cell r="M114">
            <v>1942259</v>
          </cell>
          <cell r="N114">
            <v>595060</v>
          </cell>
          <cell r="O114">
            <v>1190130</v>
          </cell>
          <cell r="P114">
            <v>100000</v>
          </cell>
          <cell r="Q114">
            <v>595060</v>
          </cell>
          <cell r="R114">
            <v>1785190</v>
          </cell>
          <cell r="S114">
            <v>4265440</v>
          </cell>
          <cell r="T114">
            <v>710909.16666666663</v>
          </cell>
          <cell r="U114">
            <v>1308412</v>
          </cell>
        </row>
        <row r="115">
          <cell r="B115" t="str">
            <v>공무환경팀</v>
          </cell>
          <cell r="C115" t="str">
            <v>SACM0131</v>
          </cell>
          <cell r="D115" t="str">
            <v>조원</v>
          </cell>
          <cell r="E115" t="str">
            <v>허봉구</v>
          </cell>
          <cell r="F115">
            <v>33989</v>
          </cell>
          <cell r="G115">
            <v>1473140</v>
          </cell>
          <cell r="H115">
            <v>1242510</v>
          </cell>
          <cell r="I115">
            <v>1543570</v>
          </cell>
          <cell r="J115">
            <v>1363110</v>
          </cell>
          <cell r="K115">
            <v>1306000</v>
          </cell>
          <cell r="L115">
            <v>1495530</v>
          </cell>
          <cell r="M115">
            <v>1358035</v>
          </cell>
          <cell r="N115">
            <v>395840</v>
          </cell>
          <cell r="O115">
            <v>791690</v>
          </cell>
          <cell r="P115">
            <v>100000</v>
          </cell>
          <cell r="Q115">
            <v>395840</v>
          </cell>
          <cell r="R115">
            <v>1187530</v>
          </cell>
          <cell r="S115">
            <v>2870900</v>
          </cell>
          <cell r="T115">
            <v>478485.83333333331</v>
          </cell>
          <cell r="U115">
            <v>905682</v>
          </cell>
        </row>
        <row r="116">
          <cell r="B116" t="str">
            <v>공무환경팀</v>
          </cell>
          <cell r="C116" t="str">
            <v>SACM0142</v>
          </cell>
          <cell r="D116" t="str">
            <v>반장보</v>
          </cell>
          <cell r="E116" t="str">
            <v>신관범</v>
          </cell>
          <cell r="F116">
            <v>34095</v>
          </cell>
          <cell r="G116">
            <v>1787380</v>
          </cell>
          <cell r="H116">
            <v>1879060</v>
          </cell>
          <cell r="I116">
            <v>1937230</v>
          </cell>
          <cell r="J116">
            <v>1866170</v>
          </cell>
          <cell r="K116">
            <v>1782610</v>
          </cell>
          <cell r="L116">
            <v>1747360</v>
          </cell>
          <cell r="M116">
            <v>1759611</v>
          </cell>
          <cell r="N116">
            <v>515910</v>
          </cell>
          <cell r="O116">
            <v>1074310</v>
          </cell>
          <cell r="P116">
            <v>100000</v>
          </cell>
          <cell r="Q116">
            <v>537160</v>
          </cell>
          <cell r="R116">
            <v>1611470</v>
          </cell>
          <cell r="S116">
            <v>3838850</v>
          </cell>
          <cell r="T116">
            <v>643347.5</v>
          </cell>
          <cell r="U116">
            <v>1185021</v>
          </cell>
        </row>
        <row r="117">
          <cell r="B117" t="str">
            <v>공무환경팀</v>
          </cell>
          <cell r="C117" t="str">
            <v>SACM0164</v>
          </cell>
          <cell r="D117" t="str">
            <v>조원</v>
          </cell>
          <cell r="E117" t="str">
            <v>장재성</v>
          </cell>
          <cell r="F117">
            <v>34229</v>
          </cell>
          <cell r="G117">
            <v>1020840</v>
          </cell>
          <cell r="H117">
            <v>976160</v>
          </cell>
          <cell r="I117">
            <v>1205740</v>
          </cell>
          <cell r="J117">
            <v>1124860</v>
          </cell>
          <cell r="K117">
            <v>1164270</v>
          </cell>
          <cell r="L117">
            <v>916250</v>
          </cell>
          <cell r="M117">
            <v>1045233</v>
          </cell>
          <cell r="N117">
            <v>396640</v>
          </cell>
          <cell r="O117">
            <v>793280</v>
          </cell>
          <cell r="P117">
            <v>100000</v>
          </cell>
          <cell r="Q117">
            <v>396640</v>
          </cell>
          <cell r="R117">
            <v>1189920</v>
          </cell>
          <cell r="S117">
            <v>2876480</v>
          </cell>
          <cell r="T117">
            <v>479413.33333333337</v>
          </cell>
          <cell r="U117">
            <v>751880</v>
          </cell>
        </row>
        <row r="118">
          <cell r="B118" t="str">
            <v>공무환경팀</v>
          </cell>
          <cell r="C118" t="str">
            <v>SACM0166</v>
          </cell>
          <cell r="D118" t="str">
            <v>조원</v>
          </cell>
          <cell r="E118" t="str">
            <v>정하준</v>
          </cell>
          <cell r="F118">
            <v>34229</v>
          </cell>
          <cell r="G118">
            <v>899840</v>
          </cell>
          <cell r="H118">
            <v>837930</v>
          </cell>
          <cell r="I118">
            <v>919560</v>
          </cell>
          <cell r="J118">
            <v>1187050</v>
          </cell>
          <cell r="K118">
            <v>1177430</v>
          </cell>
          <cell r="L118">
            <v>1069500</v>
          </cell>
          <cell r="M118">
            <v>1119776</v>
          </cell>
          <cell r="N118">
            <v>390270</v>
          </cell>
          <cell r="O118">
            <v>780530</v>
          </cell>
          <cell r="P118">
            <v>100000</v>
          </cell>
          <cell r="Q118">
            <v>390270</v>
          </cell>
          <cell r="R118">
            <v>1170800</v>
          </cell>
          <cell r="S118">
            <v>2831870</v>
          </cell>
          <cell r="T118">
            <v>471975.83333333331</v>
          </cell>
          <cell r="U118">
            <v>784974</v>
          </cell>
        </row>
        <row r="119">
          <cell r="B119" t="str">
            <v>공무환경팀</v>
          </cell>
          <cell r="C119" t="str">
            <v>SACM0187</v>
          </cell>
          <cell r="D119" t="str">
            <v>조장</v>
          </cell>
          <cell r="E119" t="str">
            <v>이형철</v>
          </cell>
          <cell r="F119">
            <v>34449</v>
          </cell>
          <cell r="G119">
            <v>1343880</v>
          </cell>
          <cell r="H119">
            <v>1445400</v>
          </cell>
          <cell r="I119">
            <v>1441320</v>
          </cell>
          <cell r="J119">
            <v>1377370</v>
          </cell>
          <cell r="K119">
            <v>1179800</v>
          </cell>
          <cell r="L119">
            <v>1306060</v>
          </cell>
          <cell r="M119">
            <v>1259749</v>
          </cell>
          <cell r="N119">
            <v>400090</v>
          </cell>
          <cell r="O119">
            <v>800190</v>
          </cell>
          <cell r="P119">
            <v>100000</v>
          </cell>
          <cell r="Q119">
            <v>400090</v>
          </cell>
          <cell r="R119">
            <v>1200280</v>
          </cell>
          <cell r="S119">
            <v>2900650</v>
          </cell>
          <cell r="T119">
            <v>483444.16666666663</v>
          </cell>
          <cell r="U119">
            <v>859657</v>
          </cell>
        </row>
        <row r="120">
          <cell r="B120" t="str">
            <v>공무환경팀</v>
          </cell>
          <cell r="C120" t="str">
            <v>SACM0239</v>
          </cell>
          <cell r="D120" t="str">
            <v>조원</v>
          </cell>
          <cell r="E120" t="str">
            <v>김민규</v>
          </cell>
          <cell r="F120">
            <v>34986</v>
          </cell>
          <cell r="G120">
            <v>1374033</v>
          </cell>
          <cell r="H120">
            <v>1374033</v>
          </cell>
          <cell r="I120">
            <v>1374033</v>
          </cell>
          <cell r="J120">
            <v>1374033</v>
          </cell>
          <cell r="K120">
            <v>1374033</v>
          </cell>
          <cell r="L120">
            <v>1374033</v>
          </cell>
          <cell r="M120">
            <v>1374033</v>
          </cell>
          <cell r="O120" t="str">
            <v>휴      직      자       1년  평균상여(98.7-99.6)</v>
          </cell>
          <cell r="S120">
            <v>0</v>
          </cell>
          <cell r="T120">
            <v>438231</v>
          </cell>
          <cell r="U120">
            <v>893719</v>
          </cell>
        </row>
        <row r="121">
          <cell r="B121" t="str">
            <v>공무환경팀</v>
          </cell>
          <cell r="C121" t="str">
            <v>SACM0270</v>
          </cell>
          <cell r="D121" t="str">
            <v>조원</v>
          </cell>
          <cell r="E121" t="str">
            <v>김경래</v>
          </cell>
          <cell r="F121">
            <v>35205</v>
          </cell>
          <cell r="G121">
            <v>1327390</v>
          </cell>
          <cell r="H121">
            <v>1029520</v>
          </cell>
          <cell r="I121">
            <v>957520</v>
          </cell>
          <cell r="J121">
            <v>1490390</v>
          </cell>
          <cell r="K121">
            <v>1281390</v>
          </cell>
          <cell r="L121">
            <v>1298120</v>
          </cell>
          <cell r="M121">
            <v>1327141</v>
          </cell>
          <cell r="N121">
            <v>381770</v>
          </cell>
          <cell r="O121">
            <v>784780</v>
          </cell>
          <cell r="P121">
            <v>100000</v>
          </cell>
          <cell r="Q121">
            <v>392390</v>
          </cell>
          <cell r="R121">
            <v>1177170</v>
          </cell>
          <cell r="S121">
            <v>2836110</v>
          </cell>
          <cell r="T121">
            <v>474455</v>
          </cell>
          <cell r="U121">
            <v>888458</v>
          </cell>
        </row>
        <row r="122">
          <cell r="B122" t="str">
            <v>공무환경팀</v>
          </cell>
          <cell r="C122" t="str">
            <v>SACM0272</v>
          </cell>
          <cell r="D122" t="str">
            <v>조원</v>
          </cell>
          <cell r="E122" t="str">
            <v>김윤태#</v>
          </cell>
          <cell r="F122">
            <v>35303</v>
          </cell>
          <cell r="G122">
            <v>1590370</v>
          </cell>
          <cell r="H122">
            <v>1584140</v>
          </cell>
          <cell r="I122">
            <v>1803280</v>
          </cell>
          <cell r="J122">
            <v>1297690</v>
          </cell>
          <cell r="K122">
            <v>1351210</v>
          </cell>
          <cell r="L122">
            <v>1507390</v>
          </cell>
          <cell r="M122">
            <v>1355312</v>
          </cell>
          <cell r="N122">
            <v>353080</v>
          </cell>
          <cell r="O122">
            <v>706160</v>
          </cell>
          <cell r="P122">
            <v>100000</v>
          </cell>
          <cell r="Q122">
            <v>353080</v>
          </cell>
          <cell r="R122">
            <v>1059240</v>
          </cell>
          <cell r="S122">
            <v>2571560</v>
          </cell>
          <cell r="T122">
            <v>428593.33333333337</v>
          </cell>
          <cell r="U122">
            <v>879734</v>
          </cell>
        </row>
        <row r="123">
          <cell r="B123" t="str">
            <v>공무환경팀</v>
          </cell>
          <cell r="C123" t="str">
            <v>SACM0273</v>
          </cell>
          <cell r="D123" t="str">
            <v>조원</v>
          </cell>
          <cell r="E123" t="str">
            <v>김영동</v>
          </cell>
          <cell r="F123">
            <v>35317</v>
          </cell>
          <cell r="G123">
            <v>1322380</v>
          </cell>
          <cell r="H123">
            <v>1504800</v>
          </cell>
          <cell r="I123">
            <v>1872270</v>
          </cell>
          <cell r="J123">
            <v>1161710</v>
          </cell>
          <cell r="K123">
            <v>1018020</v>
          </cell>
          <cell r="L123">
            <v>941450</v>
          </cell>
          <cell r="M123">
            <v>1017776</v>
          </cell>
          <cell r="N123">
            <v>368490</v>
          </cell>
          <cell r="O123">
            <v>741220</v>
          </cell>
          <cell r="P123">
            <v>100000</v>
          </cell>
          <cell r="Q123">
            <v>370610</v>
          </cell>
          <cell r="R123">
            <v>1111830</v>
          </cell>
          <cell r="S123">
            <v>2692150</v>
          </cell>
          <cell r="T123">
            <v>449045</v>
          </cell>
          <cell r="U123">
            <v>723364</v>
          </cell>
        </row>
        <row r="124">
          <cell r="B124" t="str">
            <v>공무환경팀</v>
          </cell>
          <cell r="C124" t="str">
            <v>SACM0287</v>
          </cell>
          <cell r="D124" t="str">
            <v>조원</v>
          </cell>
          <cell r="E124" t="str">
            <v>조성배</v>
          </cell>
          <cell r="F124">
            <v>36069</v>
          </cell>
          <cell r="G124">
            <v>1104250</v>
          </cell>
          <cell r="H124">
            <v>1214630</v>
          </cell>
          <cell r="I124">
            <v>891930</v>
          </cell>
          <cell r="J124">
            <v>1225260</v>
          </cell>
          <cell r="K124">
            <v>1263140</v>
          </cell>
          <cell r="L124">
            <v>1247400</v>
          </cell>
          <cell r="M124">
            <v>1218196</v>
          </cell>
          <cell r="N124">
            <v>321200</v>
          </cell>
          <cell r="O124">
            <v>663660</v>
          </cell>
          <cell r="P124">
            <v>100000</v>
          </cell>
          <cell r="Q124">
            <v>344050</v>
          </cell>
          <cell r="R124">
            <v>1032140</v>
          </cell>
          <cell r="S124">
            <v>2461050</v>
          </cell>
          <cell r="T124">
            <v>403801.66666666663</v>
          </cell>
          <cell r="U124">
            <v>799889</v>
          </cell>
        </row>
        <row r="125">
          <cell r="B125" t="str">
            <v>공무환경팀</v>
          </cell>
          <cell r="C125" t="str">
            <v>SACM0308</v>
          </cell>
          <cell r="D125" t="str">
            <v>조원</v>
          </cell>
          <cell r="E125" t="str">
            <v>윤재준</v>
          </cell>
          <cell r="F125">
            <v>36388</v>
          </cell>
          <cell r="H125">
            <v>501230</v>
          </cell>
          <cell r="I125">
            <v>946540</v>
          </cell>
          <cell r="J125">
            <v>1120720</v>
          </cell>
          <cell r="K125">
            <v>933530</v>
          </cell>
          <cell r="L125">
            <v>1191170</v>
          </cell>
          <cell r="M125">
            <v>1058289</v>
          </cell>
          <cell r="P125">
            <v>50000</v>
          </cell>
          <cell r="Q125">
            <v>138040</v>
          </cell>
          <cell r="R125">
            <v>621200</v>
          </cell>
          <cell r="S125">
            <v>809240</v>
          </cell>
          <cell r="T125">
            <v>8333.3333333333339</v>
          </cell>
          <cell r="U125">
            <v>0</v>
          </cell>
        </row>
        <row r="126">
          <cell r="B126" t="str">
            <v>공무환경팀</v>
          </cell>
          <cell r="C126" t="str">
            <v>SACM0312</v>
          </cell>
          <cell r="D126" t="str">
            <v>조원</v>
          </cell>
          <cell r="E126" t="str">
            <v>이영찬</v>
          </cell>
          <cell r="F126">
            <v>36412</v>
          </cell>
          <cell r="I126">
            <v>668340</v>
          </cell>
          <cell r="J126">
            <v>1077290</v>
          </cell>
          <cell r="K126">
            <v>963170</v>
          </cell>
          <cell r="L126">
            <v>956880</v>
          </cell>
          <cell r="M126">
            <v>977393</v>
          </cell>
          <cell r="P126">
            <v>50000</v>
          </cell>
          <cell r="Q126">
            <v>129540</v>
          </cell>
          <cell r="R126">
            <v>582950</v>
          </cell>
          <cell r="S126">
            <v>762490</v>
          </cell>
          <cell r="T126">
            <v>8333.3333333333339</v>
          </cell>
          <cell r="U126">
            <v>0</v>
          </cell>
        </row>
        <row r="127">
          <cell r="B127" t="str">
            <v>생산공통소계</v>
          </cell>
          <cell r="G127">
            <v>43350333</v>
          </cell>
          <cell r="H127">
            <v>42270303</v>
          </cell>
          <cell r="I127">
            <v>46970833</v>
          </cell>
          <cell r="J127">
            <v>47582313</v>
          </cell>
          <cell r="K127">
            <v>44976703</v>
          </cell>
          <cell r="L127">
            <v>45290823</v>
          </cell>
          <cell r="M127">
            <v>44980905</v>
          </cell>
          <cell r="N127">
            <v>12780300</v>
          </cell>
          <cell r="O127">
            <v>25936470</v>
          </cell>
          <cell r="P127">
            <v>3350000</v>
          </cell>
          <cell r="Q127">
            <v>13734340</v>
          </cell>
          <cell r="R127">
            <v>41948540</v>
          </cell>
          <cell r="S127">
            <v>97749650</v>
          </cell>
          <cell r="T127">
            <v>16126171.83333334</v>
          </cell>
          <cell r="U127">
            <v>26937090</v>
          </cell>
        </row>
        <row r="128">
          <cell r="A128" t="str">
            <v>소결개발</v>
          </cell>
          <cell r="B128" t="str">
            <v>소결영업팀</v>
          </cell>
          <cell r="C128" t="str">
            <v>SACM0107</v>
          </cell>
          <cell r="D128" t="str">
            <v>반장</v>
          </cell>
          <cell r="E128" t="str">
            <v>모병주</v>
          </cell>
          <cell r="F128">
            <v>29999</v>
          </cell>
          <cell r="G128">
            <v>2002150</v>
          </cell>
          <cell r="H128">
            <v>1912600</v>
          </cell>
          <cell r="I128">
            <v>1846830</v>
          </cell>
          <cell r="J128">
            <v>2081830</v>
          </cell>
          <cell r="K128">
            <v>1829290</v>
          </cell>
          <cell r="L128">
            <v>1889800</v>
          </cell>
          <cell r="M128">
            <v>1891604</v>
          </cell>
          <cell r="N128">
            <v>579060</v>
          </cell>
          <cell r="O128">
            <v>1158120</v>
          </cell>
          <cell r="P128">
            <v>100000</v>
          </cell>
          <cell r="Q128">
            <v>579060</v>
          </cell>
          <cell r="R128">
            <v>1737180</v>
          </cell>
          <cell r="S128">
            <v>4153420</v>
          </cell>
          <cell r="T128">
            <v>692236.66666666663</v>
          </cell>
          <cell r="U128">
            <v>1274223</v>
          </cell>
        </row>
        <row r="129">
          <cell r="A129" t="str">
            <v>소결영업</v>
          </cell>
          <cell r="B129" t="str">
            <v>소결영업팀</v>
          </cell>
          <cell r="C129" t="str">
            <v>SACM0165</v>
          </cell>
          <cell r="D129" t="str">
            <v>조원</v>
          </cell>
          <cell r="E129" t="str">
            <v>오병수</v>
          </cell>
          <cell r="F129">
            <v>34229</v>
          </cell>
          <cell r="G129">
            <v>1027990</v>
          </cell>
          <cell r="H129">
            <v>933770</v>
          </cell>
          <cell r="I129">
            <v>899930</v>
          </cell>
          <cell r="J129">
            <v>1024790</v>
          </cell>
          <cell r="K129">
            <v>1040840</v>
          </cell>
          <cell r="L129">
            <v>976310</v>
          </cell>
          <cell r="M129">
            <v>991937</v>
          </cell>
          <cell r="N129">
            <v>384090</v>
          </cell>
          <cell r="O129">
            <v>768180</v>
          </cell>
          <cell r="P129">
            <v>100000</v>
          </cell>
          <cell r="Q129">
            <v>384090</v>
          </cell>
          <cell r="R129">
            <v>1152270</v>
          </cell>
          <cell r="S129">
            <v>2788630</v>
          </cell>
          <cell r="T129">
            <v>464771.66666666669</v>
          </cell>
          <cell r="U129">
            <v>718377</v>
          </cell>
        </row>
        <row r="130">
          <cell r="B130" t="str">
            <v>소결영업소계</v>
          </cell>
          <cell r="G130">
            <v>3030140</v>
          </cell>
          <cell r="H130">
            <v>2846370</v>
          </cell>
          <cell r="I130">
            <v>2746760</v>
          </cell>
          <cell r="J130">
            <v>3106620</v>
          </cell>
          <cell r="K130">
            <v>2870130</v>
          </cell>
          <cell r="L130">
            <v>2866110</v>
          </cell>
          <cell r="M130">
            <v>2883541</v>
          </cell>
          <cell r="N130">
            <v>963150</v>
          </cell>
          <cell r="O130">
            <v>1926300</v>
          </cell>
          <cell r="P130">
            <v>200000</v>
          </cell>
          <cell r="Q130">
            <v>963150</v>
          </cell>
          <cell r="R130">
            <v>2889450</v>
          </cell>
          <cell r="S130">
            <v>6942050</v>
          </cell>
          <cell r="T130">
            <v>1157008.3333333333</v>
          </cell>
          <cell r="U130">
            <v>1992600</v>
          </cell>
        </row>
        <row r="131">
          <cell r="A131" t="str">
            <v>마찰영업</v>
          </cell>
          <cell r="B131" t="str">
            <v>마찰영업팀</v>
          </cell>
          <cell r="C131" t="str">
            <v>SACM0153</v>
          </cell>
          <cell r="D131" t="str">
            <v>조장</v>
          </cell>
          <cell r="E131" t="str">
            <v>김태관</v>
          </cell>
          <cell r="F131">
            <v>34155</v>
          </cell>
          <cell r="G131">
            <v>1202760</v>
          </cell>
          <cell r="H131">
            <v>1357910</v>
          </cell>
          <cell r="I131">
            <v>1078180</v>
          </cell>
          <cell r="J131">
            <v>1401450</v>
          </cell>
          <cell r="K131">
            <v>1162260</v>
          </cell>
          <cell r="L131">
            <v>1255940</v>
          </cell>
          <cell r="M131">
            <v>1245538</v>
          </cell>
          <cell r="N131">
            <v>419420</v>
          </cell>
          <cell r="O131">
            <v>838840</v>
          </cell>
          <cell r="P131">
            <v>100000</v>
          </cell>
          <cell r="Q131">
            <v>419420</v>
          </cell>
          <cell r="R131">
            <v>1258260</v>
          </cell>
          <cell r="S131">
            <v>3035940</v>
          </cell>
          <cell r="T131">
            <v>505989.99999999994</v>
          </cell>
          <cell r="U131">
            <v>863767</v>
          </cell>
        </row>
        <row r="132">
          <cell r="B132" t="str">
            <v>마찰영업소계</v>
          </cell>
          <cell r="G132">
            <v>1202760</v>
          </cell>
          <cell r="H132">
            <v>1357910</v>
          </cell>
          <cell r="I132">
            <v>1078180</v>
          </cell>
          <cell r="J132">
            <v>1401450</v>
          </cell>
          <cell r="K132">
            <v>1162260</v>
          </cell>
          <cell r="L132">
            <v>1255940</v>
          </cell>
          <cell r="M132">
            <v>1245538</v>
          </cell>
          <cell r="N132">
            <v>419420</v>
          </cell>
          <cell r="O132">
            <v>838840</v>
          </cell>
          <cell r="P132">
            <v>100000</v>
          </cell>
          <cell r="Q132">
            <v>419420</v>
          </cell>
          <cell r="R132">
            <v>1258260</v>
          </cell>
          <cell r="S132">
            <v>3035940</v>
          </cell>
          <cell r="T132">
            <v>505989.99999999994</v>
          </cell>
          <cell r="U132">
            <v>863767</v>
          </cell>
        </row>
        <row r="133">
          <cell r="A133" t="str">
            <v>마찰개발</v>
          </cell>
          <cell r="B133" t="str">
            <v>마찰재개발팀</v>
          </cell>
          <cell r="C133" t="str">
            <v>SACM0002</v>
          </cell>
          <cell r="D133" t="str">
            <v>반장보</v>
          </cell>
          <cell r="E133" t="str">
            <v>임규보</v>
          </cell>
          <cell r="F133">
            <v>33336</v>
          </cell>
          <cell r="G133">
            <v>1147540</v>
          </cell>
          <cell r="H133">
            <v>1172330</v>
          </cell>
          <cell r="I133">
            <v>1377600</v>
          </cell>
          <cell r="J133">
            <v>1412140</v>
          </cell>
          <cell r="K133">
            <v>1273020</v>
          </cell>
          <cell r="L133">
            <v>1405760</v>
          </cell>
          <cell r="M133">
            <v>1333996</v>
          </cell>
          <cell r="N133">
            <v>451090</v>
          </cell>
          <cell r="O133">
            <v>902190</v>
          </cell>
          <cell r="P133">
            <v>100000</v>
          </cell>
          <cell r="Q133">
            <v>451090</v>
          </cell>
          <cell r="R133">
            <v>1353280</v>
          </cell>
          <cell r="S133">
            <v>3257650</v>
          </cell>
          <cell r="T133">
            <v>542944.16666666674</v>
          </cell>
          <cell r="U133">
            <v>925614</v>
          </cell>
        </row>
        <row r="134">
          <cell r="B134" t="str">
            <v>마찰재개발팀</v>
          </cell>
          <cell r="C134" t="str">
            <v>SACM0175</v>
          </cell>
          <cell r="D134" t="str">
            <v>조장</v>
          </cell>
          <cell r="E134" t="str">
            <v>박준경</v>
          </cell>
          <cell r="F134">
            <v>34381</v>
          </cell>
          <cell r="G134">
            <v>1063320</v>
          </cell>
          <cell r="H134">
            <v>1082100</v>
          </cell>
          <cell r="I134">
            <v>1216670</v>
          </cell>
          <cell r="J134">
            <v>1110880</v>
          </cell>
          <cell r="K134">
            <v>1047200</v>
          </cell>
          <cell r="L134">
            <v>1006380</v>
          </cell>
          <cell r="M134">
            <v>1031889</v>
          </cell>
          <cell r="N134">
            <v>401690</v>
          </cell>
          <cell r="O134">
            <v>803380</v>
          </cell>
          <cell r="P134">
            <v>100000</v>
          </cell>
          <cell r="Q134">
            <v>401690</v>
          </cell>
          <cell r="R134">
            <v>1205070</v>
          </cell>
          <cell r="S134">
            <v>2911830</v>
          </cell>
          <cell r="T134">
            <v>485305</v>
          </cell>
          <cell r="U134">
            <v>748205</v>
          </cell>
        </row>
        <row r="135">
          <cell r="B135" t="str">
            <v>마찰재개발팀</v>
          </cell>
          <cell r="C135" t="str">
            <v>SACM0199</v>
          </cell>
          <cell r="D135" t="str">
            <v>조장</v>
          </cell>
          <cell r="E135" t="str">
            <v>박  윤</v>
          </cell>
          <cell r="F135">
            <v>34582</v>
          </cell>
          <cell r="G135">
            <v>1131870</v>
          </cell>
          <cell r="H135">
            <v>1112050</v>
          </cell>
          <cell r="I135">
            <v>1080320</v>
          </cell>
          <cell r="J135">
            <v>1083440</v>
          </cell>
          <cell r="K135">
            <v>1074820</v>
          </cell>
          <cell r="L135">
            <v>1061400</v>
          </cell>
          <cell r="M135">
            <v>1049889</v>
          </cell>
          <cell r="N135">
            <v>401950</v>
          </cell>
          <cell r="O135">
            <v>811340</v>
          </cell>
          <cell r="P135">
            <v>100000</v>
          </cell>
          <cell r="Q135">
            <v>405670</v>
          </cell>
          <cell r="R135">
            <v>1217010</v>
          </cell>
          <cell r="S135">
            <v>2935970</v>
          </cell>
          <cell r="T135">
            <v>489948.33333333331</v>
          </cell>
          <cell r="U135">
            <v>759372</v>
          </cell>
        </row>
        <row r="136">
          <cell r="B136" t="str">
            <v>마찰재개발팀</v>
          </cell>
          <cell r="C136" t="str">
            <v>SACM0225</v>
          </cell>
          <cell r="D136" t="str">
            <v>조원</v>
          </cell>
          <cell r="E136" t="str">
            <v>윤재덕</v>
          </cell>
          <cell r="F136">
            <v>34827</v>
          </cell>
          <cell r="G136">
            <v>885160</v>
          </cell>
          <cell r="H136">
            <v>915320</v>
          </cell>
          <cell r="I136">
            <v>963230</v>
          </cell>
          <cell r="J136">
            <v>941340</v>
          </cell>
          <cell r="K136">
            <v>928920</v>
          </cell>
          <cell r="L136">
            <v>1051840</v>
          </cell>
          <cell r="M136">
            <v>952859</v>
          </cell>
          <cell r="N136">
            <v>360250</v>
          </cell>
          <cell r="O136">
            <v>720500</v>
          </cell>
          <cell r="P136">
            <v>100000</v>
          </cell>
          <cell r="Q136">
            <v>360250</v>
          </cell>
          <cell r="R136">
            <v>1080750</v>
          </cell>
          <cell r="S136">
            <v>2621750</v>
          </cell>
          <cell r="T136">
            <v>436958.33333333331</v>
          </cell>
          <cell r="U136">
            <v>685389</v>
          </cell>
        </row>
        <row r="137">
          <cell r="B137" t="str">
            <v>마찰재개발팀</v>
          </cell>
          <cell r="C137" t="str">
            <v>SACM0238</v>
          </cell>
          <cell r="D137" t="str">
            <v>조원</v>
          </cell>
          <cell r="E137" t="str">
            <v>변용수</v>
          </cell>
          <cell r="F137">
            <v>34918</v>
          </cell>
          <cell r="G137">
            <v>964820</v>
          </cell>
          <cell r="H137">
            <v>1087890</v>
          </cell>
          <cell r="I137">
            <v>1077940</v>
          </cell>
          <cell r="J137">
            <v>1257240</v>
          </cell>
          <cell r="K137">
            <v>1033040</v>
          </cell>
          <cell r="L137">
            <v>823580</v>
          </cell>
          <cell r="M137">
            <v>1015389</v>
          </cell>
          <cell r="N137">
            <v>363440</v>
          </cell>
          <cell r="O137">
            <v>726880</v>
          </cell>
          <cell r="P137">
            <v>100000</v>
          </cell>
          <cell r="Q137">
            <v>363440</v>
          </cell>
          <cell r="R137">
            <v>1090320</v>
          </cell>
          <cell r="S137">
            <v>2644080</v>
          </cell>
          <cell r="T137">
            <v>440680</v>
          </cell>
          <cell r="U137">
            <v>718061</v>
          </cell>
        </row>
        <row r="138">
          <cell r="B138" t="str">
            <v>마찰재개발팀</v>
          </cell>
          <cell r="C138" t="str">
            <v>SACM0297</v>
          </cell>
          <cell r="D138" t="str">
            <v>조원</v>
          </cell>
          <cell r="E138" t="str">
            <v>박학칠</v>
          </cell>
          <cell r="F138">
            <v>36292</v>
          </cell>
          <cell r="G138">
            <v>872450</v>
          </cell>
          <cell r="H138">
            <v>803350</v>
          </cell>
          <cell r="I138">
            <v>890250</v>
          </cell>
          <cell r="J138">
            <v>1090480</v>
          </cell>
          <cell r="K138">
            <v>948340</v>
          </cell>
          <cell r="L138">
            <v>960650</v>
          </cell>
          <cell r="M138">
            <v>978088</v>
          </cell>
          <cell r="N138">
            <v>129540</v>
          </cell>
          <cell r="O138">
            <v>276090</v>
          </cell>
          <cell r="P138">
            <v>100000</v>
          </cell>
          <cell r="Q138">
            <v>207070</v>
          </cell>
          <cell r="R138">
            <v>759240</v>
          </cell>
          <cell r="S138">
            <v>1471940</v>
          </cell>
          <cell r="T138">
            <v>177719.16666666669</v>
          </cell>
          <cell r="U138">
            <v>0</v>
          </cell>
        </row>
        <row r="139">
          <cell r="B139" t="str">
            <v>마찰재개발팀</v>
          </cell>
          <cell r="C139" t="str">
            <v>SACM0304</v>
          </cell>
          <cell r="D139" t="str">
            <v>조원</v>
          </cell>
          <cell r="E139" t="str">
            <v>박순태</v>
          </cell>
          <cell r="F139">
            <v>36362</v>
          </cell>
          <cell r="G139">
            <v>228580</v>
          </cell>
          <cell r="H139">
            <v>908860</v>
          </cell>
          <cell r="I139">
            <v>1113470</v>
          </cell>
          <cell r="J139">
            <v>1045460</v>
          </cell>
          <cell r="K139">
            <v>876560</v>
          </cell>
          <cell r="L139">
            <v>930380</v>
          </cell>
          <cell r="M139">
            <v>930130</v>
          </cell>
          <cell r="P139">
            <v>50000</v>
          </cell>
          <cell r="Q139">
            <v>130080</v>
          </cell>
          <cell r="R139">
            <v>585340</v>
          </cell>
          <cell r="S139">
            <v>765420</v>
          </cell>
          <cell r="T139">
            <v>8333.3333333333339</v>
          </cell>
          <cell r="U139">
            <v>0</v>
          </cell>
        </row>
      </sheetData>
      <sheetData sheetId="5" refreshError="1"/>
      <sheetData sheetId="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동"/>
      <sheetName val="xxxxxxxx"/>
      <sheetName val="Sheet1"/>
      <sheetName val="전체"/>
    </sheetNames>
    <sheetDataSet>
      <sheetData sheetId="0"/>
      <sheetData sheetId="1"/>
      <sheetData sheetId="2"/>
      <sheetData sheetId="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건축개요"/>
      <sheetName val="수지분석"/>
      <sheetName val="CashFlow"/>
      <sheetName val="국민주택채권 등"/>
      <sheetName val="분담금"/>
      <sheetName val="기타 비용"/>
      <sheetName val="대출금 산출내역"/>
      <sheetName val="공기"/>
      <sheetName val="분양가산정"/>
      <sheetName val="공정율"/>
      <sheetName val="교통유발계수"/>
      <sheetName val="사업계획서용1"/>
      <sheetName val="사업계획서용2"/>
      <sheetName val="인문사회"/>
      <sheetName val="사업계획서용3"/>
    </sheetNames>
    <sheetDataSet>
      <sheetData sheetId="0"/>
      <sheetData sheetId="1">
        <row r="46">
          <cell r="B46">
            <v>19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천상"/>
      <sheetName val="반포2차"/>
      <sheetName val="미아사원"/>
      <sheetName val="평화chl"/>
      <sheetName val="전주평화1"/>
      <sheetName val="평화3"/>
      <sheetName val="두암"/>
      <sheetName val="성남그린"/>
      <sheetName val="Sheet8"/>
      <sheetName val="간접1"/>
      <sheetName val="내역서"/>
      <sheetName val="첨"/>
      <sheetName val="98지급계획"/>
      <sheetName val="자금입금"/>
      <sheetName val="사업예산내역"/>
      <sheetName val="사업예산품의서"/>
      <sheetName val="종가"/>
      <sheetName val="투자-국내2"/>
      <sheetName val="입찰안"/>
      <sheetName val="정리계획CF평가"/>
      <sheetName val="X-3 ENG"/>
      <sheetName val="주민번호"/>
      <sheetName val="공사개요"/>
      <sheetName val="안산기계장치"/>
      <sheetName val="지질조사"/>
      <sheetName val="상세손익"/>
      <sheetName val="실행간접비"/>
      <sheetName val="건축개요"/>
      <sheetName val="원본(갑지)"/>
      <sheetName val="신우"/>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지표"/>
      <sheetName val="cashflow"/>
      <sheetName val="backdata"/>
      <sheetName val="(별도)시공사요청자료"/>
      <sheetName val="(별도)동부화재요청자료"/>
    </sheetNames>
    <sheetDataSet>
      <sheetData sheetId="0">
        <row r="32">
          <cell r="E32">
            <v>90101322.208499998</v>
          </cell>
        </row>
      </sheetData>
      <sheetData sheetId="1">
        <row r="12">
          <cell r="AE12">
            <v>0.6</v>
          </cell>
        </row>
        <row r="14">
          <cell r="AE14">
            <v>0.5</v>
          </cell>
        </row>
        <row r="16">
          <cell r="AE16">
            <v>0.5</v>
          </cell>
        </row>
      </sheetData>
      <sheetData sheetId="2" refreshError="1"/>
      <sheetData sheetId="3" refreshError="1"/>
      <sheetData sheetId="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잔존년수"/>
      <sheetName val="Simulation"/>
      <sheetName val="CashFlow"/>
      <sheetName val="CashFlow(중간집계)"/>
      <sheetName val="담보평가"/>
      <sheetName val="LoanList"/>
      <sheetName val="법원비용"/>
      <sheetName val="청구채권액"/>
      <sheetName val="경락률"/>
      <sheetName val="경매회차하락률"/>
      <sheetName val="차주별평가결과"/>
      <sheetName val="항고구분"/>
      <sheetName val="Variable"/>
      <sheetName val="보정사항"/>
      <sheetName val="P1 Br Overall KPI"/>
      <sheetName val="A3.4"/>
      <sheetName val="현금"/>
      <sheetName val="첨부1"/>
      <sheetName val="재료비"/>
      <sheetName val="98지급계획"/>
      <sheetName val="KUNGDEVI"/>
      <sheetName val="Cashflow판(Special_CRC)"/>
      <sheetName val="회사정보"/>
      <sheetName val="기계기구"/>
      <sheetName val="계정code"/>
      <sheetName val="정리계획CF평가"/>
      <sheetName val="Assumption"/>
      <sheetName val="Ⅱ1-0타"/>
      <sheetName val="감가상각"/>
      <sheetName val="교통대책내역"/>
      <sheetName val="공종별현황_공무팀자료"/>
      <sheetName val="점수확인"/>
      <sheetName val="BID"/>
      <sheetName val="담보"/>
      <sheetName val="Sheet1 (2)"/>
      <sheetName val="SHEET PILE단가"/>
      <sheetName val="가정"/>
      <sheetName val="자산DATA"/>
      <sheetName val="행정반"/>
      <sheetName val="담보명세"/>
      <sheetName val="추심사번(신)"/>
      <sheetName val="기준봉급표"/>
      <sheetName val="개인법인구분"/>
      <sheetName val="6층"/>
      <sheetName val="raw"/>
      <sheetName val="8월차잔"/>
      <sheetName val="년차"/>
      <sheetName val="2000년장비소요계획 "/>
      <sheetName val="2000년장비소요계획_"/>
      <sheetName val="YKSFRT_1"/>
      <sheetName val="대여현황"/>
      <sheetName val="주요항목별"/>
    </sheetNames>
    <sheetDataSet>
      <sheetData sheetId="0" refreshError="1">
        <row r="7">
          <cell r="B7" t="str">
            <v>채무자</v>
          </cell>
          <cell r="C7" t="str">
            <v>잔존년수</v>
          </cell>
        </row>
        <row r="8">
          <cell r="B8" t="str">
            <v>(주)진로</v>
          </cell>
          <cell r="C8">
            <v>4</v>
          </cell>
        </row>
        <row r="9">
          <cell r="B9" t="str">
            <v>㈜ 청구</v>
          </cell>
          <cell r="C9">
            <v>4</v>
          </cell>
        </row>
        <row r="10">
          <cell r="B10" t="str">
            <v>진로건설㈜</v>
          </cell>
          <cell r="C10">
            <v>1</v>
          </cell>
        </row>
        <row r="11">
          <cell r="B11" t="str">
            <v>㈜국제상사</v>
          </cell>
          <cell r="C11">
            <v>1</v>
          </cell>
        </row>
        <row r="12">
          <cell r="B12" t="str">
            <v>㈜도스템</v>
          </cell>
          <cell r="C12">
            <v>7</v>
          </cell>
        </row>
        <row r="13">
          <cell r="B13" t="str">
            <v>㈜진로종합식품</v>
          </cell>
          <cell r="C13">
            <v>1</v>
          </cell>
        </row>
        <row r="14">
          <cell r="B14" t="str">
            <v>한국제강㈜</v>
          </cell>
          <cell r="C14">
            <v>1</v>
          </cell>
        </row>
        <row r="15">
          <cell r="B15" t="str">
            <v>통일중공업</v>
          </cell>
          <cell r="C15">
            <v>1</v>
          </cell>
        </row>
        <row r="16">
          <cell r="B16" t="str">
            <v>시대㈜</v>
          </cell>
          <cell r="C16">
            <v>1</v>
          </cell>
        </row>
        <row r="17">
          <cell r="B17" t="str">
            <v>제일정밀공업㈜</v>
          </cell>
          <cell r="C17">
            <v>1</v>
          </cell>
        </row>
        <row r="18">
          <cell r="B18" t="str">
            <v>진흥기업㈜</v>
          </cell>
          <cell r="C18">
            <v>21</v>
          </cell>
        </row>
        <row r="19">
          <cell r="B19" t="str">
            <v>㈜대농</v>
          </cell>
          <cell r="C19">
            <v>1</v>
          </cell>
        </row>
        <row r="20">
          <cell r="B20" t="str">
            <v>㈜세모</v>
          </cell>
          <cell r="C20">
            <v>1</v>
          </cell>
        </row>
        <row r="21">
          <cell r="B21" t="str">
            <v>한일합섬㈜</v>
          </cell>
          <cell r="C21">
            <v>1</v>
          </cell>
        </row>
        <row r="22">
          <cell r="B22" t="str">
            <v>국제종합건설㈜</v>
          </cell>
          <cell r="C22">
            <v>5</v>
          </cell>
        </row>
        <row r="23">
          <cell r="B23" t="str">
            <v>부산종합화물터미널㈜</v>
          </cell>
          <cell r="C23">
            <v>1</v>
          </cell>
        </row>
        <row r="24">
          <cell r="B24" t="str">
            <v>효성기계</v>
          </cell>
          <cell r="C24">
            <v>1</v>
          </cell>
        </row>
        <row r="25">
          <cell r="B25" t="str">
            <v>㈜우성유통</v>
          </cell>
          <cell r="C25">
            <v>1</v>
          </cell>
        </row>
        <row r="26">
          <cell r="B26" t="str">
            <v>동해펄프㈜</v>
          </cell>
          <cell r="C26">
            <v>21</v>
          </cell>
        </row>
        <row r="27">
          <cell r="B27" t="str">
            <v>환영철강</v>
          </cell>
          <cell r="C27">
            <v>1</v>
          </cell>
        </row>
        <row r="28">
          <cell r="B28" t="str">
            <v>삼보지질</v>
          </cell>
          <cell r="C28">
            <v>1</v>
          </cell>
        </row>
        <row r="29">
          <cell r="B29" t="str">
            <v>현대페인트</v>
          </cell>
          <cell r="C29">
            <v>5</v>
          </cell>
        </row>
        <row r="30">
          <cell r="B30" t="str">
            <v>경남모직</v>
          </cell>
          <cell r="C30">
            <v>1</v>
          </cell>
        </row>
        <row r="31">
          <cell r="B31" t="str">
            <v>하이트주정㈜</v>
          </cell>
          <cell r="C31">
            <v>21</v>
          </cell>
        </row>
        <row r="32">
          <cell r="B32" t="str">
            <v>하이트주조㈜</v>
          </cell>
          <cell r="C32">
            <v>21</v>
          </cell>
        </row>
      </sheetData>
      <sheetData sheetId="1">
        <row r="7">
          <cell r="B7" t="str">
            <v>채무자</v>
          </cell>
        </row>
      </sheetData>
      <sheetData sheetId="2">
        <row r="7">
          <cell r="B7" t="str">
            <v>채무자</v>
          </cell>
        </row>
      </sheetData>
      <sheetData sheetId="3">
        <row r="7">
          <cell r="B7" t="str">
            <v>채무자</v>
          </cell>
        </row>
      </sheetData>
      <sheetData sheetId="4">
        <row r="7">
          <cell r="B7" t="str">
            <v>채무자</v>
          </cell>
        </row>
      </sheetData>
      <sheetData sheetId="5"/>
      <sheetData sheetId="6"/>
      <sheetData sheetId="7">
        <row r="7">
          <cell r="B7" t="str">
            <v>채무자</v>
          </cell>
        </row>
      </sheetData>
      <sheetData sheetId="8">
        <row r="7">
          <cell r="B7" t="str">
            <v>채무자</v>
          </cell>
        </row>
      </sheetData>
      <sheetData sheetId="9">
        <row r="7">
          <cell r="B7" t="str">
            <v>채무자</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지정산02"/>
      <sheetName val="매출원가"/>
      <sheetName val="입주자33"/>
      <sheetName val="매출액"/>
      <sheetName val="두산입출금"/>
      <sheetName val="두산입출금 (2)"/>
      <sheetName val="한서입출금"/>
      <sheetName val="한서입출금 (2)"/>
      <sheetName val="수금정리"/>
      <sheetName val="해약환불"/>
      <sheetName val="정산"/>
      <sheetName val="정산02"/>
      <sheetName val="손익"/>
      <sheetName val="현금흐름"/>
      <sheetName val="자체사업세대"/>
      <sheetName val="연체할인정산"/>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상가"/>
      <sheetName val="상2"/>
      <sheetName val="상3"/>
      <sheetName val="상2-2"/>
      <sheetName val="상가지급현황"/>
      <sheetName val="상1"/>
      <sheetName val="상가종합"/>
      <sheetName val="면적"/>
      <sheetName val="이주금액"/>
      <sheetName val="지급총괄"/>
      <sheetName val="상가미등기자"/>
      <sheetName val="이주비총액"/>
      <sheetName val="채권설정"/>
      <sheetName val="토지"/>
      <sheetName val="S1"/>
      <sheetName val="Sheet1"/>
      <sheetName val="Sheet2"/>
      <sheetName val="Sheet3"/>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2060"/>
    <pageSetUpPr fitToPage="1"/>
  </sheetPr>
  <dimension ref="A1:BY112"/>
  <sheetViews>
    <sheetView showGridLines="0" tabSelected="1" zoomScale="80" zoomScaleNormal="80" zoomScaleSheetLayoutView="85" workbookViewId="0">
      <pane xSplit="13" ySplit="2" topLeftCell="N3" activePane="bottomRight" state="frozen"/>
      <selection activeCell="I96" sqref="I96"/>
      <selection pane="topRight" activeCell="I96" sqref="I96"/>
      <selection pane="bottomLeft" activeCell="I96" sqref="I96"/>
      <selection pane="bottomRight" activeCell="BV90" sqref="BV90"/>
    </sheetView>
  </sheetViews>
  <sheetFormatPr defaultColWidth="9" defaultRowHeight="12" outlineLevelCol="1"/>
  <cols>
    <col min="1" max="1" width="2.625" style="17" customWidth="1"/>
    <col min="2" max="3" width="5.875" style="20" customWidth="1"/>
    <col min="4" max="6" width="2.625" style="17" customWidth="1"/>
    <col min="7" max="7" width="17.75" style="17" customWidth="1"/>
    <col min="8" max="10" width="4" style="17" customWidth="1"/>
    <col min="11" max="12" width="3.375" style="17" customWidth="1"/>
    <col min="13" max="13" width="1.375" style="17" customWidth="1"/>
    <col min="14" max="17" width="6.375" style="17" customWidth="1"/>
    <col min="18" max="19" width="4.25" style="17" customWidth="1"/>
    <col min="20" max="23" width="3.625" style="17" customWidth="1"/>
    <col min="24" max="24" width="3.25" style="17" customWidth="1"/>
    <col min="25" max="28" width="3.625" style="17" customWidth="1"/>
    <col min="29" max="29" width="4.875" style="17" customWidth="1"/>
    <col min="30" max="31" width="6.5" style="20" customWidth="1"/>
    <col min="32" max="34" width="2.625" style="17" customWidth="1"/>
    <col min="35" max="35" width="3.625" style="17" customWidth="1"/>
    <col min="36" max="39" width="3.875" style="17" customWidth="1"/>
    <col min="40" max="40" width="17.75" style="17" customWidth="1"/>
    <col min="41" max="42" width="4.875" style="17" customWidth="1"/>
    <col min="43" max="44" width="4.625" style="17" customWidth="1"/>
    <col min="45" max="45" width="3.5" style="46" hidden="1" customWidth="1" outlineLevel="1"/>
    <col min="46" max="46" width="18.125" style="57" hidden="1" customWidth="1" outlineLevel="1"/>
    <col min="47" max="50" width="13.125" style="57" hidden="1" customWidth="1" outlineLevel="1"/>
    <col min="51" max="60" width="13.125" style="78" hidden="1" customWidth="1" outlineLevel="1"/>
    <col min="61" max="61" width="4" style="45" customWidth="1" collapsed="1"/>
    <col min="62" max="62" width="14.75" style="45" customWidth="1"/>
    <col min="63" max="63" width="13.625" style="17" bestFit="1" customWidth="1"/>
    <col min="64" max="64" width="13.5" style="134" bestFit="1" customWidth="1"/>
    <col min="65" max="65" width="13.5" style="17" bestFit="1" customWidth="1"/>
    <col min="66" max="66" width="13.625" style="134" bestFit="1" customWidth="1"/>
    <col min="67" max="67" width="13.375" style="17" customWidth="1"/>
    <col min="68" max="68" width="11.375" style="134" customWidth="1"/>
    <col min="69" max="69" width="11.375" style="46" customWidth="1"/>
    <col min="70" max="70" width="13.5" style="134" bestFit="1" customWidth="1"/>
    <col min="71" max="71" width="11.375" style="17" customWidth="1"/>
    <col min="72" max="73" width="12" style="17" customWidth="1"/>
    <col min="74" max="74" width="9" style="17"/>
    <col min="75" max="75" width="12.5" style="17" customWidth="1"/>
    <col min="76" max="16384" width="9" style="17"/>
  </cols>
  <sheetData>
    <row r="1" spans="1:73" ht="28.5" customHeight="1">
      <c r="A1" s="658" t="s">
        <v>0</v>
      </c>
      <c r="B1" s="658"/>
      <c r="C1" s="658"/>
      <c r="D1" s="658"/>
      <c r="E1" s="658"/>
      <c r="F1" s="658"/>
      <c r="G1" s="659" t="s">
        <v>237</v>
      </c>
      <c r="H1" s="660"/>
      <c r="I1" s="660"/>
      <c r="J1" s="660"/>
      <c r="K1" s="660"/>
      <c r="L1" s="660"/>
      <c r="M1" s="660"/>
      <c r="N1" s="660"/>
      <c r="O1" s="660"/>
      <c r="P1" s="660"/>
      <c r="Q1" s="660"/>
      <c r="R1" s="660"/>
      <c r="S1" s="660"/>
      <c r="T1" s="660"/>
      <c r="U1" s="660"/>
      <c r="V1" s="649" t="s">
        <v>1</v>
      </c>
      <c r="W1" s="650"/>
      <c r="X1" s="650"/>
      <c r="Y1" s="650"/>
      <c r="Z1" s="650"/>
      <c r="AA1" s="651"/>
      <c r="AB1" s="661" t="s">
        <v>230</v>
      </c>
      <c r="AC1" s="662"/>
      <c r="AD1" s="662"/>
      <c r="AE1" s="662"/>
      <c r="AF1" s="662"/>
      <c r="AG1" s="662"/>
      <c r="AH1" s="662"/>
      <c r="AI1" s="663"/>
      <c r="AJ1" s="639" t="s">
        <v>271</v>
      </c>
      <c r="AK1" s="640"/>
      <c r="AL1" s="640"/>
      <c r="AM1" s="640"/>
      <c r="AN1" s="640"/>
      <c r="AO1" s="640"/>
      <c r="AP1" s="640"/>
      <c r="AQ1" s="640"/>
      <c r="AR1" s="641"/>
      <c r="AS1" s="18"/>
      <c r="AT1" s="237" t="s">
        <v>127</v>
      </c>
      <c r="BI1" s="21"/>
    </row>
    <row r="2" spans="1:73" ht="21" customHeight="1">
      <c r="A2" s="646" t="s">
        <v>2</v>
      </c>
      <c r="B2" s="646"/>
      <c r="C2" s="646"/>
      <c r="D2" s="646"/>
      <c r="E2" s="646"/>
      <c r="F2" s="646"/>
      <c r="G2" s="647" t="s">
        <v>229</v>
      </c>
      <c r="H2" s="647"/>
      <c r="I2" s="647"/>
      <c r="J2" s="647"/>
      <c r="K2" s="647"/>
      <c r="L2" s="647"/>
      <c r="M2" s="647"/>
      <c r="N2" s="647"/>
      <c r="O2" s="647"/>
      <c r="P2" s="647"/>
      <c r="Q2" s="647"/>
      <c r="R2" s="647"/>
      <c r="S2" s="647"/>
      <c r="T2" s="647"/>
      <c r="U2" s="648"/>
      <c r="V2" s="649" t="s">
        <v>3</v>
      </c>
      <c r="W2" s="650"/>
      <c r="X2" s="650"/>
      <c r="Y2" s="650"/>
      <c r="Z2" s="650"/>
      <c r="AA2" s="651"/>
      <c r="AB2" s="652" t="s">
        <v>4</v>
      </c>
      <c r="AC2" s="653"/>
      <c r="AD2" s="654"/>
      <c r="AE2" s="654"/>
      <c r="AF2" s="655"/>
      <c r="AG2" s="656">
        <f>SUM(Y36)</f>
        <v>400</v>
      </c>
      <c r="AH2" s="656"/>
      <c r="AI2" s="657"/>
      <c r="AJ2" s="642" t="s">
        <v>5</v>
      </c>
      <c r="AK2" s="642"/>
      <c r="AL2" s="642"/>
      <c r="AM2" s="642"/>
      <c r="AN2" s="643">
        <v>2.0017</v>
      </c>
      <c r="AO2" s="644"/>
      <c r="AP2" s="644"/>
      <c r="AQ2" s="644"/>
      <c r="AR2" s="645"/>
      <c r="AS2" s="18"/>
      <c r="AT2" s="132"/>
      <c r="BI2" s="17"/>
      <c r="BT2" s="57"/>
      <c r="BU2" s="57"/>
    </row>
    <row r="3" spans="1:73" ht="21" customHeight="1">
      <c r="A3" s="689" t="s">
        <v>37</v>
      </c>
      <c r="B3" s="690"/>
      <c r="C3" s="695" t="s">
        <v>38</v>
      </c>
      <c r="D3" s="696"/>
      <c r="E3" s="696"/>
      <c r="F3" s="697"/>
      <c r="G3" s="698">
        <v>12813.22</v>
      </c>
      <c r="H3" s="698"/>
      <c r="I3" s="698"/>
      <c r="J3" s="698"/>
      <c r="K3" s="698"/>
      <c r="L3" s="699"/>
      <c r="M3" s="1" t="s">
        <v>6</v>
      </c>
      <c r="N3" s="714">
        <f t="shared" ref="N3:N9" si="0">+G3*0.3025</f>
        <v>3875.9990499999999</v>
      </c>
      <c r="O3" s="715"/>
      <c r="P3" s="715"/>
      <c r="Q3" s="715"/>
      <c r="R3" s="715"/>
      <c r="S3" s="715"/>
      <c r="T3" s="716"/>
      <c r="U3" s="2" t="s">
        <v>7</v>
      </c>
      <c r="V3" s="646" t="s">
        <v>235</v>
      </c>
      <c r="W3" s="646"/>
      <c r="X3" s="646"/>
      <c r="Y3" s="646"/>
      <c r="Z3" s="646"/>
      <c r="AA3" s="646"/>
      <c r="AB3" s="919" t="s">
        <v>236</v>
      </c>
      <c r="AC3" s="920"/>
      <c r="AD3" s="920"/>
      <c r="AE3" s="920"/>
      <c r="AF3" s="920"/>
      <c r="AG3" s="920"/>
      <c r="AH3" s="920"/>
      <c r="AI3" s="921"/>
      <c r="AJ3" s="646" t="s">
        <v>8</v>
      </c>
      <c r="AK3" s="646"/>
      <c r="AL3" s="646"/>
      <c r="AM3" s="646"/>
      <c r="AN3" s="700">
        <v>0.23649999999999999</v>
      </c>
      <c r="AO3" s="701"/>
      <c r="AP3" s="701"/>
      <c r="AQ3" s="701"/>
      <c r="AR3" s="702"/>
      <c r="AS3" s="22"/>
      <c r="AT3" s="58" t="s">
        <v>158</v>
      </c>
      <c r="BI3" s="17"/>
    </row>
    <row r="4" spans="1:73" ht="21" customHeight="1" thickBot="1">
      <c r="A4" s="691"/>
      <c r="B4" s="692"/>
      <c r="C4" s="695" t="s">
        <v>211</v>
      </c>
      <c r="D4" s="696"/>
      <c r="E4" s="696"/>
      <c r="F4" s="697"/>
      <c r="G4" s="703">
        <v>768.65</v>
      </c>
      <c r="H4" s="703"/>
      <c r="I4" s="703"/>
      <c r="J4" s="703"/>
      <c r="K4" s="703"/>
      <c r="L4" s="704"/>
      <c r="M4" s="1" t="s">
        <v>6</v>
      </c>
      <c r="N4" s="714">
        <f t="shared" si="0"/>
        <v>232.51662499999998</v>
      </c>
      <c r="O4" s="715"/>
      <c r="P4" s="715"/>
      <c r="Q4" s="715"/>
      <c r="R4" s="715"/>
      <c r="S4" s="715"/>
      <c r="T4" s="716"/>
      <c r="U4" s="2" t="s">
        <v>7</v>
      </c>
      <c r="V4" s="646" t="s">
        <v>84</v>
      </c>
      <c r="W4" s="646"/>
      <c r="X4" s="646"/>
      <c r="Y4" s="646"/>
      <c r="Z4" s="646"/>
      <c r="AA4" s="646"/>
      <c r="AB4" s="735" t="s">
        <v>231</v>
      </c>
      <c r="AC4" s="736"/>
      <c r="AD4" s="736"/>
      <c r="AE4" s="736"/>
      <c r="AF4" s="736"/>
      <c r="AG4" s="736"/>
      <c r="AH4" s="736"/>
      <c r="AI4" s="737"/>
      <c r="AJ4" s="738" t="s">
        <v>9</v>
      </c>
      <c r="AK4" s="690"/>
      <c r="AL4" s="690"/>
      <c r="AM4" s="739"/>
      <c r="AN4" s="238" t="s">
        <v>10</v>
      </c>
      <c r="AO4" s="394">
        <v>2</v>
      </c>
      <c r="AP4" s="711" t="s">
        <v>179</v>
      </c>
      <c r="AQ4" s="711"/>
      <c r="AR4" s="239">
        <v>25</v>
      </c>
      <c r="AS4" s="18"/>
      <c r="AT4" s="58" t="s">
        <v>122</v>
      </c>
      <c r="AX4" s="58"/>
      <c r="AY4" s="58" t="s">
        <v>35</v>
      </c>
      <c r="AZ4" s="21"/>
      <c r="BA4" s="21"/>
      <c r="BB4" s="21"/>
      <c r="BC4" s="21"/>
      <c r="BD4" s="21"/>
      <c r="BE4" s="21"/>
      <c r="BF4" s="21"/>
      <c r="BG4" s="21"/>
      <c r="BH4" s="21"/>
      <c r="BI4" s="17"/>
      <c r="BJ4" s="58" t="s">
        <v>150</v>
      </c>
      <c r="BK4" s="240"/>
      <c r="BL4" s="240"/>
      <c r="BM4" s="58" t="s">
        <v>151</v>
      </c>
      <c r="BN4" s="240"/>
      <c r="BO4" s="240"/>
      <c r="BP4" s="58"/>
      <c r="BQ4" s="57"/>
      <c r="BR4" s="57"/>
      <c r="BS4" s="57"/>
    </row>
    <row r="5" spans="1:73" ht="21" customHeight="1">
      <c r="A5" s="693"/>
      <c r="B5" s="694"/>
      <c r="C5" s="695" t="s">
        <v>212</v>
      </c>
      <c r="D5" s="696"/>
      <c r="E5" s="696"/>
      <c r="F5" s="697"/>
      <c r="G5" s="704">
        <v>12813.22</v>
      </c>
      <c r="H5" s="727"/>
      <c r="I5" s="727"/>
      <c r="J5" s="727"/>
      <c r="K5" s="727"/>
      <c r="L5" s="727"/>
      <c r="M5" s="1" t="s">
        <v>6</v>
      </c>
      <c r="N5" s="741">
        <f t="shared" si="0"/>
        <v>3875.9990499999999</v>
      </c>
      <c r="O5" s="742"/>
      <c r="P5" s="742"/>
      <c r="Q5" s="742"/>
      <c r="R5" s="742"/>
      <c r="S5" s="742"/>
      <c r="T5" s="742"/>
      <c r="U5" s="2" t="s">
        <v>7</v>
      </c>
      <c r="V5" s="646" t="s">
        <v>232</v>
      </c>
      <c r="W5" s="646"/>
      <c r="X5" s="646"/>
      <c r="Y5" s="646"/>
      <c r="Z5" s="646"/>
      <c r="AA5" s="646"/>
      <c r="AB5" s="735" t="s">
        <v>234</v>
      </c>
      <c r="AC5" s="736"/>
      <c r="AD5" s="736"/>
      <c r="AE5" s="736"/>
      <c r="AF5" s="736"/>
      <c r="AG5" s="736"/>
      <c r="AH5" s="736"/>
      <c r="AI5" s="737"/>
      <c r="AJ5" s="693"/>
      <c r="AK5" s="694"/>
      <c r="AL5" s="694"/>
      <c r="AM5" s="740"/>
      <c r="AN5" s="723" t="s">
        <v>233</v>
      </c>
      <c r="AO5" s="724"/>
      <c r="AP5" s="724"/>
      <c r="AQ5" s="712" t="s">
        <v>180</v>
      </c>
      <c r="AR5" s="713"/>
      <c r="AS5" s="18"/>
      <c r="AT5" s="379" t="s">
        <v>82</v>
      </c>
      <c r="AU5" s="844" t="s">
        <v>36</v>
      </c>
      <c r="AV5" s="844"/>
      <c r="AW5" s="379" t="s">
        <v>121</v>
      </c>
      <c r="AX5" s="58"/>
      <c r="AY5" s="119" t="s">
        <v>36</v>
      </c>
      <c r="AZ5" s="120" t="s">
        <v>201</v>
      </c>
      <c r="BA5" s="121" t="e">
        <f>SUM(#REF!)</f>
        <v>#REF!</v>
      </c>
      <c r="BB5" s="122" t="e">
        <f>BA5*T22</f>
        <v>#REF!</v>
      </c>
      <c r="BC5" s="123">
        <f>T17</f>
        <v>236</v>
      </c>
      <c r="BD5" s="124" t="s">
        <v>36</v>
      </c>
      <c r="BE5" s="125" t="s">
        <v>83</v>
      </c>
      <c r="BF5" s="126" t="e">
        <f>SUM(#REF!)</f>
        <v>#REF!</v>
      </c>
      <c r="BG5" s="127"/>
      <c r="BH5" s="128"/>
      <c r="BI5" s="17"/>
      <c r="BJ5" s="241" t="s">
        <v>140</v>
      </c>
      <c r="BK5" s="242" t="s">
        <v>141</v>
      </c>
      <c r="BL5" s="243" t="s">
        <v>142</v>
      </c>
      <c r="BM5" s="241" t="s">
        <v>140</v>
      </c>
      <c r="BN5" s="242" t="s">
        <v>132</v>
      </c>
      <c r="BO5" s="243" t="s">
        <v>144</v>
      </c>
      <c r="BP5" s="243" t="s">
        <v>152</v>
      </c>
      <c r="BQ5" s="57"/>
      <c r="BR5" s="57"/>
      <c r="BS5" s="57"/>
    </row>
    <row r="6" spans="1:73" ht="21" customHeight="1">
      <c r="A6" s="689" t="s">
        <v>86</v>
      </c>
      <c r="B6" s="690"/>
      <c r="C6" s="695" t="s">
        <v>87</v>
      </c>
      <c r="D6" s="696"/>
      <c r="E6" s="696"/>
      <c r="F6" s="697"/>
      <c r="G6" s="703">
        <v>44382.58</v>
      </c>
      <c r="H6" s="703"/>
      <c r="I6" s="703"/>
      <c r="J6" s="703"/>
      <c r="K6" s="703"/>
      <c r="L6" s="704"/>
      <c r="M6" s="1" t="s">
        <v>6</v>
      </c>
      <c r="N6" s="714">
        <f>+G6*0.3025</f>
        <v>13425.730450000001</v>
      </c>
      <c r="O6" s="715"/>
      <c r="P6" s="715"/>
      <c r="Q6" s="715"/>
      <c r="R6" s="715"/>
      <c r="S6" s="715"/>
      <c r="T6" s="716"/>
      <c r="U6" s="2" t="s">
        <v>7</v>
      </c>
      <c r="V6" s="642" t="s">
        <v>203</v>
      </c>
      <c r="W6" s="642"/>
      <c r="X6" s="642"/>
      <c r="Y6" s="642"/>
      <c r="Z6" s="642"/>
      <c r="AA6" s="642"/>
      <c r="AB6" s="705">
        <v>0.1</v>
      </c>
      <c r="AC6" s="706"/>
      <c r="AD6" s="706"/>
      <c r="AE6" s="706"/>
      <c r="AF6" s="706"/>
      <c r="AG6" s="706"/>
      <c r="AH6" s="706"/>
      <c r="AI6" s="707"/>
      <c r="AJ6" s="642" t="s">
        <v>11</v>
      </c>
      <c r="AK6" s="642"/>
      <c r="AL6" s="642"/>
      <c r="AM6" s="642"/>
      <c r="AN6" s="708">
        <v>1.2</v>
      </c>
      <c r="AO6" s="709"/>
      <c r="AP6" s="709"/>
      <c r="AQ6" s="709"/>
      <c r="AR6" s="710"/>
      <c r="AS6" s="18"/>
      <c r="AT6" s="379" t="s">
        <v>193</v>
      </c>
      <c r="AU6" s="844" t="e">
        <f>+SUM(#REF!)</f>
        <v>#REF!</v>
      </c>
      <c r="AV6" s="844"/>
      <c r="AW6" s="379"/>
      <c r="AX6" s="58"/>
      <c r="AY6" s="91" t="s">
        <v>39</v>
      </c>
      <c r="AZ6" s="92"/>
      <c r="BA6" s="93">
        <v>1</v>
      </c>
      <c r="BB6" s="94" t="e">
        <f>($BB$19)*BA6</f>
        <v>#REF!</v>
      </c>
      <c r="BC6" s="100" t="s">
        <v>40</v>
      </c>
      <c r="BD6" s="107" t="s">
        <v>39</v>
      </c>
      <c r="BE6" s="104"/>
      <c r="BF6" s="105">
        <v>1</v>
      </c>
      <c r="BG6" s="106" t="e">
        <f>($BG$19)*BF6</f>
        <v>#REF!</v>
      </c>
      <c r="BH6" s="108" t="s">
        <v>40</v>
      </c>
      <c r="BI6" s="17"/>
      <c r="BJ6" s="211" t="s">
        <v>228</v>
      </c>
      <c r="BK6" s="212">
        <v>0.7</v>
      </c>
      <c r="BL6" s="213">
        <f>SUM(BK6*(N17))</f>
        <v>141915669</v>
      </c>
      <c r="BM6" s="153" t="s">
        <v>145</v>
      </c>
      <c r="BN6" s="154"/>
      <c r="BO6" s="155" t="s">
        <v>188</v>
      </c>
      <c r="BP6" s="155"/>
      <c r="BQ6" s="236"/>
      <c r="BR6" s="57"/>
      <c r="BS6" s="57"/>
    </row>
    <row r="7" spans="1:73" ht="21" customHeight="1">
      <c r="A7" s="691"/>
      <c r="B7" s="692"/>
      <c r="C7" s="695" t="s">
        <v>89</v>
      </c>
      <c r="D7" s="696"/>
      <c r="E7" s="696"/>
      <c r="F7" s="697"/>
      <c r="G7" s="704">
        <v>25646.81</v>
      </c>
      <c r="H7" s="727"/>
      <c r="I7" s="727"/>
      <c r="J7" s="727"/>
      <c r="K7" s="727"/>
      <c r="L7" s="727"/>
      <c r="M7" s="1" t="s">
        <v>6</v>
      </c>
      <c r="N7" s="714">
        <f>+G7*0.3025</f>
        <v>7758.1600250000001</v>
      </c>
      <c r="O7" s="715"/>
      <c r="P7" s="715"/>
      <c r="Q7" s="715"/>
      <c r="R7" s="715"/>
      <c r="S7" s="715"/>
      <c r="T7" s="716"/>
      <c r="U7" s="2" t="s">
        <v>7</v>
      </c>
      <c r="V7" s="646" t="s">
        <v>12</v>
      </c>
      <c r="W7" s="646"/>
      <c r="X7" s="646"/>
      <c r="Y7" s="646"/>
      <c r="Z7" s="646"/>
      <c r="AA7" s="646"/>
      <c r="AB7" s="749">
        <v>0.6</v>
      </c>
      <c r="AC7" s="750"/>
      <c r="AD7" s="750"/>
      <c r="AE7" s="750"/>
      <c r="AF7" s="750"/>
      <c r="AG7" s="750"/>
      <c r="AH7" s="750"/>
      <c r="AI7" s="751"/>
      <c r="AJ7" s="646" t="s">
        <v>181</v>
      </c>
      <c r="AK7" s="646"/>
      <c r="AL7" s="646"/>
      <c r="AM7" s="646"/>
      <c r="AN7" s="743"/>
      <c r="AO7" s="744"/>
      <c r="AP7" s="744"/>
      <c r="AQ7" s="744"/>
      <c r="AR7" s="745"/>
      <c r="AS7" s="18"/>
      <c r="AT7" s="379" t="s">
        <v>88</v>
      </c>
      <c r="AU7" s="844" t="e">
        <f>+SUM(#REF!)</f>
        <v>#REF!</v>
      </c>
      <c r="AV7" s="844"/>
      <c r="AW7" s="379"/>
      <c r="AX7" s="58"/>
      <c r="AY7" s="91" t="s">
        <v>85</v>
      </c>
      <c r="AZ7" s="92"/>
      <c r="BA7" s="93">
        <v>0</v>
      </c>
      <c r="BB7" s="94" t="e">
        <f>($BB$19)*BA7</f>
        <v>#REF!</v>
      </c>
      <c r="BC7" s="100" t="s">
        <v>41</v>
      </c>
      <c r="BD7" s="107" t="s">
        <v>85</v>
      </c>
      <c r="BE7" s="104"/>
      <c r="BF7" s="105">
        <v>0</v>
      </c>
      <c r="BG7" s="106" t="e">
        <f>($BG$19)*BF7</f>
        <v>#REF!</v>
      </c>
      <c r="BH7" s="108" t="s">
        <v>41</v>
      </c>
      <c r="BI7" s="17"/>
      <c r="BJ7" s="211"/>
      <c r="BK7" s="212"/>
      <c r="BL7" s="213"/>
      <c r="BM7" s="153" t="s">
        <v>147</v>
      </c>
      <c r="BN7" s="154"/>
      <c r="BO7" s="155" t="s">
        <v>146</v>
      </c>
      <c r="BP7" s="209"/>
      <c r="BQ7" s="236"/>
      <c r="BR7" s="57"/>
      <c r="BS7" s="57"/>
    </row>
    <row r="8" spans="1:73" ht="21" customHeight="1">
      <c r="A8" s="691"/>
      <c r="B8" s="692"/>
      <c r="C8" s="746" t="s">
        <v>91</v>
      </c>
      <c r="D8" s="747"/>
      <c r="E8" s="747"/>
      <c r="F8" s="748"/>
      <c r="G8" s="720">
        <v>18733.77</v>
      </c>
      <c r="H8" s="721"/>
      <c r="I8" s="721"/>
      <c r="J8" s="721"/>
      <c r="K8" s="721"/>
      <c r="L8" s="721"/>
      <c r="M8" s="397"/>
      <c r="N8" s="922"/>
      <c r="O8" s="923"/>
      <c r="P8" s="923"/>
      <c r="Q8" s="923"/>
      <c r="R8" s="923"/>
      <c r="S8" s="923"/>
      <c r="T8" s="923"/>
      <c r="U8" s="924"/>
      <c r="V8" s="722" t="s">
        <v>92</v>
      </c>
      <c r="W8" s="722"/>
      <c r="X8" s="722"/>
      <c r="Y8" s="722"/>
      <c r="Z8" s="722"/>
      <c r="AA8" s="722"/>
      <c r="AB8" s="680">
        <v>0.05</v>
      </c>
      <c r="AC8" s="681"/>
      <c r="AD8" s="681"/>
      <c r="AE8" s="681"/>
      <c r="AF8" s="681"/>
      <c r="AG8" s="681"/>
      <c r="AH8" s="681"/>
      <c r="AI8" s="682"/>
      <c r="AJ8" s="738"/>
      <c r="AK8" s="690"/>
      <c r="AL8" s="690"/>
      <c r="AM8" s="739"/>
      <c r="AN8" s="398"/>
      <c r="AO8" s="399"/>
      <c r="AP8" s="399"/>
      <c r="AQ8" s="399"/>
      <c r="AR8" s="400"/>
      <c r="AS8" s="18"/>
      <c r="AT8" s="379"/>
      <c r="AU8" s="370"/>
      <c r="AV8" s="370"/>
      <c r="AW8" s="379"/>
      <c r="AX8" s="58"/>
      <c r="AY8" s="91"/>
      <c r="AZ8" s="92"/>
      <c r="BA8" s="93"/>
      <c r="BB8" s="94"/>
      <c r="BC8" s="100"/>
      <c r="BD8" s="107"/>
      <c r="BE8" s="104"/>
      <c r="BF8" s="105"/>
      <c r="BG8" s="106"/>
      <c r="BH8" s="108"/>
      <c r="BI8" s="17"/>
      <c r="BJ8" s="211"/>
      <c r="BK8" s="212"/>
      <c r="BL8" s="213"/>
      <c r="BM8" s="153"/>
      <c r="BN8" s="154"/>
      <c r="BO8" s="155"/>
      <c r="BP8" s="209"/>
      <c r="BQ8" s="236"/>
      <c r="BR8" s="57"/>
      <c r="BS8" s="57"/>
    </row>
    <row r="9" spans="1:73" ht="21" customHeight="1">
      <c r="A9" s="725"/>
      <c r="B9" s="726"/>
      <c r="C9" s="746" t="s">
        <v>238</v>
      </c>
      <c r="D9" s="747"/>
      <c r="E9" s="747"/>
      <c r="F9" s="748"/>
      <c r="G9" s="720">
        <v>33000</v>
      </c>
      <c r="H9" s="721"/>
      <c r="I9" s="721"/>
      <c r="J9" s="721"/>
      <c r="K9" s="721"/>
      <c r="L9" s="721"/>
      <c r="M9" s="3" t="s">
        <v>6</v>
      </c>
      <c r="N9" s="732">
        <f t="shared" si="0"/>
        <v>9982.5</v>
      </c>
      <c r="O9" s="733"/>
      <c r="P9" s="733"/>
      <c r="Q9" s="733"/>
      <c r="R9" s="733"/>
      <c r="S9" s="733"/>
      <c r="T9" s="734"/>
      <c r="U9" s="4" t="s">
        <v>7</v>
      </c>
      <c r="V9" s="722" t="s">
        <v>239</v>
      </c>
      <c r="W9" s="722"/>
      <c r="X9" s="722"/>
      <c r="Y9" s="722"/>
      <c r="Z9" s="722"/>
      <c r="AA9" s="722"/>
      <c r="AB9" s="680" t="s">
        <v>240</v>
      </c>
      <c r="AC9" s="681"/>
      <c r="AD9" s="681"/>
      <c r="AE9" s="681"/>
      <c r="AF9" s="681"/>
      <c r="AG9" s="681"/>
      <c r="AH9" s="681"/>
      <c r="AI9" s="682"/>
      <c r="AJ9" s="722" t="s">
        <v>182</v>
      </c>
      <c r="AK9" s="722"/>
      <c r="AL9" s="722"/>
      <c r="AM9" s="722"/>
      <c r="AN9" s="717"/>
      <c r="AO9" s="718"/>
      <c r="AP9" s="718"/>
      <c r="AQ9" s="718"/>
      <c r="AR9" s="719"/>
      <c r="AS9" s="18"/>
      <c r="AT9" s="379" t="s">
        <v>93</v>
      </c>
      <c r="AU9" s="844" t="e">
        <f>+SUM(#REF!)</f>
        <v>#REF!</v>
      </c>
      <c r="AV9" s="844"/>
      <c r="AW9" s="379"/>
      <c r="AX9" s="58"/>
      <c r="AY9" s="91"/>
      <c r="AZ9" s="92"/>
      <c r="BA9" s="93"/>
      <c r="BB9" s="94"/>
      <c r="BC9" s="100"/>
      <c r="BD9" s="107"/>
      <c r="BE9" s="104"/>
      <c r="BF9" s="105"/>
      <c r="BG9" s="106"/>
      <c r="BH9" s="108"/>
      <c r="BI9" s="17"/>
      <c r="BJ9" s="211" t="s">
        <v>32</v>
      </c>
      <c r="BK9" s="212">
        <v>0.5</v>
      </c>
      <c r="BL9" s="213">
        <f>SUM(BK9*N21)</f>
        <v>6187327.5</v>
      </c>
      <c r="BM9" s="153" t="s">
        <v>148</v>
      </c>
      <c r="BN9" s="154">
        <v>100000000</v>
      </c>
      <c r="BO9" s="156">
        <f>BN9/N22</f>
        <v>0.46487557082361891</v>
      </c>
      <c r="BP9" s="156"/>
      <c r="BQ9" s="57"/>
      <c r="BR9" s="57"/>
      <c r="BS9" s="57"/>
    </row>
    <row r="10" spans="1:73" ht="21" customHeight="1" thickBot="1">
      <c r="A10" s="5"/>
      <c r="B10" s="6"/>
      <c r="C10" s="6"/>
      <c r="D10" s="6"/>
      <c r="E10" s="6"/>
      <c r="F10" s="6"/>
      <c r="G10" s="7"/>
      <c r="H10" s="7"/>
      <c r="I10" s="7"/>
      <c r="J10" s="7"/>
      <c r="K10" s="7"/>
      <c r="L10" s="7"/>
      <c r="M10" s="8"/>
      <c r="N10" s="9"/>
      <c r="O10" s="9"/>
      <c r="P10" s="9"/>
      <c r="Q10" s="9"/>
      <c r="R10" s="9"/>
      <c r="S10" s="9"/>
      <c r="T10" s="9"/>
      <c r="U10" s="10"/>
      <c r="V10" s="6"/>
      <c r="W10" s="6"/>
      <c r="X10" s="6"/>
      <c r="Y10" s="6"/>
      <c r="Z10" s="6"/>
      <c r="AA10" s="6"/>
      <c r="AB10" s="11"/>
      <c r="AC10" s="11"/>
      <c r="AD10" s="11"/>
      <c r="AE10" s="11"/>
      <c r="AF10" s="11"/>
      <c r="AG10" s="11"/>
      <c r="AH10" s="11"/>
      <c r="AI10" s="11"/>
      <c r="AJ10" s="12"/>
      <c r="AK10" s="12"/>
      <c r="AL10" s="12"/>
      <c r="AM10" s="12"/>
      <c r="AN10" s="13" t="s">
        <v>245</v>
      </c>
      <c r="AO10" s="14"/>
      <c r="AP10" s="945" t="s">
        <v>246</v>
      </c>
      <c r="AQ10" s="945"/>
      <c r="AR10" s="946"/>
      <c r="AS10" s="18"/>
      <c r="AT10" s="58"/>
      <c r="AU10" s="58"/>
      <c r="AV10" s="58"/>
      <c r="AW10" s="58"/>
      <c r="AX10" s="58"/>
      <c r="AY10" s="91" t="s">
        <v>39</v>
      </c>
      <c r="AZ10" s="92"/>
      <c r="BA10" s="93">
        <v>1</v>
      </c>
      <c r="BB10" s="94" t="e">
        <f>($BB$20)*BA10</f>
        <v>#REF!</v>
      </c>
      <c r="BC10" s="100" t="s">
        <v>40</v>
      </c>
      <c r="BD10" s="107" t="s">
        <v>39</v>
      </c>
      <c r="BE10" s="104"/>
      <c r="BF10" s="105">
        <v>1</v>
      </c>
      <c r="BG10" s="106" t="e">
        <f>($BG$20)*BF10</f>
        <v>#REF!</v>
      </c>
      <c r="BH10" s="108" t="s">
        <v>40</v>
      </c>
      <c r="BI10" s="17"/>
      <c r="BJ10" s="211"/>
      <c r="BK10" s="212"/>
      <c r="BL10" s="213"/>
      <c r="BM10" s="211"/>
      <c r="BN10" s="154"/>
      <c r="BO10" s="155"/>
      <c r="BP10" s="155"/>
      <c r="BQ10" s="57"/>
      <c r="BR10" s="57"/>
      <c r="BS10" s="57"/>
    </row>
    <row r="11" spans="1:73" ht="21" customHeight="1" thickBot="1">
      <c r="A11" s="664" t="s">
        <v>13</v>
      </c>
      <c r="B11" s="665"/>
      <c r="C11" s="665"/>
      <c r="D11" s="665"/>
      <c r="E11" s="665"/>
      <c r="F11" s="666"/>
      <c r="G11" s="670" t="s">
        <v>94</v>
      </c>
      <c r="H11" s="671"/>
      <c r="I11" s="671"/>
      <c r="J11" s="672"/>
      <c r="K11" s="675" t="s">
        <v>80</v>
      </c>
      <c r="L11" s="671"/>
      <c r="M11" s="676"/>
      <c r="N11" s="677" t="s">
        <v>14</v>
      </c>
      <c r="O11" s="677"/>
      <c r="P11" s="677"/>
      <c r="Q11" s="677"/>
      <c r="R11" s="677"/>
      <c r="S11" s="678"/>
      <c r="T11" s="664" t="s">
        <v>95</v>
      </c>
      <c r="U11" s="665"/>
      <c r="V11" s="665"/>
      <c r="W11" s="665"/>
      <c r="X11" s="665"/>
      <c r="Y11" s="665"/>
      <c r="Z11" s="665"/>
      <c r="AA11" s="665"/>
      <c r="AB11" s="665"/>
      <c r="AC11" s="665"/>
      <c r="AD11" s="665"/>
      <c r="AE11" s="665"/>
      <c r="AF11" s="665"/>
      <c r="AG11" s="665"/>
      <c r="AH11" s="665"/>
      <c r="AI11" s="679"/>
      <c r="AJ11" s="765" t="s">
        <v>154</v>
      </c>
      <c r="AK11" s="677"/>
      <c r="AL11" s="677"/>
      <c r="AM11" s="678"/>
      <c r="AN11" s="766" t="s">
        <v>157</v>
      </c>
      <c r="AO11" s="677" t="s">
        <v>96</v>
      </c>
      <c r="AP11" s="678"/>
      <c r="AQ11" s="761" t="s">
        <v>15</v>
      </c>
      <c r="AR11" s="762"/>
      <c r="AS11" s="18"/>
      <c r="AT11" s="58" t="s">
        <v>45</v>
      </c>
      <c r="AU11" s="58"/>
      <c r="AV11" s="58"/>
      <c r="AW11" s="58"/>
      <c r="AX11" s="58"/>
      <c r="AY11" s="91" t="s">
        <v>90</v>
      </c>
      <c r="AZ11" s="92"/>
      <c r="BA11" s="93">
        <v>0</v>
      </c>
      <c r="BB11" s="94" t="e">
        <f>($BB$20)*BA11</f>
        <v>#REF!</v>
      </c>
      <c r="BC11" s="100" t="s">
        <v>41</v>
      </c>
      <c r="BD11" s="107" t="s">
        <v>90</v>
      </c>
      <c r="BE11" s="104"/>
      <c r="BF11" s="105">
        <v>0</v>
      </c>
      <c r="BG11" s="106" t="e">
        <f>($BG$20)*BF11</f>
        <v>#REF!</v>
      </c>
      <c r="BH11" s="108" t="s">
        <v>41</v>
      </c>
      <c r="BI11" s="17"/>
      <c r="BJ11" s="214" t="s">
        <v>143</v>
      </c>
      <c r="BK11" s="215"/>
      <c r="BL11" s="216">
        <f>SUM(BL6:BL10)</f>
        <v>148102996.5</v>
      </c>
      <c r="BM11" s="214" t="s">
        <v>33</v>
      </c>
      <c r="BN11" s="217" t="e">
        <f>+BN9+#REF!+BN10</f>
        <v>#REF!</v>
      </c>
      <c r="BO11" s="218" t="e">
        <f>BN11/N22</f>
        <v>#REF!</v>
      </c>
      <c r="BP11" s="218"/>
      <c r="BQ11" s="57"/>
      <c r="BR11" s="57"/>
      <c r="BS11" s="57"/>
    </row>
    <row r="12" spans="1:73" ht="21" customHeight="1">
      <c r="A12" s="667"/>
      <c r="B12" s="668"/>
      <c r="C12" s="668"/>
      <c r="D12" s="668"/>
      <c r="E12" s="668"/>
      <c r="F12" s="669"/>
      <c r="G12" s="673"/>
      <c r="H12" s="668"/>
      <c r="I12" s="668"/>
      <c r="J12" s="674"/>
      <c r="K12" s="667"/>
      <c r="L12" s="668"/>
      <c r="M12" s="669"/>
      <c r="N12" s="668"/>
      <c r="O12" s="668"/>
      <c r="P12" s="668"/>
      <c r="Q12" s="668"/>
      <c r="R12" s="668"/>
      <c r="S12" s="674"/>
      <c r="T12" s="667"/>
      <c r="U12" s="668"/>
      <c r="V12" s="668"/>
      <c r="W12" s="668"/>
      <c r="X12" s="668"/>
      <c r="Y12" s="668"/>
      <c r="Z12" s="668"/>
      <c r="AA12" s="668"/>
      <c r="AB12" s="668"/>
      <c r="AC12" s="668"/>
      <c r="AD12" s="668"/>
      <c r="AE12" s="668"/>
      <c r="AF12" s="668"/>
      <c r="AG12" s="668"/>
      <c r="AH12" s="668"/>
      <c r="AI12" s="674"/>
      <c r="AJ12" s="667"/>
      <c r="AK12" s="668"/>
      <c r="AL12" s="668"/>
      <c r="AM12" s="674"/>
      <c r="AN12" s="767"/>
      <c r="AO12" s="668"/>
      <c r="AP12" s="674"/>
      <c r="AQ12" s="763"/>
      <c r="AR12" s="764"/>
      <c r="AS12" s="18"/>
      <c r="AT12" s="754" t="s">
        <v>48</v>
      </c>
      <c r="AU12" s="755"/>
      <c r="AV12" s="756"/>
      <c r="AW12" s="59"/>
      <c r="AX12" s="58"/>
      <c r="AY12" s="91"/>
      <c r="AZ12" s="92"/>
      <c r="BA12" s="93"/>
      <c r="BB12" s="94"/>
      <c r="BC12" s="100"/>
      <c r="BD12" s="107"/>
      <c r="BE12" s="104"/>
      <c r="BF12" s="105"/>
      <c r="BG12" s="106"/>
      <c r="BH12" s="108"/>
      <c r="BI12" s="17"/>
      <c r="BJ12" s="57"/>
      <c r="BK12" s="57"/>
      <c r="BL12" s="57"/>
      <c r="BM12" s="57"/>
      <c r="BN12" s="57"/>
      <c r="BO12" s="57"/>
      <c r="BP12" s="57"/>
      <c r="BQ12" s="57"/>
      <c r="BR12" s="57"/>
      <c r="BS12" s="57"/>
    </row>
    <row r="13" spans="1:73" ht="21" customHeight="1" thickBot="1">
      <c r="A13" s="805" t="s">
        <v>16</v>
      </c>
      <c r="B13" s="585" t="s">
        <v>213</v>
      </c>
      <c r="C13" s="586"/>
      <c r="D13" s="586"/>
      <c r="E13" s="586"/>
      <c r="F13" s="587"/>
      <c r="G13" s="254">
        <v>59</v>
      </c>
      <c r="H13" s="555">
        <v>82.64</v>
      </c>
      <c r="I13" s="556"/>
      <c r="J13" s="557"/>
      <c r="K13" s="558">
        <f>H13*0.3025</f>
        <v>24.9986</v>
      </c>
      <c r="L13" s="559"/>
      <c r="M13" s="560"/>
      <c r="N13" s="572">
        <f>(T13*AJ13)</f>
        <v>93744750</v>
      </c>
      <c r="O13" s="572"/>
      <c r="P13" s="572"/>
      <c r="Q13" s="572"/>
      <c r="R13" s="572"/>
      <c r="S13" s="573"/>
      <c r="T13" s="574">
        <v>125</v>
      </c>
      <c r="U13" s="575"/>
      <c r="V13" s="575"/>
      <c r="W13" s="575"/>
      <c r="X13" s="562">
        <f>K13</f>
        <v>24.9986</v>
      </c>
      <c r="Y13" s="563"/>
      <c r="Z13" s="563"/>
      <c r="AA13" s="563"/>
      <c r="AB13" s="561" t="s">
        <v>7</v>
      </c>
      <c r="AC13" s="561"/>
      <c r="AD13" s="393" t="s">
        <v>17</v>
      </c>
      <c r="AE13" s="561">
        <v>30000</v>
      </c>
      <c r="AF13" s="561"/>
      <c r="AG13" s="561"/>
      <c r="AH13" s="561" t="s">
        <v>18</v>
      </c>
      <c r="AI13" s="563"/>
      <c r="AJ13" s="598">
        <f>ROUND(X13*AE13,0)</f>
        <v>749958</v>
      </c>
      <c r="AK13" s="599"/>
      <c r="AL13" s="599"/>
      <c r="AM13" s="600"/>
      <c r="AN13" s="210">
        <f>AJ13/K13</f>
        <v>30000</v>
      </c>
      <c r="AO13" s="728">
        <f>K13/X13</f>
        <v>1</v>
      </c>
      <c r="AP13" s="729"/>
      <c r="AQ13" s="730">
        <f>+N13/$N$23</f>
        <v>0.43579644167967446</v>
      </c>
      <c r="AR13" s="731"/>
      <c r="AS13" s="18"/>
      <c r="AT13" s="60" t="s">
        <v>98</v>
      </c>
      <c r="AU13" s="61">
        <f>SUM(AU14)</f>
        <v>129069000</v>
      </c>
      <c r="AV13" s="62" t="s">
        <v>99</v>
      </c>
      <c r="AW13" s="63"/>
      <c r="AX13" s="208"/>
      <c r="AY13" s="91" t="s">
        <v>39</v>
      </c>
      <c r="AZ13" s="92"/>
      <c r="BA13" s="93">
        <v>1</v>
      </c>
      <c r="BB13" s="94" t="e">
        <f>($BB$21)*BA13</f>
        <v>#REF!</v>
      </c>
      <c r="BC13" s="100" t="s">
        <v>40</v>
      </c>
      <c r="BD13" s="107" t="s">
        <v>39</v>
      </c>
      <c r="BE13" s="104"/>
      <c r="BF13" s="105">
        <v>1</v>
      </c>
      <c r="BG13" s="106" t="e">
        <f>($BG$21)*BF13</f>
        <v>#REF!</v>
      </c>
      <c r="BH13" s="108" t="s">
        <v>40</v>
      </c>
      <c r="BI13" s="17"/>
      <c r="BJ13" s="58" t="s">
        <v>149</v>
      </c>
      <c r="BK13" s="57"/>
      <c r="BL13" s="57"/>
      <c r="BM13" s="57"/>
      <c r="BN13" s="57"/>
      <c r="BO13" s="57"/>
      <c r="BP13" s="57"/>
      <c r="BQ13" s="57"/>
      <c r="BR13" s="57"/>
      <c r="BS13" s="57"/>
    </row>
    <row r="14" spans="1:73" ht="21" customHeight="1" thickBot="1">
      <c r="A14" s="806"/>
      <c r="B14" s="588"/>
      <c r="C14" s="589"/>
      <c r="D14" s="589"/>
      <c r="E14" s="589"/>
      <c r="F14" s="590"/>
      <c r="G14" s="254">
        <v>73.16</v>
      </c>
      <c r="H14" s="555">
        <f>31/0.3025</f>
        <v>102.47933884297521</v>
      </c>
      <c r="I14" s="556"/>
      <c r="J14" s="557"/>
      <c r="K14" s="558">
        <f>H14*0.3025</f>
        <v>31</v>
      </c>
      <c r="L14" s="559"/>
      <c r="M14" s="560"/>
      <c r="N14" s="572">
        <f>(T14*AJ14)</f>
        <v>43710000</v>
      </c>
      <c r="O14" s="572"/>
      <c r="P14" s="572"/>
      <c r="Q14" s="572"/>
      <c r="R14" s="572"/>
      <c r="S14" s="573"/>
      <c r="T14" s="574">
        <v>47</v>
      </c>
      <c r="U14" s="575"/>
      <c r="V14" s="575"/>
      <c r="W14" s="575"/>
      <c r="X14" s="562">
        <f>K14</f>
        <v>31</v>
      </c>
      <c r="Y14" s="563"/>
      <c r="Z14" s="563"/>
      <c r="AA14" s="563"/>
      <c r="AB14" s="561" t="s">
        <v>7</v>
      </c>
      <c r="AC14" s="561"/>
      <c r="AD14" s="393" t="s">
        <v>17</v>
      </c>
      <c r="AE14" s="561">
        <v>30000</v>
      </c>
      <c r="AF14" s="561"/>
      <c r="AG14" s="561"/>
      <c r="AH14" s="561" t="s">
        <v>18</v>
      </c>
      <c r="AI14" s="563"/>
      <c r="AJ14" s="598">
        <f>ROUND(X14*AE14,0)</f>
        <v>930000</v>
      </c>
      <c r="AK14" s="599"/>
      <c r="AL14" s="599"/>
      <c r="AM14" s="600"/>
      <c r="AN14" s="210">
        <f>AJ14/K14</f>
        <v>30000</v>
      </c>
      <c r="AO14" s="728">
        <f>K14/X14</f>
        <v>1</v>
      </c>
      <c r="AP14" s="729"/>
      <c r="AQ14" s="730">
        <f>+N14/$N$23</f>
        <v>0.20319711200700383</v>
      </c>
      <c r="AR14" s="731"/>
      <c r="AS14" s="22"/>
      <c r="AT14" s="64">
        <f>AU14/N22</f>
        <v>0.60001025050633661</v>
      </c>
      <c r="AU14" s="65">
        <f>SUM(Y79:AB79)</f>
        <v>129069000</v>
      </c>
      <c r="AV14" s="65" t="s">
        <v>156</v>
      </c>
      <c r="AW14" s="66"/>
      <c r="AX14" s="208"/>
      <c r="AY14" s="91" t="s">
        <v>42</v>
      </c>
      <c r="AZ14" s="92"/>
      <c r="BA14" s="93">
        <v>0</v>
      </c>
      <c r="BB14" s="94" t="e">
        <f>($BB$21)*BA14</f>
        <v>#REF!</v>
      </c>
      <c r="BC14" s="100" t="s">
        <v>41</v>
      </c>
      <c r="BD14" s="107" t="s">
        <v>42</v>
      </c>
      <c r="BE14" s="104"/>
      <c r="BF14" s="105">
        <v>0</v>
      </c>
      <c r="BG14" s="106" t="e">
        <f>($BG$21)*BF14</f>
        <v>#REF!</v>
      </c>
      <c r="BH14" s="108" t="s">
        <v>41</v>
      </c>
      <c r="BI14" s="17"/>
      <c r="BJ14" s="150" t="s">
        <v>128</v>
      </c>
      <c r="BK14" s="151" t="s">
        <v>136</v>
      </c>
      <c r="BL14" s="151" t="s">
        <v>137</v>
      </c>
      <c r="BM14" s="151" t="s">
        <v>138</v>
      </c>
      <c r="BN14" s="151" t="s">
        <v>141</v>
      </c>
      <c r="BO14" s="151" t="s">
        <v>153</v>
      </c>
      <c r="BP14" s="157" t="s">
        <v>152</v>
      </c>
      <c r="BQ14" s="57"/>
      <c r="BR14" s="57"/>
      <c r="BS14" s="57"/>
    </row>
    <row r="15" spans="1:73" ht="21" customHeight="1">
      <c r="A15" s="806"/>
      <c r="B15" s="588"/>
      <c r="C15" s="589"/>
      <c r="D15" s="589"/>
      <c r="E15" s="589"/>
      <c r="F15" s="590"/>
      <c r="G15" s="254">
        <v>84</v>
      </c>
      <c r="H15" s="555">
        <v>112.4</v>
      </c>
      <c r="I15" s="556"/>
      <c r="J15" s="557"/>
      <c r="K15" s="558">
        <f>H15*0.3025</f>
        <v>34.000999999999998</v>
      </c>
      <c r="L15" s="559"/>
      <c r="M15" s="560"/>
      <c r="N15" s="572">
        <f>(T15*AJ15)</f>
        <v>65281920</v>
      </c>
      <c r="O15" s="572"/>
      <c r="P15" s="572"/>
      <c r="Q15" s="572"/>
      <c r="R15" s="572"/>
      <c r="S15" s="573"/>
      <c r="T15" s="574">
        <v>64</v>
      </c>
      <c r="U15" s="575"/>
      <c r="V15" s="575"/>
      <c r="W15" s="575"/>
      <c r="X15" s="562">
        <f>K15</f>
        <v>34.000999999999998</v>
      </c>
      <c r="Y15" s="563"/>
      <c r="Z15" s="563"/>
      <c r="AA15" s="563"/>
      <c r="AB15" s="561" t="s">
        <v>7</v>
      </c>
      <c r="AC15" s="561"/>
      <c r="AD15" s="393" t="s">
        <v>17</v>
      </c>
      <c r="AE15" s="561">
        <v>30000</v>
      </c>
      <c r="AF15" s="561"/>
      <c r="AG15" s="561"/>
      <c r="AH15" s="561" t="s">
        <v>18</v>
      </c>
      <c r="AI15" s="563"/>
      <c r="AJ15" s="598">
        <f>ROUND(X15*AE15,0)</f>
        <v>1020030</v>
      </c>
      <c r="AK15" s="599"/>
      <c r="AL15" s="599"/>
      <c r="AM15" s="600"/>
      <c r="AN15" s="210">
        <f>AJ15/K15</f>
        <v>30000.000000000004</v>
      </c>
      <c r="AO15" s="728">
        <f>K15/X15</f>
        <v>1</v>
      </c>
      <c r="AP15" s="729"/>
      <c r="AQ15" s="730">
        <f>+N15/$N$23</f>
        <v>0.30347969824461823</v>
      </c>
      <c r="AR15" s="731"/>
      <c r="AS15" s="19"/>
      <c r="AT15" s="67"/>
      <c r="AU15" s="68"/>
      <c r="AV15" s="69"/>
      <c r="AW15" s="70"/>
      <c r="AX15" s="208"/>
      <c r="AY15" s="91"/>
      <c r="AZ15" s="92"/>
      <c r="BA15" s="93"/>
      <c r="BB15" s="94"/>
      <c r="BC15" s="100"/>
      <c r="BD15" s="107"/>
      <c r="BE15" s="104"/>
      <c r="BF15" s="105"/>
      <c r="BG15" s="106"/>
      <c r="BH15" s="108"/>
      <c r="BI15" s="23"/>
      <c r="BJ15" s="146" t="s">
        <v>139</v>
      </c>
      <c r="BK15" s="147">
        <v>100000000</v>
      </c>
      <c r="BL15" s="161">
        <v>0.02</v>
      </c>
      <c r="BM15" s="148">
        <v>0.06</v>
      </c>
      <c r="BN15" s="148">
        <f>BK15/$N$23</f>
        <v>0.46487557082361891</v>
      </c>
      <c r="BO15" s="148">
        <f>BM15+(BL15/(2+28+6)*12)</f>
        <v>6.6666666666666666E-2</v>
      </c>
      <c r="BP15" s="158"/>
      <c r="BQ15" s="57"/>
      <c r="BR15" s="57"/>
      <c r="BS15" s="57"/>
    </row>
    <row r="16" spans="1:73" ht="21" customHeight="1" thickBot="1">
      <c r="A16" s="806"/>
      <c r="B16" s="591"/>
      <c r="C16" s="592"/>
      <c r="D16" s="592"/>
      <c r="E16" s="592"/>
      <c r="F16" s="593"/>
      <c r="G16" s="254"/>
      <c r="H16" s="555"/>
      <c r="I16" s="556"/>
      <c r="J16" s="557"/>
      <c r="K16" s="558"/>
      <c r="L16" s="559"/>
      <c r="M16" s="560"/>
      <c r="N16" s="572"/>
      <c r="O16" s="572"/>
      <c r="P16" s="572"/>
      <c r="Q16" s="572"/>
      <c r="R16" s="572"/>
      <c r="S16" s="573"/>
      <c r="T16" s="574"/>
      <c r="U16" s="575"/>
      <c r="V16" s="575"/>
      <c r="W16" s="575"/>
      <c r="X16" s="562"/>
      <c r="Y16" s="563"/>
      <c r="Z16" s="563"/>
      <c r="AA16" s="563"/>
      <c r="AB16" s="561"/>
      <c r="AC16" s="561"/>
      <c r="AD16" s="393"/>
      <c r="AE16" s="561"/>
      <c r="AF16" s="561"/>
      <c r="AG16" s="561"/>
      <c r="AH16" s="561"/>
      <c r="AI16" s="563"/>
      <c r="AJ16" s="598"/>
      <c r="AK16" s="599"/>
      <c r="AL16" s="599"/>
      <c r="AM16" s="600"/>
      <c r="AN16" s="210"/>
      <c r="AO16" s="728"/>
      <c r="AP16" s="729"/>
      <c r="AQ16" s="730"/>
      <c r="AR16" s="731"/>
      <c r="AS16" s="19"/>
      <c r="AT16" s="71"/>
      <c r="AU16" s="71"/>
      <c r="AV16" s="71"/>
      <c r="AW16" s="71"/>
      <c r="AX16" s="58"/>
      <c r="AY16" s="95" t="s">
        <v>33</v>
      </c>
      <c r="AZ16" s="92" t="s">
        <v>43</v>
      </c>
      <c r="BA16" s="93"/>
      <c r="BB16" s="94" t="e">
        <f>BB6+BB10+BB13</f>
        <v>#REF!</v>
      </c>
      <c r="BC16" s="100"/>
      <c r="BD16" s="109" t="s">
        <v>33</v>
      </c>
      <c r="BE16" s="104" t="s">
        <v>43</v>
      </c>
      <c r="BF16" s="105"/>
      <c r="BG16" s="106" t="e">
        <f>BG6+BG10+BG13</f>
        <v>#REF!</v>
      </c>
      <c r="BH16" s="108"/>
      <c r="BI16" s="17"/>
      <c r="BJ16" s="144" t="s">
        <v>23</v>
      </c>
      <c r="BK16" s="145">
        <f>SUM(BK15:BK15)</f>
        <v>100000000</v>
      </c>
      <c r="BL16" s="160">
        <f>SUMPRODUCT(BK15:BK15,BL15:BL15)/BK16</f>
        <v>0.02</v>
      </c>
      <c r="BM16" s="162">
        <f>SUMPRODUCT(BK15:BK15,BM15:BM15)/BK16</f>
        <v>0.06</v>
      </c>
      <c r="BN16" s="145"/>
      <c r="BO16" s="162">
        <f>BM16+(BL16/(2+28+6)*12)</f>
        <v>6.6666666666666666E-2</v>
      </c>
      <c r="BP16" s="159"/>
      <c r="BQ16" s="57"/>
      <c r="BR16" s="57"/>
      <c r="BS16" s="57"/>
    </row>
    <row r="17" spans="1:77" ht="21" customHeight="1">
      <c r="A17" s="806"/>
      <c r="B17" s="582"/>
      <c r="C17" s="583"/>
      <c r="D17" s="583"/>
      <c r="E17" s="583"/>
      <c r="F17" s="584"/>
      <c r="G17" s="684" t="s">
        <v>97</v>
      </c>
      <c r="H17" s="685"/>
      <c r="I17" s="685"/>
      <c r="J17" s="685"/>
      <c r="K17" s="685"/>
      <c r="L17" s="685"/>
      <c r="M17" s="686"/>
      <c r="N17" s="550">
        <f>SUM(N13:S16)</f>
        <v>202736670</v>
      </c>
      <c r="O17" s="551"/>
      <c r="P17" s="551"/>
      <c r="Q17" s="551"/>
      <c r="R17" s="551"/>
      <c r="S17" s="552"/>
      <c r="T17" s="618">
        <f>SUM(T13:W16)</f>
        <v>236</v>
      </c>
      <c r="U17" s="619"/>
      <c r="V17" s="619"/>
      <c r="W17" s="619"/>
      <c r="X17" s="683">
        <f>(T13*X13)+(T14*X14)+(T16*X16)</f>
        <v>4581.8249999999998</v>
      </c>
      <c r="Y17" s="683"/>
      <c r="Z17" s="683"/>
      <c r="AA17" s="683"/>
      <c r="AB17" s="688" t="s">
        <v>80</v>
      </c>
      <c r="AC17" s="688"/>
      <c r="AD17" s="360" t="s">
        <v>17</v>
      </c>
      <c r="AE17" s="688"/>
      <c r="AF17" s="688"/>
      <c r="AG17" s="688"/>
      <c r="AH17" s="688"/>
      <c r="AI17" s="551"/>
      <c r="AJ17" s="770"/>
      <c r="AK17" s="770"/>
      <c r="AL17" s="770"/>
      <c r="AM17" s="770"/>
      <c r="AN17" s="392"/>
      <c r="AO17" s="15"/>
      <c r="AP17" s="15"/>
      <c r="AQ17" s="768">
        <f>+N17/$N$22</f>
        <v>0.9424732519312965</v>
      </c>
      <c r="AR17" s="769"/>
      <c r="AS17" s="19"/>
      <c r="AT17" s="58" t="s">
        <v>123</v>
      </c>
      <c r="AU17" s="58"/>
      <c r="AV17" s="58"/>
      <c r="AW17" s="58"/>
      <c r="AX17" s="58"/>
      <c r="AY17" s="91"/>
      <c r="AZ17" s="92" t="s">
        <v>44</v>
      </c>
      <c r="BA17" s="93"/>
      <c r="BB17" s="94" t="e">
        <f>BB7+BB11+BB14</f>
        <v>#REF!</v>
      </c>
      <c r="BC17" s="94"/>
      <c r="BD17" s="107"/>
      <c r="BE17" s="104" t="s">
        <v>44</v>
      </c>
      <c r="BF17" s="105"/>
      <c r="BG17" s="106" t="e">
        <f>BG7+BG11+BG14</f>
        <v>#REF!</v>
      </c>
      <c r="BH17" s="110"/>
      <c r="BI17" s="17"/>
      <c r="BJ17" s="256"/>
      <c r="BK17" s="257"/>
      <c r="BL17" s="258"/>
      <c r="BM17" s="357"/>
      <c r="BN17" s="257"/>
      <c r="BO17" s="357"/>
      <c r="BP17" s="159"/>
      <c r="BQ17" s="57"/>
      <c r="BR17" s="57"/>
      <c r="BS17" s="57"/>
    </row>
    <row r="18" spans="1:77" ht="21" customHeight="1" thickBot="1">
      <c r="A18" s="806"/>
      <c r="B18" s="576" t="s">
        <v>241</v>
      </c>
      <c r="C18" s="577"/>
      <c r="D18" s="577"/>
      <c r="E18" s="577"/>
      <c r="F18" s="578"/>
      <c r="G18" s="219" t="s">
        <v>242</v>
      </c>
      <c r="H18" s="555">
        <v>82.64</v>
      </c>
      <c r="I18" s="556"/>
      <c r="J18" s="557"/>
      <c r="K18" s="558">
        <f>H18*0.3025</f>
        <v>24.9986</v>
      </c>
      <c r="L18" s="559"/>
      <c r="M18" s="560"/>
      <c r="N18" s="572">
        <f>(T18*AJ18)</f>
        <v>7499580</v>
      </c>
      <c r="O18" s="572"/>
      <c r="P18" s="572"/>
      <c r="Q18" s="572"/>
      <c r="R18" s="572"/>
      <c r="S18" s="573"/>
      <c r="T18" s="574">
        <v>12</v>
      </c>
      <c r="U18" s="575"/>
      <c r="V18" s="575"/>
      <c r="W18" s="575"/>
      <c r="X18" s="616">
        <f>K18</f>
        <v>24.9986</v>
      </c>
      <c r="Y18" s="617"/>
      <c r="Z18" s="617"/>
      <c r="AA18" s="617"/>
      <c r="AB18" s="687" t="s">
        <v>7</v>
      </c>
      <c r="AC18" s="687"/>
      <c r="AD18" s="361" t="s">
        <v>17</v>
      </c>
      <c r="AE18" s="886">
        <v>25000</v>
      </c>
      <c r="AF18" s="886"/>
      <c r="AG18" s="886"/>
      <c r="AH18" s="687" t="s">
        <v>18</v>
      </c>
      <c r="AI18" s="887"/>
      <c r="AJ18" s="598">
        <f t="shared" ref="AJ18:AJ20" si="1">ROUND(X18*AE18,0)</f>
        <v>624965</v>
      </c>
      <c r="AK18" s="599"/>
      <c r="AL18" s="599"/>
      <c r="AM18" s="600"/>
      <c r="AN18" s="220">
        <f>AJ18/K18</f>
        <v>25000</v>
      </c>
      <c r="AO18" s="757">
        <f>K18/X18</f>
        <v>1</v>
      </c>
      <c r="AP18" s="758"/>
      <c r="AQ18" s="759">
        <f>+N18/$N$23</f>
        <v>3.4863715334373956E-2</v>
      </c>
      <c r="AR18" s="760"/>
      <c r="AS18" s="19"/>
      <c r="AT18" s="26" t="s">
        <v>124</v>
      </c>
      <c r="AU18" s="27" t="e">
        <f>SUM(#REF!)</f>
        <v>#REF!</v>
      </c>
      <c r="AV18" s="852"/>
      <c r="AW18" s="852"/>
      <c r="AX18" s="58"/>
      <c r="AY18" s="91"/>
      <c r="AZ18" s="92"/>
      <c r="BA18" s="93"/>
      <c r="BB18" s="94"/>
      <c r="BC18" s="94"/>
      <c r="BD18" s="107"/>
      <c r="BE18" s="104"/>
      <c r="BF18" s="105"/>
      <c r="BG18" s="106"/>
      <c r="BH18" s="110"/>
      <c r="BI18" s="17"/>
      <c r="BJ18" s="256"/>
      <c r="BK18" s="257"/>
      <c r="BL18" s="258"/>
      <c r="BM18" s="357"/>
      <c r="BN18" s="257"/>
      <c r="BO18" s="357"/>
      <c r="BP18" s="149"/>
      <c r="BQ18" s="57"/>
      <c r="BR18" s="57"/>
      <c r="BS18" s="57"/>
    </row>
    <row r="19" spans="1:77" ht="21" customHeight="1">
      <c r="A19" s="806"/>
      <c r="B19" s="579"/>
      <c r="C19" s="580"/>
      <c r="D19" s="580"/>
      <c r="E19" s="580"/>
      <c r="F19" s="581"/>
      <c r="G19" s="221" t="s">
        <v>243</v>
      </c>
      <c r="H19" s="555">
        <f>31/0.3025</f>
        <v>102.47933884297521</v>
      </c>
      <c r="I19" s="556"/>
      <c r="J19" s="557"/>
      <c r="K19" s="558">
        <f>H19*0.3025</f>
        <v>31</v>
      </c>
      <c r="L19" s="559"/>
      <c r="M19" s="560"/>
      <c r="N19" s="572">
        <f t="shared" ref="N19:N20" si="2">(T19*AJ19)</f>
        <v>2325000</v>
      </c>
      <c r="O19" s="572"/>
      <c r="P19" s="572"/>
      <c r="Q19" s="572"/>
      <c r="R19" s="572"/>
      <c r="S19" s="573"/>
      <c r="T19" s="614">
        <v>3</v>
      </c>
      <c r="U19" s="615"/>
      <c r="V19" s="615"/>
      <c r="W19" s="615"/>
      <c r="X19" s="612">
        <f>K19</f>
        <v>31</v>
      </c>
      <c r="Y19" s="613"/>
      <c r="Z19" s="613"/>
      <c r="AA19" s="613"/>
      <c r="AB19" s="638" t="s">
        <v>7</v>
      </c>
      <c r="AC19" s="638"/>
      <c r="AD19" s="359" t="s">
        <v>17</v>
      </c>
      <c r="AE19" s="638">
        <v>25000</v>
      </c>
      <c r="AF19" s="638"/>
      <c r="AG19" s="638"/>
      <c r="AH19" s="638" t="s">
        <v>18</v>
      </c>
      <c r="AI19" s="885"/>
      <c r="AJ19" s="866">
        <f t="shared" si="1"/>
        <v>775000</v>
      </c>
      <c r="AK19" s="867"/>
      <c r="AL19" s="867"/>
      <c r="AM19" s="868"/>
      <c r="AN19" s="222">
        <f>AJ19/K19</f>
        <v>25000</v>
      </c>
      <c r="AO19" s="864">
        <f>K19/X19</f>
        <v>1</v>
      </c>
      <c r="AP19" s="865"/>
      <c r="AQ19" s="862">
        <f>+N19/$N$23</f>
        <v>1.0808357021649138E-2</v>
      </c>
      <c r="AR19" s="863"/>
      <c r="AS19" s="19"/>
      <c r="AT19" s="26" t="s">
        <v>125</v>
      </c>
      <c r="AU19" s="27" t="e">
        <f>SUM(#REF!)</f>
        <v>#REF!</v>
      </c>
      <c r="AV19" s="852"/>
      <c r="AW19" s="852"/>
      <c r="AX19" s="58"/>
      <c r="AY19" s="95" t="s">
        <v>46</v>
      </c>
      <c r="AZ19" s="92" t="s">
        <v>47</v>
      </c>
      <c r="BA19" s="93">
        <v>0.1</v>
      </c>
      <c r="BB19" s="129" t="e">
        <f>BA19*$BA$5*$BB$23</f>
        <v>#REF!</v>
      </c>
      <c r="BC19" s="100"/>
      <c r="BD19" s="109" t="s">
        <v>46</v>
      </c>
      <c r="BE19" s="104" t="s">
        <v>34</v>
      </c>
      <c r="BF19" s="105">
        <v>0.1</v>
      </c>
      <c r="BG19" s="129" t="e">
        <f>BF19*$BF$5*$BG$23</f>
        <v>#REF!</v>
      </c>
      <c r="BH19" s="108"/>
      <c r="BI19" s="17"/>
      <c r="BJ19" s="256"/>
      <c r="BK19" s="257"/>
      <c r="BL19" s="258"/>
      <c r="BM19" s="357"/>
      <c r="BN19" s="257"/>
      <c r="BO19" s="357"/>
      <c r="BP19" s="257"/>
      <c r="BQ19" s="57"/>
      <c r="BR19" s="57"/>
      <c r="BS19" s="57"/>
    </row>
    <row r="20" spans="1:77" ht="21" customHeight="1">
      <c r="A20" s="806"/>
      <c r="B20" s="579"/>
      <c r="C20" s="580"/>
      <c r="D20" s="580"/>
      <c r="E20" s="580"/>
      <c r="F20" s="581"/>
      <c r="G20" s="221" t="s">
        <v>244</v>
      </c>
      <c r="H20" s="555">
        <v>112.4</v>
      </c>
      <c r="I20" s="556"/>
      <c r="J20" s="557"/>
      <c r="K20" s="558">
        <f>H20*0.3025</f>
        <v>34.000999999999998</v>
      </c>
      <c r="L20" s="559"/>
      <c r="M20" s="560"/>
      <c r="N20" s="572">
        <f t="shared" si="2"/>
        <v>2550075</v>
      </c>
      <c r="O20" s="572"/>
      <c r="P20" s="572"/>
      <c r="Q20" s="572"/>
      <c r="R20" s="572"/>
      <c r="S20" s="573"/>
      <c r="T20" s="570">
        <v>3</v>
      </c>
      <c r="U20" s="571"/>
      <c r="V20" s="571"/>
      <c r="W20" s="571"/>
      <c r="X20" s="612">
        <f>K20</f>
        <v>34.000999999999998</v>
      </c>
      <c r="Y20" s="613"/>
      <c r="Z20" s="613"/>
      <c r="AA20" s="613"/>
      <c r="AB20" s="638" t="s">
        <v>7</v>
      </c>
      <c r="AC20" s="638"/>
      <c r="AD20" s="359" t="s">
        <v>17</v>
      </c>
      <c r="AE20" s="638">
        <v>25000</v>
      </c>
      <c r="AF20" s="638"/>
      <c r="AG20" s="638"/>
      <c r="AH20" s="638" t="s">
        <v>18</v>
      </c>
      <c r="AI20" s="885"/>
      <c r="AJ20" s="866">
        <f t="shared" si="1"/>
        <v>850025</v>
      </c>
      <c r="AK20" s="867"/>
      <c r="AL20" s="867"/>
      <c r="AM20" s="868"/>
      <c r="AN20" s="222">
        <f>AJ20/K20</f>
        <v>25000</v>
      </c>
      <c r="AO20" s="864">
        <f>K20/X20</f>
        <v>1</v>
      </c>
      <c r="AP20" s="865"/>
      <c r="AQ20" s="862">
        <f>+N20/$N$23</f>
        <v>1.1854675712680399E-2</v>
      </c>
      <c r="AR20" s="863"/>
      <c r="AS20" s="19"/>
      <c r="AT20" s="26"/>
      <c r="AU20" s="27"/>
      <c r="AV20" s="852"/>
      <c r="AW20" s="852"/>
      <c r="AX20" s="58"/>
      <c r="AY20" s="95"/>
      <c r="AZ20" s="92" t="s">
        <v>49</v>
      </c>
      <c r="BA20" s="93">
        <v>0.6</v>
      </c>
      <c r="BB20" s="94" t="e">
        <f>BA20*$BA$5*$BB$23</f>
        <v>#REF!</v>
      </c>
      <c r="BC20" s="101"/>
      <c r="BD20" s="109"/>
      <c r="BE20" s="104" t="s">
        <v>50</v>
      </c>
      <c r="BF20" s="105">
        <v>0.4</v>
      </c>
      <c r="BG20" s="129" t="e">
        <f>BF20*$BF$5*$BG$23</f>
        <v>#REF!</v>
      </c>
      <c r="BH20" s="111"/>
      <c r="BI20" s="17"/>
      <c r="BJ20" s="325"/>
      <c r="BK20" s="257"/>
      <c r="BL20" s="258"/>
      <c r="BM20" s="357"/>
      <c r="BN20" s="257"/>
      <c r="BO20" s="357"/>
      <c r="BP20" s="257"/>
      <c r="BQ20" s="57"/>
      <c r="BR20" s="57"/>
      <c r="BS20" s="57"/>
    </row>
    <row r="21" spans="1:77" ht="21" customHeight="1">
      <c r="A21" s="806"/>
      <c r="B21" s="579"/>
      <c r="C21" s="580"/>
      <c r="D21" s="580"/>
      <c r="E21" s="580"/>
      <c r="F21" s="581"/>
      <c r="G21" s="543" t="s">
        <v>97</v>
      </c>
      <c r="H21" s="544"/>
      <c r="I21" s="544"/>
      <c r="J21" s="544"/>
      <c r="K21" s="544"/>
      <c r="L21" s="544"/>
      <c r="M21" s="545"/>
      <c r="N21" s="550">
        <f>SUM(N18:S20)</f>
        <v>12374655</v>
      </c>
      <c r="O21" s="551"/>
      <c r="P21" s="551"/>
      <c r="Q21" s="551"/>
      <c r="R21" s="551"/>
      <c r="S21" s="552"/>
      <c r="T21" s="605"/>
      <c r="U21" s="606"/>
      <c r="V21" s="606"/>
      <c r="W21" s="606"/>
      <c r="X21" s="542">
        <f>SUM(X18:AA20)</f>
        <v>89.999599999999987</v>
      </c>
      <c r="Y21" s="542"/>
      <c r="Z21" s="542"/>
      <c r="AA21" s="542"/>
      <c r="AB21" s="531" t="s">
        <v>7</v>
      </c>
      <c r="AC21" s="531"/>
      <c r="AD21" s="366" t="s">
        <v>187</v>
      </c>
      <c r="AE21" s="531"/>
      <c r="AF21" s="531"/>
      <c r="AG21" s="531"/>
      <c r="AH21" s="531"/>
      <c r="AI21" s="804"/>
      <c r="AJ21" s="664"/>
      <c r="AK21" s="665"/>
      <c r="AL21" s="665"/>
      <c r="AM21" s="679"/>
      <c r="AN21" s="366"/>
      <c r="AO21" s="223"/>
      <c r="AP21" s="224"/>
      <c r="AQ21" s="874">
        <f>+N21/$N$22</f>
        <v>5.7526748068703497E-2</v>
      </c>
      <c r="AR21" s="875"/>
      <c r="AS21" s="19"/>
      <c r="AT21" s="26"/>
      <c r="AU21" s="27"/>
      <c r="AV21" s="852"/>
      <c r="AW21" s="852"/>
      <c r="AX21" s="58"/>
      <c r="AY21" s="91"/>
      <c r="AZ21" s="92" t="s">
        <v>28</v>
      </c>
      <c r="BA21" s="93">
        <v>0.3</v>
      </c>
      <c r="BB21" s="94" t="e">
        <f>BA21*$BA$5*$BB$23</f>
        <v>#REF!</v>
      </c>
      <c r="BC21" s="102"/>
      <c r="BD21" s="107"/>
      <c r="BE21" s="104" t="s">
        <v>28</v>
      </c>
      <c r="BF21" s="105">
        <v>0.5</v>
      </c>
      <c r="BG21" s="129" t="e">
        <f>BF21*$BF$5*$BG$23</f>
        <v>#REF!</v>
      </c>
      <c r="BH21" s="112"/>
      <c r="BI21" s="17"/>
      <c r="BJ21" s="57"/>
      <c r="BK21" s="57"/>
      <c r="BL21" s="57"/>
      <c r="BM21" s="57"/>
      <c r="BN21" s="57"/>
      <c r="BO21" s="57"/>
      <c r="BP21" s="257"/>
      <c r="BQ21" s="57"/>
      <c r="BR21" s="57"/>
      <c r="BS21" s="57"/>
    </row>
    <row r="22" spans="1:77" ht="21" customHeight="1" thickBot="1">
      <c r="A22" s="806"/>
      <c r="B22" s="339" t="s">
        <v>19</v>
      </c>
      <c r="C22" s="340"/>
      <c r="D22" s="340"/>
      <c r="E22" s="340"/>
      <c r="F22" s="340"/>
      <c r="G22" s="340"/>
      <c r="H22" s="340"/>
      <c r="I22" s="340"/>
      <c r="J22" s="340"/>
      <c r="K22" s="340"/>
      <c r="L22" s="340"/>
      <c r="M22" s="341"/>
      <c r="N22" s="902">
        <f>SUM(N17,N21)</f>
        <v>215111325</v>
      </c>
      <c r="O22" s="903"/>
      <c r="P22" s="903"/>
      <c r="Q22" s="903"/>
      <c r="R22" s="903"/>
      <c r="S22" s="904"/>
      <c r="T22" s="882">
        <f>SUM(T17,)</f>
        <v>236</v>
      </c>
      <c r="U22" s="883"/>
      <c r="V22" s="883"/>
      <c r="W22" s="883"/>
      <c r="X22" s="884">
        <f>SUM(X17,X21)</f>
        <v>4671.8245999999999</v>
      </c>
      <c r="Y22" s="884"/>
      <c r="Z22" s="884"/>
      <c r="AA22" s="884"/>
      <c r="AB22" s="607" t="s">
        <v>7</v>
      </c>
      <c r="AC22" s="607"/>
      <c r="AD22" s="367"/>
      <c r="AE22" s="608"/>
      <c r="AF22" s="608"/>
      <c r="AG22" s="608"/>
      <c r="AH22" s="607"/>
      <c r="AI22" s="876"/>
      <c r="AJ22" s="892"/>
      <c r="AK22" s="893"/>
      <c r="AL22" s="893"/>
      <c r="AM22" s="893"/>
      <c r="AN22" s="893"/>
      <c r="AO22" s="893"/>
      <c r="AP22" s="894"/>
      <c r="AQ22" s="895">
        <f>+N22/$N$22</f>
        <v>1</v>
      </c>
      <c r="AR22" s="896"/>
      <c r="AS22" s="19"/>
      <c r="AT22" s="26" t="s">
        <v>102</v>
      </c>
      <c r="AU22" s="27" t="e">
        <f>SUM(AU18:AU21)</f>
        <v>#REF!</v>
      </c>
      <c r="AV22" s="851"/>
      <c r="AW22" s="851"/>
      <c r="AX22" s="58"/>
      <c r="AY22" s="96"/>
      <c r="AZ22" s="97" t="s">
        <v>33</v>
      </c>
      <c r="BA22" s="98">
        <v>1</v>
      </c>
      <c r="BB22" s="99" t="e">
        <f>SUM(BB19:BB21)</f>
        <v>#REF!</v>
      </c>
      <c r="BC22" s="103"/>
      <c r="BD22" s="113"/>
      <c r="BE22" s="114" t="s">
        <v>33</v>
      </c>
      <c r="BF22" s="115">
        <v>1</v>
      </c>
      <c r="BG22" s="130" t="e">
        <f>SUM(BG19:BG21)</f>
        <v>#REF!</v>
      </c>
      <c r="BH22" s="116"/>
      <c r="BI22" s="74"/>
      <c r="BJ22" s="57"/>
      <c r="BK22" s="57"/>
      <c r="BL22" s="57"/>
      <c r="BM22" s="57"/>
      <c r="BN22" s="57"/>
      <c r="BO22" s="57"/>
      <c r="BP22" s="257"/>
      <c r="BQ22" s="57"/>
      <c r="BR22" s="57"/>
      <c r="BS22" s="57"/>
    </row>
    <row r="23" spans="1:77" ht="21" customHeight="1" thickBot="1">
      <c r="A23" s="304"/>
      <c r="B23" s="333" t="s">
        <v>81</v>
      </c>
      <c r="C23" s="334"/>
      <c r="D23" s="334"/>
      <c r="E23" s="334"/>
      <c r="F23" s="334"/>
      <c r="G23" s="334"/>
      <c r="H23" s="334"/>
      <c r="I23" s="334"/>
      <c r="J23" s="334"/>
      <c r="K23" s="334"/>
      <c r="L23" s="334"/>
      <c r="M23" s="335"/>
      <c r="N23" s="564">
        <f>N22</f>
        <v>215111325</v>
      </c>
      <c r="O23" s="565"/>
      <c r="P23" s="565"/>
      <c r="Q23" s="565"/>
      <c r="R23" s="565"/>
      <c r="S23" s="566"/>
      <c r="T23" s="601"/>
      <c r="U23" s="602"/>
      <c r="V23" s="602"/>
      <c r="W23" s="602"/>
      <c r="X23" s="635"/>
      <c r="Y23" s="635"/>
      <c r="Z23" s="635"/>
      <c r="AA23" s="635"/>
      <c r="AB23" s="607"/>
      <c r="AC23" s="607"/>
      <c r="AD23" s="246"/>
      <c r="AE23" s="246"/>
      <c r="AF23" s="247"/>
      <c r="AG23" s="247"/>
      <c r="AH23" s="247"/>
      <c r="AI23" s="248"/>
      <c r="AJ23" s="869"/>
      <c r="AK23" s="870"/>
      <c r="AL23" s="870"/>
      <c r="AM23" s="870"/>
      <c r="AN23" s="870"/>
      <c r="AO23" s="870"/>
      <c r="AP23" s="871"/>
      <c r="AQ23" s="872">
        <f>+N23/$N$22</f>
        <v>1</v>
      </c>
      <c r="AR23" s="873"/>
      <c r="AS23" s="19"/>
      <c r="AT23" s="58"/>
      <c r="AU23" s="58"/>
      <c r="AV23" s="58"/>
      <c r="AW23" s="58"/>
      <c r="AX23" s="58"/>
      <c r="AY23" s="74"/>
      <c r="AZ23" s="74"/>
      <c r="BA23" s="117" t="s">
        <v>100</v>
      </c>
      <c r="BB23" s="72" t="e">
        <f>SUM(#REF!)</f>
        <v>#REF!</v>
      </c>
      <c r="BC23" s="74"/>
      <c r="BD23" s="74"/>
      <c r="BE23" s="74"/>
      <c r="BF23" s="118" t="s">
        <v>100</v>
      </c>
      <c r="BG23" s="73" t="e">
        <f>SUM(#REF!)</f>
        <v>#REF!</v>
      </c>
      <c r="BH23" s="75"/>
      <c r="BI23" s="17"/>
      <c r="BJ23" s="169" t="s">
        <v>131</v>
      </c>
      <c r="BK23" s="167" t="s">
        <v>130</v>
      </c>
      <c r="BL23" s="888" t="s">
        <v>133</v>
      </c>
      <c r="BM23" s="889"/>
      <c r="BN23" s="890" t="s">
        <v>134</v>
      </c>
      <c r="BO23" s="891"/>
      <c r="BP23" s="362" t="s">
        <v>135</v>
      </c>
      <c r="BQ23" s="57"/>
      <c r="BR23" s="57"/>
      <c r="BS23" s="57"/>
    </row>
    <row r="24" spans="1:77" ht="21" customHeight="1">
      <c r="A24" s="805" t="s">
        <v>189</v>
      </c>
      <c r="B24" s="336" t="s">
        <v>26</v>
      </c>
      <c r="C24" s="337"/>
      <c r="D24" s="337"/>
      <c r="E24" s="337"/>
      <c r="F24" s="337"/>
      <c r="G24" s="337"/>
      <c r="H24" s="337"/>
      <c r="I24" s="337"/>
      <c r="J24" s="337"/>
      <c r="K24" s="337"/>
      <c r="L24" s="337"/>
      <c r="M24" s="338"/>
      <c r="N24" s="911" t="s">
        <v>62</v>
      </c>
      <c r="O24" s="912"/>
      <c r="P24" s="912"/>
      <c r="Q24" s="912"/>
      <c r="R24" s="912"/>
      <c r="S24" s="913"/>
      <c r="T24" s="877"/>
      <c r="U24" s="878"/>
      <c r="V24" s="878"/>
      <c r="W24" s="878"/>
      <c r="X24" s="878"/>
      <c r="Y24" s="878"/>
      <c r="Z24" s="878"/>
      <c r="AA24" s="878"/>
      <c r="AB24" s="878"/>
      <c r="AC24" s="878"/>
      <c r="AD24" s="878"/>
      <c r="AE24" s="878"/>
      <c r="AF24" s="878"/>
      <c r="AG24" s="878"/>
      <c r="AH24" s="878"/>
      <c r="AI24" s="879"/>
      <c r="AJ24" s="897"/>
      <c r="AK24" s="898"/>
      <c r="AL24" s="898"/>
      <c r="AM24" s="898"/>
      <c r="AN24" s="898"/>
      <c r="AO24" s="898"/>
      <c r="AP24" s="899"/>
      <c r="AQ24" s="900"/>
      <c r="AR24" s="901"/>
      <c r="AS24" s="19"/>
      <c r="AT24" s="19"/>
      <c r="AU24" s="19"/>
      <c r="AV24" s="19"/>
      <c r="AW24" s="19"/>
      <c r="AX24" s="19"/>
      <c r="AY24" s="74"/>
      <c r="AZ24" s="74"/>
      <c r="BA24" s="133"/>
      <c r="BB24" s="94"/>
      <c r="BC24" s="74"/>
      <c r="BD24" s="74"/>
      <c r="BE24" s="74"/>
      <c r="BF24" s="244"/>
      <c r="BG24" s="76"/>
      <c r="BH24" s="74"/>
      <c r="BI24" s="17"/>
      <c r="BJ24" s="138"/>
      <c r="BK24" s="168"/>
      <c r="BL24" s="135" t="s">
        <v>129</v>
      </c>
      <c r="BM24" s="136" t="s">
        <v>132</v>
      </c>
      <c r="BN24" s="135" t="s">
        <v>129</v>
      </c>
      <c r="BO24" s="137" t="s">
        <v>132</v>
      </c>
      <c r="BP24" s="135" t="s">
        <v>129</v>
      </c>
      <c r="BQ24" s="363"/>
      <c r="BR24" s="167" t="s">
        <v>33</v>
      </c>
      <c r="BS24" s="57"/>
    </row>
    <row r="25" spans="1:77" ht="21" customHeight="1">
      <c r="A25" s="806"/>
      <c r="B25" s="459" t="s">
        <v>63</v>
      </c>
      <c r="C25" s="460"/>
      <c r="D25" s="414" t="s">
        <v>101</v>
      </c>
      <c r="E25" s="415"/>
      <c r="F25" s="415"/>
      <c r="G25" s="415"/>
      <c r="H25" s="415"/>
      <c r="I25" s="415"/>
      <c r="J25" s="415"/>
      <c r="K25" s="415"/>
      <c r="L25" s="415"/>
      <c r="M25" s="416"/>
      <c r="N25" s="567">
        <f>(T25*Y25*AD25)</f>
        <v>104490000</v>
      </c>
      <c r="O25" s="568"/>
      <c r="P25" s="568"/>
      <c r="Q25" s="568"/>
      <c r="R25" s="568"/>
      <c r="S25" s="569"/>
      <c r="T25" s="548">
        <v>3483</v>
      </c>
      <c r="U25" s="549"/>
      <c r="V25" s="549"/>
      <c r="W25" s="549"/>
      <c r="X25" s="53" t="s">
        <v>60</v>
      </c>
      <c r="Y25" s="637">
        <v>30000</v>
      </c>
      <c r="Z25" s="637"/>
      <c r="AA25" s="637"/>
      <c r="AB25" s="637"/>
      <c r="AC25" s="53" t="s">
        <v>60</v>
      </c>
      <c r="AD25" s="833">
        <v>1</v>
      </c>
      <c r="AE25" s="833"/>
      <c r="AF25" s="53"/>
      <c r="AG25" s="517"/>
      <c r="AH25" s="517"/>
      <c r="AI25" s="518"/>
      <c r="AJ25" s="170"/>
      <c r="AK25" s="171"/>
      <c r="AL25" s="171"/>
      <c r="AM25" s="171"/>
      <c r="AN25" s="171"/>
      <c r="AO25" s="171"/>
      <c r="AP25" s="172"/>
      <c r="AQ25" s="594">
        <f>N25/N85</f>
        <v>0.44248138189395914</v>
      </c>
      <c r="AR25" s="595"/>
      <c r="AS25" s="19"/>
      <c r="AT25" s="94"/>
      <c r="AU25" s="74"/>
      <c r="AV25" s="74"/>
      <c r="AW25" s="74"/>
      <c r="AX25" s="79"/>
      <c r="AY25" s="76"/>
      <c r="AZ25" s="77"/>
      <c r="BA25" s="74"/>
      <c r="BB25" s="74"/>
      <c r="BC25" s="74"/>
      <c r="BD25" s="76"/>
      <c r="BE25" s="75"/>
      <c r="BF25" s="17"/>
      <c r="BG25" s="17"/>
      <c r="BH25" s="17"/>
      <c r="BI25" s="17"/>
      <c r="BJ25" s="138" t="str">
        <f>D25</f>
        <v>토지매입비</v>
      </c>
      <c r="BK25" s="140">
        <f>N25</f>
        <v>104490000</v>
      </c>
      <c r="BL25" s="135">
        <v>1</v>
      </c>
      <c r="BM25" s="137">
        <f t="shared" ref="BM25:BM43" si="3">BK25*BL25</f>
        <v>104490000</v>
      </c>
      <c r="BN25" s="135">
        <f>1-BL25</f>
        <v>0</v>
      </c>
      <c r="BO25" s="173">
        <f>BK25*BN25</f>
        <v>0</v>
      </c>
      <c r="BP25" s="174"/>
      <c r="BQ25" s="136" t="s">
        <v>132</v>
      </c>
      <c r="BR25" s="168"/>
      <c r="BS25" s="57"/>
    </row>
    <row r="26" spans="1:77" ht="21" customHeight="1">
      <c r="A26" s="806"/>
      <c r="B26" s="461"/>
      <c r="C26" s="462"/>
      <c r="D26" s="417" t="s">
        <v>247</v>
      </c>
      <c r="E26" s="418"/>
      <c r="F26" s="418"/>
      <c r="G26" s="418"/>
      <c r="H26" s="418"/>
      <c r="I26" s="418"/>
      <c r="J26" s="418"/>
      <c r="K26" s="418"/>
      <c r="L26" s="418"/>
      <c r="M26" s="419"/>
      <c r="N26" s="567">
        <f>(T26*Y26*AD26)</f>
        <v>4716000</v>
      </c>
      <c r="O26" s="568"/>
      <c r="P26" s="568"/>
      <c r="Q26" s="568"/>
      <c r="R26" s="568"/>
      <c r="S26" s="569"/>
      <c r="T26" s="548">
        <v>393</v>
      </c>
      <c r="U26" s="549"/>
      <c r="V26" s="549"/>
      <c r="W26" s="549"/>
      <c r="X26" s="53" t="s">
        <v>60</v>
      </c>
      <c r="Y26" s="637">
        <v>12000</v>
      </c>
      <c r="Z26" s="637"/>
      <c r="AA26" s="637"/>
      <c r="AB26" s="637"/>
      <c r="AC26" s="53" t="s">
        <v>60</v>
      </c>
      <c r="AD26" s="833">
        <v>1</v>
      </c>
      <c r="AE26" s="833"/>
      <c r="AF26" s="53"/>
      <c r="AG26" s="517"/>
      <c r="AH26" s="517"/>
      <c r="AI26" s="518"/>
      <c r="AJ26" s="401"/>
      <c r="AK26" s="402"/>
      <c r="AL26" s="402"/>
      <c r="AM26" s="402"/>
      <c r="AN26" s="402"/>
      <c r="AO26" s="402"/>
      <c r="AP26" s="403"/>
      <c r="AQ26" s="387"/>
      <c r="AR26" s="388"/>
      <c r="AS26" s="19"/>
      <c r="AT26" s="94"/>
      <c r="AU26" s="74"/>
      <c r="AV26" s="74"/>
      <c r="AW26" s="74"/>
      <c r="AX26" s="79"/>
      <c r="AY26" s="76"/>
      <c r="AZ26" s="77"/>
      <c r="BA26" s="74"/>
      <c r="BB26" s="74"/>
      <c r="BC26" s="74"/>
      <c r="BD26" s="76"/>
      <c r="BE26" s="75"/>
      <c r="BF26" s="17"/>
      <c r="BG26" s="17"/>
      <c r="BH26" s="17"/>
      <c r="BI26" s="17"/>
      <c r="BJ26" s="138"/>
      <c r="BK26" s="140"/>
      <c r="BL26" s="135"/>
      <c r="BM26" s="137"/>
      <c r="BN26" s="135"/>
      <c r="BO26" s="173"/>
      <c r="BP26" s="174"/>
      <c r="BQ26" s="136"/>
      <c r="BR26" s="168"/>
      <c r="BS26" s="57"/>
    </row>
    <row r="27" spans="1:77" ht="21" customHeight="1">
      <c r="A27" s="806"/>
      <c r="B27" s="461"/>
      <c r="C27" s="462"/>
      <c r="D27" s="417" t="s">
        <v>64</v>
      </c>
      <c r="E27" s="418"/>
      <c r="F27" s="418"/>
      <c r="G27" s="418"/>
      <c r="H27" s="418"/>
      <c r="I27" s="418"/>
      <c r="J27" s="418"/>
      <c r="K27" s="418"/>
      <c r="L27" s="418"/>
      <c r="M27" s="419"/>
      <c r="N27" s="481">
        <f>Y27*AD27*AG27</f>
        <v>5023476</v>
      </c>
      <c r="O27" s="482"/>
      <c r="P27" s="482"/>
      <c r="Q27" s="482"/>
      <c r="R27" s="482"/>
      <c r="S27" s="483"/>
      <c r="T27" s="611"/>
      <c r="U27" s="455"/>
      <c r="V27" s="455"/>
      <c r="W27" s="455"/>
      <c r="X27" s="51"/>
      <c r="Y27" s="430">
        <v>109206000</v>
      </c>
      <c r="Z27" s="430"/>
      <c r="AA27" s="430"/>
      <c r="AB27" s="430"/>
      <c r="AC27" s="51" t="s">
        <v>60</v>
      </c>
      <c r="AD27" s="455">
        <v>1</v>
      </c>
      <c r="AE27" s="455"/>
      <c r="AF27" s="51" t="s">
        <v>60</v>
      </c>
      <c r="AG27" s="420">
        <v>4.5999999999999999E-2</v>
      </c>
      <c r="AH27" s="420"/>
      <c r="AI27" s="421"/>
      <c r="AJ27" s="472"/>
      <c r="AK27" s="473"/>
      <c r="AL27" s="473"/>
      <c r="AM27" s="473"/>
      <c r="AN27" s="473"/>
      <c r="AO27" s="473"/>
      <c r="AP27" s="474"/>
      <c r="AQ27" s="596">
        <f>N27/N85</f>
        <v>2.127279741976398E-2</v>
      </c>
      <c r="AR27" s="597"/>
      <c r="AS27" s="19"/>
      <c r="AT27" s="94"/>
      <c r="AU27" s="74"/>
      <c r="AV27" s="74"/>
      <c r="AW27" s="74"/>
      <c r="AX27" s="79"/>
      <c r="AY27" s="76"/>
      <c r="AZ27" s="75"/>
      <c r="BA27" s="24"/>
      <c r="BB27" s="17"/>
      <c r="BC27" s="17"/>
      <c r="BD27" s="17"/>
      <c r="BE27" s="17"/>
      <c r="BF27" s="17"/>
      <c r="BG27" s="17"/>
      <c r="BH27" s="17"/>
      <c r="BI27" s="25"/>
      <c r="BJ27" s="138" t="str">
        <f>D27</f>
        <v>취득, 등록세 등</v>
      </c>
      <c r="BK27" s="140">
        <f>N27</f>
        <v>5023476</v>
      </c>
      <c r="BL27" s="135">
        <v>1</v>
      </c>
      <c r="BM27" s="137">
        <f t="shared" si="3"/>
        <v>5023476</v>
      </c>
      <c r="BN27" s="135">
        <f>1-BL27</f>
        <v>0</v>
      </c>
      <c r="BO27" s="173">
        <f>BK27*BN27</f>
        <v>0</v>
      </c>
      <c r="BP27" s="174"/>
      <c r="BQ27" s="175"/>
      <c r="BR27" s="176">
        <f>BM25+BO25+BQ27</f>
        <v>104490000</v>
      </c>
      <c r="BS27" s="177"/>
    </row>
    <row r="28" spans="1:77" ht="21" customHeight="1">
      <c r="A28" s="806"/>
      <c r="B28" s="461"/>
      <c r="C28" s="462"/>
      <c r="D28" s="417" t="s">
        <v>183</v>
      </c>
      <c r="E28" s="418"/>
      <c r="F28" s="418"/>
      <c r="G28" s="418"/>
      <c r="H28" s="418"/>
      <c r="I28" s="418"/>
      <c r="J28" s="418"/>
      <c r="K28" s="418"/>
      <c r="L28" s="418"/>
      <c r="M28" s="419"/>
      <c r="N28" s="481">
        <f>T28*Y28*AD28</f>
        <v>218412</v>
      </c>
      <c r="O28" s="482"/>
      <c r="P28" s="482"/>
      <c r="Q28" s="482"/>
      <c r="R28" s="482"/>
      <c r="S28" s="483"/>
      <c r="T28" s="437">
        <v>2E-3</v>
      </c>
      <c r="U28" s="438"/>
      <c r="V28" s="438"/>
      <c r="W28" s="438"/>
      <c r="X28" s="51" t="s">
        <v>60</v>
      </c>
      <c r="Y28" s="430">
        <v>109206000</v>
      </c>
      <c r="Z28" s="430"/>
      <c r="AA28" s="430"/>
      <c r="AB28" s="430"/>
      <c r="AC28" s="51" t="s">
        <v>60</v>
      </c>
      <c r="AD28" s="455">
        <v>1</v>
      </c>
      <c r="AE28" s="455"/>
      <c r="AF28" s="51"/>
      <c r="AG28" s="420"/>
      <c r="AH28" s="420"/>
      <c r="AI28" s="421"/>
      <c r="AJ28" s="178" t="s">
        <v>184</v>
      </c>
      <c r="AK28" s="179"/>
      <c r="AL28" s="179"/>
      <c r="AM28" s="179"/>
      <c r="AN28" s="179"/>
      <c r="AO28" s="179"/>
      <c r="AP28" s="180"/>
      <c r="AQ28" s="621">
        <f>N28/N85</f>
        <v>9.2490423564191217E-4</v>
      </c>
      <c r="AR28" s="622"/>
      <c r="AS28" s="19"/>
      <c r="AT28" s="94"/>
      <c r="AU28" s="74"/>
      <c r="AV28" s="74"/>
      <c r="AW28" s="74"/>
      <c r="AX28" s="79"/>
      <c r="AY28" s="76"/>
      <c r="AZ28" s="75"/>
      <c r="BA28" s="24"/>
      <c r="BB28" s="25"/>
      <c r="BC28" s="17"/>
      <c r="BD28" s="17"/>
      <c r="BE28" s="17"/>
      <c r="BF28" s="17"/>
      <c r="BG28" s="17"/>
      <c r="BH28" s="17"/>
      <c r="BI28" s="244"/>
      <c r="BJ28" s="138" t="s">
        <v>215</v>
      </c>
      <c r="BK28" s="140">
        <f>N30</f>
        <v>0</v>
      </c>
      <c r="BL28" s="135">
        <v>1</v>
      </c>
      <c r="BM28" s="137">
        <f t="shared" si="3"/>
        <v>0</v>
      </c>
      <c r="BN28" s="135">
        <f t="shared" ref="BN28:BN77" si="4">1-BL28</f>
        <v>0</v>
      </c>
      <c r="BO28" s="173">
        <f t="shared" ref="BO28:BO84" si="5">BK28*BN28</f>
        <v>0</v>
      </c>
      <c r="BP28" s="174"/>
      <c r="BQ28" s="175"/>
      <c r="BR28" s="176">
        <f t="shared" ref="BR28:BR40" si="6">BM27+BO27+BQ28</f>
        <v>5023476</v>
      </c>
      <c r="BS28" s="177"/>
    </row>
    <row r="29" spans="1:77" ht="21" customHeight="1">
      <c r="A29" s="806"/>
      <c r="B29" s="461"/>
      <c r="C29" s="462"/>
      <c r="D29" s="348" t="s">
        <v>214</v>
      </c>
      <c r="E29" s="349"/>
      <c r="F29" s="349"/>
      <c r="G29" s="349"/>
      <c r="H29" s="349"/>
      <c r="I29" s="349"/>
      <c r="J29" s="349"/>
      <c r="K29" s="349"/>
      <c r="L29" s="349"/>
      <c r="M29" s="350"/>
      <c r="N29" s="481">
        <v>0</v>
      </c>
      <c r="O29" s="482"/>
      <c r="P29" s="482"/>
      <c r="Q29" s="482"/>
      <c r="R29" s="482"/>
      <c r="S29" s="483"/>
      <c r="T29" s="497"/>
      <c r="U29" s="498"/>
      <c r="V29" s="498"/>
      <c r="W29" s="498"/>
      <c r="X29" s="51"/>
      <c r="Y29" s="430"/>
      <c r="Z29" s="430"/>
      <c r="AA29" s="430"/>
      <c r="AB29" s="430"/>
      <c r="AC29" s="51"/>
      <c r="AD29" s="455"/>
      <c r="AE29" s="455"/>
      <c r="AF29" s="51"/>
      <c r="AG29" s="420"/>
      <c r="AH29" s="420"/>
      <c r="AI29" s="421"/>
      <c r="AJ29" s="178" t="s">
        <v>192</v>
      </c>
      <c r="AK29" s="179"/>
      <c r="AL29" s="179"/>
      <c r="AM29" s="179"/>
      <c r="AN29" s="179"/>
      <c r="AO29" s="179"/>
      <c r="AP29" s="180"/>
      <c r="AQ29" s="880">
        <f>N29/N85</f>
        <v>0</v>
      </c>
      <c r="AR29" s="881"/>
      <c r="AS29" s="19"/>
      <c r="AT29" s="19"/>
      <c r="AU29" s="19"/>
      <c r="AV29" s="19"/>
      <c r="AW29" s="19"/>
      <c r="AX29" s="19"/>
      <c r="AY29" s="94"/>
      <c r="AZ29" s="74"/>
      <c r="BA29" s="74"/>
      <c r="BB29" s="74"/>
      <c r="BC29" s="79"/>
      <c r="BD29" s="75"/>
      <c r="BE29" s="75"/>
      <c r="BF29" s="24"/>
      <c r="BG29" s="58"/>
      <c r="BH29" s="75"/>
      <c r="BI29" s="80"/>
      <c r="BJ29" s="138" t="str">
        <f>D28</f>
        <v>법무사비용</v>
      </c>
      <c r="BK29" s="140">
        <f>N28</f>
        <v>218412</v>
      </c>
      <c r="BL29" s="135">
        <v>1</v>
      </c>
      <c r="BM29" s="137">
        <f t="shared" si="3"/>
        <v>218412</v>
      </c>
      <c r="BN29" s="135">
        <f t="shared" si="4"/>
        <v>0</v>
      </c>
      <c r="BO29" s="173">
        <f t="shared" si="5"/>
        <v>0</v>
      </c>
      <c r="BP29" s="174"/>
      <c r="BQ29" s="173"/>
      <c r="BR29" s="176">
        <f t="shared" si="6"/>
        <v>0</v>
      </c>
      <c r="BS29" s="177"/>
    </row>
    <row r="30" spans="1:77" ht="21" customHeight="1">
      <c r="A30" s="806"/>
      <c r="B30" s="461"/>
      <c r="C30" s="462"/>
      <c r="D30" s="348" t="s">
        <v>215</v>
      </c>
      <c r="E30" s="349"/>
      <c r="F30" s="349"/>
      <c r="G30" s="349"/>
      <c r="H30" s="349"/>
      <c r="I30" s="349"/>
      <c r="J30" s="349"/>
      <c r="K30" s="349"/>
      <c r="L30" s="349"/>
      <c r="M30" s="350"/>
      <c r="N30" s="431">
        <f>T30*Y30</f>
        <v>0</v>
      </c>
      <c r="O30" s="432"/>
      <c r="P30" s="432"/>
      <c r="Q30" s="432"/>
      <c r="R30" s="432"/>
      <c r="S30" s="433"/>
      <c r="T30" s="437"/>
      <c r="U30" s="438"/>
      <c r="V30" s="438"/>
      <c r="W30" s="438"/>
      <c r="X30" s="51"/>
      <c r="Y30" s="430"/>
      <c r="Z30" s="430"/>
      <c r="AA30" s="430"/>
      <c r="AB30" s="430"/>
      <c r="AC30" s="51"/>
      <c r="AD30" s="455"/>
      <c r="AE30" s="455"/>
      <c r="AF30" s="51"/>
      <c r="AG30" s="420"/>
      <c r="AH30" s="420"/>
      <c r="AI30" s="421"/>
      <c r="AJ30" s="178"/>
      <c r="AK30" s="179"/>
      <c r="AL30" s="179"/>
      <c r="AM30" s="179"/>
      <c r="AN30" s="179"/>
      <c r="AO30" s="179"/>
      <c r="AP30" s="180"/>
      <c r="AQ30" s="596">
        <f>N30/N85</f>
        <v>0</v>
      </c>
      <c r="AR30" s="597"/>
      <c r="AS30" s="19"/>
      <c r="AT30" s="19"/>
      <c r="AU30" s="19"/>
      <c r="AV30" s="19"/>
      <c r="AW30" s="19"/>
      <c r="AX30" s="19"/>
      <c r="AY30" s="244" t="s">
        <v>51</v>
      </c>
      <c r="AZ30" s="244"/>
      <c r="BA30" s="244"/>
      <c r="BB30" s="244" t="s">
        <v>52</v>
      </c>
      <c r="BC30" s="244"/>
      <c r="BD30" s="244"/>
      <c r="BE30" s="244"/>
      <c r="BF30" s="244"/>
      <c r="BG30" s="244"/>
      <c r="BH30" s="244"/>
      <c r="BI30" s="80"/>
      <c r="BJ30" s="138" t="str">
        <f>D29</f>
        <v>명도예상비용</v>
      </c>
      <c r="BK30" s="140">
        <f>N29</f>
        <v>0</v>
      </c>
      <c r="BL30" s="135">
        <v>1</v>
      </c>
      <c r="BM30" s="137">
        <f t="shared" si="3"/>
        <v>0</v>
      </c>
      <c r="BN30" s="135">
        <f t="shared" si="4"/>
        <v>0</v>
      </c>
      <c r="BO30" s="173">
        <f t="shared" si="5"/>
        <v>0</v>
      </c>
      <c r="BP30" s="174"/>
      <c r="BQ30" s="175"/>
      <c r="BR30" s="176">
        <f t="shared" si="6"/>
        <v>218412</v>
      </c>
      <c r="BS30" s="177"/>
    </row>
    <row r="31" spans="1:77" ht="21" customHeight="1">
      <c r="A31" s="806"/>
      <c r="B31" s="461"/>
      <c r="C31" s="462"/>
      <c r="D31" s="405" t="s">
        <v>216</v>
      </c>
      <c r="E31" s="404"/>
      <c r="F31" s="404"/>
      <c r="G31" s="404"/>
      <c r="H31" s="404"/>
      <c r="I31" s="404"/>
      <c r="J31" s="404"/>
      <c r="K31" s="404"/>
      <c r="L31" s="404"/>
      <c r="M31" s="407"/>
      <c r="N31" s="434">
        <f>T31*Y31</f>
        <v>1638090</v>
      </c>
      <c r="O31" s="435"/>
      <c r="P31" s="435"/>
      <c r="Q31" s="435"/>
      <c r="R31" s="435"/>
      <c r="S31" s="436"/>
      <c r="T31" s="437">
        <v>1.4999999999999999E-2</v>
      </c>
      <c r="U31" s="438"/>
      <c r="V31" s="438"/>
      <c r="W31" s="438"/>
      <c r="X31" s="51" t="s">
        <v>60</v>
      </c>
      <c r="Y31" s="430">
        <v>109206000</v>
      </c>
      <c r="Z31" s="430"/>
      <c r="AA31" s="430"/>
      <c r="AB31" s="430"/>
      <c r="AC31" s="51" t="s">
        <v>60</v>
      </c>
      <c r="AD31" s="541">
        <v>1</v>
      </c>
      <c r="AE31" s="541"/>
      <c r="AF31" s="51"/>
      <c r="AG31" s="420"/>
      <c r="AH31" s="420"/>
      <c r="AI31" s="421"/>
      <c r="AJ31" s="178"/>
      <c r="AK31" s="179"/>
      <c r="AL31" s="179"/>
      <c r="AM31" s="179"/>
      <c r="AN31" s="179"/>
      <c r="AO31" s="179"/>
      <c r="AP31" s="180"/>
      <c r="AQ31" s="596">
        <f>N31/N85</f>
        <v>6.9367817673143409E-3</v>
      </c>
      <c r="AR31" s="597"/>
      <c r="AS31" s="19"/>
      <c r="AT31" s="19"/>
      <c r="AU31" s="19"/>
      <c r="AV31" s="19"/>
      <c r="AW31" s="19"/>
      <c r="AX31" s="19"/>
      <c r="AY31" s="82" t="s">
        <v>53</v>
      </c>
      <c r="AZ31" s="83" t="s">
        <v>55</v>
      </c>
      <c r="BA31" s="84" t="e">
        <f>(BG16+BB16)</f>
        <v>#REF!</v>
      </c>
      <c r="BB31" s="82" t="s">
        <v>30</v>
      </c>
      <c r="BC31" s="85"/>
      <c r="BD31" s="84" t="e">
        <f>SUM(#REF!,#REF!,#REF!)</f>
        <v>#REF!</v>
      </c>
      <c r="BE31" s="244"/>
      <c r="BF31" s="80"/>
      <c r="BG31" s="80"/>
      <c r="BH31" s="80"/>
      <c r="BI31" s="81"/>
      <c r="BJ31" s="225" t="str">
        <f>D33</f>
        <v>종합부동산세</v>
      </c>
      <c r="BK31" s="140">
        <f>N33</f>
        <v>0</v>
      </c>
      <c r="BL31" s="135">
        <v>0.3</v>
      </c>
      <c r="BM31" s="137">
        <f t="shared" si="3"/>
        <v>0</v>
      </c>
      <c r="BN31" s="135">
        <f t="shared" si="4"/>
        <v>0.7</v>
      </c>
      <c r="BO31" s="173">
        <f t="shared" si="5"/>
        <v>0</v>
      </c>
      <c r="BP31" s="174"/>
      <c r="BQ31" s="175"/>
      <c r="BR31" s="176">
        <f t="shared" si="6"/>
        <v>0</v>
      </c>
      <c r="BS31" s="177"/>
    </row>
    <row r="32" spans="1:77" ht="21" customHeight="1">
      <c r="A32" s="806"/>
      <c r="B32" s="461"/>
      <c r="C32" s="462"/>
      <c r="D32" s="348" t="s">
        <v>217</v>
      </c>
      <c r="E32" s="349"/>
      <c r="F32" s="349"/>
      <c r="G32" s="349"/>
      <c r="H32" s="349"/>
      <c r="I32" s="349"/>
      <c r="J32" s="349"/>
      <c r="K32" s="349"/>
      <c r="L32" s="349"/>
      <c r="M32" s="350"/>
      <c r="N32" s="434">
        <f>T32*Y32*AD32*AG32</f>
        <v>0</v>
      </c>
      <c r="O32" s="435"/>
      <c r="P32" s="435"/>
      <c r="Q32" s="435"/>
      <c r="R32" s="435"/>
      <c r="S32" s="436"/>
      <c r="T32" s="437"/>
      <c r="U32" s="438"/>
      <c r="V32" s="438"/>
      <c r="W32" s="438"/>
      <c r="X32" s="51"/>
      <c r="Y32" s="430"/>
      <c r="Z32" s="430"/>
      <c r="AA32" s="430"/>
      <c r="AB32" s="430"/>
      <c r="AC32" s="51"/>
      <c r="AD32" s="455"/>
      <c r="AE32" s="455"/>
      <c r="AF32" s="51"/>
      <c r="AG32" s="420"/>
      <c r="AH32" s="420"/>
      <c r="AI32" s="421"/>
      <c r="AJ32" s="178"/>
      <c r="AK32" s="179"/>
      <c r="AL32" s="179"/>
      <c r="AM32" s="179"/>
      <c r="AN32" s="179"/>
      <c r="AO32" s="179"/>
      <c r="AP32" s="180"/>
      <c r="AQ32" s="626"/>
      <c r="AR32" s="627"/>
      <c r="AS32" s="19"/>
      <c r="AT32" s="19"/>
      <c r="AU32" s="19"/>
      <c r="AV32" s="19"/>
      <c r="AW32" s="19"/>
      <c r="AX32" s="19"/>
      <c r="AY32" s="86" t="s">
        <v>54</v>
      </c>
      <c r="AZ32" s="83" t="s">
        <v>55</v>
      </c>
      <c r="BA32" s="84" t="e">
        <f>SUM(#REF!)</f>
        <v>#REF!</v>
      </c>
      <c r="BB32" s="86" t="s">
        <v>29</v>
      </c>
      <c r="BC32" s="87"/>
      <c r="BD32" s="84" t="e">
        <f>-SUM(#REF!,#REF!,#REF!)</f>
        <v>#REF!</v>
      </c>
      <c r="BE32" s="244"/>
      <c r="BF32" s="80"/>
      <c r="BG32" s="80"/>
      <c r="BH32" s="80"/>
      <c r="BI32" s="81"/>
      <c r="BJ32" s="225" t="str">
        <f>D32</f>
        <v>국민주택채권매입</v>
      </c>
      <c r="BK32" s="140">
        <f>N32</f>
        <v>0</v>
      </c>
      <c r="BL32" s="135">
        <v>1</v>
      </c>
      <c r="BM32" s="137">
        <f t="shared" si="3"/>
        <v>0</v>
      </c>
      <c r="BN32" s="135">
        <f t="shared" si="4"/>
        <v>0</v>
      </c>
      <c r="BO32" s="173">
        <f t="shared" si="5"/>
        <v>0</v>
      </c>
      <c r="BP32" s="174"/>
      <c r="BQ32" s="175"/>
      <c r="BR32" s="176">
        <f t="shared" si="6"/>
        <v>0</v>
      </c>
      <c r="BS32" s="177"/>
      <c r="BV32" s="57"/>
      <c r="BW32" s="57"/>
      <c r="BX32" s="57"/>
      <c r="BY32" s="57"/>
    </row>
    <row r="33" spans="1:77" ht="21" customHeight="1">
      <c r="A33" s="806"/>
      <c r="B33" s="461"/>
      <c r="C33" s="462"/>
      <c r="D33" s="348" t="s">
        <v>225</v>
      </c>
      <c r="E33" s="349"/>
      <c r="F33" s="349"/>
      <c r="G33" s="349"/>
      <c r="H33" s="349"/>
      <c r="I33" s="349"/>
      <c r="J33" s="349"/>
      <c r="K33" s="349"/>
      <c r="L33" s="349"/>
      <c r="M33" s="350"/>
      <c r="N33" s="434">
        <f>T33*Y33*AD33</f>
        <v>0</v>
      </c>
      <c r="O33" s="435"/>
      <c r="P33" s="435"/>
      <c r="Q33" s="435"/>
      <c r="R33" s="435"/>
      <c r="S33" s="436"/>
      <c r="T33" s="546"/>
      <c r="U33" s="547"/>
      <c r="V33" s="547"/>
      <c r="W33" s="547"/>
      <c r="X33" s="51"/>
      <c r="Y33" s="430"/>
      <c r="Z33" s="430"/>
      <c r="AA33" s="430"/>
      <c r="AB33" s="430"/>
      <c r="AC33" s="51"/>
      <c r="AD33" s="538"/>
      <c r="AE33" s="538"/>
      <c r="AF33" s="259"/>
      <c r="AG33" s="358"/>
      <c r="AH33" s="358"/>
      <c r="AI33" s="358"/>
      <c r="AJ33" s="319" t="s">
        <v>226</v>
      </c>
      <c r="AK33" s="320"/>
      <c r="AL33" s="320"/>
      <c r="AM33" s="320"/>
      <c r="AN33" s="320"/>
      <c r="AO33" s="320"/>
      <c r="AP33" s="321"/>
      <c r="AQ33" s="322"/>
      <c r="AR33" s="323"/>
      <c r="AS33" s="19"/>
      <c r="AT33" s="19"/>
      <c r="AU33" s="19"/>
      <c r="AV33" s="19"/>
      <c r="AW33" s="19"/>
      <c r="AX33" s="19"/>
      <c r="AY33" s="86" t="s">
        <v>56</v>
      </c>
      <c r="AZ33" s="88" t="e">
        <f>BA33/#REF!</f>
        <v>#REF!</v>
      </c>
      <c r="BA33" s="84" t="e">
        <f>IF(#REF!+#REF!&gt;=#REF!,#REF!,#REF!+#REF!)</f>
        <v>#REF!</v>
      </c>
      <c r="BB33" s="82"/>
      <c r="BC33" s="89"/>
      <c r="BD33" s="84"/>
      <c r="BE33" s="244"/>
      <c r="BF33" s="81"/>
      <c r="BG33" s="81"/>
      <c r="BH33" s="81"/>
      <c r="BI33" s="81"/>
      <c r="BJ33" s="225" t="str">
        <f>D31</f>
        <v>지주작업비</v>
      </c>
      <c r="BK33" s="140">
        <f>N31</f>
        <v>1638090</v>
      </c>
      <c r="BL33" s="135">
        <v>0.1</v>
      </c>
      <c r="BM33" s="137">
        <f t="shared" si="3"/>
        <v>163809</v>
      </c>
      <c r="BN33" s="135">
        <f t="shared" si="4"/>
        <v>0.9</v>
      </c>
      <c r="BO33" s="173">
        <f t="shared" si="5"/>
        <v>1474281</v>
      </c>
      <c r="BP33" s="174"/>
      <c r="BQ33" s="175"/>
      <c r="BR33" s="176">
        <f t="shared" si="6"/>
        <v>0</v>
      </c>
      <c r="BS33" s="177"/>
      <c r="BT33" s="57"/>
      <c r="BU33" s="57"/>
      <c r="BV33" s="57"/>
      <c r="BW33" s="57"/>
      <c r="BX33" s="57"/>
      <c r="BY33" s="57"/>
    </row>
    <row r="34" spans="1:77" s="57" customFormat="1" ht="21" customHeight="1">
      <c r="A34" s="806"/>
      <c r="B34" s="461"/>
      <c r="C34" s="462"/>
      <c r="D34" s="439" t="s">
        <v>20</v>
      </c>
      <c r="E34" s="440"/>
      <c r="F34" s="440"/>
      <c r="G34" s="377"/>
      <c r="H34" s="377"/>
      <c r="I34" s="377"/>
      <c r="J34" s="377"/>
      <c r="K34" s="377"/>
      <c r="L34" s="377"/>
      <c r="M34" s="378"/>
      <c r="N34" s="439">
        <f>SUM(N25:S33)</f>
        <v>116085978</v>
      </c>
      <c r="O34" s="440"/>
      <c r="P34" s="440"/>
      <c r="Q34" s="440"/>
      <c r="R34" s="440"/>
      <c r="S34" s="441"/>
      <c r="T34" s="536"/>
      <c r="U34" s="537"/>
      <c r="V34" s="537"/>
      <c r="W34" s="537"/>
      <c r="X34" s="390"/>
      <c r="Y34" s="391"/>
      <c r="Z34" s="440"/>
      <c r="AA34" s="440"/>
      <c r="AB34" s="440"/>
      <c r="AC34" s="440"/>
      <c r="AD34" s="391"/>
      <c r="AE34" s="391"/>
      <c r="AF34" s="390"/>
      <c r="AG34" s="390"/>
      <c r="AH34" s="390"/>
      <c r="AI34" s="390"/>
      <c r="AJ34" s="632"/>
      <c r="AK34" s="633"/>
      <c r="AL34" s="633"/>
      <c r="AM34" s="633"/>
      <c r="AN34" s="633"/>
      <c r="AO34" s="633"/>
      <c r="AP34" s="634"/>
      <c r="AQ34" s="636">
        <f>SUM(AQ25:AR32)</f>
        <v>0.47161586531667932</v>
      </c>
      <c r="AR34" s="636"/>
      <c r="AS34" s="71"/>
      <c r="AT34" s="71"/>
      <c r="AU34" s="71"/>
      <c r="AV34" s="71"/>
      <c r="AW34" s="71"/>
      <c r="AX34" s="71"/>
      <c r="AY34" s="86" t="s">
        <v>57</v>
      </c>
      <c r="AZ34" s="87" t="s">
        <v>58</v>
      </c>
      <c r="BA34" s="84" t="e">
        <f>SUM(#REF!)-SUM(#REF!)-SUM(#REF!)-SUM(#REF!)-SUM(#REF!)</f>
        <v>#REF!</v>
      </c>
      <c r="BB34" s="82"/>
      <c r="BC34" s="89"/>
      <c r="BD34" s="84"/>
      <c r="BE34" s="244"/>
      <c r="BF34" s="81"/>
      <c r="BG34" s="81"/>
      <c r="BH34" s="81"/>
      <c r="BI34" s="58"/>
      <c r="BJ34" s="138"/>
      <c r="BK34" s="140"/>
      <c r="BL34" s="135"/>
      <c r="BM34" s="137">
        <f t="shared" si="3"/>
        <v>0</v>
      </c>
      <c r="BN34" s="135">
        <f t="shared" si="4"/>
        <v>1</v>
      </c>
      <c r="BO34" s="173">
        <f t="shared" si="5"/>
        <v>0</v>
      </c>
      <c r="BP34" s="174"/>
      <c r="BQ34" s="175"/>
      <c r="BR34" s="176">
        <f t="shared" si="6"/>
        <v>1638090</v>
      </c>
      <c r="BS34" s="177"/>
    </row>
    <row r="35" spans="1:77" s="57" customFormat="1" ht="21" customHeight="1">
      <c r="A35" s="806"/>
      <c r="B35" s="459" t="s">
        <v>119</v>
      </c>
      <c r="C35" s="460"/>
      <c r="D35" s="408" t="s">
        <v>218</v>
      </c>
      <c r="E35" s="409"/>
      <c r="F35" s="409"/>
      <c r="G35" s="409"/>
      <c r="H35" s="409"/>
      <c r="I35" s="409"/>
      <c r="J35" s="409"/>
      <c r="K35" s="409"/>
      <c r="L35" s="409"/>
      <c r="M35" s="410"/>
      <c r="N35" s="567">
        <f>ROUNDDOWN(T35*Y35*AD35,-3)</f>
        <v>80556000</v>
      </c>
      <c r="O35" s="568"/>
      <c r="P35" s="568"/>
      <c r="Q35" s="568"/>
      <c r="R35" s="568"/>
      <c r="S35" s="569"/>
      <c r="T35" s="548">
        <v>13426</v>
      </c>
      <c r="U35" s="549"/>
      <c r="V35" s="549"/>
      <c r="W35" s="549"/>
      <c r="X35" s="255" t="s">
        <v>60</v>
      </c>
      <c r="Y35" s="534">
        <v>6000</v>
      </c>
      <c r="Z35" s="534"/>
      <c r="AA35" s="534"/>
      <c r="AB35" s="534"/>
      <c r="AC35" s="255" t="s">
        <v>60</v>
      </c>
      <c r="AD35" s="535">
        <v>1</v>
      </c>
      <c r="AE35" s="535"/>
      <c r="AF35" s="53"/>
      <c r="AG35" s="517"/>
      <c r="AH35" s="517"/>
      <c r="AI35" s="518"/>
      <c r="AJ35" s="252" t="s">
        <v>210</v>
      </c>
      <c r="AK35" s="253"/>
      <c r="AL35" s="253"/>
      <c r="AM35" s="253"/>
      <c r="AN35" s="253"/>
      <c r="AO35" s="253"/>
      <c r="AP35" s="16"/>
      <c r="AQ35" s="594">
        <f>N35/N85</f>
        <v>0.34112862666140081</v>
      </c>
      <c r="AR35" s="595"/>
      <c r="AS35" s="71"/>
      <c r="AT35" s="71"/>
      <c r="AU35" s="71"/>
      <c r="AV35" s="71"/>
      <c r="AW35" s="71"/>
      <c r="AX35" s="71"/>
      <c r="AY35" s="86" t="s">
        <v>59</v>
      </c>
      <c r="AZ35" s="90" t="e">
        <f>BA35/#REF!</f>
        <v>#REF!</v>
      </c>
      <c r="BA35" s="84" t="e">
        <f>#REF!-BA33</f>
        <v>#REF!</v>
      </c>
      <c r="BB35" s="131" t="s">
        <v>126</v>
      </c>
      <c r="BC35" s="89"/>
      <c r="BD35" s="84" t="e">
        <f>SUM(BA31:BA32)-SUM(BA33:BA34,BD31)</f>
        <v>#REF!</v>
      </c>
      <c r="BE35" s="244"/>
      <c r="BF35" s="81"/>
      <c r="BG35" s="81"/>
      <c r="BH35" s="81"/>
      <c r="BI35" s="58"/>
      <c r="BJ35" s="138" t="str">
        <f>D35</f>
        <v>직접공사비</v>
      </c>
      <c r="BK35" s="140">
        <f t="shared" ref="BK35:BK40" si="7">N35</f>
        <v>80556000</v>
      </c>
      <c r="BL35" s="135">
        <v>0.8</v>
      </c>
      <c r="BM35" s="137">
        <f t="shared" si="3"/>
        <v>64444800</v>
      </c>
      <c r="BN35" s="135"/>
      <c r="BO35" s="173">
        <f t="shared" si="5"/>
        <v>0</v>
      </c>
      <c r="BP35" s="174">
        <f>1-BL35-BN35</f>
        <v>0.19999999999999996</v>
      </c>
      <c r="BQ35" s="175"/>
      <c r="BR35" s="176">
        <f t="shared" si="6"/>
        <v>0</v>
      </c>
      <c r="BS35" s="177"/>
    </row>
    <row r="36" spans="1:77" s="57" customFormat="1" ht="21" customHeight="1">
      <c r="A36" s="806"/>
      <c r="B36" s="461"/>
      <c r="C36" s="462"/>
      <c r="D36" s="411" t="s">
        <v>206</v>
      </c>
      <c r="E36" s="412"/>
      <c r="F36" s="412"/>
      <c r="G36" s="412"/>
      <c r="H36" s="412"/>
      <c r="I36" s="412"/>
      <c r="J36" s="412"/>
      <c r="K36" s="412"/>
      <c r="L36" s="412"/>
      <c r="M36" s="413"/>
      <c r="N36" s="905">
        <v>4000000</v>
      </c>
      <c r="O36" s="906"/>
      <c r="P36" s="906"/>
      <c r="Q36" s="906"/>
      <c r="R36" s="906"/>
      <c r="S36" s="907"/>
      <c r="T36" s="603">
        <v>10000</v>
      </c>
      <c r="U36" s="604"/>
      <c r="V36" s="604"/>
      <c r="W36" s="604"/>
      <c r="X36" s="52" t="s">
        <v>60</v>
      </c>
      <c r="Y36" s="554">
        <v>400</v>
      </c>
      <c r="Z36" s="554"/>
      <c r="AA36" s="554"/>
      <c r="AB36" s="554"/>
      <c r="AC36" s="52" t="s">
        <v>60</v>
      </c>
      <c r="AD36" s="553">
        <v>1</v>
      </c>
      <c r="AE36" s="553"/>
      <c r="AF36" s="52"/>
      <c r="AG36" s="519"/>
      <c r="AH36" s="519"/>
      <c r="AI36" s="520"/>
      <c r="AJ36" s="265" t="s">
        <v>207</v>
      </c>
      <c r="AK36" s="266"/>
      <c r="AL36" s="266"/>
      <c r="AM36" s="266"/>
      <c r="AN36" s="266"/>
      <c r="AO36" s="266"/>
      <c r="AP36" s="267"/>
      <c r="AQ36" s="853">
        <f>N36/N85</f>
        <v>1.6938707317215394E-2</v>
      </c>
      <c r="AR36" s="854"/>
      <c r="AS36" s="71"/>
      <c r="AT36" s="71"/>
      <c r="AU36" s="71"/>
      <c r="AV36" s="71"/>
      <c r="AW36" s="71"/>
      <c r="AX36" s="71"/>
      <c r="AY36" s="58" t="s">
        <v>61</v>
      </c>
      <c r="AZ36" s="58"/>
      <c r="BA36" s="58"/>
      <c r="BB36" s="58"/>
      <c r="BC36" s="58"/>
      <c r="BD36" s="58"/>
      <c r="BE36" s="244"/>
      <c r="BF36" s="58"/>
      <c r="BG36" s="58"/>
      <c r="BH36" s="58"/>
      <c r="BI36" s="58"/>
      <c r="BJ36" s="138" t="str">
        <f>D36</f>
        <v>철거공사비/토목공사비</v>
      </c>
      <c r="BK36" s="140">
        <f t="shared" si="7"/>
        <v>4000000</v>
      </c>
      <c r="BL36" s="135">
        <v>1</v>
      </c>
      <c r="BM36" s="137">
        <f t="shared" si="3"/>
        <v>4000000</v>
      </c>
      <c r="BN36" s="135">
        <f t="shared" si="4"/>
        <v>0</v>
      </c>
      <c r="BO36" s="173">
        <f t="shared" si="5"/>
        <v>0</v>
      </c>
      <c r="BP36" s="174"/>
      <c r="BQ36" s="251">
        <f>BP35*BK35</f>
        <v>16111199.999999996</v>
      </c>
      <c r="BR36" s="176">
        <f t="shared" si="6"/>
        <v>80556000</v>
      </c>
      <c r="BS36" s="177"/>
    </row>
    <row r="37" spans="1:77" s="57" customFormat="1" ht="21" customHeight="1">
      <c r="A37" s="806"/>
      <c r="B37" s="461"/>
      <c r="C37" s="462"/>
      <c r="D37" s="931" t="s">
        <v>104</v>
      </c>
      <c r="E37" s="932"/>
      <c r="F37" s="933"/>
      <c r="G37" s="925" t="s">
        <v>105</v>
      </c>
      <c r="H37" s="925"/>
      <c r="I37" s="925"/>
      <c r="J37" s="925"/>
      <c r="K37" s="925"/>
      <c r="L37" s="925"/>
      <c r="M37" s="926"/>
      <c r="N37" s="908">
        <f>ROUND(T37*Y37*AD37,0)</f>
        <v>335650</v>
      </c>
      <c r="O37" s="909"/>
      <c r="P37" s="909"/>
      <c r="Q37" s="909"/>
      <c r="R37" s="909"/>
      <c r="S37" s="910"/>
      <c r="T37" s="521">
        <f>T35</f>
        <v>13426</v>
      </c>
      <c r="U37" s="522"/>
      <c r="V37" s="522"/>
      <c r="W37" s="522"/>
      <c r="X37" s="51" t="s">
        <v>60</v>
      </c>
      <c r="Y37" s="430">
        <v>25</v>
      </c>
      <c r="Z37" s="430"/>
      <c r="AA37" s="430"/>
      <c r="AB37" s="430"/>
      <c r="AC37" s="51" t="s">
        <v>60</v>
      </c>
      <c r="AD37" s="455">
        <v>1</v>
      </c>
      <c r="AE37" s="455"/>
      <c r="AF37" s="51"/>
      <c r="AG37" s="420"/>
      <c r="AH37" s="420"/>
      <c r="AI37" s="421"/>
      <c r="AJ37" s="472" t="s">
        <v>67</v>
      </c>
      <c r="AK37" s="473"/>
      <c r="AL37" s="473"/>
      <c r="AM37" s="473"/>
      <c r="AN37" s="473"/>
      <c r="AO37" s="473"/>
      <c r="AP37" s="474"/>
      <c r="AQ37" s="594">
        <f>N37/N85</f>
        <v>1.4213692777558368E-3</v>
      </c>
      <c r="AR37" s="595"/>
      <c r="AS37" s="71"/>
      <c r="AT37" s="234"/>
      <c r="AU37" s="71"/>
      <c r="AV37" s="71"/>
      <c r="AW37" s="71"/>
      <c r="AX37" s="71"/>
      <c r="AY37" s="245" t="s">
        <v>25</v>
      </c>
      <c r="AZ37" s="28"/>
      <c r="BA37" s="29"/>
      <c r="BB37" s="245" t="s">
        <v>103</v>
      </c>
      <c r="BC37" s="28"/>
      <c r="BD37" s="30"/>
      <c r="BE37" s="58"/>
      <c r="BF37" s="58"/>
      <c r="BG37" s="58"/>
      <c r="BH37" s="58"/>
      <c r="BI37" s="58"/>
      <c r="BJ37" s="138" t="str">
        <f t="shared" ref="BJ37:BJ43" si="8">G37</f>
        <v>인입공사비</v>
      </c>
      <c r="BK37" s="140">
        <f t="shared" si="7"/>
        <v>335650</v>
      </c>
      <c r="BL37" s="135">
        <v>0.5</v>
      </c>
      <c r="BM37" s="137">
        <f t="shared" si="3"/>
        <v>167825</v>
      </c>
      <c r="BN37" s="135">
        <f t="shared" si="4"/>
        <v>0.5</v>
      </c>
      <c r="BO37" s="173">
        <f t="shared" si="5"/>
        <v>167825</v>
      </c>
      <c r="BP37" s="174"/>
      <c r="BQ37" s="175"/>
      <c r="BR37" s="176">
        <f t="shared" si="6"/>
        <v>4000000</v>
      </c>
      <c r="BS37" s="177"/>
      <c r="BV37" s="17"/>
      <c r="BW37" s="17"/>
      <c r="BX37" s="17"/>
      <c r="BY37" s="17"/>
    </row>
    <row r="38" spans="1:77" s="57" customFormat="1" ht="21" customHeight="1">
      <c r="A38" s="806"/>
      <c r="B38" s="461"/>
      <c r="C38" s="462"/>
      <c r="D38" s="934"/>
      <c r="E38" s="935"/>
      <c r="F38" s="936"/>
      <c r="G38" s="925" t="s">
        <v>106</v>
      </c>
      <c r="H38" s="925"/>
      <c r="I38" s="925"/>
      <c r="J38" s="925"/>
      <c r="K38" s="925"/>
      <c r="L38" s="925"/>
      <c r="M38" s="926"/>
      <c r="N38" s="503">
        <f>ROUNDUP(T38*Y38*AD38*AG38,0)</f>
        <v>277835</v>
      </c>
      <c r="O38" s="504"/>
      <c r="P38" s="504"/>
      <c r="Q38" s="504"/>
      <c r="R38" s="504"/>
      <c r="S38" s="505"/>
      <c r="T38" s="523">
        <v>46383</v>
      </c>
      <c r="U38" s="524"/>
      <c r="V38" s="524"/>
      <c r="W38" s="524"/>
      <c r="X38" s="259" t="s">
        <v>60</v>
      </c>
      <c r="Y38" s="509">
        <v>5990</v>
      </c>
      <c r="Z38" s="509"/>
      <c r="AA38" s="509"/>
      <c r="AB38" s="509"/>
      <c r="AC38" s="259" t="s">
        <v>60</v>
      </c>
      <c r="AD38" s="510">
        <v>1</v>
      </c>
      <c r="AE38" s="510"/>
      <c r="AF38" s="259" t="s">
        <v>60</v>
      </c>
      <c r="AG38" s="858">
        <v>1E-3</v>
      </c>
      <c r="AH38" s="858"/>
      <c r="AI38" s="859"/>
      <c r="AJ38" s="472" t="s">
        <v>68</v>
      </c>
      <c r="AK38" s="473"/>
      <c r="AL38" s="473"/>
      <c r="AM38" s="473"/>
      <c r="AN38" s="473"/>
      <c r="AO38" s="473"/>
      <c r="AP38" s="474"/>
      <c r="AQ38" s="596">
        <f>N38/N85</f>
        <v>1.1765414368696348E-3</v>
      </c>
      <c r="AR38" s="597"/>
      <c r="AS38" s="71"/>
      <c r="AT38" s="234"/>
      <c r="AU38" s="71"/>
      <c r="AV38" s="71"/>
      <c r="AW38" s="71"/>
      <c r="AX38" s="71"/>
      <c r="AY38" s="31"/>
      <c r="AZ38" s="32"/>
      <c r="BA38" s="33"/>
      <c r="BB38" s="31"/>
      <c r="BC38" s="32"/>
      <c r="BD38" s="33"/>
      <c r="BE38" s="58"/>
      <c r="BF38" s="58"/>
      <c r="BG38" s="58"/>
      <c r="BH38" s="58"/>
      <c r="BI38" s="58"/>
      <c r="BJ38" s="138" t="str">
        <f t="shared" si="8"/>
        <v>미술장식품설치비</v>
      </c>
      <c r="BK38" s="140">
        <f t="shared" si="7"/>
        <v>277835</v>
      </c>
      <c r="BL38" s="135">
        <v>0.1</v>
      </c>
      <c r="BM38" s="137">
        <f t="shared" si="3"/>
        <v>27783.5</v>
      </c>
      <c r="BN38" s="135">
        <f t="shared" si="4"/>
        <v>0.9</v>
      </c>
      <c r="BO38" s="173">
        <f t="shared" si="5"/>
        <v>250051.5</v>
      </c>
      <c r="BP38" s="174"/>
      <c r="BQ38" s="175"/>
      <c r="BR38" s="176">
        <f t="shared" si="6"/>
        <v>335650</v>
      </c>
      <c r="BS38" s="177"/>
      <c r="BT38" s="17"/>
      <c r="BU38" s="17"/>
    </row>
    <row r="39" spans="1:77" ht="21" customHeight="1">
      <c r="A39" s="806"/>
      <c r="B39" s="461"/>
      <c r="C39" s="462"/>
      <c r="D39" s="934"/>
      <c r="E39" s="935"/>
      <c r="F39" s="936"/>
      <c r="G39" s="925" t="s">
        <v>21</v>
      </c>
      <c r="H39" s="925"/>
      <c r="I39" s="925"/>
      <c r="J39" s="925"/>
      <c r="K39" s="925"/>
      <c r="L39" s="925"/>
      <c r="M39" s="926"/>
      <c r="N39" s="506">
        <f t="shared" ref="N39" si="9">ROUND(T39*Y39*AD39,0)</f>
        <v>1074080</v>
      </c>
      <c r="O39" s="507"/>
      <c r="P39" s="507"/>
      <c r="Q39" s="507"/>
      <c r="R39" s="507"/>
      <c r="S39" s="508"/>
      <c r="T39" s="539">
        <f>+T35</f>
        <v>13426</v>
      </c>
      <c r="U39" s="540"/>
      <c r="V39" s="540"/>
      <c r="W39" s="540"/>
      <c r="X39" s="51" t="s">
        <v>60</v>
      </c>
      <c r="Y39" s="430">
        <v>80</v>
      </c>
      <c r="Z39" s="430"/>
      <c r="AA39" s="430"/>
      <c r="AB39" s="430"/>
      <c r="AC39" s="51" t="s">
        <v>60</v>
      </c>
      <c r="AD39" s="455">
        <v>1</v>
      </c>
      <c r="AE39" s="455"/>
      <c r="AF39" s="51"/>
      <c r="AG39" s="420"/>
      <c r="AH39" s="420"/>
      <c r="AI39" s="421"/>
      <c r="AJ39" s="623"/>
      <c r="AK39" s="624"/>
      <c r="AL39" s="624"/>
      <c r="AM39" s="624"/>
      <c r="AN39" s="624"/>
      <c r="AO39" s="624"/>
      <c r="AP39" s="625"/>
      <c r="AQ39" s="596">
        <f>N39/N85</f>
        <v>4.5483816888186772E-3</v>
      </c>
      <c r="AR39" s="597"/>
      <c r="AS39" s="19"/>
      <c r="AT39" s="234"/>
      <c r="AU39" s="19"/>
      <c r="AV39" s="19"/>
      <c r="AW39" s="19"/>
      <c r="AX39" s="19"/>
      <c r="AY39" s="235" t="s">
        <v>201</v>
      </c>
      <c r="AZ39" s="32" t="e">
        <f>BA39/BB23</f>
        <v>#REF!</v>
      </c>
      <c r="BA39" s="33" t="e">
        <f>BB23-BB22</f>
        <v>#REF!</v>
      </c>
      <c r="BB39" s="235" t="str">
        <f>+$AY$39</f>
        <v>오피스텔</v>
      </c>
      <c r="BC39" s="32">
        <v>0.85</v>
      </c>
      <c r="BD39" s="33" t="e">
        <f>BC39*$BA$39</f>
        <v>#REF!</v>
      </c>
      <c r="BE39" s="58"/>
      <c r="BF39" s="58"/>
      <c r="BG39" s="58"/>
      <c r="BH39" s="58"/>
      <c r="BI39" s="58"/>
      <c r="BJ39" s="138" t="str">
        <f t="shared" si="8"/>
        <v>설계비</v>
      </c>
      <c r="BK39" s="140">
        <f t="shared" si="7"/>
        <v>1074080</v>
      </c>
      <c r="BL39" s="135">
        <v>0.5</v>
      </c>
      <c r="BM39" s="137">
        <f t="shared" si="3"/>
        <v>537040</v>
      </c>
      <c r="BN39" s="135">
        <f t="shared" si="4"/>
        <v>0.5</v>
      </c>
      <c r="BO39" s="173">
        <f t="shared" si="5"/>
        <v>537040</v>
      </c>
      <c r="BP39" s="174"/>
      <c r="BQ39" s="175"/>
      <c r="BR39" s="176">
        <f t="shared" si="6"/>
        <v>277835</v>
      </c>
      <c r="BS39" s="177"/>
      <c r="BT39" s="57"/>
      <c r="BU39" s="57"/>
    </row>
    <row r="40" spans="1:77" s="57" customFormat="1" ht="21" customHeight="1">
      <c r="A40" s="806"/>
      <c r="B40" s="461"/>
      <c r="C40" s="462"/>
      <c r="D40" s="934"/>
      <c r="E40" s="935"/>
      <c r="F40" s="936"/>
      <c r="G40" s="925" t="s">
        <v>69</v>
      </c>
      <c r="H40" s="925"/>
      <c r="I40" s="925"/>
      <c r="J40" s="925"/>
      <c r="K40" s="925"/>
      <c r="L40" s="925"/>
      <c r="M40" s="926"/>
      <c r="N40" s="481">
        <f t="shared" ref="N40" si="10">ROUNDUP(T40*Y40*AD40,0)</f>
        <v>1074080</v>
      </c>
      <c r="O40" s="482"/>
      <c r="P40" s="482"/>
      <c r="Q40" s="482"/>
      <c r="R40" s="482"/>
      <c r="S40" s="483"/>
      <c r="T40" s="539">
        <f>+T35</f>
        <v>13426</v>
      </c>
      <c r="U40" s="540"/>
      <c r="V40" s="540"/>
      <c r="W40" s="540"/>
      <c r="X40" s="51" t="s">
        <v>60</v>
      </c>
      <c r="Y40" s="430">
        <v>80</v>
      </c>
      <c r="Z40" s="430"/>
      <c r="AA40" s="430"/>
      <c r="AB40" s="430"/>
      <c r="AC40" s="51" t="s">
        <v>60</v>
      </c>
      <c r="AD40" s="455">
        <v>1</v>
      </c>
      <c r="AE40" s="455"/>
      <c r="AF40" s="51"/>
      <c r="AG40" s="420"/>
      <c r="AH40" s="420"/>
      <c r="AI40" s="421"/>
      <c r="AJ40" s="472"/>
      <c r="AK40" s="473"/>
      <c r="AL40" s="473"/>
      <c r="AM40" s="473"/>
      <c r="AN40" s="473"/>
      <c r="AO40" s="473"/>
      <c r="AP40" s="474"/>
      <c r="AQ40" s="596">
        <f>N40/N85</f>
        <v>4.5483816888186772E-3</v>
      </c>
      <c r="AR40" s="597"/>
      <c r="AS40" s="71"/>
      <c r="AT40" s="234"/>
      <c r="AU40" s="71"/>
      <c r="AV40" s="71"/>
      <c r="AW40" s="71"/>
      <c r="AX40" s="71"/>
      <c r="AY40" s="31" t="s">
        <v>32</v>
      </c>
      <c r="AZ40" s="32" t="e">
        <f>BA40/BG23</f>
        <v>#REF!</v>
      </c>
      <c r="BA40" s="33" t="e">
        <f>BG23-BG22</f>
        <v>#REF!</v>
      </c>
      <c r="BB40" s="31" t="s">
        <v>27</v>
      </c>
      <c r="BC40" s="32">
        <v>0.85</v>
      </c>
      <c r="BD40" s="33" t="e">
        <f>BC40*$BA$40</f>
        <v>#REF!</v>
      </c>
      <c r="BE40" s="58"/>
      <c r="BF40" s="58"/>
      <c r="BG40" s="58"/>
      <c r="BH40" s="58"/>
      <c r="BI40" s="58"/>
      <c r="BJ40" s="138" t="str">
        <f t="shared" si="8"/>
        <v>감리비</v>
      </c>
      <c r="BK40" s="140">
        <f t="shared" si="7"/>
        <v>1074080</v>
      </c>
      <c r="BL40" s="135">
        <v>0.5</v>
      </c>
      <c r="BM40" s="137">
        <f t="shared" si="3"/>
        <v>537040</v>
      </c>
      <c r="BN40" s="135">
        <f t="shared" si="4"/>
        <v>0.5</v>
      </c>
      <c r="BO40" s="173">
        <f t="shared" si="5"/>
        <v>537040</v>
      </c>
      <c r="BP40" s="174"/>
      <c r="BQ40" s="173"/>
      <c r="BR40" s="176">
        <f t="shared" si="6"/>
        <v>1074080</v>
      </c>
      <c r="BS40" s="177"/>
      <c r="BT40" s="17"/>
      <c r="BU40" s="17"/>
      <c r="BV40" s="17"/>
      <c r="BW40" s="17"/>
      <c r="BX40" s="17"/>
      <c r="BY40" s="17"/>
    </row>
    <row r="41" spans="1:77" s="57" customFormat="1" ht="21" customHeight="1">
      <c r="A41" s="806"/>
      <c r="B41" s="461"/>
      <c r="C41" s="462"/>
      <c r="D41" s="934"/>
      <c r="E41" s="935"/>
      <c r="F41" s="936"/>
      <c r="G41" s="926" t="s">
        <v>249</v>
      </c>
      <c r="H41" s="927"/>
      <c r="I41" s="927"/>
      <c r="J41" s="927"/>
      <c r="K41" s="927"/>
      <c r="L41" s="927"/>
      <c r="M41" s="928"/>
      <c r="N41" s="481">
        <f t="shared" ref="N41" si="11">ROUNDUP(T41*Y41*AD41,0)</f>
        <v>508000</v>
      </c>
      <c r="O41" s="482"/>
      <c r="P41" s="482"/>
      <c r="Q41" s="482"/>
      <c r="R41" s="482"/>
      <c r="S41" s="483"/>
      <c r="T41" s="539">
        <v>254</v>
      </c>
      <c r="U41" s="540"/>
      <c r="V41" s="540"/>
      <c r="W41" s="540"/>
      <c r="X41" s="51" t="s">
        <v>60</v>
      </c>
      <c r="Y41" s="430">
        <v>2000</v>
      </c>
      <c r="Z41" s="430"/>
      <c r="AA41" s="430"/>
      <c r="AB41" s="430"/>
      <c r="AC41" s="51" t="s">
        <v>60</v>
      </c>
      <c r="AD41" s="455">
        <v>1</v>
      </c>
      <c r="AE41" s="455"/>
      <c r="AF41" s="51"/>
      <c r="AG41" s="420"/>
      <c r="AH41" s="420"/>
      <c r="AI41" s="421"/>
      <c r="AJ41" s="348"/>
      <c r="AK41" s="349"/>
      <c r="AL41" s="349"/>
      <c r="AM41" s="349"/>
      <c r="AN41" s="349"/>
      <c r="AO41" s="349"/>
      <c r="AP41" s="350"/>
      <c r="AQ41" s="364"/>
      <c r="AR41" s="365"/>
      <c r="AS41" s="71"/>
      <c r="AT41" s="234"/>
      <c r="AU41" s="71"/>
      <c r="AV41" s="71"/>
      <c r="AW41" s="71"/>
      <c r="AX41" s="71"/>
      <c r="AY41" s="31"/>
      <c r="AZ41" s="32"/>
      <c r="BA41" s="33"/>
      <c r="BB41" s="31"/>
      <c r="BC41" s="32"/>
      <c r="BD41" s="33"/>
      <c r="BE41" s="58"/>
      <c r="BF41" s="58"/>
      <c r="BG41" s="58"/>
      <c r="BH41" s="58"/>
      <c r="BI41" s="58"/>
      <c r="BJ41" s="138" t="str">
        <f t="shared" si="8"/>
        <v>상하수도. 가스분담금</v>
      </c>
      <c r="BK41" s="140"/>
      <c r="BL41" s="135"/>
      <c r="BM41" s="137"/>
      <c r="BN41" s="135"/>
      <c r="BO41" s="173"/>
      <c r="BP41" s="174"/>
      <c r="BQ41" s="173"/>
      <c r="BR41" s="176"/>
      <c r="BS41" s="177"/>
      <c r="BT41" s="17"/>
      <c r="BU41" s="17"/>
      <c r="BV41" s="17"/>
      <c r="BW41" s="17"/>
      <c r="BX41" s="17"/>
      <c r="BY41" s="17"/>
    </row>
    <row r="42" spans="1:77" ht="21" customHeight="1">
      <c r="A42" s="806"/>
      <c r="B42" s="461"/>
      <c r="C42" s="462"/>
      <c r="D42" s="934"/>
      <c r="E42" s="935"/>
      <c r="F42" s="936"/>
      <c r="G42" s="925" t="s">
        <v>190</v>
      </c>
      <c r="H42" s="925"/>
      <c r="I42" s="925"/>
      <c r="J42" s="925"/>
      <c r="K42" s="925"/>
      <c r="L42" s="925"/>
      <c r="M42" s="926"/>
      <c r="N42" s="481">
        <v>500000</v>
      </c>
      <c r="O42" s="482"/>
      <c r="P42" s="482"/>
      <c r="Q42" s="482"/>
      <c r="R42" s="482"/>
      <c r="S42" s="483"/>
      <c r="T42" s="497">
        <v>1</v>
      </c>
      <c r="U42" s="498"/>
      <c r="V42" s="498"/>
      <c r="W42" s="498"/>
      <c r="X42" s="47" t="s">
        <v>60</v>
      </c>
      <c r="Y42" s="511"/>
      <c r="Z42" s="511"/>
      <c r="AA42" s="511"/>
      <c r="AB42" s="511"/>
      <c r="AC42" s="47" t="s">
        <v>60</v>
      </c>
      <c r="AD42" s="454">
        <v>1</v>
      </c>
      <c r="AE42" s="454"/>
      <c r="AF42" s="47"/>
      <c r="AG42" s="501"/>
      <c r="AH42" s="501"/>
      <c r="AI42" s="502"/>
      <c r="AJ42" s="348" t="s">
        <v>248</v>
      </c>
      <c r="AK42" s="349"/>
      <c r="AL42" s="349"/>
      <c r="AM42" s="349"/>
      <c r="AN42" s="349"/>
      <c r="AO42" s="349"/>
      <c r="AP42" s="350"/>
      <c r="AQ42" s="596"/>
      <c r="AR42" s="597"/>
      <c r="AS42" s="19"/>
      <c r="AT42" s="19"/>
      <c r="AU42" s="19"/>
      <c r="AV42" s="19"/>
      <c r="AW42" s="19"/>
      <c r="AX42" s="19"/>
      <c r="AY42" s="31" t="s">
        <v>65</v>
      </c>
      <c r="AZ42" s="32"/>
      <c r="BA42" s="33" t="e">
        <f>SUM(BA39:BA40)</f>
        <v>#REF!</v>
      </c>
      <c r="BB42" s="31" t="s">
        <v>65</v>
      </c>
      <c r="BC42" s="32"/>
      <c r="BD42" s="33" t="e">
        <f>SUM(BD39:BD40)</f>
        <v>#REF!</v>
      </c>
      <c r="BE42" s="58"/>
      <c r="BF42" s="58"/>
      <c r="BG42" s="58"/>
      <c r="BH42" s="58"/>
      <c r="BI42" s="58"/>
      <c r="BJ42" s="225" t="str">
        <f t="shared" si="8"/>
        <v>기타비용역비</v>
      </c>
      <c r="BK42" s="140">
        <f>N42</f>
        <v>500000</v>
      </c>
      <c r="BL42" s="135"/>
      <c r="BM42" s="137">
        <f t="shared" si="3"/>
        <v>0</v>
      </c>
      <c r="BN42" s="135">
        <f t="shared" si="4"/>
        <v>1</v>
      </c>
      <c r="BO42" s="173">
        <f t="shared" si="5"/>
        <v>500000</v>
      </c>
      <c r="BP42" s="174"/>
      <c r="BQ42" s="173"/>
      <c r="BR42" s="176">
        <f>BM40+BO40+BQ42</f>
        <v>1074080</v>
      </c>
      <c r="BS42" s="177"/>
      <c r="BV42" s="57"/>
      <c r="BW42" s="57"/>
      <c r="BX42" s="57"/>
      <c r="BY42" s="57"/>
    </row>
    <row r="43" spans="1:77" ht="21" customHeight="1">
      <c r="A43" s="806"/>
      <c r="B43" s="461"/>
      <c r="C43" s="462"/>
      <c r="D43" s="934"/>
      <c r="E43" s="935"/>
      <c r="F43" s="936"/>
      <c r="G43" s="929" t="s">
        <v>191</v>
      </c>
      <c r="H43" s="929"/>
      <c r="I43" s="929"/>
      <c r="J43" s="929"/>
      <c r="K43" s="929"/>
      <c r="L43" s="929"/>
      <c r="M43" s="930"/>
      <c r="N43" s="447">
        <v>500000</v>
      </c>
      <c r="O43" s="448"/>
      <c r="P43" s="448"/>
      <c r="Q43" s="448"/>
      <c r="R43" s="448"/>
      <c r="S43" s="449"/>
      <c r="T43" s="532">
        <v>1</v>
      </c>
      <c r="U43" s="533"/>
      <c r="V43" s="533"/>
      <c r="W43" s="533"/>
      <c r="X43" s="259" t="s">
        <v>60</v>
      </c>
      <c r="Y43" s="509">
        <v>1000000</v>
      </c>
      <c r="Z43" s="509"/>
      <c r="AA43" s="509"/>
      <c r="AB43" s="509"/>
      <c r="AC43" s="259" t="s">
        <v>60</v>
      </c>
      <c r="AD43" s="510">
        <v>1</v>
      </c>
      <c r="AE43" s="510"/>
      <c r="AF43" s="259"/>
      <c r="AG43" s="527"/>
      <c r="AH43" s="527"/>
      <c r="AI43" s="528"/>
      <c r="AJ43" s="396" t="s">
        <v>205</v>
      </c>
      <c r="AK43" s="268"/>
      <c r="AL43" s="268"/>
      <c r="AM43" s="268"/>
      <c r="AN43" s="268"/>
      <c r="AO43" s="268"/>
      <c r="AP43" s="269"/>
      <c r="AQ43" s="596">
        <f>N43/N85</f>
        <v>2.1173384146519242E-3</v>
      </c>
      <c r="AR43" s="597"/>
      <c r="AS43" s="19"/>
      <c r="AT43" s="19"/>
      <c r="AU43" s="19"/>
      <c r="AV43" s="19"/>
      <c r="AW43" s="19"/>
      <c r="AX43" s="19"/>
      <c r="AY43" s="31"/>
      <c r="AZ43" s="32"/>
      <c r="BA43" s="33"/>
      <c r="BB43" s="31"/>
      <c r="BC43" s="32"/>
      <c r="BD43" s="33"/>
      <c r="BE43" s="58"/>
      <c r="BF43" s="58"/>
      <c r="BG43" s="58"/>
      <c r="BH43" s="58"/>
      <c r="BI43" s="58"/>
      <c r="BJ43" s="138" t="str">
        <f t="shared" si="8"/>
        <v>건축허가조건 이행공사비</v>
      </c>
      <c r="BK43" s="140">
        <f>N43</f>
        <v>500000</v>
      </c>
      <c r="BL43" s="135">
        <v>1</v>
      </c>
      <c r="BM43" s="137">
        <f t="shared" si="3"/>
        <v>500000</v>
      </c>
      <c r="BN43" s="135">
        <f t="shared" si="4"/>
        <v>0</v>
      </c>
      <c r="BO43" s="173">
        <f t="shared" si="5"/>
        <v>0</v>
      </c>
      <c r="BP43" s="174"/>
      <c r="BQ43" s="175"/>
      <c r="BR43" s="176">
        <f t="shared" ref="BR43:BR51" si="12">BM42+BO42+BQ43</f>
        <v>500000</v>
      </c>
      <c r="BS43" s="177"/>
      <c r="BT43" s="57"/>
      <c r="BU43" s="57"/>
      <c r="BV43" s="57"/>
      <c r="BW43" s="57"/>
      <c r="BX43" s="57"/>
      <c r="BY43" s="57"/>
    </row>
    <row r="44" spans="1:77" s="57" customFormat="1" ht="21" customHeight="1">
      <c r="A44" s="806"/>
      <c r="B44" s="463"/>
      <c r="C44" s="464"/>
      <c r="D44" s="515" t="s">
        <v>31</v>
      </c>
      <c r="E44" s="516"/>
      <c r="F44" s="516"/>
      <c r="G44" s="384"/>
      <c r="H44" s="384"/>
      <c r="I44" s="384"/>
      <c r="J44" s="384"/>
      <c r="K44" s="384"/>
      <c r="L44" s="384"/>
      <c r="M44" s="385"/>
      <c r="N44" s="444">
        <f>SUM(N35:S43)</f>
        <v>88825645</v>
      </c>
      <c r="O44" s="445"/>
      <c r="P44" s="445"/>
      <c r="Q44" s="445"/>
      <c r="R44" s="445"/>
      <c r="S44" s="446"/>
      <c r="T44" s="305"/>
      <c r="U44" s="306"/>
      <c r="V44" s="306"/>
      <c r="W44" s="306"/>
      <c r="X44" s="307"/>
      <c r="Y44" s="308"/>
      <c r="Z44" s="308"/>
      <c r="AA44" s="308"/>
      <c r="AB44" s="308"/>
      <c r="AC44" s="307"/>
      <c r="AD44" s="306"/>
      <c r="AE44" s="309"/>
      <c r="AF44" s="307"/>
      <c r="AG44" s="310"/>
      <c r="AH44" s="310"/>
      <c r="AI44" s="310"/>
      <c r="AJ44" s="513"/>
      <c r="AK44" s="514"/>
      <c r="AL44" s="514"/>
      <c r="AM44" s="514"/>
      <c r="AN44" s="514"/>
      <c r="AO44" s="514"/>
      <c r="AP44" s="850"/>
      <c r="AQ44" s="636">
        <f>SUM(AQ35:AR43)</f>
        <v>0.37187934648553095</v>
      </c>
      <c r="AR44" s="636"/>
      <c r="AS44" s="71"/>
      <c r="AT44" s="71"/>
      <c r="AU44" s="71"/>
      <c r="AV44" s="71"/>
      <c r="AW44" s="71"/>
      <c r="AX44" s="71"/>
      <c r="AY44" s="31"/>
      <c r="AZ44" s="32"/>
      <c r="BA44" s="33"/>
      <c r="BB44" s="31"/>
      <c r="BC44" s="34"/>
      <c r="BD44" s="35"/>
      <c r="BE44" s="58"/>
      <c r="BF44" s="58"/>
      <c r="BG44" s="58"/>
      <c r="BH44" s="58"/>
      <c r="BI44" s="58"/>
      <c r="BJ44" s="138"/>
      <c r="BK44" s="324"/>
      <c r="BL44" s="135"/>
      <c r="BM44" s="137"/>
      <c r="BN44" s="135">
        <f t="shared" si="4"/>
        <v>1</v>
      </c>
      <c r="BO44" s="173">
        <f t="shared" si="5"/>
        <v>0</v>
      </c>
      <c r="BP44" s="174"/>
      <c r="BQ44" s="175"/>
      <c r="BR44" s="176">
        <f t="shared" si="12"/>
        <v>500000</v>
      </c>
      <c r="BS44" s="177"/>
    </row>
    <row r="45" spans="1:77" s="57" customFormat="1" ht="21" customHeight="1">
      <c r="A45" s="806"/>
      <c r="B45" s="459" t="s">
        <v>111</v>
      </c>
      <c r="C45" s="460"/>
      <c r="D45" s="352" t="s">
        <v>194</v>
      </c>
      <c r="E45" s="353"/>
      <c r="F45" s="353"/>
      <c r="G45" s="353"/>
      <c r="H45" s="353"/>
      <c r="I45" s="353"/>
      <c r="J45" s="353"/>
      <c r="K45" s="353"/>
      <c r="L45" s="353"/>
      <c r="M45" s="354"/>
      <c r="N45" s="450">
        <f>T45*Y45</f>
        <v>0</v>
      </c>
      <c r="O45" s="450"/>
      <c r="P45" s="450"/>
      <c r="Q45" s="450"/>
      <c r="R45" s="450"/>
      <c r="S45" s="451"/>
      <c r="T45" s="521"/>
      <c r="U45" s="522"/>
      <c r="V45" s="522"/>
      <c r="W45" s="522"/>
      <c r="X45" s="51"/>
      <c r="Y45" s="430"/>
      <c r="Z45" s="430"/>
      <c r="AA45" s="430"/>
      <c r="AB45" s="430"/>
      <c r="AC45" s="51"/>
      <c r="AD45" s="455"/>
      <c r="AE45" s="455"/>
      <c r="AF45" s="51"/>
      <c r="AG45" s="848"/>
      <c r="AH45" s="848"/>
      <c r="AI45" s="849"/>
      <c r="AJ45" s="48"/>
      <c r="AK45" s="49"/>
      <c r="AL45" s="49"/>
      <c r="AM45" s="49"/>
      <c r="AN45" s="49"/>
      <c r="AO45" s="49"/>
      <c r="AP45" s="50"/>
      <c r="AQ45" s="596">
        <f>N45/N85</f>
        <v>0</v>
      </c>
      <c r="AR45" s="597"/>
      <c r="AS45" s="71"/>
      <c r="AT45" s="71"/>
      <c r="AU45" s="71"/>
      <c r="AV45" s="71"/>
      <c r="AW45" s="71"/>
      <c r="AX45" s="71"/>
      <c r="AY45" s="31"/>
      <c r="AZ45" s="32"/>
      <c r="BA45" s="33"/>
      <c r="BB45" s="36" t="s">
        <v>107</v>
      </c>
      <c r="BC45" s="32"/>
      <c r="BD45" s="33"/>
      <c r="BE45" s="58"/>
      <c r="BF45" s="58"/>
      <c r="BG45" s="58"/>
      <c r="BH45" s="58"/>
      <c r="BI45" s="58"/>
      <c r="BJ45" s="138" t="str">
        <f>D45</f>
        <v>지구단위용역비</v>
      </c>
      <c r="BK45" s="140">
        <f>N45</f>
        <v>0</v>
      </c>
      <c r="BL45" s="135">
        <v>0.5</v>
      </c>
      <c r="BM45" s="137">
        <f>BK45*BL45</f>
        <v>0</v>
      </c>
      <c r="BN45" s="135">
        <f t="shared" si="4"/>
        <v>0.5</v>
      </c>
      <c r="BO45" s="173">
        <f t="shared" si="5"/>
        <v>0</v>
      </c>
      <c r="BP45" s="174"/>
      <c r="BQ45" s="175"/>
      <c r="BR45" s="176">
        <f t="shared" si="12"/>
        <v>0</v>
      </c>
      <c r="BS45" s="177"/>
    </row>
    <row r="46" spans="1:77" s="57" customFormat="1" ht="21" customHeight="1">
      <c r="A46" s="806"/>
      <c r="B46" s="461"/>
      <c r="C46" s="462"/>
      <c r="D46" s="348" t="s">
        <v>208</v>
      </c>
      <c r="E46" s="349"/>
      <c r="F46" s="349"/>
      <c r="G46" s="349"/>
      <c r="H46" s="349"/>
      <c r="I46" s="349"/>
      <c r="J46" s="349"/>
      <c r="K46" s="349"/>
      <c r="L46" s="349"/>
      <c r="M46" s="351"/>
      <c r="N46" s="442">
        <f>T46*Y46*AD46</f>
        <v>0</v>
      </c>
      <c r="O46" s="442"/>
      <c r="P46" s="442"/>
      <c r="Q46" s="442"/>
      <c r="R46" s="442"/>
      <c r="S46" s="443"/>
      <c r="T46" s="532"/>
      <c r="U46" s="533"/>
      <c r="V46" s="533"/>
      <c r="W46" s="533"/>
      <c r="X46" s="259"/>
      <c r="Y46" s="509"/>
      <c r="Z46" s="509"/>
      <c r="AA46" s="509"/>
      <c r="AB46" s="509"/>
      <c r="AC46" s="259"/>
      <c r="AD46" s="510"/>
      <c r="AE46" s="510"/>
      <c r="AF46" s="259"/>
      <c r="AG46" s="609"/>
      <c r="AH46" s="609"/>
      <c r="AI46" s="610"/>
      <c r="AJ46" s="472" t="s">
        <v>223</v>
      </c>
      <c r="AK46" s="473"/>
      <c r="AL46" s="473"/>
      <c r="AM46" s="473"/>
      <c r="AN46" s="473"/>
      <c r="AO46" s="473"/>
      <c r="AP46" s="474"/>
      <c r="AQ46" s="620">
        <f>N46/N85</f>
        <v>0</v>
      </c>
      <c r="AR46" s="620"/>
      <c r="AS46" s="71"/>
      <c r="AT46" s="71"/>
      <c r="AU46" s="71"/>
      <c r="AV46" s="71"/>
      <c r="AW46" s="71"/>
      <c r="AX46" s="71"/>
      <c r="AY46" s="31"/>
      <c r="AZ46" s="32"/>
      <c r="BA46" s="33"/>
      <c r="BB46" s="31" t="s">
        <v>108</v>
      </c>
      <c r="BC46" s="32"/>
      <c r="BD46" s="33" t="e">
        <f>IF($BD$32&lt;0,$BD$32,0)</f>
        <v>#REF!</v>
      </c>
      <c r="BE46" s="58"/>
      <c r="BF46" s="58"/>
      <c r="BG46" s="58"/>
      <c r="BH46" s="58"/>
      <c r="BI46" s="58"/>
      <c r="BJ46" s="138" t="str">
        <f>D62</f>
        <v>조합 및 대행사 일반관리</v>
      </c>
      <c r="BK46" s="140">
        <f>N62</f>
        <v>900000</v>
      </c>
      <c r="BL46" s="135">
        <v>1</v>
      </c>
      <c r="BM46" s="137">
        <f>BK46*BL46</f>
        <v>900000</v>
      </c>
      <c r="BN46" s="135">
        <f t="shared" si="4"/>
        <v>0</v>
      </c>
      <c r="BO46" s="173">
        <f t="shared" si="5"/>
        <v>0</v>
      </c>
      <c r="BP46" s="174"/>
      <c r="BQ46" s="175"/>
      <c r="BR46" s="176">
        <f t="shared" si="12"/>
        <v>0</v>
      </c>
      <c r="BS46" s="177"/>
      <c r="BV46" s="17"/>
      <c r="BW46" s="17"/>
      <c r="BX46" s="17"/>
      <c r="BY46" s="17"/>
    </row>
    <row r="47" spans="1:77" s="57" customFormat="1" ht="21" customHeight="1">
      <c r="A47" s="806"/>
      <c r="B47" s="463"/>
      <c r="C47" s="464"/>
      <c r="D47" s="439" t="s">
        <v>20</v>
      </c>
      <c r="E47" s="440"/>
      <c r="F47" s="440"/>
      <c r="G47" s="296"/>
      <c r="H47" s="296"/>
      <c r="I47" s="296"/>
      <c r="J47" s="296"/>
      <c r="K47" s="296"/>
      <c r="L47" s="296"/>
      <c r="M47" s="297"/>
      <c r="N47" s="444">
        <f>SUM(N45:S46)</f>
        <v>0</v>
      </c>
      <c r="O47" s="445"/>
      <c r="P47" s="445"/>
      <c r="Q47" s="445"/>
      <c r="R47" s="445"/>
      <c r="S47" s="446"/>
      <c r="T47" s="390"/>
      <c r="U47" s="390"/>
      <c r="V47" s="270"/>
      <c r="W47" s="270"/>
      <c r="X47" s="391"/>
      <c r="Y47" s="390"/>
      <c r="Z47" s="390"/>
      <c r="AA47" s="390"/>
      <c r="AB47" s="390"/>
      <c r="AC47" s="391"/>
      <c r="AD47" s="391"/>
      <c r="AE47" s="391"/>
      <c r="AF47" s="390"/>
      <c r="AG47" s="390"/>
      <c r="AH47" s="390"/>
      <c r="AI47" s="390"/>
      <c r="AJ47" s="311"/>
      <c r="AK47" s="312"/>
      <c r="AL47" s="312"/>
      <c r="AM47" s="312"/>
      <c r="AN47" s="312"/>
      <c r="AO47" s="312"/>
      <c r="AP47" s="313"/>
      <c r="AQ47" s="752">
        <f>SUM(AQ45:AR46)</f>
        <v>0</v>
      </c>
      <c r="AR47" s="753"/>
      <c r="AS47" s="71"/>
      <c r="AT47" s="71"/>
      <c r="AU47" s="71"/>
      <c r="AV47" s="71"/>
      <c r="AW47" s="71"/>
      <c r="AX47" s="71"/>
      <c r="AY47" s="31"/>
      <c r="AZ47" s="32"/>
      <c r="BA47" s="33"/>
      <c r="BB47" s="31" t="s">
        <v>66</v>
      </c>
      <c r="BC47" s="32"/>
      <c r="BD47" s="33" t="e">
        <f>-BA35</f>
        <v>#REF!</v>
      </c>
      <c r="BE47" s="58"/>
      <c r="BF47" s="58"/>
      <c r="BG47" s="58"/>
      <c r="BH47" s="58"/>
      <c r="BI47" s="58"/>
      <c r="BJ47" s="138" t="str">
        <f>D46</f>
        <v>인허가비용</v>
      </c>
      <c r="BK47" s="140">
        <f>N46</f>
        <v>0</v>
      </c>
      <c r="BL47" s="135">
        <v>1</v>
      </c>
      <c r="BM47" s="137">
        <f>BK47*BL47</f>
        <v>0</v>
      </c>
      <c r="BN47" s="135">
        <f t="shared" si="4"/>
        <v>0</v>
      </c>
      <c r="BO47" s="173">
        <f t="shared" si="5"/>
        <v>0</v>
      </c>
      <c r="BP47" s="174"/>
      <c r="BQ47" s="175"/>
      <c r="BR47" s="176">
        <f t="shared" si="12"/>
        <v>900000</v>
      </c>
      <c r="BS47" s="177"/>
      <c r="BT47" s="17"/>
      <c r="BU47" s="17"/>
      <c r="BV47" s="17"/>
      <c r="BW47" s="17"/>
      <c r="BX47" s="17"/>
      <c r="BY47" s="17"/>
    </row>
    <row r="48" spans="1:77" ht="21" customHeight="1">
      <c r="A48" s="806"/>
      <c r="B48" s="459" t="s">
        <v>70</v>
      </c>
      <c r="C48" s="460"/>
      <c r="D48" s="475" t="s">
        <v>112</v>
      </c>
      <c r="E48" s="476"/>
      <c r="F48" s="476"/>
      <c r="G48" s="476"/>
      <c r="H48" s="476"/>
      <c r="I48" s="476"/>
      <c r="J48" s="476"/>
      <c r="K48" s="476"/>
      <c r="L48" s="476"/>
      <c r="M48" s="512"/>
      <c r="N48" s="450">
        <f>T49*Y49*AD49</f>
        <v>0</v>
      </c>
      <c r="O48" s="450"/>
      <c r="P48" s="450"/>
      <c r="Q48" s="450"/>
      <c r="R48" s="450"/>
      <c r="S48" s="451"/>
      <c r="T48" s="774"/>
      <c r="U48" s="775"/>
      <c r="V48" s="775"/>
      <c r="W48" s="775"/>
      <c r="X48" s="51"/>
      <c r="Y48" s="430"/>
      <c r="Z48" s="430"/>
      <c r="AA48" s="430"/>
      <c r="AB48" s="430"/>
      <c r="AC48" s="51"/>
      <c r="AD48" s="455"/>
      <c r="AE48" s="455"/>
      <c r="AF48" s="51"/>
      <c r="AG48" s="420"/>
      <c r="AH48" s="420"/>
      <c r="AI48" s="421"/>
      <c r="AJ48" s="630" t="s">
        <v>113</v>
      </c>
      <c r="AK48" s="631"/>
      <c r="AL48" s="631"/>
      <c r="AM48" s="631"/>
      <c r="AN48" s="271"/>
      <c r="AO48" s="271"/>
      <c r="AP48" s="272"/>
      <c r="AQ48" s="628">
        <f>N48/N85</f>
        <v>0</v>
      </c>
      <c r="AR48" s="629"/>
      <c r="AS48" s="19"/>
      <c r="AT48" s="19"/>
      <c r="AU48" s="19"/>
      <c r="AV48" s="19"/>
      <c r="AW48" s="19"/>
      <c r="AX48" s="19"/>
      <c r="AY48" s="37"/>
      <c r="AZ48" s="38"/>
      <c r="BA48" s="39"/>
      <c r="BB48" s="31" t="s">
        <v>24</v>
      </c>
      <c r="BC48" s="32"/>
      <c r="BD48" s="33" t="e">
        <f>BD42+BD46+BD47</f>
        <v>#REF!</v>
      </c>
      <c r="BE48" s="58"/>
      <c r="BF48" s="58"/>
      <c r="BG48" s="58"/>
      <c r="BH48" s="58"/>
      <c r="BI48" s="58"/>
      <c r="BJ48" s="138"/>
      <c r="BK48" s="324" t="s">
        <v>227</v>
      </c>
      <c r="BL48" s="135"/>
      <c r="BM48" s="137"/>
      <c r="BN48" s="135"/>
      <c r="BO48" s="173"/>
      <c r="BP48" s="174"/>
      <c r="BQ48" s="175"/>
      <c r="BR48" s="176">
        <f t="shared" si="12"/>
        <v>0</v>
      </c>
      <c r="BS48" s="177"/>
    </row>
    <row r="49" spans="1:77" ht="21" customHeight="1">
      <c r="A49" s="806"/>
      <c r="B49" s="461"/>
      <c r="C49" s="462"/>
      <c r="D49" s="472" t="s">
        <v>114</v>
      </c>
      <c r="E49" s="473"/>
      <c r="F49" s="473"/>
      <c r="G49" s="473"/>
      <c r="H49" s="473"/>
      <c r="I49" s="473"/>
      <c r="J49" s="473"/>
      <c r="K49" s="473"/>
      <c r="L49" s="473"/>
      <c r="M49" s="484"/>
      <c r="N49" s="422">
        <f>T49*Y49*AD49</f>
        <v>0</v>
      </c>
      <c r="O49" s="422"/>
      <c r="P49" s="422"/>
      <c r="Q49" s="422"/>
      <c r="R49" s="422"/>
      <c r="S49" s="423"/>
      <c r="T49" s="776"/>
      <c r="U49" s="777"/>
      <c r="V49" s="777"/>
      <c r="W49" s="777"/>
      <c r="X49" s="51"/>
      <c r="Y49" s="430"/>
      <c r="Z49" s="430"/>
      <c r="AA49" s="430"/>
      <c r="AB49" s="430"/>
      <c r="AC49" s="51"/>
      <c r="AD49" s="455"/>
      <c r="AE49" s="455"/>
      <c r="AF49" s="51"/>
      <c r="AG49" s="420"/>
      <c r="AH49" s="420"/>
      <c r="AI49" s="421"/>
      <c r="AJ49" s="48"/>
      <c r="AK49" s="49"/>
      <c r="AL49" s="49"/>
      <c r="AM49" s="49"/>
      <c r="AN49" s="49"/>
      <c r="AO49" s="49"/>
      <c r="AP49" s="50"/>
      <c r="AQ49" s="596">
        <f>N49/N85</f>
        <v>0</v>
      </c>
      <c r="AR49" s="597"/>
      <c r="AS49" s="19"/>
      <c r="AT49" s="19"/>
      <c r="AU49" s="19"/>
      <c r="AV49" s="19"/>
      <c r="AW49" s="19"/>
      <c r="AX49" s="19"/>
      <c r="AY49" s="245" t="s">
        <v>109</v>
      </c>
      <c r="AZ49" s="28"/>
      <c r="BA49" s="29"/>
      <c r="BB49" s="245" t="s">
        <v>110</v>
      </c>
      <c r="BC49" s="40"/>
      <c r="BD49" s="30"/>
      <c r="BE49" s="58"/>
      <c r="BF49" s="58"/>
      <c r="BG49" s="58"/>
      <c r="BH49" s="58"/>
      <c r="BI49" s="58"/>
      <c r="BJ49" s="138" t="str">
        <f>D48</f>
        <v>상수도원인자분담금</v>
      </c>
      <c r="BK49" s="140">
        <f>N48</f>
        <v>0</v>
      </c>
      <c r="BL49" s="135">
        <v>0.5</v>
      </c>
      <c r="BM49" s="137">
        <f t="shared" ref="BM49:BM59" si="13">BK49*BL49</f>
        <v>0</v>
      </c>
      <c r="BN49" s="135">
        <f t="shared" si="4"/>
        <v>0.5</v>
      </c>
      <c r="BO49" s="173">
        <f t="shared" si="5"/>
        <v>0</v>
      </c>
      <c r="BP49" s="174"/>
      <c r="BQ49" s="175"/>
      <c r="BR49" s="176">
        <f t="shared" si="12"/>
        <v>0</v>
      </c>
      <c r="BS49" s="177"/>
    </row>
    <row r="50" spans="1:77" ht="21" customHeight="1">
      <c r="A50" s="806"/>
      <c r="B50" s="461"/>
      <c r="C50" s="462"/>
      <c r="D50" s="926" t="s">
        <v>195</v>
      </c>
      <c r="E50" s="927"/>
      <c r="F50" s="927"/>
      <c r="G50" s="927"/>
      <c r="H50" s="927"/>
      <c r="I50" s="927"/>
      <c r="J50" s="927"/>
      <c r="K50" s="927"/>
      <c r="L50" s="927"/>
      <c r="M50" s="351"/>
      <c r="N50" s="422">
        <v>103445</v>
      </c>
      <c r="O50" s="422"/>
      <c r="P50" s="422"/>
      <c r="Q50" s="422"/>
      <c r="R50" s="422"/>
      <c r="S50" s="423"/>
      <c r="T50" s="497">
        <v>517226</v>
      </c>
      <c r="U50" s="498"/>
      <c r="V50" s="498"/>
      <c r="W50" s="498"/>
      <c r="X50" s="51" t="s">
        <v>60</v>
      </c>
      <c r="Y50" s="430">
        <v>0</v>
      </c>
      <c r="Z50" s="430"/>
      <c r="AA50" s="430"/>
      <c r="AB50" s="430"/>
      <c r="AC50" s="51" t="s">
        <v>60</v>
      </c>
      <c r="AD50" s="455">
        <v>1</v>
      </c>
      <c r="AE50" s="455"/>
      <c r="AF50" s="51"/>
      <c r="AG50" s="430"/>
      <c r="AH50" s="430"/>
      <c r="AI50" s="491"/>
      <c r="AJ50" s="48" t="s">
        <v>197</v>
      </c>
      <c r="AK50" s="49"/>
      <c r="AL50" s="49"/>
      <c r="AM50" s="49"/>
      <c r="AN50" s="49"/>
      <c r="AO50" s="49"/>
      <c r="AP50" s="50"/>
      <c r="AQ50" s="596">
        <f>N50/N85</f>
        <v>4.3805614460733661E-4</v>
      </c>
      <c r="AR50" s="597"/>
      <c r="AS50" s="19"/>
      <c r="AT50" s="19"/>
      <c r="AU50" s="19"/>
      <c r="AV50" s="19"/>
      <c r="AW50" s="19"/>
      <c r="AX50" s="19"/>
      <c r="AY50" s="31"/>
      <c r="AZ50" s="41"/>
      <c r="BA50" s="33"/>
      <c r="BB50" s="31"/>
      <c r="BC50" s="32"/>
      <c r="BD50" s="33"/>
      <c r="BE50" s="58"/>
      <c r="BF50" s="58"/>
      <c r="BG50" s="58"/>
      <c r="BH50" s="58"/>
      <c r="BI50" s="58"/>
      <c r="BJ50" s="138" t="str">
        <f>D49</f>
        <v>하수도원인자분담금</v>
      </c>
      <c r="BK50" s="140">
        <f>N48</f>
        <v>0</v>
      </c>
      <c r="BL50" s="135">
        <v>0.5</v>
      </c>
      <c r="BM50" s="137">
        <f t="shared" si="13"/>
        <v>0</v>
      </c>
      <c r="BN50" s="135">
        <f t="shared" si="4"/>
        <v>0.5</v>
      </c>
      <c r="BO50" s="173">
        <f t="shared" si="5"/>
        <v>0</v>
      </c>
      <c r="BP50" s="174"/>
      <c r="BQ50" s="175"/>
      <c r="BR50" s="176">
        <f t="shared" si="12"/>
        <v>0</v>
      </c>
      <c r="BS50" s="177"/>
    </row>
    <row r="51" spans="1:77" ht="21" customHeight="1">
      <c r="A51" s="806"/>
      <c r="B51" s="461"/>
      <c r="C51" s="462"/>
      <c r="D51" s="926" t="s">
        <v>71</v>
      </c>
      <c r="E51" s="927"/>
      <c r="F51" s="927"/>
      <c r="G51" s="927"/>
      <c r="H51" s="927"/>
      <c r="I51" s="927"/>
      <c r="J51" s="927"/>
      <c r="K51" s="927"/>
      <c r="L51" s="927"/>
      <c r="M51" s="937"/>
      <c r="N51" s="422">
        <f>ROUND(T51*Y51*(1-AD51)*AG51,0)</f>
        <v>2424453</v>
      </c>
      <c r="O51" s="422"/>
      <c r="P51" s="422"/>
      <c r="Q51" s="422"/>
      <c r="R51" s="422"/>
      <c r="S51" s="423"/>
      <c r="T51" s="523">
        <v>40475</v>
      </c>
      <c r="U51" s="524"/>
      <c r="V51" s="524"/>
      <c r="W51" s="524"/>
      <c r="X51" s="51" t="s">
        <v>60</v>
      </c>
      <c r="Y51" s="430">
        <v>5990</v>
      </c>
      <c r="Z51" s="430"/>
      <c r="AA51" s="430"/>
      <c r="AB51" s="430"/>
      <c r="AC51" s="51" t="s">
        <v>60</v>
      </c>
      <c r="AD51" s="847">
        <v>0.5</v>
      </c>
      <c r="AE51" s="847"/>
      <c r="AF51" s="51" t="s">
        <v>60</v>
      </c>
      <c r="AG51" s="485">
        <v>0.02</v>
      </c>
      <c r="AH51" s="485"/>
      <c r="AI51" s="486"/>
      <c r="AJ51" s="48"/>
      <c r="AK51" s="49"/>
      <c r="AL51" s="49"/>
      <c r="AM51" s="49"/>
      <c r="AN51" s="49"/>
      <c r="AO51" s="49"/>
      <c r="AP51" s="50"/>
      <c r="AQ51" s="596">
        <f>N51/N85</f>
        <v>1.0266774942836203E-2</v>
      </c>
      <c r="AR51" s="597"/>
      <c r="AS51" s="19"/>
      <c r="AT51" s="19"/>
      <c r="AU51" s="19"/>
      <c r="AV51" s="19"/>
      <c r="AW51" s="19"/>
      <c r="AX51" s="19"/>
      <c r="AY51" s="235" t="str">
        <f>+$AY$39</f>
        <v>오피스텔</v>
      </c>
      <c r="AZ51" s="42">
        <v>0.7</v>
      </c>
      <c r="BA51" s="33" t="e">
        <f>AZ51*BA39</f>
        <v>#REF!</v>
      </c>
      <c r="BB51" s="235" t="str">
        <f>+$AY$39</f>
        <v>오피스텔</v>
      </c>
      <c r="BC51" s="32">
        <v>0</v>
      </c>
      <c r="BD51" s="33" t="e">
        <f>BC51*$BA$39</f>
        <v>#REF!</v>
      </c>
      <c r="BE51" s="58"/>
      <c r="BF51" s="58"/>
      <c r="BG51" s="58"/>
      <c r="BH51" s="58"/>
      <c r="BI51" s="58"/>
      <c r="BJ51" s="138" t="str">
        <f>D50</f>
        <v>지방교육세</v>
      </c>
      <c r="BK51" s="140"/>
      <c r="BL51" s="135"/>
      <c r="BM51" s="137">
        <f t="shared" si="13"/>
        <v>0</v>
      </c>
      <c r="BN51" s="135">
        <f t="shared" si="4"/>
        <v>1</v>
      </c>
      <c r="BO51" s="173">
        <f t="shared" si="5"/>
        <v>0</v>
      </c>
      <c r="BP51" s="174"/>
      <c r="BQ51" s="175"/>
      <c r="BR51" s="176">
        <f t="shared" si="12"/>
        <v>0</v>
      </c>
      <c r="BS51" s="177"/>
    </row>
    <row r="52" spans="1:77" ht="21" customHeight="1">
      <c r="A52" s="806"/>
      <c r="B52" s="461"/>
      <c r="C52" s="462"/>
      <c r="D52" s="926" t="s">
        <v>254</v>
      </c>
      <c r="E52" s="927"/>
      <c r="F52" s="927"/>
      <c r="G52" s="927"/>
      <c r="H52" s="927"/>
      <c r="I52" s="927"/>
      <c r="J52" s="927"/>
      <c r="K52" s="927"/>
      <c r="L52" s="927"/>
      <c r="M52" s="937"/>
      <c r="N52" s="947">
        <v>76584</v>
      </c>
      <c r="O52" s="909"/>
      <c r="P52" s="909"/>
      <c r="Q52" s="909"/>
      <c r="R52" s="909"/>
      <c r="S52" s="910"/>
      <c r="T52" s="355"/>
      <c r="U52" s="356"/>
      <c r="V52" s="356"/>
      <c r="W52" s="356"/>
      <c r="X52" s="51"/>
      <c r="Y52" s="347"/>
      <c r="Z52" s="347"/>
      <c r="AA52" s="347"/>
      <c r="AB52" s="347"/>
      <c r="AC52" s="51"/>
      <c r="AD52" s="376"/>
      <c r="AE52" s="376"/>
      <c r="AF52" s="51"/>
      <c r="AG52" s="368"/>
      <c r="AH52" s="368"/>
      <c r="AI52" s="369"/>
      <c r="AJ52" s="274"/>
      <c r="AK52" s="275"/>
      <c r="AL52" s="275"/>
      <c r="AM52" s="275"/>
      <c r="AN52" s="275"/>
      <c r="AO52" s="275"/>
      <c r="AP52" s="276"/>
      <c r="AQ52" s="364"/>
      <c r="AR52" s="365"/>
      <c r="AS52" s="19"/>
      <c r="AT52" s="19"/>
      <c r="AU52" s="19"/>
      <c r="AV52" s="19"/>
      <c r="AW52" s="19"/>
      <c r="AX52" s="19"/>
      <c r="AY52" s="235"/>
      <c r="AZ52" s="42"/>
      <c r="BA52" s="33"/>
      <c r="BB52" s="235"/>
      <c r="BC52" s="32"/>
      <c r="BD52" s="33"/>
      <c r="BE52" s="58"/>
      <c r="BF52" s="58"/>
      <c r="BG52" s="58"/>
      <c r="BH52" s="58"/>
      <c r="BI52" s="58"/>
      <c r="BJ52" s="138"/>
      <c r="BK52" s="140"/>
      <c r="BL52" s="135"/>
      <c r="BM52" s="137"/>
      <c r="BN52" s="135"/>
      <c r="BO52" s="173"/>
      <c r="BP52" s="174"/>
      <c r="BQ52" s="175"/>
      <c r="BR52" s="176"/>
      <c r="BS52" s="177"/>
    </row>
    <row r="53" spans="1:77" ht="21" customHeight="1">
      <c r="A53" s="806"/>
      <c r="B53" s="461"/>
      <c r="C53" s="462"/>
      <c r="D53" s="472" t="s">
        <v>196</v>
      </c>
      <c r="E53" s="473"/>
      <c r="F53" s="473"/>
      <c r="G53" s="473"/>
      <c r="H53" s="473"/>
      <c r="I53" s="473"/>
      <c r="J53" s="473"/>
      <c r="K53" s="473"/>
      <c r="L53" s="473"/>
      <c r="M53" s="484"/>
      <c r="N53" s="424">
        <f>T53*Y53*AD53</f>
        <v>0</v>
      </c>
      <c r="O53" s="424"/>
      <c r="P53" s="424"/>
      <c r="Q53" s="424"/>
      <c r="R53" s="424"/>
      <c r="S53" s="425"/>
      <c r="T53" s="497">
        <v>1</v>
      </c>
      <c r="U53" s="498"/>
      <c r="V53" s="498"/>
      <c r="W53" s="498"/>
      <c r="X53" s="51" t="s">
        <v>60</v>
      </c>
      <c r="Y53" s="430">
        <v>0</v>
      </c>
      <c r="Z53" s="430"/>
      <c r="AA53" s="430"/>
      <c r="AB53" s="430"/>
      <c r="AC53" s="51" t="s">
        <v>60</v>
      </c>
      <c r="AD53" s="455">
        <v>1</v>
      </c>
      <c r="AE53" s="455"/>
      <c r="AF53" s="51"/>
      <c r="AG53" s="430"/>
      <c r="AH53" s="430"/>
      <c r="AI53" s="491"/>
      <c r="AJ53" s="274" t="s">
        <v>198</v>
      </c>
      <c r="AK53" s="275"/>
      <c r="AL53" s="275"/>
      <c r="AM53" s="275"/>
      <c r="AN53" s="275"/>
      <c r="AO53" s="275"/>
      <c r="AP53" s="276"/>
      <c r="AQ53" s="596">
        <f>N53/N85</f>
        <v>0</v>
      </c>
      <c r="AR53" s="597"/>
      <c r="AS53" s="19"/>
      <c r="AT53" s="19"/>
      <c r="AU53" s="19"/>
      <c r="AV53" s="19"/>
      <c r="AW53" s="19"/>
      <c r="AX53" s="19"/>
      <c r="AY53" s="31" t="s">
        <v>27</v>
      </c>
      <c r="AZ53" s="32">
        <v>0.4</v>
      </c>
      <c r="BA53" s="33" t="e">
        <f>AZ53*BA40</f>
        <v>#REF!</v>
      </c>
      <c r="BB53" s="31" t="s">
        <v>27</v>
      </c>
      <c r="BC53" s="32">
        <v>0</v>
      </c>
      <c r="BD53" s="33" t="e">
        <f>BC53*$BA$40</f>
        <v>#REF!</v>
      </c>
      <c r="BE53" s="58"/>
      <c r="BF53" s="58"/>
      <c r="BG53" s="58"/>
      <c r="BH53" s="58"/>
      <c r="BI53" s="58"/>
      <c r="BJ53" s="138" t="str">
        <f>D51</f>
        <v>광역교통시설부담금</v>
      </c>
      <c r="BK53" s="140">
        <f>N51</f>
        <v>2424453</v>
      </c>
      <c r="BL53" s="135">
        <v>0.5</v>
      </c>
      <c r="BM53" s="137">
        <f t="shared" si="13"/>
        <v>1212226.5</v>
      </c>
      <c r="BN53" s="135">
        <f t="shared" si="4"/>
        <v>0.5</v>
      </c>
      <c r="BO53" s="173">
        <f t="shared" si="5"/>
        <v>1212226.5</v>
      </c>
      <c r="BP53" s="174"/>
      <c r="BQ53" s="175"/>
      <c r="BR53" s="176">
        <f>BM51+BO51+BQ53</f>
        <v>0</v>
      </c>
      <c r="BS53" s="177"/>
    </row>
    <row r="54" spans="1:77" ht="21" customHeight="1">
      <c r="A54" s="806"/>
      <c r="B54" s="461"/>
      <c r="C54" s="462"/>
      <c r="D54" s="472" t="s">
        <v>209</v>
      </c>
      <c r="E54" s="473"/>
      <c r="F54" s="473"/>
      <c r="G54" s="473"/>
      <c r="H54" s="473"/>
      <c r="I54" s="473"/>
      <c r="J54" s="473"/>
      <c r="K54" s="473"/>
      <c r="L54" s="473"/>
      <c r="M54" s="484"/>
      <c r="N54" s="426">
        <f>T54*Y54*AD54</f>
        <v>0</v>
      </c>
      <c r="O54" s="426"/>
      <c r="P54" s="426"/>
      <c r="Q54" s="426"/>
      <c r="R54" s="426"/>
      <c r="S54" s="427"/>
      <c r="T54" s="529"/>
      <c r="U54" s="530"/>
      <c r="V54" s="530"/>
      <c r="W54" s="530"/>
      <c r="X54" s="259"/>
      <c r="Y54" s="509"/>
      <c r="Z54" s="509"/>
      <c r="AA54" s="509"/>
      <c r="AB54" s="509"/>
      <c r="AC54" s="259"/>
      <c r="AD54" s="510"/>
      <c r="AE54" s="510"/>
      <c r="AF54" s="240"/>
      <c r="AG54" s="525"/>
      <c r="AH54" s="525"/>
      <c r="AI54" s="526"/>
      <c r="AJ54" s="472"/>
      <c r="AK54" s="473"/>
      <c r="AL54" s="473"/>
      <c r="AM54" s="473"/>
      <c r="AN54" s="473"/>
      <c r="AO54" s="473"/>
      <c r="AP54" s="474"/>
      <c r="AQ54" s="857">
        <f>N54/N85</f>
        <v>0</v>
      </c>
      <c r="AR54" s="857"/>
      <c r="AS54" s="19"/>
      <c r="AT54" s="19"/>
      <c r="AU54" s="19"/>
      <c r="AV54" s="19"/>
      <c r="AW54" s="19"/>
      <c r="AX54" s="19"/>
      <c r="AY54" s="31" t="s">
        <v>65</v>
      </c>
      <c r="AZ54" s="32"/>
      <c r="BA54" s="33" t="e">
        <f>SUM(BA51:BA53)</f>
        <v>#REF!</v>
      </c>
      <c r="BB54" s="31" t="s">
        <v>23</v>
      </c>
      <c r="BC54" s="32"/>
      <c r="BD54" s="33" t="e">
        <f>SUM(BD51:BD53)</f>
        <v>#REF!</v>
      </c>
      <c r="BE54" s="58"/>
      <c r="BF54" s="58"/>
      <c r="BG54" s="58"/>
      <c r="BH54" s="58"/>
      <c r="BI54" s="58"/>
      <c r="BJ54" s="138" t="str">
        <f>D53</f>
        <v>도시계획세</v>
      </c>
      <c r="BK54" s="140"/>
      <c r="BL54" s="135"/>
      <c r="BM54" s="137">
        <f t="shared" si="13"/>
        <v>0</v>
      </c>
      <c r="BN54" s="135">
        <f t="shared" si="4"/>
        <v>1</v>
      </c>
      <c r="BO54" s="173">
        <f t="shared" si="5"/>
        <v>0</v>
      </c>
      <c r="BP54" s="174"/>
      <c r="BQ54" s="175"/>
      <c r="BR54" s="176">
        <f t="shared" ref="BR54:BR67" si="14">BM53+BO53+BQ54</f>
        <v>2424453</v>
      </c>
      <c r="BS54" s="177"/>
    </row>
    <row r="55" spans="1:77" ht="21" customHeight="1">
      <c r="A55" s="806"/>
      <c r="B55" s="461"/>
      <c r="C55" s="462"/>
      <c r="D55" s="513" t="s">
        <v>31</v>
      </c>
      <c r="E55" s="514"/>
      <c r="F55" s="514"/>
      <c r="G55" s="377"/>
      <c r="H55" s="377"/>
      <c r="I55" s="377"/>
      <c r="J55" s="377"/>
      <c r="K55" s="377"/>
      <c r="L55" s="377"/>
      <c r="M55" s="378"/>
      <c r="N55" s="439">
        <f>SUM(N48:S54)</f>
        <v>2604482</v>
      </c>
      <c r="O55" s="440"/>
      <c r="P55" s="440"/>
      <c r="Q55" s="440"/>
      <c r="R55" s="440"/>
      <c r="S55" s="441"/>
      <c r="T55" s="390"/>
      <c r="U55" s="390"/>
      <c r="V55" s="270"/>
      <c r="W55" s="270"/>
      <c r="X55" s="391"/>
      <c r="Y55" s="390"/>
      <c r="Z55" s="390"/>
      <c r="AA55" s="390"/>
      <c r="AB55" s="390"/>
      <c r="AC55" s="391"/>
      <c r="AD55" s="391"/>
      <c r="AE55" s="391"/>
      <c r="AF55" s="390"/>
      <c r="AG55" s="390"/>
      <c r="AH55" s="390"/>
      <c r="AI55" s="390"/>
      <c r="AJ55" s="311"/>
      <c r="AK55" s="312"/>
      <c r="AL55" s="312"/>
      <c r="AM55" s="312"/>
      <c r="AN55" s="312"/>
      <c r="AO55" s="312"/>
      <c r="AP55" s="313"/>
      <c r="AQ55" s="752">
        <f>SUM(AQ48:AR54)</f>
        <v>1.070483108744354E-2</v>
      </c>
      <c r="AR55" s="753"/>
      <c r="AS55" s="19"/>
      <c r="AT55" s="19"/>
      <c r="AU55" s="19"/>
      <c r="AV55" s="19"/>
      <c r="AW55" s="19"/>
      <c r="AX55" s="19"/>
      <c r="AY55" s="31"/>
      <c r="AZ55" s="34"/>
      <c r="BA55" s="35"/>
      <c r="BB55" s="31"/>
      <c r="BC55" s="34"/>
      <c r="BD55" s="35"/>
      <c r="BE55" s="58"/>
      <c r="BF55" s="58"/>
      <c r="BG55" s="58"/>
      <c r="BH55" s="58"/>
      <c r="BI55" s="58"/>
      <c r="BJ55" s="138" t="str">
        <f>D54</f>
        <v>도시가스시설부담금</v>
      </c>
      <c r="BK55" s="140">
        <f>N54</f>
        <v>0</v>
      </c>
      <c r="BL55" s="135">
        <v>0.5</v>
      </c>
      <c r="BM55" s="137">
        <f t="shared" si="13"/>
        <v>0</v>
      </c>
      <c r="BN55" s="135">
        <f t="shared" si="4"/>
        <v>0.5</v>
      </c>
      <c r="BO55" s="173">
        <f t="shared" si="5"/>
        <v>0</v>
      </c>
      <c r="BP55" s="174"/>
      <c r="BQ55" s="175"/>
      <c r="BR55" s="176">
        <f t="shared" si="14"/>
        <v>0</v>
      </c>
      <c r="BS55" s="177"/>
      <c r="BV55" s="57"/>
      <c r="BW55" s="57"/>
      <c r="BX55" s="57"/>
      <c r="BY55" s="57"/>
    </row>
    <row r="56" spans="1:77" ht="21" customHeight="1">
      <c r="A56" s="806"/>
      <c r="B56" s="459" t="s">
        <v>72</v>
      </c>
      <c r="C56" s="460"/>
      <c r="D56" s="938" t="s">
        <v>199</v>
      </c>
      <c r="E56" s="939"/>
      <c r="F56" s="939"/>
      <c r="G56" s="939"/>
      <c r="H56" s="939"/>
      <c r="I56" s="939"/>
      <c r="J56" s="939"/>
      <c r="K56" s="939"/>
      <c r="L56" s="939"/>
      <c r="M56" s="940"/>
      <c r="N56" s="499">
        <f>(T56+Y56)*AD56*AG56</f>
        <v>240000</v>
      </c>
      <c r="O56" s="499"/>
      <c r="P56" s="499"/>
      <c r="Q56" s="499"/>
      <c r="R56" s="499"/>
      <c r="S56" s="500"/>
      <c r="T56" s="489">
        <v>0</v>
      </c>
      <c r="U56" s="490"/>
      <c r="V56" s="490"/>
      <c r="W56" s="490"/>
      <c r="X56" s="47" t="s">
        <v>155</v>
      </c>
      <c r="Y56" s="511">
        <v>20000</v>
      </c>
      <c r="Z56" s="511"/>
      <c r="AA56" s="511"/>
      <c r="AB56" s="511"/>
      <c r="AC56" s="47" t="s">
        <v>60</v>
      </c>
      <c r="AD56" s="454">
        <v>1</v>
      </c>
      <c r="AE56" s="454"/>
      <c r="AF56" s="47" t="s">
        <v>60</v>
      </c>
      <c r="AG56" s="494">
        <v>12</v>
      </c>
      <c r="AH56" s="494"/>
      <c r="AI56" s="495"/>
      <c r="AJ56" s="273" t="s">
        <v>186</v>
      </c>
      <c r="AK56" s="271"/>
      <c r="AL56" s="271"/>
      <c r="AM56" s="271"/>
      <c r="AN56" s="271"/>
      <c r="AO56" s="271"/>
      <c r="AP56" s="272"/>
      <c r="AQ56" s="628">
        <f>N56/N85</f>
        <v>1.0163224390329236E-3</v>
      </c>
      <c r="AR56" s="629"/>
      <c r="AS56" s="19"/>
      <c r="AT56" s="19"/>
      <c r="AU56" s="19"/>
      <c r="AV56" s="19"/>
      <c r="AW56" s="19"/>
      <c r="AX56" s="19"/>
      <c r="AY56" s="36" t="s">
        <v>107</v>
      </c>
      <c r="AZ56" s="43"/>
      <c r="BA56" s="44"/>
      <c r="BB56" s="36" t="s">
        <v>107</v>
      </c>
      <c r="BC56" s="32"/>
      <c r="BD56" s="33"/>
      <c r="BE56" s="58"/>
      <c r="BF56" s="58"/>
      <c r="BG56" s="58"/>
      <c r="BH56" s="58"/>
      <c r="BI56" s="58"/>
      <c r="BJ56" s="138"/>
      <c r="BK56" s="140"/>
      <c r="BL56" s="135"/>
      <c r="BM56" s="137">
        <f t="shared" si="13"/>
        <v>0</v>
      </c>
      <c r="BN56" s="135">
        <f t="shared" si="4"/>
        <v>1</v>
      </c>
      <c r="BO56" s="173">
        <f t="shared" si="5"/>
        <v>0</v>
      </c>
      <c r="BP56" s="174"/>
      <c r="BQ56" s="175"/>
      <c r="BR56" s="176">
        <f t="shared" si="14"/>
        <v>0</v>
      </c>
      <c r="BS56" s="177"/>
      <c r="BT56" s="57"/>
      <c r="BU56" s="57"/>
      <c r="BV56" s="57"/>
      <c r="BW56" s="57"/>
      <c r="BX56" s="57"/>
      <c r="BY56" s="57"/>
    </row>
    <row r="57" spans="1:77" s="57" customFormat="1" ht="21" customHeight="1">
      <c r="A57" s="806"/>
      <c r="B57" s="461"/>
      <c r="C57" s="462"/>
      <c r="D57" s="926" t="s">
        <v>200</v>
      </c>
      <c r="E57" s="927"/>
      <c r="F57" s="927"/>
      <c r="G57" s="927"/>
      <c r="H57" s="927"/>
      <c r="I57" s="927"/>
      <c r="J57" s="927"/>
      <c r="K57" s="927"/>
      <c r="L57" s="927"/>
      <c r="M57" s="937"/>
      <c r="N57" s="465">
        <f>T57*Y57*AD57</f>
        <v>900000</v>
      </c>
      <c r="O57" s="465"/>
      <c r="P57" s="465"/>
      <c r="Q57" s="465"/>
      <c r="R57" s="465"/>
      <c r="S57" s="466"/>
      <c r="T57" s="521">
        <v>150</v>
      </c>
      <c r="U57" s="522"/>
      <c r="V57" s="522"/>
      <c r="W57" s="522"/>
      <c r="X57" s="51" t="s">
        <v>60</v>
      </c>
      <c r="Y57" s="430">
        <v>6000</v>
      </c>
      <c r="Z57" s="430"/>
      <c r="AA57" s="430"/>
      <c r="AB57" s="430"/>
      <c r="AC57" s="51" t="s">
        <v>60</v>
      </c>
      <c r="AD57" s="455">
        <v>1</v>
      </c>
      <c r="AE57" s="455"/>
      <c r="AF57" s="51"/>
      <c r="AG57" s="420" t="s">
        <v>202</v>
      </c>
      <c r="AH57" s="420"/>
      <c r="AI57" s="421"/>
      <c r="AJ57" s="48"/>
      <c r="AK57" s="49"/>
      <c r="AL57" s="49"/>
      <c r="AM57" s="49"/>
      <c r="AN57" s="49"/>
      <c r="AO57" s="49"/>
      <c r="AP57" s="50"/>
      <c r="AQ57" s="596">
        <f>N57/N85</f>
        <v>3.8112091463734636E-3</v>
      </c>
      <c r="AR57" s="597"/>
      <c r="AS57" s="71"/>
      <c r="AT57" s="71"/>
      <c r="AU57" s="71"/>
      <c r="AV57" s="71"/>
      <c r="AW57" s="71"/>
      <c r="AX57" s="71"/>
      <c r="AY57" s="31" t="s">
        <v>108</v>
      </c>
      <c r="AZ57" s="32"/>
      <c r="BA57" s="33" t="e">
        <f>IF($BD$32&lt;0,$BD$32,0)</f>
        <v>#REF!</v>
      </c>
      <c r="BB57" s="31" t="s">
        <v>108</v>
      </c>
      <c r="BC57" s="32"/>
      <c r="BD57" s="33" t="e">
        <f>IF($BD$32&lt;0,$BD$32,0)</f>
        <v>#REF!</v>
      </c>
      <c r="BE57" s="58"/>
      <c r="BF57" s="58"/>
      <c r="BG57" s="58"/>
      <c r="BH57" s="58"/>
      <c r="BI57" s="58"/>
      <c r="BJ57" s="138" t="str">
        <f t="shared" ref="BJ57:BJ62" si="15">D56</f>
        <v>M/H임차료</v>
      </c>
      <c r="BK57" s="140">
        <f t="shared" ref="BK57:BK62" si="16">N56</f>
        <v>240000</v>
      </c>
      <c r="BL57" s="135">
        <v>0.1</v>
      </c>
      <c r="BM57" s="137">
        <f t="shared" si="13"/>
        <v>24000</v>
      </c>
      <c r="BN57" s="135">
        <f t="shared" si="4"/>
        <v>0.9</v>
      </c>
      <c r="BO57" s="173">
        <f t="shared" si="5"/>
        <v>216000</v>
      </c>
      <c r="BP57" s="174"/>
      <c r="BQ57" s="175"/>
      <c r="BR57" s="176">
        <f t="shared" si="14"/>
        <v>0</v>
      </c>
      <c r="BS57" s="177"/>
    </row>
    <row r="58" spans="1:77" s="57" customFormat="1" ht="21" customHeight="1">
      <c r="A58" s="806"/>
      <c r="B58" s="461"/>
      <c r="C58" s="462"/>
      <c r="D58" s="926" t="s">
        <v>115</v>
      </c>
      <c r="E58" s="927"/>
      <c r="F58" s="927"/>
      <c r="G58" s="927"/>
      <c r="H58" s="927"/>
      <c r="I58" s="927"/>
      <c r="J58" s="927"/>
      <c r="K58" s="927"/>
      <c r="L58" s="927"/>
      <c r="M58" s="937"/>
      <c r="N58" s="465">
        <f>Y58*AD58*AG58</f>
        <v>240000</v>
      </c>
      <c r="O58" s="465"/>
      <c r="P58" s="465"/>
      <c r="Q58" s="465"/>
      <c r="R58" s="465"/>
      <c r="S58" s="466"/>
      <c r="T58" s="497" t="s">
        <v>251</v>
      </c>
      <c r="U58" s="498"/>
      <c r="V58" s="498"/>
      <c r="W58" s="498"/>
      <c r="X58" s="51"/>
      <c r="Y58" s="430">
        <v>20000</v>
      </c>
      <c r="Z58" s="430"/>
      <c r="AA58" s="430"/>
      <c r="AB58" s="430"/>
      <c r="AC58" s="51" t="s">
        <v>60</v>
      </c>
      <c r="AD58" s="455">
        <v>1</v>
      </c>
      <c r="AE58" s="455"/>
      <c r="AF58" s="51" t="s">
        <v>60</v>
      </c>
      <c r="AG58" s="492">
        <v>12</v>
      </c>
      <c r="AH58" s="492"/>
      <c r="AI58" s="493"/>
      <c r="AJ58" s="48" t="s">
        <v>185</v>
      </c>
      <c r="AK58" s="49"/>
      <c r="AL58" s="49"/>
      <c r="AM58" s="49"/>
      <c r="AN58" s="49"/>
      <c r="AO58" s="49"/>
      <c r="AP58" s="50"/>
      <c r="AQ58" s="596">
        <f>N58/N85</f>
        <v>1.0163224390329236E-3</v>
      </c>
      <c r="AR58" s="597"/>
      <c r="AS58" s="71"/>
      <c r="AT58" s="71"/>
      <c r="AU58" s="71"/>
      <c r="AV58" s="71"/>
      <c r="AW58" s="71"/>
      <c r="AX58" s="71"/>
      <c r="AY58" s="31" t="s">
        <v>66</v>
      </c>
      <c r="AZ58" s="32"/>
      <c r="BA58" s="33" t="e">
        <f>-BA35</f>
        <v>#REF!</v>
      </c>
      <c r="BB58" s="31" t="s">
        <v>66</v>
      </c>
      <c r="BC58" s="32"/>
      <c r="BD58" s="33" t="e">
        <f>BD47</f>
        <v>#REF!</v>
      </c>
      <c r="BE58" s="58"/>
      <c r="BF58" s="58"/>
      <c r="BG58" s="58"/>
      <c r="BH58" s="58"/>
      <c r="BI58" s="58"/>
      <c r="BJ58" s="138" t="str">
        <f t="shared" si="15"/>
        <v>M/H 설치및해체비</v>
      </c>
      <c r="BK58" s="140">
        <f t="shared" si="16"/>
        <v>900000</v>
      </c>
      <c r="BL58" s="135">
        <v>0.5</v>
      </c>
      <c r="BM58" s="137">
        <f t="shared" si="13"/>
        <v>450000</v>
      </c>
      <c r="BN58" s="135">
        <f t="shared" si="4"/>
        <v>0.5</v>
      </c>
      <c r="BO58" s="173">
        <f t="shared" si="5"/>
        <v>450000</v>
      </c>
      <c r="BP58" s="174"/>
      <c r="BQ58" s="175"/>
      <c r="BR58" s="176">
        <f t="shared" si="14"/>
        <v>240000</v>
      </c>
      <c r="BS58" s="177"/>
    </row>
    <row r="59" spans="1:77" s="57" customFormat="1" ht="21" customHeight="1">
      <c r="A59" s="806"/>
      <c r="B59" s="461"/>
      <c r="C59" s="462"/>
      <c r="D59" s="926" t="s">
        <v>116</v>
      </c>
      <c r="E59" s="927"/>
      <c r="F59" s="927"/>
      <c r="G59" s="927"/>
      <c r="H59" s="927"/>
      <c r="I59" s="927"/>
      <c r="J59" s="927"/>
      <c r="K59" s="927"/>
      <c r="L59" s="927"/>
      <c r="M59" s="937"/>
      <c r="N59" s="465">
        <f>Y59*AD59*AG59</f>
        <v>1075575</v>
      </c>
      <c r="O59" s="465"/>
      <c r="P59" s="465"/>
      <c r="Q59" s="465"/>
      <c r="R59" s="465"/>
      <c r="S59" s="466"/>
      <c r="T59" s="497"/>
      <c r="U59" s="498"/>
      <c r="V59" s="498"/>
      <c r="W59" s="498"/>
      <c r="X59" s="51"/>
      <c r="Y59" s="430">
        <v>215115000</v>
      </c>
      <c r="Z59" s="430"/>
      <c r="AA59" s="430"/>
      <c r="AB59" s="430"/>
      <c r="AC59" s="51" t="s">
        <v>60</v>
      </c>
      <c r="AD59" s="455">
        <v>1</v>
      </c>
      <c r="AE59" s="455"/>
      <c r="AF59" s="51" t="s">
        <v>60</v>
      </c>
      <c r="AG59" s="485">
        <v>5.0000000000000001E-3</v>
      </c>
      <c r="AH59" s="485"/>
      <c r="AI59" s="486"/>
      <c r="AJ59" s="48"/>
      <c r="AK59" s="260"/>
      <c r="AL59" s="260"/>
      <c r="AM59" s="260"/>
      <c r="AN59" s="261"/>
      <c r="AO59" s="261"/>
      <c r="AP59" s="262"/>
      <c r="AQ59" s="596">
        <f>N59/N85</f>
        <v>4.5547125306784871E-3</v>
      </c>
      <c r="AR59" s="597"/>
      <c r="AS59" s="71"/>
      <c r="AT59" s="71"/>
      <c r="AU59" s="71"/>
      <c r="AV59" s="71"/>
      <c r="AW59" s="71"/>
      <c r="AX59" s="71"/>
      <c r="AY59" s="37" t="s">
        <v>24</v>
      </c>
      <c r="AZ59" s="38"/>
      <c r="BA59" s="39" t="e">
        <f>BA54+BA57+BA58</f>
        <v>#REF!</v>
      </c>
      <c r="BB59" s="37" t="s">
        <v>24</v>
      </c>
      <c r="BC59" s="38"/>
      <c r="BD59" s="39" t="e">
        <f>BD54+BD57+BD58</f>
        <v>#REF!</v>
      </c>
      <c r="BE59" s="58"/>
      <c r="BF59" s="58"/>
      <c r="BG59" s="58"/>
      <c r="BH59" s="58"/>
      <c r="BI59" s="58"/>
      <c r="BJ59" s="138" t="str">
        <f t="shared" si="15"/>
        <v>분양사무실 관리운영비</v>
      </c>
      <c r="BK59" s="140">
        <f t="shared" si="16"/>
        <v>240000</v>
      </c>
      <c r="BL59" s="135">
        <v>0.1</v>
      </c>
      <c r="BM59" s="137">
        <f t="shared" si="13"/>
        <v>24000</v>
      </c>
      <c r="BN59" s="135">
        <f t="shared" si="4"/>
        <v>0.9</v>
      </c>
      <c r="BO59" s="173">
        <f t="shared" si="5"/>
        <v>216000</v>
      </c>
      <c r="BP59" s="174"/>
      <c r="BQ59" s="175"/>
      <c r="BR59" s="176">
        <f t="shared" si="14"/>
        <v>900000</v>
      </c>
      <c r="BS59" s="177"/>
    </row>
    <row r="60" spans="1:77" s="57" customFormat="1" ht="21" customHeight="1">
      <c r="A60" s="806"/>
      <c r="B60" s="461"/>
      <c r="C60" s="462"/>
      <c r="D60" s="405" t="s">
        <v>250</v>
      </c>
      <c r="E60" s="404"/>
      <c r="F60" s="404"/>
      <c r="G60" s="404"/>
      <c r="H60" s="404"/>
      <c r="I60" s="404"/>
      <c r="J60" s="404"/>
      <c r="K60" s="404"/>
      <c r="L60" s="404"/>
      <c r="M60" s="406"/>
      <c r="N60" s="465">
        <v>447439</v>
      </c>
      <c r="O60" s="465"/>
      <c r="P60" s="465"/>
      <c r="Q60" s="465"/>
      <c r="R60" s="465"/>
      <c r="S60" s="466"/>
      <c r="T60" s="776"/>
      <c r="U60" s="777"/>
      <c r="V60" s="777"/>
      <c r="W60" s="777"/>
      <c r="X60" s="51"/>
      <c r="Y60" s="430"/>
      <c r="Z60" s="430"/>
      <c r="AA60" s="430"/>
      <c r="AB60" s="430"/>
      <c r="AC60" s="51"/>
      <c r="AD60" s="455"/>
      <c r="AE60" s="455"/>
      <c r="AF60" s="51"/>
      <c r="AG60" s="485"/>
      <c r="AH60" s="485"/>
      <c r="AI60" s="486"/>
      <c r="AJ60" s="277"/>
      <c r="AK60" s="278"/>
      <c r="AL60" s="278"/>
      <c r="AM60" s="278"/>
      <c r="AN60" s="279"/>
      <c r="AO60" s="279"/>
      <c r="AP60" s="280"/>
      <c r="AQ60" s="621">
        <f>N60/N85</f>
        <v>1.8947595658268847E-3</v>
      </c>
      <c r="AR60" s="622"/>
      <c r="AS60" s="71"/>
      <c r="AT60" s="71"/>
      <c r="AU60" s="71"/>
      <c r="AV60" s="71"/>
      <c r="AW60" s="71"/>
      <c r="AX60" s="71"/>
      <c r="AY60" s="58"/>
      <c r="AZ60" s="58"/>
      <c r="BA60" s="58"/>
      <c r="BB60" s="58"/>
      <c r="BC60" s="58"/>
      <c r="BD60" s="58"/>
      <c r="BE60" s="58"/>
      <c r="BF60" s="58"/>
      <c r="BG60" s="58"/>
      <c r="BH60" s="58"/>
      <c r="BI60" s="58"/>
      <c r="BJ60" s="138" t="str">
        <f t="shared" si="15"/>
        <v>광고선전비</v>
      </c>
      <c r="BK60" s="140">
        <f t="shared" si="16"/>
        <v>1075575</v>
      </c>
      <c r="BL60" s="135">
        <v>0.1</v>
      </c>
      <c r="BM60" s="137">
        <f>BL60*BK60</f>
        <v>107557.5</v>
      </c>
      <c r="BN60" s="135">
        <f t="shared" si="4"/>
        <v>0.9</v>
      </c>
      <c r="BO60" s="173">
        <f t="shared" si="5"/>
        <v>968017.5</v>
      </c>
      <c r="BP60" s="174"/>
      <c r="BQ60" s="175"/>
      <c r="BR60" s="176">
        <f t="shared" si="14"/>
        <v>240000</v>
      </c>
      <c r="BS60" s="177"/>
      <c r="BV60" s="17"/>
      <c r="BW60" s="17"/>
      <c r="BX60" s="17"/>
      <c r="BY60" s="17"/>
    </row>
    <row r="61" spans="1:77" s="57" customFormat="1" ht="21" customHeight="1">
      <c r="A61" s="806"/>
      <c r="B61" s="461"/>
      <c r="C61" s="462"/>
      <c r="D61" s="405" t="s">
        <v>252</v>
      </c>
      <c r="E61" s="404"/>
      <c r="F61" s="404"/>
      <c r="G61" s="404"/>
      <c r="H61" s="404"/>
      <c r="I61" s="404"/>
      <c r="J61" s="404"/>
      <c r="K61" s="404"/>
      <c r="L61" s="404"/>
      <c r="M61" s="406"/>
      <c r="N61" s="467">
        <v>3810000</v>
      </c>
      <c r="O61" s="467"/>
      <c r="P61" s="467"/>
      <c r="Q61" s="467"/>
      <c r="R61" s="467"/>
      <c r="S61" s="468"/>
      <c r="T61" s="532"/>
      <c r="U61" s="533"/>
      <c r="V61" s="533"/>
      <c r="W61" s="533"/>
      <c r="X61" s="259"/>
      <c r="Y61" s="509"/>
      <c r="Z61" s="509"/>
      <c r="AA61" s="509"/>
      <c r="AB61" s="509"/>
      <c r="AC61" s="259"/>
      <c r="AD61" s="510"/>
      <c r="AE61" s="510"/>
      <c r="AF61" s="259"/>
      <c r="AG61" s="858"/>
      <c r="AH61" s="858"/>
      <c r="AI61" s="859"/>
      <c r="AJ61" s="472" t="s">
        <v>253</v>
      </c>
      <c r="AK61" s="473"/>
      <c r="AL61" s="473"/>
      <c r="AM61" s="473"/>
      <c r="AN61" s="473"/>
      <c r="AO61" s="473"/>
      <c r="AP61" s="474"/>
      <c r="AQ61" s="620">
        <f>N61/N85</f>
        <v>1.6134118719647664E-2</v>
      </c>
      <c r="AR61" s="620"/>
      <c r="AS61" s="71"/>
      <c r="AT61" s="71"/>
      <c r="AU61" s="71"/>
      <c r="AV61" s="71"/>
      <c r="AW61" s="71"/>
      <c r="AX61" s="71"/>
      <c r="AY61" s="58"/>
      <c r="AZ61" s="58"/>
      <c r="BA61" s="58"/>
      <c r="BE61" s="58"/>
      <c r="BF61" s="58"/>
      <c r="BG61" s="58"/>
      <c r="BH61" s="58"/>
      <c r="BI61" s="58"/>
      <c r="BJ61" s="138" t="str">
        <f t="shared" si="15"/>
        <v>분양보증수수료</v>
      </c>
      <c r="BK61" s="140">
        <f t="shared" si="16"/>
        <v>447439</v>
      </c>
      <c r="BL61" s="135">
        <v>0.1</v>
      </c>
      <c r="BM61" s="137">
        <f>BK61*BL61</f>
        <v>44743.9</v>
      </c>
      <c r="BN61" s="135">
        <v>0.6</v>
      </c>
      <c r="BO61" s="173">
        <f t="shared" si="5"/>
        <v>268463.39999999997</v>
      </c>
      <c r="BP61" s="174">
        <f>1-BL61-BN61</f>
        <v>0.30000000000000004</v>
      </c>
      <c r="BQ61" s="175"/>
      <c r="BR61" s="176">
        <f t="shared" si="14"/>
        <v>1075575</v>
      </c>
      <c r="BS61" s="177"/>
      <c r="BT61" s="17"/>
      <c r="BU61" s="17"/>
      <c r="BV61" s="17"/>
      <c r="BW61" s="17"/>
      <c r="BX61" s="17"/>
      <c r="BY61" s="17"/>
    </row>
    <row r="62" spans="1:77" ht="21" customHeight="1">
      <c r="A62" s="806"/>
      <c r="B62" s="461"/>
      <c r="C62" s="462"/>
      <c r="D62" s="926" t="s">
        <v>255</v>
      </c>
      <c r="E62" s="927"/>
      <c r="F62" s="927"/>
      <c r="G62" s="927"/>
      <c r="H62" s="927"/>
      <c r="I62" s="927"/>
      <c r="J62" s="927"/>
      <c r="K62" s="927"/>
      <c r="L62" s="927"/>
      <c r="M62" s="937"/>
      <c r="N62" s="422">
        <v>900000</v>
      </c>
      <c r="O62" s="422"/>
      <c r="P62" s="422"/>
      <c r="Q62" s="422"/>
      <c r="R62" s="422"/>
      <c r="S62" s="423"/>
      <c r="T62" s="452"/>
      <c r="U62" s="453"/>
      <c r="V62" s="453"/>
      <c r="W62" s="453"/>
      <c r="X62" s="51"/>
      <c r="Y62" s="430"/>
      <c r="Z62" s="430"/>
      <c r="AA62" s="430"/>
      <c r="AB62" s="430"/>
      <c r="AC62" s="51"/>
      <c r="AD62" s="496"/>
      <c r="AE62" s="496"/>
      <c r="AF62" s="51"/>
      <c r="AG62" s="428"/>
      <c r="AH62" s="428"/>
      <c r="AI62" s="429"/>
      <c r="AJ62" s="274"/>
      <c r="AK62" s="275"/>
      <c r="AL62" s="275"/>
      <c r="AM62" s="275"/>
      <c r="AN62" s="275"/>
      <c r="AO62" s="275"/>
      <c r="AP62" s="276"/>
      <c r="AQ62" s="621">
        <f>N62/N85</f>
        <v>3.8112091463734636E-3</v>
      </c>
      <c r="AR62" s="622"/>
      <c r="AS62" s="19"/>
      <c r="AT62" s="19"/>
      <c r="AU62" s="19"/>
      <c r="AV62" s="19"/>
      <c r="AW62" s="19"/>
      <c r="AX62" s="19"/>
      <c r="AY62" s="183" t="s">
        <v>159</v>
      </c>
      <c r="AZ62" s="25"/>
      <c r="BA62" s="25"/>
      <c r="BB62" s="25"/>
      <c r="BC62" s="25"/>
      <c r="BD62" s="25"/>
      <c r="BE62" s="184"/>
      <c r="BF62" s="25"/>
      <c r="BG62" s="25"/>
      <c r="BH62" s="58"/>
      <c r="BI62" s="58"/>
      <c r="BJ62" s="138" t="str">
        <f t="shared" si="15"/>
        <v>분양수수료</v>
      </c>
      <c r="BK62" s="140">
        <f t="shared" si="16"/>
        <v>3810000</v>
      </c>
      <c r="BL62" s="135">
        <v>0.1</v>
      </c>
      <c r="BM62" s="137">
        <f>BK62*BL62</f>
        <v>381000</v>
      </c>
      <c r="BN62" s="135">
        <v>0.6</v>
      </c>
      <c r="BO62" s="173">
        <f t="shared" si="5"/>
        <v>2286000</v>
      </c>
      <c r="BP62" s="174">
        <f>1-BL62-BN62</f>
        <v>0.30000000000000004</v>
      </c>
      <c r="BQ62" s="173">
        <f>BK61-BM61-BO61</f>
        <v>134231.70000000001</v>
      </c>
      <c r="BR62" s="176">
        <f t="shared" si="14"/>
        <v>447439</v>
      </c>
      <c r="BS62" s="177"/>
    </row>
    <row r="63" spans="1:77" ht="21" customHeight="1">
      <c r="A63" s="806"/>
      <c r="B63" s="463"/>
      <c r="C63" s="464"/>
      <c r="D63" s="439" t="s">
        <v>20</v>
      </c>
      <c r="E63" s="440"/>
      <c r="F63" s="440"/>
      <c r="G63" s="377"/>
      <c r="H63" s="377"/>
      <c r="I63" s="377"/>
      <c r="J63" s="377"/>
      <c r="K63" s="377"/>
      <c r="L63" s="377"/>
      <c r="M63" s="378"/>
      <c r="N63" s="439">
        <f>SUM(N56:S62)</f>
        <v>7613014</v>
      </c>
      <c r="O63" s="440"/>
      <c r="P63" s="440"/>
      <c r="Q63" s="440"/>
      <c r="R63" s="440"/>
      <c r="S63" s="441"/>
      <c r="T63" s="390"/>
      <c r="U63" s="390"/>
      <c r="V63" s="270"/>
      <c r="W63" s="270"/>
      <c r="X63" s="391"/>
      <c r="Y63" s="390"/>
      <c r="Z63" s="390"/>
      <c r="AA63" s="390"/>
      <c r="AB63" s="390"/>
      <c r="AC63" s="391"/>
      <c r="AD63" s="391"/>
      <c r="AE63" s="391"/>
      <c r="AF63" s="390"/>
      <c r="AG63" s="390"/>
      <c r="AH63" s="390"/>
      <c r="AI63" s="284"/>
      <c r="AJ63" s="311"/>
      <c r="AK63" s="314"/>
      <c r="AL63" s="314"/>
      <c r="AM63" s="314"/>
      <c r="AN63" s="314"/>
      <c r="AO63" s="314"/>
      <c r="AP63" s="315"/>
      <c r="AQ63" s="845">
        <f>SUM(AQ56:AR61)</f>
        <v>2.8427444840592345E-2</v>
      </c>
      <c r="AR63" s="846"/>
      <c r="AS63" s="19"/>
      <c r="AT63" s="19"/>
      <c r="AU63" s="19"/>
      <c r="AV63" s="19"/>
      <c r="AW63" s="19"/>
      <c r="AX63" s="19"/>
      <c r="AY63" s="185" t="s">
        <v>160</v>
      </c>
      <c r="AZ63" s="186" t="s">
        <v>161</v>
      </c>
      <c r="BA63" s="187">
        <f>K13</f>
        <v>24.9986</v>
      </c>
      <c r="BB63" s="187">
        <f>+K14</f>
        <v>31</v>
      </c>
      <c r="BC63" s="187">
        <f>+K16</f>
        <v>0</v>
      </c>
      <c r="BD63" s="187"/>
      <c r="BE63" s="187"/>
      <c r="BF63" s="187"/>
      <c r="BG63" s="188" t="s">
        <v>162</v>
      </c>
      <c r="BH63" s="58"/>
      <c r="BI63" s="58"/>
      <c r="BJ63" s="138"/>
      <c r="BK63" s="140"/>
      <c r="BL63" s="135"/>
      <c r="BM63" s="137"/>
      <c r="BN63" s="135"/>
      <c r="BO63" s="173">
        <f t="shared" si="5"/>
        <v>0</v>
      </c>
      <c r="BP63" s="174"/>
      <c r="BQ63" s="173">
        <f>BK62-BM62-BO62</f>
        <v>1143000</v>
      </c>
      <c r="BR63" s="176">
        <f t="shared" si="14"/>
        <v>3810000</v>
      </c>
      <c r="BS63" s="177"/>
      <c r="BV63" s="57"/>
      <c r="BW63" s="57"/>
      <c r="BX63" s="57"/>
      <c r="BY63" s="57"/>
    </row>
    <row r="64" spans="1:77" ht="21" customHeight="1">
      <c r="A64" s="806"/>
      <c r="B64" s="459" t="s">
        <v>73</v>
      </c>
      <c r="C64" s="460"/>
      <c r="D64" s="352" t="s">
        <v>117</v>
      </c>
      <c r="E64" s="353"/>
      <c r="F64" s="353"/>
      <c r="G64" s="353"/>
      <c r="H64" s="353"/>
      <c r="I64" s="353"/>
      <c r="J64" s="353"/>
      <c r="K64" s="353"/>
      <c r="L64" s="353"/>
      <c r="M64" s="395"/>
      <c r="N64" s="941">
        <f>Y64*AD64*AG64</f>
        <v>1400000</v>
      </c>
      <c r="O64" s="942"/>
      <c r="P64" s="942"/>
      <c r="Q64" s="942"/>
      <c r="R64" s="942"/>
      <c r="S64" s="943"/>
      <c r="T64" s="831"/>
      <c r="U64" s="832"/>
      <c r="V64" s="832"/>
      <c r="W64" s="832"/>
      <c r="X64" s="53"/>
      <c r="Y64" s="637">
        <v>50000</v>
      </c>
      <c r="Z64" s="637"/>
      <c r="AA64" s="637"/>
      <c r="AB64" s="637"/>
      <c r="AC64" s="53" t="s">
        <v>60</v>
      </c>
      <c r="AD64" s="833">
        <v>1</v>
      </c>
      <c r="AE64" s="833"/>
      <c r="AF64" s="53" t="s">
        <v>60</v>
      </c>
      <c r="AG64" s="487">
        <v>28</v>
      </c>
      <c r="AH64" s="487"/>
      <c r="AI64" s="488"/>
      <c r="AJ64" s="281" t="s">
        <v>204</v>
      </c>
      <c r="AK64" s="282"/>
      <c r="AL64" s="282"/>
      <c r="AM64" s="282"/>
      <c r="AN64" s="282"/>
      <c r="AO64" s="282"/>
      <c r="AP64" s="283"/>
      <c r="AQ64" s="594">
        <f>N64/N85</f>
        <v>5.9285475610253878E-3</v>
      </c>
      <c r="AR64" s="595"/>
      <c r="AS64" s="19"/>
      <c r="AT64" s="19"/>
      <c r="AU64" s="19"/>
      <c r="AV64" s="19"/>
      <c r="AW64" s="19"/>
      <c r="AX64" s="19"/>
      <c r="AY64" s="189" t="s">
        <v>163</v>
      </c>
      <c r="AZ64" s="25" t="s">
        <v>164</v>
      </c>
      <c r="BA64" s="190">
        <f>AJ13</f>
        <v>749958</v>
      </c>
      <c r="BB64" s="190">
        <f>+AJ14</f>
        <v>930000</v>
      </c>
      <c r="BC64" s="190">
        <f>+AJ16</f>
        <v>0</v>
      </c>
      <c r="BD64" s="190"/>
      <c r="BE64" s="190"/>
      <c r="BF64" s="190"/>
      <c r="BG64" s="191"/>
      <c r="BH64" s="58"/>
      <c r="BI64" s="58"/>
      <c r="BJ64" s="138" t="str">
        <f>D64</f>
        <v>시행사운영비</v>
      </c>
      <c r="BK64" s="140">
        <f>N64</f>
        <v>1400000</v>
      </c>
      <c r="BL64" s="135">
        <v>0.1</v>
      </c>
      <c r="BM64" s="137">
        <f>BL64*BK64</f>
        <v>140000</v>
      </c>
      <c r="BN64" s="135">
        <f t="shared" si="4"/>
        <v>0.9</v>
      </c>
      <c r="BO64" s="173">
        <f t="shared" si="5"/>
        <v>1260000</v>
      </c>
      <c r="BP64" s="174"/>
      <c r="BQ64" s="173"/>
      <c r="BR64" s="176">
        <f t="shared" si="14"/>
        <v>0</v>
      </c>
      <c r="BS64" s="177"/>
      <c r="BT64" s="57"/>
      <c r="BU64" s="57"/>
      <c r="BV64" s="57"/>
      <c r="BW64" s="57"/>
      <c r="BX64" s="57"/>
      <c r="BY64" s="57"/>
    </row>
    <row r="65" spans="1:77" s="57" customFormat="1" ht="21" customHeight="1">
      <c r="A65" s="806"/>
      <c r="B65" s="461"/>
      <c r="C65" s="462"/>
      <c r="D65" s="405" t="s">
        <v>74</v>
      </c>
      <c r="E65" s="404"/>
      <c r="F65" s="404"/>
      <c r="G65" s="404"/>
      <c r="H65" s="404"/>
      <c r="I65" s="404"/>
      <c r="J65" s="404"/>
      <c r="K65" s="404"/>
      <c r="L65" s="404"/>
      <c r="M65" s="350"/>
      <c r="N65" s="481">
        <f>Y65*AD65*AG65</f>
        <v>1075575</v>
      </c>
      <c r="O65" s="482"/>
      <c r="P65" s="482"/>
      <c r="Q65" s="482"/>
      <c r="R65" s="482"/>
      <c r="S65" s="483"/>
      <c r="T65" s="497"/>
      <c r="U65" s="498"/>
      <c r="V65" s="498"/>
      <c r="W65" s="498"/>
      <c r="X65" s="51"/>
      <c r="Y65" s="430">
        <v>215115000</v>
      </c>
      <c r="Z65" s="430"/>
      <c r="AA65" s="430"/>
      <c r="AB65" s="430"/>
      <c r="AC65" s="51" t="s">
        <v>60</v>
      </c>
      <c r="AD65" s="455">
        <v>1</v>
      </c>
      <c r="AE65" s="455"/>
      <c r="AF65" s="51" t="s">
        <v>60</v>
      </c>
      <c r="AG65" s="485">
        <v>5.0000000000000001E-3</v>
      </c>
      <c r="AH65" s="485"/>
      <c r="AI65" s="486"/>
      <c r="AJ65" s="249"/>
      <c r="AK65" s="250"/>
      <c r="AL65" s="250"/>
      <c r="AM65" s="250"/>
      <c r="AN65" s="250"/>
      <c r="AO65" s="250"/>
      <c r="AP65" s="181"/>
      <c r="AQ65" s="596">
        <f>N65/N85</f>
        <v>4.5547125306784871E-3</v>
      </c>
      <c r="AR65" s="597"/>
      <c r="AS65" s="71"/>
      <c r="AT65" s="71"/>
      <c r="AU65" s="71"/>
      <c r="AV65" s="71"/>
      <c r="AW65" s="71"/>
      <c r="AX65" s="71"/>
      <c r="AY65" s="192" t="s">
        <v>165</v>
      </c>
      <c r="AZ65" s="25" t="s">
        <v>166</v>
      </c>
      <c r="BA65" s="184">
        <v>50000</v>
      </c>
      <c r="BB65" s="184">
        <f>+BA65</f>
        <v>50000</v>
      </c>
      <c r="BC65" s="184">
        <f>+BB65</f>
        <v>50000</v>
      </c>
      <c r="BD65" s="184"/>
      <c r="BE65" s="184"/>
      <c r="BF65" s="184"/>
      <c r="BG65" s="193"/>
      <c r="BH65" s="58"/>
      <c r="BI65" s="58"/>
      <c r="BJ65" s="138" t="str">
        <f>D65</f>
        <v>예비비</v>
      </c>
      <c r="BK65" s="140"/>
      <c r="BL65" s="135">
        <v>0</v>
      </c>
      <c r="BM65" s="137">
        <f>BL65*BK65</f>
        <v>0</v>
      </c>
      <c r="BN65" s="135">
        <f t="shared" si="4"/>
        <v>1</v>
      </c>
      <c r="BO65" s="173">
        <f t="shared" si="5"/>
        <v>0</v>
      </c>
      <c r="BP65" s="174"/>
      <c r="BQ65" s="175"/>
      <c r="BR65" s="176">
        <f t="shared" si="14"/>
        <v>1400000</v>
      </c>
      <c r="BS65" s="177"/>
    </row>
    <row r="66" spans="1:77" s="57" customFormat="1" ht="21" customHeight="1">
      <c r="A66" s="806"/>
      <c r="B66" s="461"/>
      <c r="C66" s="462"/>
      <c r="D66" s="405" t="s">
        <v>120</v>
      </c>
      <c r="E66" s="404"/>
      <c r="F66" s="404"/>
      <c r="G66" s="404"/>
      <c r="H66" s="404"/>
      <c r="I66" s="404"/>
      <c r="J66" s="404"/>
      <c r="K66" s="404"/>
      <c r="L66" s="404"/>
      <c r="M66" s="350"/>
      <c r="N66" s="908">
        <f>T66*Y66*AD66</f>
        <v>76200</v>
      </c>
      <c r="O66" s="909"/>
      <c r="P66" s="909"/>
      <c r="Q66" s="909"/>
      <c r="R66" s="909"/>
      <c r="S66" s="910"/>
      <c r="T66" s="776">
        <v>254</v>
      </c>
      <c r="U66" s="777"/>
      <c r="V66" s="777"/>
      <c r="W66" s="777"/>
      <c r="X66" s="51" t="s">
        <v>60</v>
      </c>
      <c r="Y66" s="430">
        <v>300</v>
      </c>
      <c r="Z66" s="430"/>
      <c r="AA66" s="430"/>
      <c r="AB66" s="430"/>
      <c r="AC66" s="51" t="s">
        <v>60</v>
      </c>
      <c r="AD66" s="455">
        <v>1</v>
      </c>
      <c r="AE66" s="455"/>
      <c r="AF66" s="51"/>
      <c r="AG66" s="420"/>
      <c r="AH66" s="420"/>
      <c r="AI66" s="421"/>
      <c r="AJ66" s="249"/>
      <c r="AK66" s="250"/>
      <c r="AL66" s="250"/>
      <c r="AM66" s="250"/>
      <c r="AN66" s="250"/>
      <c r="AO66" s="250"/>
      <c r="AP66" s="181"/>
      <c r="AQ66" s="596">
        <f>N66/N85</f>
        <v>3.2268237439295324E-4</v>
      </c>
      <c r="AR66" s="597"/>
      <c r="AS66" s="71"/>
      <c r="AT66" s="71"/>
      <c r="AU66" s="71"/>
      <c r="AV66" s="71"/>
      <c r="AW66" s="71"/>
      <c r="AX66" s="71"/>
      <c r="AY66" s="194" t="s">
        <v>167</v>
      </c>
      <c r="AZ66" s="25" t="s">
        <v>168</v>
      </c>
      <c r="BA66" s="184">
        <v>1000</v>
      </c>
      <c r="BB66" s="184">
        <v>450</v>
      </c>
      <c r="BC66" s="184">
        <v>750</v>
      </c>
      <c r="BD66" s="184"/>
      <c r="BE66" s="184"/>
      <c r="BF66" s="184"/>
      <c r="BG66" s="193"/>
      <c r="BH66" s="58"/>
      <c r="BI66" s="58"/>
      <c r="BJ66" s="138" t="str">
        <f>D66</f>
        <v>입주관리비</v>
      </c>
      <c r="BK66" s="140">
        <f>N66</f>
        <v>76200</v>
      </c>
      <c r="BL66" s="135">
        <v>0.1</v>
      </c>
      <c r="BM66" s="137">
        <f>BK66*BL66</f>
        <v>7620</v>
      </c>
      <c r="BN66" s="135">
        <f t="shared" si="4"/>
        <v>0.9</v>
      </c>
      <c r="BO66" s="173">
        <f t="shared" si="5"/>
        <v>68580</v>
      </c>
      <c r="BP66" s="174"/>
      <c r="BQ66" s="175"/>
      <c r="BR66" s="176">
        <f t="shared" si="14"/>
        <v>0</v>
      </c>
      <c r="BS66" s="177"/>
    </row>
    <row r="67" spans="1:77" s="57" customFormat="1" ht="21" customHeight="1">
      <c r="A67" s="806"/>
      <c r="B67" s="461"/>
      <c r="C67" s="462"/>
      <c r="D67" s="926" t="s">
        <v>118</v>
      </c>
      <c r="E67" s="927"/>
      <c r="F67" s="927"/>
      <c r="G67" s="927"/>
      <c r="H67" s="927"/>
      <c r="I67" s="927"/>
      <c r="J67" s="927"/>
      <c r="K67" s="927"/>
      <c r="L67" s="927"/>
      <c r="M67" s="928"/>
      <c r="N67" s="908">
        <f>Y67*AD67*AG67</f>
        <v>1075575</v>
      </c>
      <c r="O67" s="909"/>
      <c r="P67" s="909"/>
      <c r="Q67" s="909"/>
      <c r="R67" s="909"/>
      <c r="S67" s="910"/>
      <c r="T67" s="497"/>
      <c r="U67" s="498"/>
      <c r="V67" s="498"/>
      <c r="W67" s="498"/>
      <c r="X67" s="51"/>
      <c r="Y67" s="430">
        <v>215115000</v>
      </c>
      <c r="Z67" s="430"/>
      <c r="AA67" s="430"/>
      <c r="AB67" s="430"/>
      <c r="AC67" s="51" t="s">
        <v>60</v>
      </c>
      <c r="AD67" s="455">
        <v>1</v>
      </c>
      <c r="AE67" s="455"/>
      <c r="AF67" s="51" t="s">
        <v>60</v>
      </c>
      <c r="AG67" s="485">
        <v>5.0000000000000001E-3</v>
      </c>
      <c r="AH67" s="485"/>
      <c r="AI67" s="486"/>
      <c r="AJ67" s="285"/>
      <c r="AK67" s="286"/>
      <c r="AL67" s="286"/>
      <c r="AM67" s="286"/>
      <c r="AN67" s="286"/>
      <c r="AO67" s="286"/>
      <c r="AP67" s="287"/>
      <c r="AQ67" s="596">
        <f>N67/N85</f>
        <v>4.5547125306784871E-3</v>
      </c>
      <c r="AR67" s="597"/>
      <c r="AS67" s="71"/>
      <c r="AT67" s="71"/>
      <c r="AU67" s="71"/>
      <c r="AV67" s="71"/>
      <c r="AW67" s="71"/>
      <c r="AX67" s="71"/>
      <c r="AY67" s="195" t="s">
        <v>169</v>
      </c>
      <c r="AZ67" s="25" t="s">
        <v>170</v>
      </c>
      <c r="BA67" s="184">
        <f>BA64*60%</f>
        <v>449974.8</v>
      </c>
      <c r="BB67" s="184">
        <f>BB64*60%</f>
        <v>558000</v>
      </c>
      <c r="BC67" s="184">
        <f>BC64*60%</f>
        <v>0</v>
      </c>
      <c r="BD67" s="184"/>
      <c r="BE67" s="184"/>
      <c r="BF67" s="184"/>
      <c r="BG67" s="193"/>
      <c r="BH67" s="58"/>
      <c r="BI67" s="58"/>
      <c r="BJ67" s="138" t="str">
        <f>D67</f>
        <v>신탁수수료</v>
      </c>
      <c r="BK67" s="140">
        <f>N67</f>
        <v>1075575</v>
      </c>
      <c r="BL67" s="135">
        <v>0.2</v>
      </c>
      <c r="BM67" s="137">
        <f>$BK$67*BL67</f>
        <v>215115</v>
      </c>
      <c r="BN67" s="135">
        <f t="shared" si="4"/>
        <v>0.8</v>
      </c>
      <c r="BO67" s="173">
        <f t="shared" si="5"/>
        <v>860460</v>
      </c>
      <c r="BP67" s="174"/>
      <c r="BQ67" s="175"/>
      <c r="BR67" s="176">
        <f t="shared" si="14"/>
        <v>76200</v>
      </c>
      <c r="BS67" s="177"/>
    </row>
    <row r="68" spans="1:77" s="57" customFormat="1" ht="21" customHeight="1">
      <c r="A68" s="806"/>
      <c r="B68" s="461"/>
      <c r="C68" s="462"/>
      <c r="D68" s="926" t="s">
        <v>256</v>
      </c>
      <c r="E68" s="927"/>
      <c r="F68" s="927"/>
      <c r="G68" s="927"/>
      <c r="H68" s="927"/>
      <c r="I68" s="927"/>
      <c r="J68" s="927"/>
      <c r="K68" s="927"/>
      <c r="L68" s="927"/>
      <c r="M68" s="928"/>
      <c r="N68" s="908">
        <v>35215</v>
      </c>
      <c r="O68" s="909"/>
      <c r="P68" s="909"/>
      <c r="Q68" s="909"/>
      <c r="R68" s="909"/>
      <c r="S68" s="910"/>
      <c r="T68" s="371"/>
      <c r="U68" s="372"/>
      <c r="V68" s="372"/>
      <c r="W68" s="372"/>
      <c r="X68" s="259"/>
      <c r="Y68" s="373"/>
      <c r="Z68" s="373"/>
      <c r="AA68" s="373"/>
      <c r="AB68" s="373"/>
      <c r="AC68" s="259"/>
      <c r="AD68" s="346"/>
      <c r="AE68" s="346"/>
      <c r="AF68" s="259"/>
      <c r="AG68" s="374"/>
      <c r="AH68" s="374"/>
      <c r="AI68" s="375"/>
      <c r="AJ68" s="285" t="s">
        <v>259</v>
      </c>
      <c r="AK68" s="286"/>
      <c r="AL68" s="286"/>
      <c r="AM68" s="286"/>
      <c r="AN68" s="286"/>
      <c r="AO68" s="286"/>
      <c r="AP68" s="287"/>
      <c r="AQ68" s="364"/>
      <c r="AR68" s="365"/>
      <c r="AS68" s="71"/>
      <c r="AT68" s="71"/>
      <c r="AU68" s="71"/>
      <c r="AV68" s="71"/>
      <c r="AW68" s="71"/>
      <c r="AX68" s="71"/>
      <c r="AY68" s="195"/>
      <c r="AZ68" s="25"/>
      <c r="BA68" s="184"/>
      <c r="BB68" s="184"/>
      <c r="BC68" s="184"/>
      <c r="BD68" s="184"/>
      <c r="BE68" s="184"/>
      <c r="BF68" s="184"/>
      <c r="BG68" s="193"/>
      <c r="BH68" s="58"/>
      <c r="BI68" s="58"/>
      <c r="BJ68" s="138"/>
      <c r="BK68" s="140"/>
      <c r="BL68" s="135"/>
      <c r="BM68" s="137"/>
      <c r="BN68" s="135"/>
      <c r="BO68" s="173"/>
      <c r="BP68" s="174"/>
      <c r="BQ68" s="175"/>
      <c r="BR68" s="176"/>
      <c r="BS68" s="177"/>
    </row>
    <row r="69" spans="1:77" s="57" customFormat="1" ht="21" customHeight="1">
      <c r="A69" s="806"/>
      <c r="B69" s="461"/>
      <c r="C69" s="462"/>
      <c r="D69" s="926" t="s">
        <v>257</v>
      </c>
      <c r="E69" s="927"/>
      <c r="F69" s="927"/>
      <c r="G69" s="927"/>
      <c r="H69" s="927"/>
      <c r="I69" s="927"/>
      <c r="J69" s="927"/>
      <c r="K69" s="927"/>
      <c r="L69" s="927"/>
      <c r="M69" s="928"/>
      <c r="N69" s="908">
        <v>517226</v>
      </c>
      <c r="O69" s="909"/>
      <c r="P69" s="909"/>
      <c r="Q69" s="909"/>
      <c r="R69" s="909"/>
      <c r="S69" s="910"/>
      <c r="T69" s="371"/>
      <c r="U69" s="372"/>
      <c r="V69" s="372"/>
      <c r="W69" s="372"/>
      <c r="X69" s="259"/>
      <c r="Y69" s="373"/>
      <c r="Z69" s="373"/>
      <c r="AA69" s="373"/>
      <c r="AB69" s="373"/>
      <c r="AC69" s="259"/>
      <c r="AD69" s="346"/>
      <c r="AE69" s="346"/>
      <c r="AF69" s="259"/>
      <c r="AG69" s="374"/>
      <c r="AH69" s="374"/>
      <c r="AI69" s="375"/>
      <c r="AJ69" s="285" t="s">
        <v>261</v>
      </c>
      <c r="AK69" s="286"/>
      <c r="AL69" s="286"/>
      <c r="AM69" s="286"/>
      <c r="AN69" s="286"/>
      <c r="AO69" s="286"/>
      <c r="AP69" s="287"/>
      <c r="AQ69" s="364"/>
      <c r="AR69" s="365"/>
      <c r="AS69" s="71"/>
      <c r="AT69" s="71"/>
      <c r="AU69" s="71"/>
      <c r="AV69" s="71"/>
      <c r="AW69" s="71"/>
      <c r="AX69" s="71"/>
      <c r="AY69" s="195"/>
      <c r="AZ69" s="25"/>
      <c r="BA69" s="184"/>
      <c r="BB69" s="184"/>
      <c r="BC69" s="184"/>
      <c r="BD69" s="184"/>
      <c r="BE69" s="184"/>
      <c r="BF69" s="184"/>
      <c r="BG69" s="193"/>
      <c r="BH69" s="58"/>
      <c r="BI69" s="58"/>
      <c r="BJ69" s="138"/>
      <c r="BK69" s="140"/>
      <c r="BL69" s="135"/>
      <c r="BM69" s="137"/>
      <c r="BN69" s="135"/>
      <c r="BO69" s="173"/>
      <c r="BP69" s="174"/>
      <c r="BQ69" s="175"/>
      <c r="BR69" s="176"/>
      <c r="BS69" s="177"/>
    </row>
    <row r="70" spans="1:77" s="57" customFormat="1" ht="21" customHeight="1">
      <c r="A70" s="806"/>
      <c r="B70" s="461"/>
      <c r="C70" s="462"/>
      <c r="D70" s="926" t="s">
        <v>258</v>
      </c>
      <c r="E70" s="927"/>
      <c r="F70" s="927"/>
      <c r="G70" s="927"/>
      <c r="H70" s="927"/>
      <c r="I70" s="927"/>
      <c r="J70" s="927"/>
      <c r="K70" s="927"/>
      <c r="L70" s="927"/>
      <c r="M70" s="928"/>
      <c r="N70" s="908">
        <v>344817</v>
      </c>
      <c r="O70" s="909"/>
      <c r="P70" s="909"/>
      <c r="Q70" s="909"/>
      <c r="R70" s="909"/>
      <c r="S70" s="910"/>
      <c r="T70" s="371"/>
      <c r="U70" s="372"/>
      <c r="V70" s="372"/>
      <c r="W70" s="372"/>
      <c r="X70" s="259"/>
      <c r="Y70" s="373"/>
      <c r="Z70" s="373"/>
      <c r="AA70" s="373"/>
      <c r="AB70" s="373"/>
      <c r="AC70" s="259"/>
      <c r="AD70" s="346"/>
      <c r="AE70" s="346"/>
      <c r="AF70" s="259"/>
      <c r="AG70" s="374"/>
      <c r="AH70" s="374"/>
      <c r="AI70" s="375"/>
      <c r="AJ70" s="285" t="s">
        <v>260</v>
      </c>
      <c r="AK70" s="286"/>
      <c r="AL70" s="286"/>
      <c r="AM70" s="286"/>
      <c r="AN70" s="286"/>
      <c r="AO70" s="286"/>
      <c r="AP70" s="287"/>
      <c r="AQ70" s="364"/>
      <c r="AR70" s="365"/>
      <c r="AS70" s="71"/>
      <c r="AT70" s="71"/>
      <c r="AU70" s="71"/>
      <c r="AV70" s="71"/>
      <c r="AW70" s="71"/>
      <c r="AX70" s="71"/>
      <c r="AY70" s="195"/>
      <c r="AZ70" s="25"/>
      <c r="BA70" s="184"/>
      <c r="BB70" s="184"/>
      <c r="BC70" s="184"/>
      <c r="BD70" s="184"/>
      <c r="BE70" s="184"/>
      <c r="BF70" s="184"/>
      <c r="BG70" s="193"/>
      <c r="BH70" s="58"/>
      <c r="BI70" s="58"/>
      <c r="BJ70" s="138"/>
      <c r="BK70" s="140"/>
      <c r="BL70" s="135"/>
      <c r="BM70" s="137"/>
      <c r="BN70" s="135"/>
      <c r="BO70" s="173"/>
      <c r="BP70" s="174"/>
      <c r="BQ70" s="175"/>
      <c r="BR70" s="176"/>
      <c r="BS70" s="177"/>
    </row>
    <row r="71" spans="1:77" s="57" customFormat="1" ht="21" customHeight="1">
      <c r="A71" s="806"/>
      <c r="B71" s="461"/>
      <c r="C71" s="462"/>
      <c r="D71" s="926" t="s">
        <v>267</v>
      </c>
      <c r="E71" s="927"/>
      <c r="F71" s="927"/>
      <c r="G71" s="927"/>
      <c r="H71" s="927"/>
      <c r="I71" s="927"/>
      <c r="J71" s="927"/>
      <c r="K71" s="927"/>
      <c r="L71" s="927"/>
      <c r="M71" s="928"/>
      <c r="N71" s="908">
        <v>1720920</v>
      </c>
      <c r="O71" s="909"/>
      <c r="P71" s="909"/>
      <c r="Q71" s="909"/>
      <c r="R71" s="909"/>
      <c r="S71" s="910"/>
      <c r="T71" s="371"/>
      <c r="U71" s="372"/>
      <c r="V71" s="372"/>
      <c r="W71" s="372"/>
      <c r="X71" s="259"/>
      <c r="Y71" s="373"/>
      <c r="Z71" s="373"/>
      <c r="AA71" s="373"/>
      <c r="AB71" s="373"/>
      <c r="AC71" s="259"/>
      <c r="AD71" s="346"/>
      <c r="AE71" s="346"/>
      <c r="AF71" s="259"/>
      <c r="AG71" s="374"/>
      <c r="AH71" s="374"/>
      <c r="AI71" s="375"/>
      <c r="AJ71" s="285" t="s">
        <v>268</v>
      </c>
      <c r="AK71" s="286"/>
      <c r="AL71" s="286"/>
      <c r="AM71" s="286"/>
      <c r="AN71" s="286"/>
      <c r="AO71" s="286"/>
      <c r="AP71" s="287"/>
      <c r="AQ71" s="364"/>
      <c r="AR71" s="365"/>
      <c r="AS71" s="71"/>
      <c r="AT71" s="71"/>
      <c r="AU71" s="71"/>
      <c r="AV71" s="71"/>
      <c r="AW71" s="71"/>
      <c r="AX71" s="71"/>
      <c r="AY71" s="195"/>
      <c r="AZ71" s="25"/>
      <c r="BA71" s="184"/>
      <c r="BB71" s="184"/>
      <c r="BC71" s="184"/>
      <c r="BD71" s="184"/>
      <c r="BE71" s="184"/>
      <c r="BF71" s="184"/>
      <c r="BG71" s="193"/>
      <c r="BH71" s="58"/>
      <c r="BI71" s="58"/>
      <c r="BJ71" s="138"/>
      <c r="BK71" s="140"/>
      <c r="BL71" s="135"/>
      <c r="BM71" s="137"/>
      <c r="BN71" s="135"/>
      <c r="BO71" s="173"/>
      <c r="BP71" s="174"/>
      <c r="BQ71" s="175"/>
      <c r="BR71" s="176"/>
      <c r="BS71" s="177"/>
    </row>
    <row r="72" spans="1:77" s="57" customFormat="1" ht="21" customHeight="1">
      <c r="A72" s="806"/>
      <c r="B72" s="461"/>
      <c r="C72" s="462"/>
      <c r="D72" s="926" t="s">
        <v>262</v>
      </c>
      <c r="E72" s="927"/>
      <c r="F72" s="927"/>
      <c r="G72" s="927"/>
      <c r="H72" s="927"/>
      <c r="I72" s="927"/>
      <c r="J72" s="927"/>
      <c r="K72" s="927"/>
      <c r="L72" s="927"/>
      <c r="M72" s="928"/>
      <c r="N72" s="908">
        <v>926185</v>
      </c>
      <c r="O72" s="909"/>
      <c r="P72" s="909"/>
      <c r="Q72" s="909"/>
      <c r="R72" s="909"/>
      <c r="S72" s="910"/>
      <c r="T72" s="371"/>
      <c r="U72" s="372"/>
      <c r="V72" s="372"/>
      <c r="W72" s="372"/>
      <c r="X72" s="259"/>
      <c r="Y72" s="373"/>
      <c r="Z72" s="373"/>
      <c r="AA72" s="373"/>
      <c r="AB72" s="373"/>
      <c r="AC72" s="259"/>
      <c r="AD72" s="346"/>
      <c r="AE72" s="346"/>
      <c r="AF72" s="259"/>
      <c r="AG72" s="374"/>
      <c r="AH72" s="374"/>
      <c r="AI72" s="375"/>
      <c r="AJ72" s="285"/>
      <c r="AK72" s="286"/>
      <c r="AL72" s="286"/>
      <c r="AM72" s="286"/>
      <c r="AN72" s="286"/>
      <c r="AO72" s="286"/>
      <c r="AP72" s="287"/>
      <c r="AQ72" s="364"/>
      <c r="AR72" s="365"/>
      <c r="AS72" s="71"/>
      <c r="AT72" s="71"/>
      <c r="AU72" s="71"/>
      <c r="AV72" s="71"/>
      <c r="AW72" s="71"/>
      <c r="AX72" s="71"/>
      <c r="AY72" s="195"/>
      <c r="AZ72" s="25"/>
      <c r="BA72" s="184"/>
      <c r="BB72" s="184"/>
      <c r="BC72" s="184"/>
      <c r="BD72" s="184"/>
      <c r="BE72" s="184"/>
      <c r="BF72" s="184"/>
      <c r="BG72" s="193"/>
      <c r="BH72" s="58"/>
      <c r="BI72" s="58"/>
      <c r="BJ72" s="138"/>
      <c r="BK72" s="140"/>
      <c r="BL72" s="135"/>
      <c r="BM72" s="137"/>
      <c r="BN72" s="135"/>
      <c r="BO72" s="173"/>
      <c r="BP72" s="174"/>
      <c r="BQ72" s="175"/>
      <c r="BR72" s="176"/>
      <c r="BS72" s="177"/>
    </row>
    <row r="73" spans="1:77" s="57" customFormat="1" ht="21" customHeight="1">
      <c r="A73" s="806"/>
      <c r="B73" s="461"/>
      <c r="C73" s="462"/>
      <c r="D73" s="472" t="s">
        <v>219</v>
      </c>
      <c r="E73" s="473"/>
      <c r="F73" s="473"/>
      <c r="G73" s="473"/>
      <c r="H73" s="473"/>
      <c r="I73" s="473"/>
      <c r="J73" s="473"/>
      <c r="K73" s="473"/>
      <c r="L73" s="473"/>
      <c r="M73" s="474"/>
      <c r="N73" s="434"/>
      <c r="O73" s="435"/>
      <c r="P73" s="435"/>
      <c r="Q73" s="435"/>
      <c r="R73" s="435"/>
      <c r="S73" s="436"/>
      <c r="T73" s="371"/>
      <c r="U73" s="372"/>
      <c r="V73" s="372"/>
      <c r="W73" s="372"/>
      <c r="X73" s="259"/>
      <c r="Y73" s="373"/>
      <c r="Z73" s="373"/>
      <c r="AA73" s="373"/>
      <c r="AB73" s="373"/>
      <c r="AC73" s="259"/>
      <c r="AD73" s="346"/>
      <c r="AE73" s="346"/>
      <c r="AF73" s="259"/>
      <c r="AG73" s="374"/>
      <c r="AH73" s="374"/>
      <c r="AI73" s="375"/>
      <c r="AJ73" s="285" t="s">
        <v>220</v>
      </c>
      <c r="AK73" s="286"/>
      <c r="AL73" s="286"/>
      <c r="AM73" s="286"/>
      <c r="AN73" s="286"/>
      <c r="AO73" s="286"/>
      <c r="AP73" s="287"/>
      <c r="AQ73" s="596">
        <f>N73/N85</f>
        <v>0</v>
      </c>
      <c r="AR73" s="597"/>
      <c r="AS73" s="71"/>
      <c r="AT73" s="71"/>
      <c r="AU73" s="71"/>
      <c r="AV73" s="71"/>
      <c r="AW73" s="71"/>
      <c r="AX73" s="71"/>
      <c r="AY73" s="196"/>
      <c r="AZ73" s="25" t="s">
        <v>171</v>
      </c>
      <c r="BA73" s="197"/>
      <c r="BB73" s="197"/>
      <c r="BC73" s="197"/>
      <c r="BD73" s="197"/>
      <c r="BE73" s="197"/>
      <c r="BF73" s="197"/>
      <c r="BG73" s="198"/>
      <c r="BH73" s="58"/>
      <c r="BI73" s="58"/>
      <c r="BJ73" s="138" t="str">
        <f>D74</f>
        <v>민원처리비</v>
      </c>
      <c r="BK73" s="140">
        <f>N74</f>
        <v>215115</v>
      </c>
      <c r="BL73" s="135">
        <v>0.1</v>
      </c>
      <c r="BM73" s="137">
        <f>BK73*BL73</f>
        <v>21511.5</v>
      </c>
      <c r="BN73" s="135">
        <f t="shared" si="4"/>
        <v>0.9</v>
      </c>
      <c r="BO73" s="173">
        <f t="shared" si="5"/>
        <v>193603.5</v>
      </c>
      <c r="BP73" s="174"/>
      <c r="BQ73" s="175"/>
      <c r="BR73" s="176">
        <f>BM67+BO67+BQ73</f>
        <v>1075575</v>
      </c>
      <c r="BS73" s="177"/>
    </row>
    <row r="74" spans="1:77" s="57" customFormat="1" ht="21" customHeight="1">
      <c r="A74" s="806"/>
      <c r="B74" s="461"/>
      <c r="C74" s="462"/>
      <c r="D74" s="926" t="s">
        <v>221</v>
      </c>
      <c r="E74" s="927"/>
      <c r="F74" s="927"/>
      <c r="G74" s="927"/>
      <c r="H74" s="927"/>
      <c r="I74" s="927"/>
      <c r="J74" s="927"/>
      <c r="K74" s="927"/>
      <c r="L74" s="927"/>
      <c r="M74" s="928"/>
      <c r="N74" s="506">
        <f>Y74*AD74*AG74</f>
        <v>215115</v>
      </c>
      <c r="O74" s="507"/>
      <c r="P74" s="507"/>
      <c r="Q74" s="507"/>
      <c r="R74" s="507"/>
      <c r="S74" s="508"/>
      <c r="T74" s="532"/>
      <c r="U74" s="533"/>
      <c r="V74" s="533"/>
      <c r="W74" s="533"/>
      <c r="X74" s="259"/>
      <c r="Y74" s="509">
        <v>215115000</v>
      </c>
      <c r="Z74" s="509"/>
      <c r="AA74" s="509"/>
      <c r="AB74" s="509"/>
      <c r="AC74" s="259" t="s">
        <v>60</v>
      </c>
      <c r="AD74" s="510">
        <v>1</v>
      </c>
      <c r="AE74" s="510"/>
      <c r="AF74" s="259" t="s">
        <v>60</v>
      </c>
      <c r="AG74" s="855">
        <v>1E-3</v>
      </c>
      <c r="AH74" s="855"/>
      <c r="AI74" s="856"/>
      <c r="AJ74" s="781"/>
      <c r="AK74" s="782"/>
      <c r="AL74" s="782"/>
      <c r="AM74" s="782"/>
      <c r="AN74" s="782"/>
      <c r="AO74" s="782"/>
      <c r="AP74" s="783"/>
      <c r="AQ74" s="620">
        <f>N74/N85</f>
        <v>9.1094250613569735E-4</v>
      </c>
      <c r="AR74" s="620"/>
      <c r="AS74" s="71"/>
      <c r="AT74" s="71"/>
      <c r="AU74" s="71"/>
      <c r="AV74" s="71"/>
      <c r="AW74" s="71"/>
      <c r="AX74" s="71"/>
      <c r="AY74" s="199"/>
      <c r="AZ74" s="25" t="s">
        <v>172</v>
      </c>
      <c r="BA74" s="197">
        <v>3.5000000000000003E-2</v>
      </c>
      <c r="BB74" s="197">
        <f>+BA74</f>
        <v>3.5000000000000003E-2</v>
      </c>
      <c r="BC74" s="197">
        <f>+BA74</f>
        <v>3.5000000000000003E-2</v>
      </c>
      <c r="BD74" s="197"/>
      <c r="BE74" s="197"/>
      <c r="BF74" s="197"/>
      <c r="BG74" s="198"/>
      <c r="BH74" s="58"/>
      <c r="BI74" s="58"/>
      <c r="BJ74" s="138" t="s">
        <v>219</v>
      </c>
      <c r="BK74" s="140">
        <v>15000000</v>
      </c>
      <c r="BL74" s="135">
        <v>0.5</v>
      </c>
      <c r="BM74" s="137">
        <f>BK74*BL74</f>
        <v>7500000</v>
      </c>
      <c r="BN74" s="135">
        <f t="shared" si="4"/>
        <v>0.5</v>
      </c>
      <c r="BO74" s="173">
        <f t="shared" si="5"/>
        <v>7500000</v>
      </c>
      <c r="BP74" s="174"/>
      <c r="BQ74" s="175"/>
      <c r="BR74" s="176">
        <f t="shared" ref="BR74:BR84" si="17">BM73+BO73+BQ74</f>
        <v>215115</v>
      </c>
      <c r="BS74" s="177"/>
      <c r="BV74" s="17"/>
      <c r="BW74" s="17"/>
      <c r="BX74" s="17"/>
      <c r="BY74" s="17"/>
    </row>
    <row r="75" spans="1:77" s="57" customFormat="1" ht="21" customHeight="1">
      <c r="A75" s="806"/>
      <c r="B75" s="463"/>
      <c r="C75" s="464"/>
      <c r="D75" s="439" t="s">
        <v>20</v>
      </c>
      <c r="E75" s="440"/>
      <c r="F75" s="440"/>
      <c r="G75" s="377"/>
      <c r="H75" s="377"/>
      <c r="I75" s="377"/>
      <c r="J75" s="377"/>
      <c r="K75" s="377"/>
      <c r="L75" s="377"/>
      <c r="M75" s="378"/>
      <c r="N75" s="916">
        <f>SUM(N64:S74)</f>
        <v>7386828</v>
      </c>
      <c r="O75" s="917"/>
      <c r="P75" s="917"/>
      <c r="Q75" s="917"/>
      <c r="R75" s="917"/>
      <c r="S75" s="918"/>
      <c r="T75" s="390"/>
      <c r="U75" s="390"/>
      <c r="V75" s="270"/>
      <c r="W75" s="270"/>
      <c r="X75" s="391"/>
      <c r="Y75" s="390"/>
      <c r="Z75" s="390"/>
      <c r="AA75" s="390"/>
      <c r="AB75" s="390"/>
      <c r="AC75" s="391"/>
      <c r="AD75" s="391"/>
      <c r="AE75" s="391"/>
      <c r="AF75" s="390"/>
      <c r="AG75" s="390"/>
      <c r="AH75" s="390"/>
      <c r="AI75" s="284"/>
      <c r="AJ75" s="389"/>
      <c r="AK75" s="390"/>
      <c r="AL75" s="390"/>
      <c r="AM75" s="390"/>
      <c r="AN75" s="390"/>
      <c r="AO75" s="390"/>
      <c r="AP75" s="284"/>
      <c r="AQ75" s="752">
        <f>SUM(AQ64:AR74)</f>
        <v>1.6271597502911014E-2</v>
      </c>
      <c r="AR75" s="753"/>
      <c r="AS75" s="71"/>
      <c r="AT75" s="71"/>
      <c r="AU75" s="71"/>
      <c r="AV75" s="71"/>
      <c r="AW75" s="71"/>
      <c r="AX75" s="71"/>
      <c r="AY75" s="199"/>
      <c r="AZ75" s="25" t="s">
        <v>173</v>
      </c>
      <c r="BA75" s="190">
        <f>BA64-(BA65+BA67)</f>
        <v>249983.2</v>
      </c>
      <c r="BB75" s="190">
        <f>BB64-(BB65+BB67)</f>
        <v>322000</v>
      </c>
      <c r="BC75" s="190">
        <f>BC64-(BC65+BC67)</f>
        <v>-50000</v>
      </c>
      <c r="BD75" s="190"/>
      <c r="BE75" s="190"/>
      <c r="BF75" s="190"/>
      <c r="BG75" s="191"/>
      <c r="BH75" s="58"/>
      <c r="BI75" s="58"/>
      <c r="BJ75" s="138"/>
      <c r="BK75" s="140"/>
      <c r="BL75" s="135"/>
      <c r="BM75" s="137"/>
      <c r="BN75" s="135"/>
      <c r="BO75" s="173">
        <f t="shared" si="5"/>
        <v>0</v>
      </c>
      <c r="BP75" s="174"/>
      <c r="BQ75" s="175"/>
      <c r="BR75" s="176">
        <f t="shared" si="17"/>
        <v>15000000</v>
      </c>
      <c r="BS75" s="177"/>
      <c r="BT75" s="17"/>
      <c r="BU75" s="17"/>
    </row>
    <row r="76" spans="1:77" ht="21" customHeight="1">
      <c r="A76" s="806"/>
      <c r="B76" s="459" t="s">
        <v>75</v>
      </c>
      <c r="C76" s="460"/>
      <c r="D76" s="475" t="s">
        <v>224</v>
      </c>
      <c r="E76" s="476"/>
      <c r="F76" s="476"/>
      <c r="G76" s="476"/>
      <c r="H76" s="476"/>
      <c r="I76" s="476"/>
      <c r="J76" s="476"/>
      <c r="K76" s="476"/>
      <c r="L76" s="476"/>
      <c r="M76" s="477"/>
      <c r="N76" s="503">
        <f>Y76*AD76*AG76</f>
        <v>0</v>
      </c>
      <c r="O76" s="504"/>
      <c r="P76" s="504"/>
      <c r="Q76" s="504"/>
      <c r="R76" s="504"/>
      <c r="S76" s="505"/>
      <c r="T76" s="842"/>
      <c r="U76" s="843"/>
      <c r="V76" s="843"/>
      <c r="W76" s="843"/>
      <c r="X76" s="47"/>
      <c r="Y76" s="511"/>
      <c r="Z76" s="511"/>
      <c r="AA76" s="511"/>
      <c r="AB76" s="511"/>
      <c r="AC76" s="47"/>
      <c r="AD76" s="454"/>
      <c r="AE76" s="454"/>
      <c r="AF76" s="47"/>
      <c r="AG76" s="914"/>
      <c r="AH76" s="914"/>
      <c r="AI76" s="915"/>
      <c r="AJ76" s="281"/>
      <c r="AK76" s="282"/>
      <c r="AL76" s="282"/>
      <c r="AM76" s="282"/>
      <c r="AN76" s="282"/>
      <c r="AO76" s="282"/>
      <c r="AP76" s="283"/>
      <c r="AQ76" s="628">
        <f>N76/N85</f>
        <v>0</v>
      </c>
      <c r="AR76" s="629"/>
      <c r="AS76" s="19"/>
      <c r="AT76" s="19"/>
      <c r="AU76" s="19"/>
      <c r="AV76" s="19"/>
      <c r="AW76" s="19"/>
      <c r="AX76" s="19"/>
      <c r="AY76" s="199"/>
      <c r="AZ76" s="25" t="s">
        <v>174</v>
      </c>
      <c r="BA76" s="190">
        <f>BA66*12</f>
        <v>12000</v>
      </c>
      <c r="BB76" s="190">
        <f>BB66*12</f>
        <v>5400</v>
      </c>
      <c r="BC76" s="190">
        <f>BC66*12</f>
        <v>9000</v>
      </c>
      <c r="BD76" s="190"/>
      <c r="BE76" s="190"/>
      <c r="BF76" s="190"/>
      <c r="BG76" s="191"/>
      <c r="BH76" s="58"/>
      <c r="BI76" s="58"/>
      <c r="BJ76" s="138" t="str">
        <f>D76</f>
        <v>취등록세등</v>
      </c>
      <c r="BK76" s="140">
        <f>N76</f>
        <v>0</v>
      </c>
      <c r="BL76" s="135">
        <v>0</v>
      </c>
      <c r="BM76" s="137">
        <f>BK76*BL76</f>
        <v>0</v>
      </c>
      <c r="BN76" s="135">
        <f t="shared" si="4"/>
        <v>1</v>
      </c>
      <c r="BO76" s="173">
        <f t="shared" si="5"/>
        <v>0</v>
      </c>
      <c r="BP76" s="174"/>
      <c r="BQ76" s="175"/>
      <c r="BR76" s="176">
        <f t="shared" si="17"/>
        <v>0</v>
      </c>
      <c r="BS76" s="177"/>
      <c r="BT76" s="57"/>
      <c r="BU76" s="57"/>
      <c r="BV76" s="57"/>
      <c r="BW76" s="57"/>
      <c r="BX76" s="57"/>
      <c r="BY76" s="57"/>
    </row>
    <row r="77" spans="1:77" s="57" customFormat="1" ht="21" customHeight="1">
      <c r="A77" s="806"/>
      <c r="B77" s="461"/>
      <c r="C77" s="462"/>
      <c r="D77" s="472" t="s">
        <v>76</v>
      </c>
      <c r="E77" s="473"/>
      <c r="F77" s="473"/>
      <c r="G77" s="473"/>
      <c r="H77" s="473"/>
      <c r="I77" s="473"/>
      <c r="J77" s="473"/>
      <c r="K77" s="473"/>
      <c r="L77" s="473"/>
      <c r="M77" s="474"/>
      <c r="N77" s="506">
        <f>Y77*AG77</f>
        <v>0</v>
      </c>
      <c r="O77" s="507"/>
      <c r="P77" s="507"/>
      <c r="Q77" s="507"/>
      <c r="R77" s="507"/>
      <c r="S77" s="508"/>
      <c r="T77" s="288"/>
      <c r="U77" s="289"/>
      <c r="V77" s="289"/>
      <c r="W77" s="289"/>
      <c r="X77" s="259"/>
      <c r="Y77" s="509"/>
      <c r="Z77" s="509"/>
      <c r="AA77" s="509"/>
      <c r="AB77" s="509"/>
      <c r="AC77" s="259"/>
      <c r="AD77" s="510"/>
      <c r="AE77" s="510"/>
      <c r="AF77" s="259"/>
      <c r="AG77" s="855"/>
      <c r="AH77" s="855"/>
      <c r="AI77" s="856"/>
      <c r="AJ77" s="834"/>
      <c r="AK77" s="835"/>
      <c r="AL77" s="835"/>
      <c r="AM77" s="835"/>
      <c r="AN77" s="835"/>
      <c r="AO77" s="835"/>
      <c r="AP77" s="836"/>
      <c r="AQ77" s="837">
        <f>N77/N85</f>
        <v>0</v>
      </c>
      <c r="AR77" s="837"/>
      <c r="AS77" s="71"/>
      <c r="AT77" s="58"/>
      <c r="AU77" s="58"/>
      <c r="AV77" s="58"/>
      <c r="AY77" s="199"/>
      <c r="AZ77" s="25" t="s">
        <v>175</v>
      </c>
      <c r="BA77" s="184">
        <f>BA67*BA74</f>
        <v>15749.118</v>
      </c>
      <c r="BB77" s="184">
        <f>BB67*BB74</f>
        <v>19530.000000000004</v>
      </c>
      <c r="BC77" s="184">
        <f>BC67*BC74</f>
        <v>0</v>
      </c>
      <c r="BD77" s="184"/>
      <c r="BE77" s="184"/>
      <c r="BF77" s="184"/>
      <c r="BG77" s="193"/>
      <c r="BH77" s="58"/>
      <c r="BI77" s="58"/>
      <c r="BJ77" s="138" t="str">
        <f>D77</f>
        <v>법무사수수료</v>
      </c>
      <c r="BK77" s="140">
        <f>N77</f>
        <v>0</v>
      </c>
      <c r="BL77" s="135">
        <v>0</v>
      </c>
      <c r="BM77" s="137">
        <f>BK77*BL77</f>
        <v>0</v>
      </c>
      <c r="BN77" s="135">
        <f t="shared" si="4"/>
        <v>1</v>
      </c>
      <c r="BO77" s="173">
        <f t="shared" si="5"/>
        <v>0</v>
      </c>
      <c r="BP77" s="174"/>
      <c r="BQ77" s="175"/>
      <c r="BR77" s="176">
        <f t="shared" si="17"/>
        <v>0</v>
      </c>
      <c r="BS77" s="177"/>
    </row>
    <row r="78" spans="1:77" s="57" customFormat="1" ht="21" customHeight="1">
      <c r="A78" s="806"/>
      <c r="B78" s="463"/>
      <c r="C78" s="464"/>
      <c r="D78" s="439" t="s">
        <v>20</v>
      </c>
      <c r="E78" s="440"/>
      <c r="F78" s="440"/>
      <c r="G78" s="390"/>
      <c r="H78" s="390"/>
      <c r="I78" s="390"/>
      <c r="J78" s="390"/>
      <c r="K78" s="390"/>
      <c r="L78" s="390"/>
      <c r="M78" s="284"/>
      <c r="N78" s="478">
        <f>SUM(N76:S77)</f>
        <v>0</v>
      </c>
      <c r="O78" s="479"/>
      <c r="P78" s="479"/>
      <c r="Q78" s="479"/>
      <c r="R78" s="479"/>
      <c r="S78" s="480"/>
      <c r="T78" s="860"/>
      <c r="U78" s="861"/>
      <c r="V78" s="861"/>
      <c r="W78" s="861"/>
      <c r="X78" s="861"/>
      <c r="Y78" s="390"/>
      <c r="Z78" s="390"/>
      <c r="AA78" s="390"/>
      <c r="AB78" s="390"/>
      <c r="AC78" s="391"/>
      <c r="AD78" s="391"/>
      <c r="AE78" s="391"/>
      <c r="AF78" s="390"/>
      <c r="AG78" s="390"/>
      <c r="AH78" s="390"/>
      <c r="AI78" s="390"/>
      <c r="AJ78" s="316"/>
      <c r="AK78" s="317"/>
      <c r="AL78" s="317"/>
      <c r="AM78" s="317"/>
      <c r="AN78" s="317"/>
      <c r="AO78" s="317"/>
      <c r="AP78" s="318"/>
      <c r="AQ78" s="752">
        <f>SUM(AQ76:AR77)</f>
        <v>0</v>
      </c>
      <c r="AR78" s="753"/>
      <c r="AS78" s="71"/>
      <c r="AT78" s="58"/>
      <c r="AU78" s="58"/>
      <c r="AV78" s="58"/>
      <c r="AY78" s="199"/>
      <c r="AZ78" s="206" t="s">
        <v>176</v>
      </c>
      <c r="BA78" s="207">
        <f>BA79/BA75</f>
        <v>-1.499747983064462E-2</v>
      </c>
      <c r="BB78" s="207">
        <f>BB79/BB75</f>
        <v>-4.388198757763976E-2</v>
      </c>
      <c r="BC78" s="207">
        <f>BC79/BC75</f>
        <v>-0.18</v>
      </c>
      <c r="BD78" s="207"/>
      <c r="BE78" s="200"/>
      <c r="BF78" s="200"/>
      <c r="BG78" s="201"/>
      <c r="BH78" s="58"/>
      <c r="BI78" s="58"/>
      <c r="BJ78" s="138"/>
      <c r="BK78" s="140"/>
      <c r="BL78" s="135"/>
      <c r="BM78" s="137"/>
      <c r="BN78" s="135"/>
      <c r="BO78" s="173">
        <f t="shared" si="5"/>
        <v>0</v>
      </c>
      <c r="BP78" s="174"/>
      <c r="BQ78" s="175"/>
      <c r="BR78" s="176">
        <f t="shared" si="17"/>
        <v>0</v>
      </c>
      <c r="BS78" s="177"/>
    </row>
    <row r="79" spans="1:77" s="57" customFormat="1" ht="21" customHeight="1">
      <c r="A79" s="806"/>
      <c r="B79" s="459" t="s">
        <v>77</v>
      </c>
      <c r="C79" s="460"/>
      <c r="D79" s="938" t="s">
        <v>263</v>
      </c>
      <c r="E79" s="939"/>
      <c r="F79" s="939"/>
      <c r="G79" s="939"/>
      <c r="H79" s="939"/>
      <c r="I79" s="939"/>
      <c r="J79" s="939"/>
      <c r="K79" s="939"/>
      <c r="L79" s="939"/>
      <c r="M79" s="944"/>
      <c r="N79" s="469">
        <v>1290690</v>
      </c>
      <c r="O79" s="470"/>
      <c r="P79" s="470"/>
      <c r="Q79" s="470"/>
      <c r="R79" s="470"/>
      <c r="S79" s="471"/>
      <c r="T79" s="290"/>
      <c r="U79" s="291"/>
      <c r="V79" s="47"/>
      <c r="W79" s="382"/>
      <c r="X79" s="47"/>
      <c r="Y79" s="511">
        <v>129069000</v>
      </c>
      <c r="Z79" s="511"/>
      <c r="AA79" s="511"/>
      <c r="AB79" s="511"/>
      <c r="AC79" s="47" t="s">
        <v>60</v>
      </c>
      <c r="AD79" s="454">
        <v>0.01</v>
      </c>
      <c r="AE79" s="454"/>
      <c r="AF79" s="47" t="s">
        <v>60</v>
      </c>
      <c r="AG79" s="840"/>
      <c r="AH79" s="840"/>
      <c r="AI79" s="841"/>
      <c r="AJ79" s="292"/>
      <c r="AK79" s="293"/>
      <c r="AL79" s="293"/>
      <c r="AM79" s="293"/>
      <c r="AN79" s="293"/>
      <c r="AO79" s="293"/>
      <c r="AP79" s="294"/>
      <c r="AQ79" s="628"/>
      <c r="AR79" s="629"/>
      <c r="AS79" s="71"/>
      <c r="AT79" s="58"/>
      <c r="AU79" s="58"/>
      <c r="AV79" s="58"/>
      <c r="AY79" s="199"/>
      <c r="AZ79" s="25" t="s">
        <v>177</v>
      </c>
      <c r="BA79" s="190">
        <f>BA76-BA77</f>
        <v>-3749.1180000000004</v>
      </c>
      <c r="BB79" s="190">
        <f>BB76-BB77</f>
        <v>-14130.000000000004</v>
      </c>
      <c r="BC79" s="190">
        <f>BC76-BC77</f>
        <v>9000</v>
      </c>
      <c r="BD79" s="190"/>
      <c r="BE79" s="190"/>
      <c r="BF79" s="190"/>
      <c r="BG79" s="191"/>
      <c r="BH79" s="58"/>
      <c r="BI79" s="58"/>
      <c r="BJ79" s="138" t="str">
        <f>D79</f>
        <v>PF 수수료   120%</v>
      </c>
      <c r="BK79" s="140">
        <f t="shared" ref="BK79:BK84" si="18">N79</f>
        <v>1290690</v>
      </c>
      <c r="BL79" s="135">
        <v>0</v>
      </c>
      <c r="BM79" s="137">
        <f t="shared" ref="BM79:BM83" si="19">BK79*BL79</f>
        <v>0</v>
      </c>
      <c r="BN79" s="135"/>
      <c r="BO79" s="173">
        <f t="shared" si="5"/>
        <v>0</v>
      </c>
      <c r="BP79" s="174"/>
      <c r="BQ79" s="175"/>
      <c r="BR79" s="176">
        <f t="shared" si="17"/>
        <v>0</v>
      </c>
      <c r="BS79" s="177"/>
      <c r="BV79" s="17"/>
      <c r="BW79" s="17"/>
      <c r="BX79" s="17"/>
      <c r="BY79" s="17"/>
    </row>
    <row r="80" spans="1:77" s="57" customFormat="1" ht="21" customHeight="1">
      <c r="A80" s="806"/>
      <c r="B80" s="461"/>
      <c r="C80" s="462"/>
      <c r="D80" s="926" t="s">
        <v>264</v>
      </c>
      <c r="E80" s="927"/>
      <c r="F80" s="927"/>
      <c r="G80" s="927"/>
      <c r="H80" s="927"/>
      <c r="I80" s="927"/>
      <c r="J80" s="927"/>
      <c r="K80" s="927"/>
      <c r="L80" s="927"/>
      <c r="M80" s="928"/>
      <c r="N80" s="456">
        <v>12338892</v>
      </c>
      <c r="O80" s="457"/>
      <c r="P80" s="457"/>
      <c r="Q80" s="457"/>
      <c r="R80" s="457"/>
      <c r="S80" s="458"/>
      <c r="T80" s="380"/>
      <c r="U80" s="381"/>
      <c r="V80" s="381"/>
      <c r="W80" s="381"/>
      <c r="X80" s="51"/>
      <c r="Y80" s="430">
        <f>Y79</f>
        <v>129069000</v>
      </c>
      <c r="Z80" s="430"/>
      <c r="AA80" s="430"/>
      <c r="AB80" s="430"/>
      <c r="AC80" s="51" t="s">
        <v>60</v>
      </c>
      <c r="AD80" s="455">
        <v>0.06</v>
      </c>
      <c r="AE80" s="455"/>
      <c r="AF80" s="51" t="s">
        <v>60</v>
      </c>
      <c r="AG80" s="428">
        <v>1.4999999999999999E-2</v>
      </c>
      <c r="AH80" s="428"/>
      <c r="AI80" s="429"/>
      <c r="AJ80" s="778"/>
      <c r="AK80" s="779"/>
      <c r="AL80" s="779"/>
      <c r="AM80" s="779"/>
      <c r="AN80" s="779"/>
      <c r="AO80" s="779"/>
      <c r="AP80" s="780"/>
      <c r="AQ80" s="596"/>
      <c r="AR80" s="597"/>
      <c r="AS80" s="71"/>
      <c r="AT80" s="58"/>
      <c r="AU80" s="58"/>
      <c r="AV80" s="58"/>
      <c r="AY80" s="202"/>
      <c r="AZ80" s="203" t="s">
        <v>178</v>
      </c>
      <c r="BA80" s="204">
        <f>BA79/12</f>
        <v>-312.42650000000003</v>
      </c>
      <c r="BB80" s="204">
        <f>BB79/12</f>
        <v>-1177.5000000000002</v>
      </c>
      <c r="BC80" s="204">
        <f>BC79/12</f>
        <v>750</v>
      </c>
      <c r="BD80" s="204"/>
      <c r="BE80" s="204"/>
      <c r="BF80" s="204"/>
      <c r="BG80" s="205"/>
      <c r="BH80" s="58"/>
      <c r="BI80" s="58"/>
      <c r="BJ80" s="138" t="str">
        <f>D80</f>
        <v>PF 이자     120%</v>
      </c>
      <c r="BK80" s="140">
        <f t="shared" si="18"/>
        <v>12338892</v>
      </c>
      <c r="BL80" s="135">
        <v>0</v>
      </c>
      <c r="BM80" s="137">
        <f t="shared" si="19"/>
        <v>0</v>
      </c>
      <c r="BN80" s="135"/>
      <c r="BO80" s="173">
        <f t="shared" si="5"/>
        <v>0</v>
      </c>
      <c r="BP80" s="174"/>
      <c r="BQ80" s="175"/>
      <c r="BR80" s="176">
        <f t="shared" si="17"/>
        <v>0</v>
      </c>
      <c r="BS80" s="177"/>
      <c r="BT80" s="17"/>
      <c r="BU80" s="17"/>
      <c r="BV80" s="17"/>
      <c r="BW80" s="17"/>
      <c r="BX80" s="17"/>
      <c r="BY80" s="17"/>
    </row>
    <row r="81" spans="1:77" ht="21" customHeight="1">
      <c r="A81" s="806"/>
      <c r="B81" s="461"/>
      <c r="C81" s="462"/>
      <c r="D81" s="472" t="s">
        <v>265</v>
      </c>
      <c r="E81" s="473"/>
      <c r="F81" s="473"/>
      <c r="G81" s="473"/>
      <c r="H81" s="473"/>
      <c r="I81" s="473"/>
      <c r="J81" s="473"/>
      <c r="K81" s="473"/>
      <c r="L81" s="473"/>
      <c r="M81" s="474"/>
      <c r="N81" s="456">
        <v>0</v>
      </c>
      <c r="O81" s="457"/>
      <c r="P81" s="457"/>
      <c r="Q81" s="457"/>
      <c r="R81" s="457"/>
      <c r="S81" s="458"/>
      <c r="T81" s="838"/>
      <c r="U81" s="839"/>
      <c r="V81" s="839"/>
      <c r="W81" s="839"/>
      <c r="X81" s="51"/>
      <c r="Y81" s="430"/>
      <c r="Z81" s="430"/>
      <c r="AA81" s="430"/>
      <c r="AB81" s="430"/>
      <c r="AC81" s="51"/>
      <c r="AD81" s="455"/>
      <c r="AE81" s="455"/>
      <c r="AF81" s="51"/>
      <c r="AG81" s="428"/>
      <c r="AH81" s="428"/>
      <c r="AI81" s="429"/>
      <c r="AJ81" s="54"/>
      <c r="AK81" s="55"/>
      <c r="AL81" s="55"/>
      <c r="AM81" s="55"/>
      <c r="AN81" s="55"/>
      <c r="AO81" s="55"/>
      <c r="AP81" s="56"/>
      <c r="AQ81" s="596"/>
      <c r="AR81" s="597"/>
      <c r="AS81" s="18"/>
      <c r="AT81" s="58"/>
      <c r="AU81" s="58"/>
      <c r="AV81" s="58"/>
      <c r="AY81" s="57"/>
      <c r="AZ81" s="58"/>
      <c r="BA81" s="58"/>
      <c r="BB81" s="58"/>
      <c r="BC81" s="58"/>
      <c r="BD81" s="58"/>
      <c r="BE81" s="58"/>
      <c r="BF81" s="58"/>
      <c r="BG81" s="58"/>
      <c r="BH81" s="58"/>
      <c r="BI81" s="58"/>
      <c r="BJ81" s="138" t="str">
        <f>D81</f>
        <v>브릿지론 이자 및 수수료</v>
      </c>
      <c r="BK81" s="140">
        <f t="shared" si="18"/>
        <v>0</v>
      </c>
      <c r="BL81" s="135">
        <v>0</v>
      </c>
      <c r="BM81" s="137">
        <f t="shared" si="19"/>
        <v>0</v>
      </c>
      <c r="BN81" s="135"/>
      <c r="BO81" s="173">
        <f t="shared" si="5"/>
        <v>0</v>
      </c>
      <c r="BP81" s="174"/>
      <c r="BQ81" s="175"/>
      <c r="BR81" s="176">
        <f t="shared" si="17"/>
        <v>0</v>
      </c>
      <c r="BS81" s="177"/>
      <c r="BV81" s="57"/>
      <c r="BW81" s="57"/>
      <c r="BX81" s="57"/>
      <c r="BY81" s="57"/>
    </row>
    <row r="82" spans="1:77" ht="21" customHeight="1">
      <c r="A82" s="806"/>
      <c r="B82" s="461"/>
      <c r="C82" s="462"/>
      <c r="D82" s="472" t="s">
        <v>266</v>
      </c>
      <c r="E82" s="473"/>
      <c r="F82" s="473"/>
      <c r="G82" s="473"/>
      <c r="H82" s="473"/>
      <c r="I82" s="473"/>
      <c r="J82" s="473"/>
      <c r="K82" s="473"/>
      <c r="L82" s="473"/>
      <c r="M82" s="474"/>
      <c r="N82" s="481">
        <v>0</v>
      </c>
      <c r="O82" s="482"/>
      <c r="P82" s="482"/>
      <c r="Q82" s="482"/>
      <c r="R82" s="482"/>
      <c r="S82" s="483"/>
      <c r="T82" s="497"/>
      <c r="U82" s="498"/>
      <c r="V82" s="498"/>
      <c r="W82" s="498"/>
      <c r="X82" s="259"/>
      <c r="Y82" s="430"/>
      <c r="Z82" s="430"/>
      <c r="AA82" s="430"/>
      <c r="AB82" s="430"/>
      <c r="AC82" s="259"/>
      <c r="AD82" s="455"/>
      <c r="AE82" s="455"/>
      <c r="AF82" s="259"/>
      <c r="AG82" s="428"/>
      <c r="AH82" s="428"/>
      <c r="AI82" s="429"/>
      <c r="AJ82" s="277"/>
      <c r="AK82" s="278"/>
      <c r="AL82" s="278"/>
      <c r="AM82" s="278"/>
      <c r="AN82" s="278"/>
      <c r="AO82" s="278"/>
      <c r="AP82" s="295"/>
      <c r="AQ82" s="596"/>
      <c r="AR82" s="597"/>
      <c r="AS82" s="18"/>
      <c r="AT82" s="58"/>
      <c r="AU82" s="58"/>
      <c r="AV82" s="58"/>
      <c r="AY82" s="57"/>
      <c r="AZ82" s="58"/>
      <c r="BA82" s="58"/>
      <c r="BB82" s="58"/>
      <c r="BC82" s="58"/>
      <c r="BD82" s="58"/>
      <c r="BE82" s="58"/>
      <c r="BF82" s="58"/>
      <c r="BG82" s="58"/>
      <c r="BH82" s="58"/>
      <c r="BI82" s="58"/>
      <c r="BJ82" s="138" t="str">
        <f>D82</f>
        <v>중도금 무이자</v>
      </c>
      <c r="BK82" s="140">
        <f t="shared" si="18"/>
        <v>0</v>
      </c>
      <c r="BL82" s="135">
        <v>0</v>
      </c>
      <c r="BM82" s="137">
        <f t="shared" si="19"/>
        <v>0</v>
      </c>
      <c r="BN82" s="135"/>
      <c r="BO82" s="173">
        <f t="shared" si="5"/>
        <v>0</v>
      </c>
      <c r="BP82" s="174"/>
      <c r="BQ82" s="175"/>
      <c r="BR82" s="176">
        <f t="shared" si="17"/>
        <v>0</v>
      </c>
      <c r="BS82" s="177"/>
      <c r="BT82" s="57"/>
      <c r="BU82" s="57"/>
    </row>
    <row r="83" spans="1:77" s="57" customFormat="1" ht="21" customHeight="1">
      <c r="A83" s="806"/>
      <c r="B83" s="461"/>
      <c r="C83" s="462"/>
      <c r="D83" s="472"/>
      <c r="E83" s="473"/>
      <c r="F83" s="473"/>
      <c r="G83" s="473"/>
      <c r="H83" s="473"/>
      <c r="I83" s="473"/>
      <c r="J83" s="473"/>
      <c r="K83" s="473"/>
      <c r="L83" s="473"/>
      <c r="M83" s="474"/>
      <c r="N83" s="771">
        <v>0</v>
      </c>
      <c r="O83" s="772"/>
      <c r="P83" s="772"/>
      <c r="Q83" s="772"/>
      <c r="R83" s="772"/>
      <c r="S83" s="773"/>
      <c r="T83" s="785"/>
      <c r="U83" s="786"/>
      <c r="V83" s="786"/>
      <c r="W83" s="786"/>
      <c r="X83" s="51"/>
      <c r="Y83" s="784"/>
      <c r="Z83" s="784"/>
      <c r="AA83" s="784"/>
      <c r="AB83" s="784"/>
      <c r="AC83" s="51"/>
      <c r="AD83" s="828"/>
      <c r="AE83" s="828"/>
      <c r="AF83" s="51"/>
      <c r="AG83" s="428"/>
      <c r="AH83" s="428"/>
      <c r="AI83" s="429"/>
      <c r="AJ83" s="825"/>
      <c r="AK83" s="826"/>
      <c r="AL83" s="826"/>
      <c r="AM83" s="826"/>
      <c r="AN83" s="826"/>
      <c r="AO83" s="826"/>
      <c r="AP83" s="827"/>
      <c r="AQ83" s="620"/>
      <c r="AR83" s="620"/>
      <c r="AS83" s="182"/>
      <c r="AT83" s="58"/>
      <c r="AU83" s="58"/>
      <c r="AV83" s="58"/>
      <c r="AZ83" s="58"/>
      <c r="BA83" s="58"/>
      <c r="BB83" s="58"/>
      <c r="BC83" s="58"/>
      <c r="BD83" s="58"/>
      <c r="BE83" s="58"/>
      <c r="BF83" s="58"/>
      <c r="BG83" s="58"/>
      <c r="BH83" s="58"/>
      <c r="BI83" s="58"/>
      <c r="BJ83" s="138">
        <f>D83</f>
        <v>0</v>
      </c>
      <c r="BK83" s="140">
        <f t="shared" si="18"/>
        <v>0</v>
      </c>
      <c r="BL83" s="135">
        <v>0</v>
      </c>
      <c r="BM83" s="137">
        <f t="shared" si="19"/>
        <v>0</v>
      </c>
      <c r="BN83" s="135"/>
      <c r="BO83" s="173">
        <f t="shared" si="5"/>
        <v>0</v>
      </c>
      <c r="BP83" s="174"/>
      <c r="BQ83" s="175"/>
      <c r="BR83" s="176">
        <f t="shared" si="17"/>
        <v>0</v>
      </c>
      <c r="BS83" s="177"/>
      <c r="BT83" s="17"/>
      <c r="BU83" s="17"/>
      <c r="BV83" s="17"/>
      <c r="BW83" s="17"/>
      <c r="BX83" s="17"/>
      <c r="BY83" s="17"/>
    </row>
    <row r="84" spans="1:77" ht="21" customHeight="1">
      <c r="A84" s="807"/>
      <c r="B84" s="463"/>
      <c r="C84" s="464"/>
      <c r="D84" s="808" t="s">
        <v>269</v>
      </c>
      <c r="E84" s="809"/>
      <c r="F84" s="809"/>
      <c r="G84" s="809"/>
      <c r="H84" s="809"/>
      <c r="I84" s="809"/>
      <c r="J84" s="809"/>
      <c r="K84" s="809"/>
      <c r="L84" s="809"/>
      <c r="M84" s="810"/>
      <c r="N84" s="916">
        <f>SUM(N79:S83)</f>
        <v>13629582</v>
      </c>
      <c r="O84" s="917"/>
      <c r="P84" s="917"/>
      <c r="Q84" s="917"/>
      <c r="R84" s="917"/>
      <c r="S84" s="918"/>
      <c r="T84" s="444"/>
      <c r="U84" s="445"/>
      <c r="V84" s="445"/>
      <c r="W84" s="445"/>
      <c r="X84" s="445"/>
      <c r="Y84" s="445"/>
      <c r="Z84" s="445"/>
      <c r="AA84" s="445"/>
      <c r="AB84" s="445"/>
      <c r="AC84" s="445"/>
      <c r="AD84" s="445"/>
      <c r="AE84" s="445"/>
      <c r="AF84" s="445"/>
      <c r="AG84" s="445"/>
      <c r="AH84" s="445"/>
      <c r="AI84" s="446"/>
      <c r="AJ84" s="298"/>
      <c r="AK84" s="299"/>
      <c r="AL84" s="299"/>
      <c r="AM84" s="299"/>
      <c r="AN84" s="299"/>
      <c r="AO84" s="299"/>
      <c r="AP84" s="300"/>
      <c r="AQ84" s="829"/>
      <c r="AR84" s="830"/>
      <c r="AS84" s="18"/>
      <c r="AT84" s="58"/>
      <c r="AU84" s="58"/>
      <c r="AV84" s="58"/>
      <c r="AY84" s="57"/>
      <c r="AZ84" s="58"/>
      <c r="BA84" s="58"/>
      <c r="BB84" s="58"/>
      <c r="BC84" s="58"/>
      <c r="BD84" s="58"/>
      <c r="BE84" s="58"/>
      <c r="BF84" s="58"/>
      <c r="BG84" s="58"/>
      <c r="BH84" s="58"/>
      <c r="BI84" s="75"/>
      <c r="BJ84" s="138"/>
      <c r="BK84" s="140">
        <f t="shared" si="18"/>
        <v>13629582</v>
      </c>
      <c r="BL84" s="135"/>
      <c r="BM84" s="137"/>
      <c r="BN84" s="135"/>
      <c r="BO84" s="173">
        <f t="shared" si="5"/>
        <v>0</v>
      </c>
      <c r="BP84" s="174"/>
      <c r="BQ84" s="175"/>
      <c r="BR84" s="176">
        <f t="shared" si="17"/>
        <v>0</v>
      </c>
      <c r="BS84" s="177"/>
    </row>
    <row r="85" spans="1:77" ht="21" customHeight="1" thickBot="1">
      <c r="A85" s="790" t="s">
        <v>78</v>
      </c>
      <c r="B85" s="795" t="s">
        <v>22</v>
      </c>
      <c r="C85" s="796"/>
      <c r="D85" s="342"/>
      <c r="E85" s="343"/>
      <c r="F85" s="343"/>
      <c r="G85" s="344"/>
      <c r="H85" s="344"/>
      <c r="I85" s="344"/>
      <c r="J85" s="344"/>
      <c r="K85" s="344"/>
      <c r="L85" s="344"/>
      <c r="M85" s="345"/>
      <c r="N85" s="797">
        <f>N84+N78+N75+N63+N55+N47+N44+N34</f>
        <v>236145529</v>
      </c>
      <c r="O85" s="798"/>
      <c r="P85" s="798"/>
      <c r="Q85" s="798"/>
      <c r="R85" s="798"/>
      <c r="S85" s="799"/>
      <c r="T85" s="792"/>
      <c r="U85" s="793"/>
      <c r="V85" s="793"/>
      <c r="W85" s="793"/>
      <c r="X85" s="383"/>
      <c r="Y85" s="794"/>
      <c r="Z85" s="794"/>
      <c r="AA85" s="794"/>
      <c r="AB85" s="301"/>
      <c r="AC85" s="794"/>
      <c r="AD85" s="794"/>
      <c r="AE85" s="818"/>
      <c r="AF85" s="818"/>
      <c r="AG85" s="818"/>
      <c r="AH85" s="818"/>
      <c r="AI85" s="819"/>
      <c r="AJ85" s="820"/>
      <c r="AK85" s="821"/>
      <c r="AL85" s="821"/>
      <c r="AM85" s="821"/>
      <c r="AN85" s="822"/>
      <c r="AO85" s="822"/>
      <c r="AP85" s="823"/>
      <c r="AQ85" s="824"/>
      <c r="AR85" s="824"/>
      <c r="AS85" s="18"/>
      <c r="AT85" s="58"/>
      <c r="AU85" s="58"/>
      <c r="AV85" s="58"/>
      <c r="AY85" s="57"/>
      <c r="AZ85" s="58"/>
      <c r="BA85" s="58"/>
      <c r="BB85" s="58"/>
      <c r="BC85" s="58"/>
      <c r="BD85" s="58"/>
      <c r="BE85" s="58"/>
      <c r="BF85" s="58"/>
      <c r="BG85" s="58"/>
      <c r="BH85" s="58"/>
      <c r="BI85" s="75"/>
      <c r="BJ85" s="226"/>
      <c r="BK85" s="227"/>
      <c r="BL85" s="228"/>
      <c r="BM85" s="229"/>
      <c r="BN85" s="228"/>
      <c r="BO85" s="230"/>
      <c r="BP85" s="231"/>
      <c r="BQ85" s="175"/>
      <c r="BR85" s="176"/>
      <c r="BS85" s="177"/>
    </row>
    <row r="86" spans="1:77" ht="21" customHeight="1" thickBot="1">
      <c r="A86" s="791"/>
      <c r="B86" s="803" t="s">
        <v>79</v>
      </c>
      <c r="C86" s="804"/>
      <c r="D86" s="302"/>
      <c r="E86" s="302"/>
      <c r="F86" s="302"/>
      <c r="G86" s="302"/>
      <c r="H86" s="302"/>
      <c r="I86" s="302"/>
      <c r="J86" s="302"/>
      <c r="K86" s="302"/>
      <c r="L86" s="302"/>
      <c r="M86" s="303"/>
      <c r="N86" s="800">
        <f>N23-N85</f>
        <v>-21034204</v>
      </c>
      <c r="O86" s="801"/>
      <c r="P86" s="801"/>
      <c r="Q86" s="801"/>
      <c r="R86" s="801"/>
      <c r="S86" s="802"/>
      <c r="T86" s="787" t="s">
        <v>222</v>
      </c>
      <c r="U86" s="788"/>
      <c r="V86" s="788"/>
      <c r="W86" s="788"/>
      <c r="X86" s="386"/>
      <c r="Y86" s="789">
        <f>N86/N23</f>
        <v>-9.7782875913204476E-2</v>
      </c>
      <c r="Z86" s="789"/>
      <c r="AA86" s="789"/>
      <c r="AB86" s="789"/>
      <c r="AC86" s="531"/>
      <c r="AD86" s="531"/>
      <c r="AE86" s="811"/>
      <c r="AF86" s="811"/>
      <c r="AG86" s="811"/>
      <c r="AH86" s="811"/>
      <c r="AI86" s="812"/>
      <c r="AJ86" s="813"/>
      <c r="AK86" s="814"/>
      <c r="AL86" s="814"/>
      <c r="AM86" s="814"/>
      <c r="AN86" s="815"/>
      <c r="AO86" s="815"/>
      <c r="AP86" s="816"/>
      <c r="AQ86" s="817"/>
      <c r="AR86" s="817"/>
      <c r="AS86" s="18"/>
      <c r="AT86" s="58"/>
      <c r="AU86" s="58"/>
      <c r="AV86" s="58"/>
      <c r="AY86" s="57"/>
      <c r="AZ86" s="58"/>
      <c r="BA86" s="58"/>
      <c r="BB86" s="58"/>
      <c r="BC86" s="58"/>
      <c r="BD86" s="58"/>
      <c r="BE86" s="58"/>
      <c r="BF86" s="58"/>
      <c r="BG86" s="58"/>
      <c r="BH86" s="58"/>
      <c r="BI86" s="57"/>
      <c r="BJ86" s="141" t="s">
        <v>33</v>
      </c>
      <c r="BK86" s="142">
        <f>SUM(BK24:BK85)</f>
        <v>254751144</v>
      </c>
      <c r="BL86" s="330">
        <f>BM86/$BK$86</f>
        <v>0.75029284225706949</v>
      </c>
      <c r="BM86" s="363">
        <f>SUM(BM25:BM83)</f>
        <v>191137959.90000001</v>
      </c>
      <c r="BN86" s="330">
        <f>BO86/$BK$86</f>
        <v>7.4447510233751873E-2</v>
      </c>
      <c r="BO86" s="363">
        <f>SUM(BO25:BO84)</f>
        <v>18965588.399999999</v>
      </c>
      <c r="BP86" s="331">
        <f>BQ87/$BK$86</f>
        <v>6.8256540194378851E-2</v>
      </c>
      <c r="BQ86" s="232"/>
      <c r="BR86" s="233"/>
      <c r="BS86" s="177"/>
    </row>
    <row r="87" spans="1:77" ht="21" customHeight="1">
      <c r="G87" s="46"/>
      <c r="AN87" s="152">
        <f>N85-BK86</f>
        <v>-18605615</v>
      </c>
      <c r="AS87" s="17"/>
      <c r="AT87" s="58"/>
      <c r="AU87" s="58"/>
      <c r="AV87" s="58"/>
      <c r="AY87" s="57"/>
      <c r="AZ87" s="58"/>
      <c r="BA87" s="58"/>
      <c r="BB87" s="58"/>
      <c r="BC87" s="58"/>
      <c r="BD87" s="58"/>
      <c r="BE87" s="58"/>
      <c r="BF87" s="58"/>
      <c r="BG87" s="58"/>
      <c r="BH87" s="58"/>
      <c r="BI87" s="57"/>
      <c r="BJ87" s="163"/>
      <c r="BK87" s="164"/>
      <c r="BL87" s="165"/>
      <c r="BM87" s="166">
        <f>+ROUNDUP(BM86,-6)</f>
        <v>192000000</v>
      </c>
      <c r="BN87" s="165"/>
      <c r="BO87" s="166"/>
      <c r="BP87" s="327"/>
      <c r="BQ87" s="326">
        <f>SUM(BQ27:BQ85)</f>
        <v>17388431.699999996</v>
      </c>
      <c r="BR87" s="363">
        <f>SUM(BR27:BR85)</f>
        <v>227491980</v>
      </c>
      <c r="BS87" s="177"/>
    </row>
    <row r="88" spans="1:77" ht="21" customHeight="1" thickBot="1">
      <c r="G88" s="46"/>
      <c r="AS88" s="17"/>
      <c r="AT88" s="58"/>
      <c r="AU88" s="58"/>
      <c r="AV88" s="58"/>
      <c r="AY88" s="57"/>
      <c r="AZ88" s="58"/>
      <c r="BA88" s="58"/>
      <c r="BB88" s="58"/>
      <c r="BC88" s="58"/>
      <c r="BD88" s="58"/>
      <c r="BE88" s="58"/>
      <c r="BF88" s="58"/>
      <c r="BG88" s="58"/>
      <c r="BH88" s="58"/>
      <c r="BI88" s="57"/>
      <c r="BJ88" s="139" t="s">
        <v>129</v>
      </c>
      <c r="BK88" s="143">
        <f>BK86/N85</f>
        <v>1.0787887667354481</v>
      </c>
      <c r="BL88" s="263"/>
      <c r="BM88" s="264">
        <f>BM86/$BK$86</f>
        <v>0.75029284225706949</v>
      </c>
      <c r="BN88" s="263"/>
      <c r="BO88" s="264">
        <f>BO86/$BK$86</f>
        <v>7.4447510233751873E-2</v>
      </c>
      <c r="BP88" s="329"/>
      <c r="BQ88" s="328"/>
      <c r="BR88" s="166"/>
      <c r="BS88" s="177"/>
    </row>
    <row r="89" spans="1:77" ht="21" customHeight="1" thickBot="1">
      <c r="G89" s="46"/>
      <c r="AS89" s="17"/>
      <c r="AT89" s="58"/>
      <c r="AU89" s="58"/>
      <c r="AV89" s="58"/>
      <c r="AY89" s="57"/>
      <c r="AZ89" s="75"/>
      <c r="BA89" s="75"/>
      <c r="BB89" s="75"/>
      <c r="BC89" s="75"/>
      <c r="BD89" s="75"/>
      <c r="BE89" s="75"/>
      <c r="BF89" s="75"/>
      <c r="BG89" s="75"/>
      <c r="BH89" s="75"/>
      <c r="BI89" s="78"/>
      <c r="BM89" s="152"/>
      <c r="BQ89" s="332">
        <f>BQ87/BK86</f>
        <v>6.8256540194378851E-2</v>
      </c>
      <c r="BR89" s="263"/>
      <c r="BS89" s="177"/>
    </row>
    <row r="90" spans="1:77" ht="21" customHeight="1">
      <c r="Q90" s="17" t="s">
        <v>270</v>
      </c>
      <c r="AS90" s="17"/>
      <c r="AT90" s="58"/>
      <c r="AU90" s="58"/>
      <c r="AV90" s="58"/>
      <c r="AY90" s="57"/>
      <c r="AZ90" s="75"/>
      <c r="BA90" s="75"/>
      <c r="BB90" s="75"/>
      <c r="BC90" s="75"/>
      <c r="BD90" s="75"/>
      <c r="BE90" s="75"/>
      <c r="BF90" s="75"/>
      <c r="BG90" s="75"/>
      <c r="BH90" s="75"/>
      <c r="BI90" s="78"/>
      <c r="BO90" s="152"/>
    </row>
    <row r="91" spans="1:77" ht="21" customHeight="1">
      <c r="AS91" s="17"/>
      <c r="AT91" s="58"/>
      <c r="AU91" s="58"/>
      <c r="AV91" s="58"/>
      <c r="AZ91" s="57"/>
      <c r="BA91" s="57"/>
      <c r="BB91" s="57"/>
      <c r="BC91" s="57"/>
      <c r="BD91" s="57"/>
      <c r="BE91" s="57"/>
      <c r="BF91" s="57"/>
      <c r="BG91" s="57"/>
      <c r="BH91" s="57"/>
      <c r="BI91" s="78"/>
    </row>
    <row r="92" spans="1:77" ht="20.100000000000001" customHeight="1">
      <c r="AS92" s="17"/>
      <c r="AW92" s="78"/>
      <c r="AX92" s="78"/>
      <c r="AZ92" s="57"/>
      <c r="BA92" s="57"/>
      <c r="BB92" s="57"/>
      <c r="BC92" s="57"/>
      <c r="BD92" s="57"/>
      <c r="BE92" s="57"/>
      <c r="BF92" s="57"/>
      <c r="BG92" s="57"/>
      <c r="BH92" s="57"/>
      <c r="BI92" s="78"/>
    </row>
    <row r="93" spans="1:77" ht="20.100000000000001" customHeight="1">
      <c r="AW93" s="78"/>
      <c r="AX93" s="78"/>
    </row>
    <row r="94" spans="1:77" ht="20.100000000000001" customHeight="1">
      <c r="AW94" s="78"/>
      <c r="AX94" s="78"/>
      <c r="BR94" s="17"/>
    </row>
    <row r="95" spans="1:77" ht="20.100000000000001" customHeight="1">
      <c r="AT95" s="78"/>
      <c r="AU95" s="78"/>
      <c r="AV95" s="78"/>
      <c r="AW95" s="78"/>
      <c r="AX95" s="78"/>
      <c r="AY95" s="17"/>
      <c r="AZ95" s="17"/>
      <c r="BA95" s="45"/>
      <c r="BF95" s="17"/>
      <c r="BG95" s="17"/>
      <c r="BH95" s="17"/>
      <c r="BR95" s="17"/>
    </row>
    <row r="96" spans="1:77" ht="20.100000000000001" customHeight="1">
      <c r="AT96" s="78"/>
      <c r="AU96" s="78"/>
      <c r="AV96" s="78"/>
      <c r="AW96" s="78"/>
      <c r="AX96" s="17"/>
      <c r="BF96" s="17"/>
      <c r="BG96" s="17"/>
      <c r="BH96" s="17"/>
      <c r="BR96" s="17"/>
    </row>
    <row r="97" spans="51:70" ht="20.100000000000001" customHeight="1">
      <c r="BB97" s="57"/>
      <c r="BC97" s="57"/>
      <c r="BR97" s="17"/>
    </row>
    <row r="98" spans="51:70" ht="20.100000000000001" customHeight="1">
      <c r="AY98" s="57"/>
      <c r="AZ98" s="57"/>
      <c r="BA98" s="57"/>
      <c r="BD98" s="45"/>
      <c r="BE98" s="45"/>
      <c r="BR98" s="17"/>
    </row>
    <row r="99" spans="51:70" ht="20.100000000000001" customHeight="1">
      <c r="BD99" s="45"/>
      <c r="BE99" s="45"/>
      <c r="BR99" s="17"/>
    </row>
    <row r="100" spans="51:70" ht="20.100000000000001" customHeight="1">
      <c r="BD100" s="45"/>
      <c r="BE100" s="45"/>
    </row>
    <row r="101" spans="51:70" ht="20.100000000000001" customHeight="1">
      <c r="BD101" s="45"/>
      <c r="BE101" s="45"/>
    </row>
    <row r="102" spans="51:70" ht="20.100000000000001" customHeight="1"/>
    <row r="103" spans="51:70" ht="20.100000000000001" customHeight="1"/>
    <row r="104" spans="51:70" ht="20.100000000000001" customHeight="1"/>
    <row r="105" spans="51:70" ht="20.100000000000001" customHeight="1"/>
    <row r="106" spans="51:70" ht="20.100000000000001" customHeight="1"/>
    <row r="107" spans="51:70" ht="20.100000000000001" customHeight="1"/>
    <row r="108" spans="51:70" ht="20.100000000000001" customHeight="1"/>
    <row r="109" spans="51:70" ht="20.100000000000001" customHeight="1"/>
    <row r="110" spans="51:70" ht="20.100000000000001" customHeight="1"/>
    <row r="111" spans="51:70" ht="20.100000000000001" customHeight="1"/>
    <row r="112" spans="51:70" ht="20.100000000000001" customHeight="1"/>
  </sheetData>
  <dataConsolidate/>
  <mergeCells count="577">
    <mergeCell ref="N70:S70"/>
    <mergeCell ref="D71:M71"/>
    <mergeCell ref="N41:S41"/>
    <mergeCell ref="N52:S52"/>
    <mergeCell ref="D52:M52"/>
    <mergeCell ref="D62:M62"/>
    <mergeCell ref="D68:M68"/>
    <mergeCell ref="D69:M69"/>
    <mergeCell ref="N66:S66"/>
    <mergeCell ref="D63:F63"/>
    <mergeCell ref="N63:S63"/>
    <mergeCell ref="N60:S60"/>
    <mergeCell ref="D47:F47"/>
    <mergeCell ref="N47:S47"/>
    <mergeCell ref="N33:S33"/>
    <mergeCell ref="T33:W33"/>
    <mergeCell ref="Y33:AB33"/>
    <mergeCell ref="AD33:AE33"/>
    <mergeCell ref="N30:S30"/>
    <mergeCell ref="T30:W30"/>
    <mergeCell ref="Y30:AB30"/>
    <mergeCell ref="AD30:AE30"/>
    <mergeCell ref="AG30:AI30"/>
    <mergeCell ref="AJ8:AM8"/>
    <mergeCell ref="AB8:AI8"/>
    <mergeCell ref="AP10:AR10"/>
    <mergeCell ref="AE85:AI85"/>
    <mergeCell ref="AJ85:AP85"/>
    <mergeCell ref="AQ85:AR85"/>
    <mergeCell ref="B86:C86"/>
    <mergeCell ref="N86:S86"/>
    <mergeCell ref="T86:W86"/>
    <mergeCell ref="Y86:AB86"/>
    <mergeCell ref="AC86:AD86"/>
    <mergeCell ref="AE86:AI86"/>
    <mergeCell ref="AJ86:AP86"/>
    <mergeCell ref="AQ81:AR81"/>
    <mergeCell ref="D82:M82"/>
    <mergeCell ref="N82:S82"/>
    <mergeCell ref="T82:W82"/>
    <mergeCell ref="Y82:AB82"/>
    <mergeCell ref="AD82:AE82"/>
    <mergeCell ref="T41:W41"/>
    <mergeCell ref="Y41:AB41"/>
    <mergeCell ref="AD41:AE41"/>
    <mergeCell ref="AG41:AI41"/>
    <mergeCell ref="T26:W26"/>
    <mergeCell ref="A85:A86"/>
    <mergeCell ref="B85:C85"/>
    <mergeCell ref="N85:S85"/>
    <mergeCell ref="T85:W85"/>
    <mergeCell ref="Y85:AA85"/>
    <mergeCell ref="AC85:AD85"/>
    <mergeCell ref="AJ83:AP83"/>
    <mergeCell ref="AQ83:AR83"/>
    <mergeCell ref="D84:M84"/>
    <mergeCell ref="N84:S84"/>
    <mergeCell ref="T84:AI84"/>
    <mergeCell ref="AQ84:AR84"/>
    <mergeCell ref="D83:M83"/>
    <mergeCell ref="N83:S83"/>
    <mergeCell ref="T83:W83"/>
    <mergeCell ref="Y83:AB83"/>
    <mergeCell ref="AD83:AE83"/>
    <mergeCell ref="AG83:AI83"/>
    <mergeCell ref="AQ86:AR86"/>
    <mergeCell ref="B79:C84"/>
    <mergeCell ref="D79:M79"/>
    <mergeCell ref="N79:S79"/>
    <mergeCell ref="Y79:AB79"/>
    <mergeCell ref="AD79:AE79"/>
    <mergeCell ref="AG79:AI79"/>
    <mergeCell ref="AG82:AI82"/>
    <mergeCell ref="AQ82:AR82"/>
    <mergeCell ref="D81:M81"/>
    <mergeCell ref="N81:S81"/>
    <mergeCell ref="T81:W81"/>
    <mergeCell ref="Y81:AB81"/>
    <mergeCell ref="AD81:AE81"/>
    <mergeCell ref="AG81:AI81"/>
    <mergeCell ref="AQ79:AR79"/>
    <mergeCell ref="D80:M80"/>
    <mergeCell ref="N80:S80"/>
    <mergeCell ref="Y80:AB80"/>
    <mergeCell ref="AD80:AE80"/>
    <mergeCell ref="AG80:AI80"/>
    <mergeCell ref="AJ80:AP80"/>
    <mergeCell ref="AQ80:AR80"/>
    <mergeCell ref="D75:F75"/>
    <mergeCell ref="N75:S75"/>
    <mergeCell ref="AQ75:AR75"/>
    <mergeCell ref="B76:C78"/>
    <mergeCell ref="D76:M76"/>
    <mergeCell ref="N76:S76"/>
    <mergeCell ref="T76:W76"/>
    <mergeCell ref="Y76:AB76"/>
    <mergeCell ref="AD76:AE76"/>
    <mergeCell ref="AG76:AI76"/>
    <mergeCell ref="AQ76:AR76"/>
    <mergeCell ref="D77:M77"/>
    <mergeCell ref="N77:S77"/>
    <mergeCell ref="Y77:AB77"/>
    <mergeCell ref="AD77:AE77"/>
    <mergeCell ref="AG77:AI77"/>
    <mergeCell ref="AJ77:AP77"/>
    <mergeCell ref="AQ77:AR77"/>
    <mergeCell ref="D78:F78"/>
    <mergeCell ref="N78:S78"/>
    <mergeCell ref="T78:X78"/>
    <mergeCell ref="AQ78:AR78"/>
    <mergeCell ref="AQ67:AR67"/>
    <mergeCell ref="D73:M73"/>
    <mergeCell ref="N73:S73"/>
    <mergeCell ref="AQ73:AR73"/>
    <mergeCell ref="D74:M74"/>
    <mergeCell ref="N74:S74"/>
    <mergeCell ref="T74:W74"/>
    <mergeCell ref="Y74:AB74"/>
    <mergeCell ref="AD74:AE74"/>
    <mergeCell ref="AG74:AI74"/>
    <mergeCell ref="D67:M67"/>
    <mergeCell ref="N67:S67"/>
    <mergeCell ref="T67:W67"/>
    <mergeCell ref="Y67:AB67"/>
    <mergeCell ref="AD67:AE67"/>
    <mergeCell ref="AG67:AI67"/>
    <mergeCell ref="AJ74:AP74"/>
    <mergeCell ref="AQ74:AR74"/>
    <mergeCell ref="D72:M72"/>
    <mergeCell ref="N71:S71"/>
    <mergeCell ref="N72:S72"/>
    <mergeCell ref="D70:M70"/>
    <mergeCell ref="N68:S68"/>
    <mergeCell ref="N69:S69"/>
    <mergeCell ref="AD66:AE66"/>
    <mergeCell ref="AG66:AI66"/>
    <mergeCell ref="AQ66:AR66"/>
    <mergeCell ref="N65:S65"/>
    <mergeCell ref="T65:W65"/>
    <mergeCell ref="Y65:AB65"/>
    <mergeCell ref="AD65:AE65"/>
    <mergeCell ref="AG65:AI65"/>
    <mergeCell ref="AQ65:AR65"/>
    <mergeCell ref="AQ63:AR63"/>
    <mergeCell ref="B64:C75"/>
    <mergeCell ref="N64:S64"/>
    <mergeCell ref="T64:W64"/>
    <mergeCell ref="Y64:AB64"/>
    <mergeCell ref="AD64:AE64"/>
    <mergeCell ref="AG64:AI64"/>
    <mergeCell ref="AQ64:AR64"/>
    <mergeCell ref="AQ61:AR61"/>
    <mergeCell ref="N62:S62"/>
    <mergeCell ref="T62:W62"/>
    <mergeCell ref="Y62:AB62"/>
    <mergeCell ref="AD62:AE62"/>
    <mergeCell ref="AG62:AI62"/>
    <mergeCell ref="AQ62:AR62"/>
    <mergeCell ref="N61:S61"/>
    <mergeCell ref="T61:W61"/>
    <mergeCell ref="Y61:AB61"/>
    <mergeCell ref="AD61:AE61"/>
    <mergeCell ref="AG61:AI61"/>
    <mergeCell ref="AJ61:AP61"/>
    <mergeCell ref="B56:C63"/>
    <mergeCell ref="T66:W66"/>
    <mergeCell ref="Y66:AB66"/>
    <mergeCell ref="T60:W60"/>
    <mergeCell ref="Y60:AB60"/>
    <mergeCell ref="AD60:AE60"/>
    <mergeCell ref="AG60:AI60"/>
    <mergeCell ref="AQ60:AR60"/>
    <mergeCell ref="AQ58:AR58"/>
    <mergeCell ref="D59:M59"/>
    <mergeCell ref="N59:S59"/>
    <mergeCell ref="T59:W59"/>
    <mergeCell ref="Y59:AB59"/>
    <mergeCell ref="AD59:AE59"/>
    <mergeCell ref="AG59:AI59"/>
    <mergeCell ref="AQ59:AR59"/>
    <mergeCell ref="D58:M58"/>
    <mergeCell ref="N58:S58"/>
    <mergeCell ref="T58:W58"/>
    <mergeCell ref="Y58:AB58"/>
    <mergeCell ref="AD58:AE58"/>
    <mergeCell ref="AG58:AI58"/>
    <mergeCell ref="AQ56:AR56"/>
    <mergeCell ref="D57:M57"/>
    <mergeCell ref="N57:S57"/>
    <mergeCell ref="T57:W57"/>
    <mergeCell ref="Y57:AB57"/>
    <mergeCell ref="AD57:AE57"/>
    <mergeCell ref="AG57:AI57"/>
    <mergeCell ref="AQ57:AR57"/>
    <mergeCell ref="D55:F55"/>
    <mergeCell ref="N55:S55"/>
    <mergeCell ref="AQ55:AR55"/>
    <mergeCell ref="D56:M56"/>
    <mergeCell ref="N56:S56"/>
    <mergeCell ref="T56:W56"/>
    <mergeCell ref="Y56:AB56"/>
    <mergeCell ref="AD56:AE56"/>
    <mergeCell ref="AG56:AI56"/>
    <mergeCell ref="AQ53:AR53"/>
    <mergeCell ref="D54:M54"/>
    <mergeCell ref="N54:S54"/>
    <mergeCell ref="T54:W54"/>
    <mergeCell ref="Y54:AB54"/>
    <mergeCell ref="AD54:AE54"/>
    <mergeCell ref="AG54:AI54"/>
    <mergeCell ref="AJ54:AP54"/>
    <mergeCell ref="AQ54:AR54"/>
    <mergeCell ref="D53:M53"/>
    <mergeCell ref="N53:S53"/>
    <mergeCell ref="T53:W53"/>
    <mergeCell ref="Y53:AB53"/>
    <mergeCell ref="AD53:AE53"/>
    <mergeCell ref="AG53:AI53"/>
    <mergeCell ref="AQ49:AR49"/>
    <mergeCell ref="AQ50:AR50"/>
    <mergeCell ref="D51:M51"/>
    <mergeCell ref="N51:S51"/>
    <mergeCell ref="T51:W51"/>
    <mergeCell ref="Y51:AB51"/>
    <mergeCell ref="AD51:AE51"/>
    <mergeCell ref="AG51:AI51"/>
    <mergeCell ref="AQ51:AR51"/>
    <mergeCell ref="D50:L50"/>
    <mergeCell ref="N50:S50"/>
    <mergeCell ref="T50:W50"/>
    <mergeCell ref="Y50:AB50"/>
    <mergeCell ref="AD50:AE50"/>
    <mergeCell ref="AG50:AI50"/>
    <mergeCell ref="B48:C55"/>
    <mergeCell ref="D48:M48"/>
    <mergeCell ref="N48:S48"/>
    <mergeCell ref="T48:W48"/>
    <mergeCell ref="Y48:AB48"/>
    <mergeCell ref="AD48:AE48"/>
    <mergeCell ref="AG48:AI48"/>
    <mergeCell ref="AG45:AI45"/>
    <mergeCell ref="AQ45:AR45"/>
    <mergeCell ref="N46:S46"/>
    <mergeCell ref="T46:W46"/>
    <mergeCell ref="Y46:AB46"/>
    <mergeCell ref="AD46:AE46"/>
    <mergeCell ref="AG46:AI46"/>
    <mergeCell ref="AJ46:AP46"/>
    <mergeCell ref="AQ46:AR46"/>
    <mergeCell ref="AJ48:AM48"/>
    <mergeCell ref="AQ48:AR48"/>
    <mergeCell ref="D49:M49"/>
    <mergeCell ref="N49:S49"/>
    <mergeCell ref="T49:W49"/>
    <mergeCell ref="Y49:AB49"/>
    <mergeCell ref="AD49:AE49"/>
    <mergeCell ref="AG49:AI49"/>
    <mergeCell ref="AQ43:AR43"/>
    <mergeCell ref="D44:F44"/>
    <mergeCell ref="N44:S44"/>
    <mergeCell ref="AJ44:AP44"/>
    <mergeCell ref="AQ44:AR44"/>
    <mergeCell ref="B45:C47"/>
    <mergeCell ref="N45:S45"/>
    <mergeCell ref="T45:W45"/>
    <mergeCell ref="Y45:AB45"/>
    <mergeCell ref="AD45:AE45"/>
    <mergeCell ref="G43:M43"/>
    <mergeCell ref="N43:S43"/>
    <mergeCell ref="T43:W43"/>
    <mergeCell ref="Y43:AB43"/>
    <mergeCell ref="AD43:AE43"/>
    <mergeCell ref="AG43:AI43"/>
    <mergeCell ref="D37:F43"/>
    <mergeCell ref="AQ47:AR47"/>
    <mergeCell ref="AD37:AE37"/>
    <mergeCell ref="AG37:AI37"/>
    <mergeCell ref="G42:M42"/>
    <mergeCell ref="N42:S42"/>
    <mergeCell ref="T42:W42"/>
    <mergeCell ref="Y42:AB42"/>
    <mergeCell ref="AD42:AE42"/>
    <mergeCell ref="AG42:AI42"/>
    <mergeCell ref="AQ42:AR42"/>
    <mergeCell ref="G41:M41"/>
    <mergeCell ref="G40:M40"/>
    <mergeCell ref="N40:S40"/>
    <mergeCell ref="T40:W40"/>
    <mergeCell ref="Y40:AB40"/>
    <mergeCell ref="AD40:AE40"/>
    <mergeCell ref="AG40:AI40"/>
    <mergeCell ref="G39:M39"/>
    <mergeCell ref="N39:S39"/>
    <mergeCell ref="T39:W39"/>
    <mergeCell ref="Y39:AB39"/>
    <mergeCell ref="AD39:AE39"/>
    <mergeCell ref="AG39:AI39"/>
    <mergeCell ref="AJ39:AP39"/>
    <mergeCell ref="AQ39:AR39"/>
    <mergeCell ref="AJ40:AP40"/>
    <mergeCell ref="AQ40:AR40"/>
    <mergeCell ref="Y36:AB36"/>
    <mergeCell ref="AD36:AE36"/>
    <mergeCell ref="AG36:AI36"/>
    <mergeCell ref="AQ36:AR36"/>
    <mergeCell ref="G37:M37"/>
    <mergeCell ref="N37:S37"/>
    <mergeCell ref="T37:W37"/>
    <mergeCell ref="Y37:AB37"/>
    <mergeCell ref="AJ38:AP38"/>
    <mergeCell ref="AQ38:AR38"/>
    <mergeCell ref="AJ34:AP34"/>
    <mergeCell ref="AQ34:AR34"/>
    <mergeCell ref="B35:C44"/>
    <mergeCell ref="N35:S35"/>
    <mergeCell ref="T35:W35"/>
    <mergeCell ref="Y35:AB35"/>
    <mergeCell ref="AD35:AE35"/>
    <mergeCell ref="AG35:AI35"/>
    <mergeCell ref="AQ35:AR35"/>
    <mergeCell ref="N36:S36"/>
    <mergeCell ref="D34:F34"/>
    <mergeCell ref="N34:S34"/>
    <mergeCell ref="T34:W34"/>
    <mergeCell ref="Z34:AC34"/>
    <mergeCell ref="B25:C34"/>
    <mergeCell ref="AJ37:AP37"/>
    <mergeCell ref="AQ37:AR37"/>
    <mergeCell ref="G38:M38"/>
    <mergeCell ref="N38:S38"/>
    <mergeCell ref="T38:W38"/>
    <mergeCell ref="Y38:AB38"/>
    <mergeCell ref="AD38:AE38"/>
    <mergeCell ref="AG38:AI38"/>
    <mergeCell ref="T36:W36"/>
    <mergeCell ref="N32:S32"/>
    <mergeCell ref="T32:W32"/>
    <mergeCell ref="Y32:AB32"/>
    <mergeCell ref="AD32:AE32"/>
    <mergeCell ref="AG32:AI32"/>
    <mergeCell ref="AQ32:AR32"/>
    <mergeCell ref="N31:S31"/>
    <mergeCell ref="T31:W31"/>
    <mergeCell ref="Y31:AB31"/>
    <mergeCell ref="AD31:AE31"/>
    <mergeCell ref="AG31:AI31"/>
    <mergeCell ref="AQ31:AR31"/>
    <mergeCell ref="N25:S25"/>
    <mergeCell ref="T25:W25"/>
    <mergeCell ref="Y25:AB25"/>
    <mergeCell ref="AD25:AE25"/>
    <mergeCell ref="AQ30:AR30"/>
    <mergeCell ref="AD28:AE28"/>
    <mergeCell ref="AG28:AI28"/>
    <mergeCell ref="AQ28:AR28"/>
    <mergeCell ref="N29:S29"/>
    <mergeCell ref="T29:W29"/>
    <mergeCell ref="Y29:AB29"/>
    <mergeCell ref="AD29:AE29"/>
    <mergeCell ref="AG29:AI29"/>
    <mergeCell ref="AQ29:AR29"/>
    <mergeCell ref="N28:S28"/>
    <mergeCell ref="T28:W28"/>
    <mergeCell ref="Y28:AB28"/>
    <mergeCell ref="Y26:AB26"/>
    <mergeCell ref="AD26:AE26"/>
    <mergeCell ref="AG26:AI26"/>
    <mergeCell ref="N26:S26"/>
    <mergeCell ref="A24:A84"/>
    <mergeCell ref="N24:S24"/>
    <mergeCell ref="T24:AI24"/>
    <mergeCell ref="AJ24:AP24"/>
    <mergeCell ref="AQ24:AR24"/>
    <mergeCell ref="BL23:BM23"/>
    <mergeCell ref="BN23:BO23"/>
    <mergeCell ref="N23:S23"/>
    <mergeCell ref="T23:W23"/>
    <mergeCell ref="X23:AA23"/>
    <mergeCell ref="AB23:AC23"/>
    <mergeCell ref="AJ23:AP23"/>
    <mergeCell ref="AQ23:AR23"/>
    <mergeCell ref="AG25:AI25"/>
    <mergeCell ref="AQ25:AR25"/>
    <mergeCell ref="N27:S27"/>
    <mergeCell ref="T27:W27"/>
    <mergeCell ref="Y27:AB27"/>
    <mergeCell ref="AD27:AE27"/>
    <mergeCell ref="AG27:AI27"/>
    <mergeCell ref="AJ27:AP27"/>
    <mergeCell ref="AQ27:AR27"/>
    <mergeCell ref="AV21:AW21"/>
    <mergeCell ref="N22:S22"/>
    <mergeCell ref="T22:W22"/>
    <mergeCell ref="X22:AA22"/>
    <mergeCell ref="AB22:AC22"/>
    <mergeCell ref="AE22:AG22"/>
    <mergeCell ref="AH22:AI22"/>
    <mergeCell ref="AJ22:AP22"/>
    <mergeCell ref="AQ22:AR22"/>
    <mergeCell ref="AV22:AW22"/>
    <mergeCell ref="G21:M21"/>
    <mergeCell ref="N21:S21"/>
    <mergeCell ref="T21:W21"/>
    <mergeCell ref="X21:AA21"/>
    <mergeCell ref="AB21:AC21"/>
    <mergeCell ref="AE21:AG21"/>
    <mergeCell ref="AH21:AI21"/>
    <mergeCell ref="AJ21:AM21"/>
    <mergeCell ref="AQ21:AR21"/>
    <mergeCell ref="AQ19:AR19"/>
    <mergeCell ref="AV19:AW19"/>
    <mergeCell ref="H20:J20"/>
    <mergeCell ref="K20:M20"/>
    <mergeCell ref="N20:S20"/>
    <mergeCell ref="T20:W20"/>
    <mergeCell ref="X20:AA20"/>
    <mergeCell ref="AV20:AW20"/>
    <mergeCell ref="AB20:AC20"/>
    <mergeCell ref="AE20:AG20"/>
    <mergeCell ref="AH20:AI20"/>
    <mergeCell ref="AJ20:AM20"/>
    <mergeCell ref="AO20:AP20"/>
    <mergeCell ref="AQ20:AR20"/>
    <mergeCell ref="B18:F21"/>
    <mergeCell ref="H18:J18"/>
    <mergeCell ref="K18:M18"/>
    <mergeCell ref="N18:S18"/>
    <mergeCell ref="T18:W18"/>
    <mergeCell ref="X18:AA18"/>
    <mergeCell ref="AV18:AW18"/>
    <mergeCell ref="H19:J19"/>
    <mergeCell ref="K19:M19"/>
    <mergeCell ref="N19:S19"/>
    <mergeCell ref="T19:W19"/>
    <mergeCell ref="X19:AA19"/>
    <mergeCell ref="AB19:AC19"/>
    <mergeCell ref="AE19:AG19"/>
    <mergeCell ref="AH19:AI19"/>
    <mergeCell ref="AB18:AC18"/>
    <mergeCell ref="AE18:AG18"/>
    <mergeCell ref="AH18:AI18"/>
    <mergeCell ref="AJ18:AM18"/>
    <mergeCell ref="AO18:AP18"/>
    <mergeCell ref="AQ18:AR18"/>
    <mergeCell ref="AJ19:AM19"/>
    <mergeCell ref="AO19:AP19"/>
    <mergeCell ref="AO16:AP16"/>
    <mergeCell ref="AQ16:AR16"/>
    <mergeCell ref="B17:F17"/>
    <mergeCell ref="G17:M17"/>
    <mergeCell ref="N17:S17"/>
    <mergeCell ref="T17:W17"/>
    <mergeCell ref="X17:AA17"/>
    <mergeCell ref="AB17:AC17"/>
    <mergeCell ref="AE17:AG17"/>
    <mergeCell ref="AH17:AI17"/>
    <mergeCell ref="AJ17:AM17"/>
    <mergeCell ref="AQ17:AR17"/>
    <mergeCell ref="H16:J16"/>
    <mergeCell ref="K16:M16"/>
    <mergeCell ref="N16:S16"/>
    <mergeCell ref="T16:W16"/>
    <mergeCell ref="X16:AA16"/>
    <mergeCell ref="AB16:AC16"/>
    <mergeCell ref="AE16:AG16"/>
    <mergeCell ref="AH16:AI16"/>
    <mergeCell ref="AJ16:AM16"/>
    <mergeCell ref="AO13:AP13"/>
    <mergeCell ref="AO14:AP14"/>
    <mergeCell ref="AQ14:AR14"/>
    <mergeCell ref="H15:J15"/>
    <mergeCell ref="K15:M15"/>
    <mergeCell ref="N15:S15"/>
    <mergeCell ref="T15:W15"/>
    <mergeCell ref="X15:AA15"/>
    <mergeCell ref="AB15:AC15"/>
    <mergeCell ref="AE15:AG15"/>
    <mergeCell ref="AH15:AI15"/>
    <mergeCell ref="AJ15:AM15"/>
    <mergeCell ref="AO15:AP15"/>
    <mergeCell ref="AQ15:AR15"/>
    <mergeCell ref="X14:AA14"/>
    <mergeCell ref="AB14:AC14"/>
    <mergeCell ref="AE14:AG14"/>
    <mergeCell ref="AH14:AI14"/>
    <mergeCell ref="AJ14:AM14"/>
    <mergeCell ref="X13:AA13"/>
    <mergeCell ref="AB13:AC13"/>
    <mergeCell ref="AE13:AG13"/>
    <mergeCell ref="AH13:AI13"/>
    <mergeCell ref="AJ13:AM13"/>
    <mergeCell ref="AJ9:AM9"/>
    <mergeCell ref="AN9:AR9"/>
    <mergeCell ref="AU9:AV9"/>
    <mergeCell ref="AN11:AN12"/>
    <mergeCell ref="AO11:AP12"/>
    <mergeCell ref="AQ11:AR12"/>
    <mergeCell ref="AT12:AV12"/>
    <mergeCell ref="A13:A22"/>
    <mergeCell ref="B13:F16"/>
    <mergeCell ref="H13:J13"/>
    <mergeCell ref="K13:M13"/>
    <mergeCell ref="N13:S13"/>
    <mergeCell ref="T13:W13"/>
    <mergeCell ref="A11:F12"/>
    <mergeCell ref="G11:J12"/>
    <mergeCell ref="K11:M12"/>
    <mergeCell ref="N11:S12"/>
    <mergeCell ref="T11:AI12"/>
    <mergeCell ref="AJ11:AM12"/>
    <mergeCell ref="AQ13:AR13"/>
    <mergeCell ref="H14:J14"/>
    <mergeCell ref="K14:M14"/>
    <mergeCell ref="N14:S14"/>
    <mergeCell ref="T14:W14"/>
    <mergeCell ref="AJ6:AM6"/>
    <mergeCell ref="AN6:AR6"/>
    <mergeCell ref="AU6:AV6"/>
    <mergeCell ref="C7:F7"/>
    <mergeCell ref="G7:L7"/>
    <mergeCell ref="N7:T7"/>
    <mergeCell ref="V7:AA7"/>
    <mergeCell ref="AB7:AI7"/>
    <mergeCell ref="AJ7:AM7"/>
    <mergeCell ref="AN7:AR7"/>
    <mergeCell ref="AU7:AV7"/>
    <mergeCell ref="A6:B9"/>
    <mergeCell ref="C6:F6"/>
    <mergeCell ref="G6:L6"/>
    <mergeCell ref="N6:T6"/>
    <mergeCell ref="V6:AA6"/>
    <mergeCell ref="AB6:AI6"/>
    <mergeCell ref="N5:T5"/>
    <mergeCell ref="V5:AA5"/>
    <mergeCell ref="AB5:AI5"/>
    <mergeCell ref="C9:F9"/>
    <mergeCell ref="G9:L9"/>
    <mergeCell ref="N9:T9"/>
    <mergeCell ref="V9:AA9"/>
    <mergeCell ref="AB9:AI9"/>
    <mergeCell ref="N8:U8"/>
    <mergeCell ref="C8:F8"/>
    <mergeCell ref="G8:L8"/>
    <mergeCell ref="V8:AA8"/>
    <mergeCell ref="A3:B5"/>
    <mergeCell ref="AU5:AV5"/>
    <mergeCell ref="AN3:AR3"/>
    <mergeCell ref="C4:F4"/>
    <mergeCell ref="G4:L4"/>
    <mergeCell ref="N4:T4"/>
    <mergeCell ref="V4:AA4"/>
    <mergeCell ref="AB4:AI4"/>
    <mergeCell ref="AJ4:AM5"/>
    <mergeCell ref="AP4:AQ4"/>
    <mergeCell ref="C5:F5"/>
    <mergeCell ref="G5:L5"/>
    <mergeCell ref="C3:F3"/>
    <mergeCell ref="G3:L3"/>
    <mergeCell ref="N3:T3"/>
    <mergeCell ref="V3:AA3"/>
    <mergeCell ref="AB3:AI3"/>
    <mergeCell ref="AJ3:AM3"/>
    <mergeCell ref="AN5:AP5"/>
    <mergeCell ref="AQ5:AR5"/>
    <mergeCell ref="A1:F1"/>
    <mergeCell ref="G1:U1"/>
    <mergeCell ref="V1:AA1"/>
    <mergeCell ref="AB1:AI1"/>
    <mergeCell ref="AJ1:AR1"/>
    <mergeCell ref="A2:F2"/>
    <mergeCell ref="G2:U2"/>
    <mergeCell ref="V2:AA2"/>
    <mergeCell ref="AB2:AC2"/>
    <mergeCell ref="AD2:AF2"/>
    <mergeCell ref="AG2:AI2"/>
    <mergeCell ref="AJ2:AM2"/>
    <mergeCell ref="AN2:AR2"/>
  </mergeCells>
  <phoneticPr fontId="26" type="noConversion"/>
  <printOptions horizontalCentered="1"/>
  <pageMargins left="3.937007874015748E-2" right="3.937007874015748E-2" top="3.937007874015748E-2" bottom="3.937007874015748E-2" header="0.19685039370078741" footer="0.19685039370078741"/>
  <pageSetup paperSize="8" scale="67" fitToWidth="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동일수지표</vt:lpstr>
      <vt:lpstr>동일수지표!Print_Area</vt:lpstr>
    </vt:vector>
  </TitlesOfParts>
  <Company>Your Company 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User Name</dc:creator>
  <cp:lastModifiedBy>john</cp:lastModifiedBy>
  <cp:lastPrinted>2021-04-21T09:31:49Z</cp:lastPrinted>
  <dcterms:created xsi:type="dcterms:W3CDTF">2010-08-31T01:49:16Z</dcterms:created>
  <dcterms:modified xsi:type="dcterms:W3CDTF">2025-10-31T03:23:24Z</dcterms:modified>
</cp:coreProperties>
</file>